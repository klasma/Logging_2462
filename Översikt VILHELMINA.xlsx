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46062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46062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46062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46062</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46062</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46062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46062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46062</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46062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46062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46062</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46062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46062</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46062</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46062</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46062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46062</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46062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46062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46062</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46062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46062</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46062</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46062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59039-2024</t>
        </is>
      </c>
      <c r="B47" s="1" t="n">
        <v>45636</v>
      </c>
      <c r="C47" s="1" t="n">
        <v>46062</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46062</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46062</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46062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46062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46062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46062</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46062</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46062</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46062</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46062</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46062</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46062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46062</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46062</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46062</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46062</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46062</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46062</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56632-2024</t>
        </is>
      </c>
      <c r="B66" s="1" t="n">
        <v>45625</v>
      </c>
      <c r="C66" s="1" t="n">
        <v>46062</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46062</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46062</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46062</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30810-2024</t>
        </is>
      </c>
      <c r="B70" s="1" t="n">
        <v>45497</v>
      </c>
      <c r="C70" s="1" t="n">
        <v>46062</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25564-2024</t>
        </is>
      </c>
      <c r="B71" s="1" t="n">
        <v>45463</v>
      </c>
      <c r="C71" s="1" t="n">
        <v>46062</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46062</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35393-2024</t>
        </is>
      </c>
      <c r="B73" s="1" t="n">
        <v>45531</v>
      </c>
      <c r="C73" s="1" t="n">
        <v>46062</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46062</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46062</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49977-2023</t>
        </is>
      </c>
      <c r="B76" s="1" t="n">
        <v>45208</v>
      </c>
      <c r="C76" s="1" t="n">
        <v>46062</v>
      </c>
      <c r="D76" t="inlineStr">
        <is>
          <t>VÄSTERBOTTENS LÄN</t>
        </is>
      </c>
      <c r="E76" t="inlineStr">
        <is>
          <t>VILHELMINA</t>
        </is>
      </c>
      <c r="F76" t="inlineStr">
        <is>
          <t>Övriga statliga verk och myndigheter</t>
        </is>
      </c>
      <c r="G76" t="n">
        <v>8.1</v>
      </c>
      <c r="H76" t="n">
        <v>2</v>
      </c>
      <c r="I76" t="n">
        <v>2</v>
      </c>
      <c r="J76" t="n">
        <v>5</v>
      </c>
      <c r="K76" t="n">
        <v>0</v>
      </c>
      <c r="L76" t="n">
        <v>0</v>
      </c>
      <c r="M76" t="n">
        <v>0</v>
      </c>
      <c r="N76" t="n">
        <v>0</v>
      </c>
      <c r="O76" t="n">
        <v>5</v>
      </c>
      <c r="P76" t="n">
        <v>0</v>
      </c>
      <c r="Q76" t="n">
        <v>7</v>
      </c>
      <c r="R76" s="2" t="inlineStr">
        <is>
          <t>Leptoporus mollis
Skrovellav
Spillkråka
Tretåig hackspett
Vitgrynig nållav
Bårdlav
Fjällig taggsvamp s.str.</t>
        </is>
      </c>
      <c r="S76">
        <f>HYPERLINK("https://klasma.github.io/Logging_2462/artfynd/A 49977-2023 artfynd.xlsx", "A 49977-2023")</f>
        <v/>
      </c>
      <c r="T76">
        <f>HYPERLINK("https://klasma.github.io/Logging_2462/kartor/A 49977-2023 karta.png", "A 49977-2023")</f>
        <v/>
      </c>
      <c r="V76">
        <f>HYPERLINK("https://klasma.github.io/Logging_2462/klagomål/A 49977-2023 FSC-klagomål.docx", "A 49977-2023")</f>
        <v/>
      </c>
      <c r="W76">
        <f>HYPERLINK("https://klasma.github.io/Logging_2462/klagomålsmail/A 49977-2023 FSC-klagomål mail.docx", "A 49977-2023")</f>
        <v/>
      </c>
      <c r="X76">
        <f>HYPERLINK("https://klasma.github.io/Logging_2462/tillsyn/A 49977-2023 tillsynsbegäran.docx", "A 49977-2023")</f>
        <v/>
      </c>
      <c r="Y76">
        <f>HYPERLINK("https://klasma.github.io/Logging_2462/tillsynsmail/A 49977-2023 tillsynsbegäran mail.docx", "A 49977-2023")</f>
        <v/>
      </c>
      <c r="Z76">
        <f>HYPERLINK("https://klasma.github.io/Logging_2462/fåglar/A 49977-2023 prioriterade fågelarter.docx", "A 49977-2023")</f>
        <v/>
      </c>
    </row>
    <row r="77" ht="15" customHeight="1">
      <c r="A77" t="inlineStr">
        <is>
          <t>A 15852-2022</t>
        </is>
      </c>
      <c r="B77" s="1" t="n">
        <v>44664</v>
      </c>
      <c r="C77" s="1" t="n">
        <v>46062</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18873-2025</t>
        </is>
      </c>
      <c r="B78" s="1" t="n">
        <v>45764</v>
      </c>
      <c r="C78" s="1" t="n">
        <v>46062</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25040-2025</t>
        </is>
      </c>
      <c r="B79" s="1" t="n">
        <v>45799.65734953704</v>
      </c>
      <c r="C79" s="1" t="n">
        <v>46062</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46062</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46062</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46062</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46062</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39678-2024</t>
        </is>
      </c>
      <c r="B84" s="1" t="n">
        <v>45552</v>
      </c>
      <c r="C84" s="1" t="n">
        <v>46062</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38128-2024</t>
        </is>
      </c>
      <c r="B85" s="1" t="n">
        <v>45545</v>
      </c>
      <c r="C85" s="1" t="n">
        <v>46062</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44874-2024</t>
        </is>
      </c>
      <c r="B86" s="1" t="n">
        <v>45575</v>
      </c>
      <c r="C86" s="1" t="n">
        <v>46062</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896-2025</t>
        </is>
      </c>
      <c r="B87" s="1" t="n">
        <v>45665</v>
      </c>
      <c r="C87" s="1" t="n">
        <v>46062</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46062</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46062</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46062</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46062</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28867-2024</t>
        </is>
      </c>
      <c r="B92" s="1" t="n">
        <v>45478</v>
      </c>
      <c r="C92" s="1" t="n">
        <v>46062</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63151-2025</t>
        </is>
      </c>
      <c r="B93" s="1" t="n">
        <v>46009</v>
      </c>
      <c r="C93" s="1" t="n">
        <v>46062</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46062</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46062</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31198-2023</t>
        </is>
      </c>
      <c r="B96" s="1" t="n">
        <v>45113</v>
      </c>
      <c r="C96" s="1" t="n">
        <v>46062</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46062</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46062</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46062</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46062</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46062</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46062</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32779-2025</t>
        </is>
      </c>
      <c r="B103" s="1" t="n">
        <v>45839.46946759259</v>
      </c>
      <c r="C103" s="1" t="n">
        <v>46062</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6704-2021</t>
        </is>
      </c>
      <c r="B104" s="1" t="n">
        <v>44235</v>
      </c>
      <c r="C104" s="1" t="n">
        <v>46062</v>
      </c>
      <c r="D104" t="inlineStr">
        <is>
          <t>VÄSTERBOTTENS LÄN</t>
        </is>
      </c>
      <c r="E104" t="inlineStr">
        <is>
          <t>VILHELMINA</t>
        </is>
      </c>
      <c r="G104" t="n">
        <v>14.5</v>
      </c>
      <c r="H104" t="n">
        <v>2</v>
      </c>
      <c r="I104" t="n">
        <v>1</v>
      </c>
      <c r="J104" t="n">
        <v>1</v>
      </c>
      <c r="K104" t="n">
        <v>0</v>
      </c>
      <c r="L104" t="n">
        <v>0</v>
      </c>
      <c r="M104" t="n">
        <v>0</v>
      </c>
      <c r="N104" t="n">
        <v>0</v>
      </c>
      <c r="O104" t="n">
        <v>1</v>
      </c>
      <c r="P104" t="n">
        <v>0</v>
      </c>
      <c r="Q104" t="n">
        <v>3</v>
      </c>
      <c r="R104" s="2" t="inlineStr">
        <is>
          <t>Tretåig hackspett
Trådticka
Tjäder</t>
        </is>
      </c>
      <c r="S104">
        <f>HYPERLINK("https://klasma.github.io/Logging_2462/artfynd/A 6704-2021 artfynd.xlsx", "A 6704-2021")</f>
        <v/>
      </c>
      <c r="T104">
        <f>HYPERLINK("https://klasma.github.io/Logging_2462/kartor/A 6704-2021 karta.png", "A 6704-2021")</f>
        <v/>
      </c>
      <c r="V104">
        <f>HYPERLINK("https://klasma.github.io/Logging_2462/klagomål/A 6704-2021 FSC-klagomål.docx", "A 6704-2021")</f>
        <v/>
      </c>
      <c r="W104">
        <f>HYPERLINK("https://klasma.github.io/Logging_2462/klagomålsmail/A 6704-2021 FSC-klagomål mail.docx", "A 6704-2021")</f>
        <v/>
      </c>
      <c r="X104">
        <f>HYPERLINK("https://klasma.github.io/Logging_2462/tillsyn/A 6704-2021 tillsynsbegäran.docx", "A 6704-2021")</f>
        <v/>
      </c>
      <c r="Y104">
        <f>HYPERLINK("https://klasma.github.io/Logging_2462/tillsynsmail/A 6704-2021 tillsynsbegäran mail.docx", "A 6704-2021")</f>
        <v/>
      </c>
      <c r="Z104">
        <f>HYPERLINK("https://klasma.github.io/Logging_2462/fåglar/A 6704-2021 prioriterade fågelarter.docx", "A 6704-2021")</f>
        <v/>
      </c>
    </row>
    <row r="105" ht="15" customHeight="1">
      <c r="A105" t="inlineStr">
        <is>
          <t>A 38534-2024</t>
        </is>
      </c>
      <c r="B105" s="1" t="n">
        <v>45546</v>
      </c>
      <c r="C105" s="1" t="n">
        <v>46062</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46062</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46062</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54780-2024</t>
        </is>
      </c>
      <c r="B108" s="1" t="n">
        <v>45618</v>
      </c>
      <c r="C108" s="1" t="n">
        <v>46062</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38123-2024</t>
        </is>
      </c>
      <c r="B109" s="1" t="n">
        <v>45545</v>
      </c>
      <c r="C109" s="1" t="n">
        <v>46062</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41646-2024</t>
        </is>
      </c>
      <c r="B110" s="1" t="n">
        <v>45560</v>
      </c>
      <c r="C110" s="1" t="n">
        <v>46062</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9157-2023</t>
        </is>
      </c>
      <c r="B111" s="1" t="n">
        <v>44972</v>
      </c>
      <c r="C111" s="1" t="n">
        <v>46062</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46062</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46062</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46062</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25037-2024</t>
        </is>
      </c>
      <c r="B115" s="1" t="n">
        <v>45461</v>
      </c>
      <c r="C115" s="1" t="n">
        <v>46062</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29140-2025</t>
        </is>
      </c>
      <c r="B116" s="1" t="n">
        <v>45821</v>
      </c>
      <c r="C116" s="1" t="n">
        <v>46062</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28012-2023</t>
        </is>
      </c>
      <c r="B117" s="1" t="n">
        <v>45098</v>
      </c>
      <c r="C117" s="1" t="n">
        <v>46062</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46062</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31735-2025</t>
        </is>
      </c>
      <c r="B119" s="1" t="n">
        <v>45834.47067129629</v>
      </c>
      <c r="C119" s="1" t="n">
        <v>46062</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48652-2025</t>
        </is>
      </c>
      <c r="B120" s="1" t="n">
        <v>45936</v>
      </c>
      <c r="C120" s="1" t="n">
        <v>46062</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19234-2021</t>
        </is>
      </c>
      <c r="B121" s="1" t="n">
        <v>44309</v>
      </c>
      <c r="C121" s="1" t="n">
        <v>46062</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42274-2025</t>
        </is>
      </c>
      <c r="B122" s="1" t="n">
        <v>45903</v>
      </c>
      <c r="C122" s="1" t="n">
        <v>46062</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65586-2021</t>
        </is>
      </c>
      <c r="B123" s="1" t="n">
        <v>44518</v>
      </c>
      <c r="C123" s="1" t="n">
        <v>46062</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36998-2025</t>
        </is>
      </c>
      <c r="B124" s="1" t="n">
        <v>45874</v>
      </c>
      <c r="C124" s="1" t="n">
        <v>46062</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54779-2024</t>
        </is>
      </c>
      <c r="B125" s="1" t="n">
        <v>45618</v>
      </c>
      <c r="C125" s="1" t="n">
        <v>46062</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46062</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46062</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46062</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46062</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41645-2024</t>
        </is>
      </c>
      <c r="B130" s="1" t="n">
        <v>45560</v>
      </c>
      <c r="C130" s="1" t="n">
        <v>46062</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4802-2026</t>
        </is>
      </c>
      <c r="B131" s="1" t="n">
        <v>46048</v>
      </c>
      <c r="C131" s="1" t="n">
        <v>46062</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37513-2024</t>
        </is>
      </c>
      <c r="B132" s="1" t="n">
        <v>45541.38572916666</v>
      </c>
      <c r="C132" s="1" t="n">
        <v>46062</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46062</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46062</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46062</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34769-2024</t>
        </is>
      </c>
      <c r="B136" s="1" t="n">
        <v>45526.62043981482</v>
      </c>
      <c r="C136" s="1" t="n">
        <v>46062</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46062</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29317-2023</t>
        </is>
      </c>
      <c r="B138" s="1" t="n">
        <v>45105</v>
      </c>
      <c r="C138" s="1" t="n">
        <v>46062</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46062</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66924-2021</t>
        </is>
      </c>
      <c r="B140" s="1" t="n">
        <v>44522</v>
      </c>
      <c r="C140" s="1" t="n">
        <v>46062</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46062</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38131-2024</t>
        </is>
      </c>
      <c r="B142" s="1" t="n">
        <v>45545</v>
      </c>
      <c r="C142" s="1" t="n">
        <v>46062</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48741-2025</t>
        </is>
      </c>
      <c r="B143" s="1" t="n">
        <v>45936</v>
      </c>
      <c r="C143" s="1" t="n">
        <v>46062</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34730-2024</t>
        </is>
      </c>
      <c r="B144" s="1" t="n">
        <v>45526</v>
      </c>
      <c r="C144" s="1" t="n">
        <v>46062</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46062</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13523-2025</t>
        </is>
      </c>
      <c r="B146" s="1" t="n">
        <v>45736</v>
      </c>
      <c r="C146" s="1" t="n">
        <v>46062</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29434-2025</t>
        </is>
      </c>
      <c r="B147" s="1" t="n">
        <v>45824</v>
      </c>
      <c r="C147" s="1" t="n">
        <v>46062</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38929-2025</t>
        </is>
      </c>
      <c r="B148" s="1" t="n">
        <v>45887</v>
      </c>
      <c r="C148" s="1" t="n">
        <v>46062</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32677-2021</t>
        </is>
      </c>
      <c r="B149" s="1" t="n">
        <v>44371</v>
      </c>
      <c r="C149" s="1" t="n">
        <v>46062</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46062</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11832-2023</t>
        </is>
      </c>
      <c r="B151" s="1" t="n">
        <v>44994</v>
      </c>
      <c r="C151" s="1" t="n">
        <v>46062</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60369-2021</t>
        </is>
      </c>
      <c r="B152" s="1" t="n">
        <v>44494</v>
      </c>
      <c r="C152" s="1" t="n">
        <v>46062</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74395-2021</t>
        </is>
      </c>
      <c r="B153" s="1" t="n">
        <v>44560</v>
      </c>
      <c r="C153" s="1" t="n">
        <v>46062</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33913-2024</t>
        </is>
      </c>
      <c r="B154" s="1" t="n">
        <v>45523.38783564815</v>
      </c>
      <c r="C154" s="1" t="n">
        <v>46062</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59664-2023</t>
        </is>
      </c>
      <c r="B155" s="1" t="n">
        <v>45254</v>
      </c>
      <c r="C155" s="1" t="n">
        <v>46062</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25374-2024</t>
        </is>
      </c>
      <c r="B156" s="1" t="n">
        <v>45462</v>
      </c>
      <c r="C156" s="1" t="n">
        <v>46062</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6566-2026</t>
        </is>
      </c>
      <c r="B157" s="1" t="n">
        <v>46056.44005787037</v>
      </c>
      <c r="C157" s="1" t="n">
        <v>46062</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42489-2024</t>
        </is>
      </c>
      <c r="B158" s="1" t="n">
        <v>45565</v>
      </c>
      <c r="C158" s="1" t="n">
        <v>46062</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46062</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46062</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46062</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46062</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46062</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47248-2024</t>
        </is>
      </c>
      <c r="B164" s="1" t="n">
        <v>45586</v>
      </c>
      <c r="C164" s="1" t="n">
        <v>46062</v>
      </c>
      <c r="D164" t="inlineStr">
        <is>
          <t>VÄSTERBOTTENS LÄN</t>
        </is>
      </c>
      <c r="E164" t="inlineStr">
        <is>
          <t>VILHELMINA</t>
        </is>
      </c>
      <c r="F164" t="inlineStr">
        <is>
          <t>SCA</t>
        </is>
      </c>
      <c r="G164" t="n">
        <v>4</v>
      </c>
      <c r="H164" t="n">
        <v>0</v>
      </c>
      <c r="I164" t="n">
        <v>0</v>
      </c>
      <c r="J164" t="n">
        <v>1</v>
      </c>
      <c r="K164" t="n">
        <v>0</v>
      </c>
      <c r="L164" t="n">
        <v>0</v>
      </c>
      <c r="M164" t="n">
        <v>0</v>
      </c>
      <c r="N164" t="n">
        <v>0</v>
      </c>
      <c r="O164" t="n">
        <v>1</v>
      </c>
      <c r="P164" t="n">
        <v>0</v>
      </c>
      <c r="Q164" t="n">
        <v>1</v>
      </c>
      <c r="R164" s="2" t="inlineStr">
        <is>
          <t>Granticka</t>
        </is>
      </c>
      <c r="S164">
        <f>HYPERLINK("https://klasma.github.io/Logging_2462/artfynd/A 47248-2024 artfynd.xlsx", "A 47248-2024")</f>
        <v/>
      </c>
      <c r="T164">
        <f>HYPERLINK("https://klasma.github.io/Logging_2462/kartor/A 47248-2024 karta.png", "A 47248-2024")</f>
        <v/>
      </c>
      <c r="V164">
        <f>HYPERLINK("https://klasma.github.io/Logging_2462/klagomål/A 47248-2024 FSC-klagomål.docx", "A 47248-2024")</f>
        <v/>
      </c>
      <c r="W164">
        <f>HYPERLINK("https://klasma.github.io/Logging_2462/klagomålsmail/A 47248-2024 FSC-klagomål mail.docx", "A 47248-2024")</f>
        <v/>
      </c>
      <c r="X164">
        <f>HYPERLINK("https://klasma.github.io/Logging_2462/tillsyn/A 47248-2024 tillsynsbegäran.docx", "A 47248-2024")</f>
        <v/>
      </c>
      <c r="Y164">
        <f>HYPERLINK("https://klasma.github.io/Logging_2462/tillsynsmail/A 47248-2024 tillsynsbegäran mail.docx", "A 47248-2024")</f>
        <v/>
      </c>
    </row>
    <row r="165" ht="15" customHeight="1">
      <c r="A165" t="inlineStr">
        <is>
          <t>A 38416-2022</t>
        </is>
      </c>
      <c r="B165" s="1" t="n">
        <v>44812</v>
      </c>
      <c r="C165" s="1" t="n">
        <v>46062</v>
      </c>
      <c r="D165" t="inlineStr">
        <is>
          <t>VÄSTERBOTTENS LÄN</t>
        </is>
      </c>
      <c r="E165" t="inlineStr">
        <is>
          <t>VILHELMINA</t>
        </is>
      </c>
      <c r="F165" t="inlineStr">
        <is>
          <t>SCA</t>
        </is>
      </c>
      <c r="G165" t="n">
        <v>2.5</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46062</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29332-2021</t>
        </is>
      </c>
      <c r="B167" s="1" t="n">
        <v>44361</v>
      </c>
      <c r="C167" s="1" t="n">
        <v>46062</v>
      </c>
      <c r="D167" t="inlineStr">
        <is>
          <t>VÄSTERBOTTENS LÄN</t>
        </is>
      </c>
      <c r="E167" t="inlineStr">
        <is>
          <t>VILHELMINA</t>
        </is>
      </c>
      <c r="F167" t="inlineStr">
        <is>
          <t>Allmännings- och besparingsskogar</t>
        </is>
      </c>
      <c r="G167" t="n">
        <v>51.8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46062</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46062</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9777-2022</t>
        </is>
      </c>
      <c r="B170" s="1" t="n">
        <v>44619.86621527778</v>
      </c>
      <c r="C170" s="1" t="n">
        <v>46062</v>
      </c>
      <c r="D170" t="inlineStr">
        <is>
          <t>VÄSTERBOTTENS LÄN</t>
        </is>
      </c>
      <c r="E170" t="inlineStr">
        <is>
          <t>VILHELMINA</t>
        </is>
      </c>
      <c r="G170" t="n">
        <v>1.7</v>
      </c>
      <c r="H170" t="n">
        <v>0</v>
      </c>
      <c r="I170" t="n">
        <v>0</v>
      </c>
      <c r="J170" t="n">
        <v>0</v>
      </c>
      <c r="K170" t="n">
        <v>0</v>
      </c>
      <c r="L170" t="n">
        <v>0</v>
      </c>
      <c r="M170" t="n">
        <v>0</v>
      </c>
      <c r="N170" t="n">
        <v>0</v>
      </c>
      <c r="O170" t="n">
        <v>0</v>
      </c>
      <c r="P170" t="n">
        <v>0</v>
      </c>
      <c r="Q170" t="n">
        <v>0</v>
      </c>
      <c r="R170" s="2" t="inlineStr"/>
    </row>
    <row r="171" ht="15" customHeight="1">
      <c r="A171" t="inlineStr">
        <is>
          <t>A 37655-2022</t>
        </is>
      </c>
      <c r="B171" s="1" t="n">
        <v>44810</v>
      </c>
      <c r="C171" s="1" t="n">
        <v>46062</v>
      </c>
      <c r="D171" t="inlineStr">
        <is>
          <t>VÄSTERBOTTENS LÄN</t>
        </is>
      </c>
      <c r="E171" t="inlineStr">
        <is>
          <t>VILHELMINA</t>
        </is>
      </c>
      <c r="G171" t="n">
        <v>6.3</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46062</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51017-2022</t>
        </is>
      </c>
      <c r="B173" s="1" t="n">
        <v>44867.95054398148</v>
      </c>
      <c r="C173" s="1" t="n">
        <v>46062</v>
      </c>
      <c r="D173" t="inlineStr">
        <is>
          <t>VÄSTERBOTTENS LÄN</t>
        </is>
      </c>
      <c r="E173" t="inlineStr">
        <is>
          <t>VILHELMINA</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48783-2021</t>
        </is>
      </c>
      <c r="B174" s="1" t="n">
        <v>44452</v>
      </c>
      <c r="C174" s="1" t="n">
        <v>46062</v>
      </c>
      <c r="D174" t="inlineStr">
        <is>
          <t>VÄSTERBOTTENS LÄN</t>
        </is>
      </c>
      <c r="E174" t="inlineStr">
        <is>
          <t>VILHELMINA</t>
        </is>
      </c>
      <c r="F174" t="inlineStr">
        <is>
          <t>Allmännings- och besparingsskogar</t>
        </is>
      </c>
      <c r="G174" t="n">
        <v>9.5</v>
      </c>
      <c r="H174" t="n">
        <v>0</v>
      </c>
      <c r="I174" t="n">
        <v>0</v>
      </c>
      <c r="J174" t="n">
        <v>0</v>
      </c>
      <c r="K174" t="n">
        <v>0</v>
      </c>
      <c r="L174" t="n">
        <v>0</v>
      </c>
      <c r="M174" t="n">
        <v>0</v>
      </c>
      <c r="N174" t="n">
        <v>0</v>
      </c>
      <c r="O174" t="n">
        <v>0</v>
      </c>
      <c r="P174" t="n">
        <v>0</v>
      </c>
      <c r="Q174" t="n">
        <v>0</v>
      </c>
      <c r="R174" s="2" t="inlineStr"/>
    </row>
    <row r="175" ht="15" customHeight="1">
      <c r="A175" t="inlineStr">
        <is>
          <t>A 70117-2021</t>
        </is>
      </c>
      <c r="B175" s="1" t="n">
        <v>44533</v>
      </c>
      <c r="C175" s="1" t="n">
        <v>46062</v>
      </c>
      <c r="D175" t="inlineStr">
        <is>
          <t>VÄSTERBOTTENS LÄN</t>
        </is>
      </c>
      <c r="E175" t="inlineStr">
        <is>
          <t>VILHELMINA</t>
        </is>
      </c>
      <c r="G175" t="n">
        <v>3</v>
      </c>
      <c r="H175" t="n">
        <v>0</v>
      </c>
      <c r="I175" t="n">
        <v>0</v>
      </c>
      <c r="J175" t="n">
        <v>0</v>
      </c>
      <c r="K175" t="n">
        <v>0</v>
      </c>
      <c r="L175" t="n">
        <v>0</v>
      </c>
      <c r="M175" t="n">
        <v>0</v>
      </c>
      <c r="N175" t="n">
        <v>0</v>
      </c>
      <c r="O175" t="n">
        <v>0</v>
      </c>
      <c r="P175" t="n">
        <v>0</v>
      </c>
      <c r="Q175" t="n">
        <v>0</v>
      </c>
      <c r="R175" s="2" t="inlineStr"/>
    </row>
    <row r="176" ht="15" customHeight="1">
      <c r="A176" t="inlineStr">
        <is>
          <t>A 22405-2022</t>
        </is>
      </c>
      <c r="B176" s="1" t="n">
        <v>44713</v>
      </c>
      <c r="C176" s="1" t="n">
        <v>46062</v>
      </c>
      <c r="D176" t="inlineStr">
        <is>
          <t>VÄSTERBOTTENS LÄN</t>
        </is>
      </c>
      <c r="E176" t="inlineStr">
        <is>
          <t>VILHELMINA</t>
        </is>
      </c>
      <c r="G176" t="n">
        <v>13.2</v>
      </c>
      <c r="H176" t="n">
        <v>0</v>
      </c>
      <c r="I176" t="n">
        <v>0</v>
      </c>
      <c r="J176" t="n">
        <v>0</v>
      </c>
      <c r="K176" t="n">
        <v>0</v>
      </c>
      <c r="L176" t="n">
        <v>0</v>
      </c>
      <c r="M176" t="n">
        <v>0</v>
      </c>
      <c r="N176" t="n">
        <v>0</v>
      </c>
      <c r="O176" t="n">
        <v>0</v>
      </c>
      <c r="P176" t="n">
        <v>0</v>
      </c>
      <c r="Q176" t="n">
        <v>0</v>
      </c>
      <c r="R176" s="2" t="inlineStr"/>
    </row>
    <row r="177" ht="15" customHeight="1">
      <c r="A177" t="inlineStr">
        <is>
          <t>A 11116-2022</t>
        </is>
      </c>
      <c r="B177" s="1" t="n">
        <v>44628.92569444444</v>
      </c>
      <c r="C177" s="1" t="n">
        <v>46062</v>
      </c>
      <c r="D177" t="inlineStr">
        <is>
          <t>VÄSTERBOTTENS LÄN</t>
        </is>
      </c>
      <c r="E177" t="inlineStr">
        <is>
          <t>VILHELMINA</t>
        </is>
      </c>
      <c r="G177" t="n">
        <v>4.2</v>
      </c>
      <c r="H177" t="n">
        <v>0</v>
      </c>
      <c r="I177" t="n">
        <v>0</v>
      </c>
      <c r="J177" t="n">
        <v>0</v>
      </c>
      <c r="K177" t="n">
        <v>0</v>
      </c>
      <c r="L177" t="n">
        <v>0</v>
      </c>
      <c r="M177" t="n">
        <v>0</v>
      </c>
      <c r="N177" t="n">
        <v>0</v>
      </c>
      <c r="O177" t="n">
        <v>0</v>
      </c>
      <c r="P177" t="n">
        <v>0</v>
      </c>
      <c r="Q177" t="n">
        <v>0</v>
      </c>
      <c r="R177" s="2" t="inlineStr"/>
    </row>
    <row r="178" ht="15" customHeight="1">
      <c r="A178" t="inlineStr">
        <is>
          <t>A 8731-2022</t>
        </is>
      </c>
      <c r="B178" s="1" t="n">
        <v>44613</v>
      </c>
      <c r="C178" s="1" t="n">
        <v>46062</v>
      </c>
      <c r="D178" t="inlineStr">
        <is>
          <t>VÄSTERBOTTENS LÄN</t>
        </is>
      </c>
      <c r="E178" t="inlineStr">
        <is>
          <t>VILHELMINA</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46062</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30019-2022</t>
        </is>
      </c>
      <c r="B180" s="1" t="n">
        <v>44756.94431712963</v>
      </c>
      <c r="C180" s="1" t="n">
        <v>46062</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30020-2022</t>
        </is>
      </c>
      <c r="B181" s="1" t="n">
        <v>44756.94440972222</v>
      </c>
      <c r="C181" s="1" t="n">
        <v>46062</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46062</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18497-2022</t>
        </is>
      </c>
      <c r="B183" s="1" t="n">
        <v>44686</v>
      </c>
      <c r="C183" s="1" t="n">
        <v>46062</v>
      </c>
      <c r="D183" t="inlineStr">
        <is>
          <t>VÄSTERBOTTENS LÄN</t>
        </is>
      </c>
      <c r="E183" t="inlineStr">
        <is>
          <t>VILHELMINA</t>
        </is>
      </c>
      <c r="F183" t="inlineStr">
        <is>
          <t>Övriga statliga verk och myndigheter</t>
        </is>
      </c>
      <c r="G183" t="n">
        <v>64.7</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46062</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47285-2022</t>
        </is>
      </c>
      <c r="B185" s="1" t="n">
        <v>44852.95126157408</v>
      </c>
      <c r="C185" s="1" t="n">
        <v>46062</v>
      </c>
      <c r="D185" t="inlineStr">
        <is>
          <t>VÄSTERBOTTENS LÄN</t>
        </is>
      </c>
      <c r="E185" t="inlineStr">
        <is>
          <t>VILHELMINA</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9781-2022</t>
        </is>
      </c>
      <c r="B186" s="1" t="n">
        <v>44619</v>
      </c>
      <c r="C186" s="1" t="n">
        <v>46062</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18971-2021</t>
        </is>
      </c>
      <c r="B187" s="1" t="n">
        <v>44307</v>
      </c>
      <c r="C187" s="1" t="n">
        <v>46062</v>
      </c>
      <c r="D187" t="inlineStr">
        <is>
          <t>VÄSTERBOTTENS LÄN</t>
        </is>
      </c>
      <c r="E187" t="inlineStr">
        <is>
          <t>VILHELMINA</t>
        </is>
      </c>
      <c r="G187" t="n">
        <v>2</v>
      </c>
      <c r="H187" t="n">
        <v>0</v>
      </c>
      <c r="I187" t="n">
        <v>0</v>
      </c>
      <c r="J187" t="n">
        <v>0</v>
      </c>
      <c r="K187" t="n">
        <v>0</v>
      </c>
      <c r="L187" t="n">
        <v>0</v>
      </c>
      <c r="M187" t="n">
        <v>0</v>
      </c>
      <c r="N187" t="n">
        <v>0</v>
      </c>
      <c r="O187" t="n">
        <v>0</v>
      </c>
      <c r="P187" t="n">
        <v>0</v>
      </c>
      <c r="Q187" t="n">
        <v>0</v>
      </c>
      <c r="R187" s="2" t="inlineStr"/>
    </row>
    <row r="188" ht="15" customHeight="1">
      <c r="A188" t="inlineStr">
        <is>
          <t>A 43714-2022</t>
        </is>
      </c>
      <c r="B188" s="1" t="n">
        <v>44837.66417824074</v>
      </c>
      <c r="C188" s="1" t="n">
        <v>46062</v>
      </c>
      <c r="D188" t="inlineStr">
        <is>
          <t>VÄSTERBOTTENS LÄN</t>
        </is>
      </c>
      <c r="E188" t="inlineStr">
        <is>
          <t>VILHELMINA</t>
        </is>
      </c>
      <c r="G188" t="n">
        <v>8.9</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46062</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46062</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46062</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62658-2021</t>
        </is>
      </c>
      <c r="B192" s="1" t="n">
        <v>44503</v>
      </c>
      <c r="C192" s="1" t="n">
        <v>46062</v>
      </c>
      <c r="D192" t="inlineStr">
        <is>
          <t>VÄSTERBOTTENS LÄN</t>
        </is>
      </c>
      <c r="E192" t="inlineStr">
        <is>
          <t>VILHELMINA</t>
        </is>
      </c>
      <c r="F192" t="inlineStr">
        <is>
          <t>SCA</t>
        </is>
      </c>
      <c r="G192" t="n">
        <v>13.4</v>
      </c>
      <c r="H192" t="n">
        <v>0</v>
      </c>
      <c r="I192" t="n">
        <v>0</v>
      </c>
      <c r="J192" t="n">
        <v>0</v>
      </c>
      <c r="K192" t="n">
        <v>0</v>
      </c>
      <c r="L192" t="n">
        <v>0</v>
      </c>
      <c r="M192" t="n">
        <v>0</v>
      </c>
      <c r="N192" t="n">
        <v>0</v>
      </c>
      <c r="O192" t="n">
        <v>0</v>
      </c>
      <c r="P192" t="n">
        <v>0</v>
      </c>
      <c r="Q192" t="n">
        <v>0</v>
      </c>
      <c r="R192" s="2" t="inlineStr"/>
    </row>
    <row r="193" ht="15" customHeight="1">
      <c r="A193" t="inlineStr">
        <is>
          <t>A 32672-2021</t>
        </is>
      </c>
      <c r="B193" s="1" t="n">
        <v>44371</v>
      </c>
      <c r="C193" s="1" t="n">
        <v>46062</v>
      </c>
      <c r="D193" t="inlineStr">
        <is>
          <t>VÄSTERBOTTENS LÄN</t>
        </is>
      </c>
      <c r="E193" t="inlineStr">
        <is>
          <t>VILHELMINA</t>
        </is>
      </c>
      <c r="G193" t="n">
        <v>4.5</v>
      </c>
      <c r="H193" t="n">
        <v>0</v>
      </c>
      <c r="I193" t="n">
        <v>0</v>
      </c>
      <c r="J193" t="n">
        <v>0</v>
      </c>
      <c r="K193" t="n">
        <v>0</v>
      </c>
      <c r="L193" t="n">
        <v>0</v>
      </c>
      <c r="M193" t="n">
        <v>0</v>
      </c>
      <c r="N193" t="n">
        <v>0</v>
      </c>
      <c r="O193" t="n">
        <v>0</v>
      </c>
      <c r="P193" t="n">
        <v>0</v>
      </c>
      <c r="Q193" t="n">
        <v>0</v>
      </c>
      <c r="R193" s="2" t="inlineStr"/>
    </row>
    <row r="194" ht="15" customHeight="1">
      <c r="A194" t="inlineStr">
        <is>
          <t>A 10075-2021</t>
        </is>
      </c>
      <c r="B194" s="1" t="n">
        <v>44253</v>
      </c>
      <c r="C194" s="1" t="n">
        <v>46062</v>
      </c>
      <c r="D194" t="inlineStr">
        <is>
          <t>VÄSTERBOTTENS LÄN</t>
        </is>
      </c>
      <c r="E194" t="inlineStr">
        <is>
          <t>VILHELMINA</t>
        </is>
      </c>
      <c r="G194" t="n">
        <v>1.3</v>
      </c>
      <c r="H194" t="n">
        <v>0</v>
      </c>
      <c r="I194" t="n">
        <v>0</v>
      </c>
      <c r="J194" t="n">
        <v>0</v>
      </c>
      <c r="K194" t="n">
        <v>0</v>
      </c>
      <c r="L194" t="n">
        <v>0</v>
      </c>
      <c r="M194" t="n">
        <v>0</v>
      </c>
      <c r="N194" t="n">
        <v>0</v>
      </c>
      <c r="O194" t="n">
        <v>0</v>
      </c>
      <c r="P194" t="n">
        <v>0</v>
      </c>
      <c r="Q194" t="n">
        <v>0</v>
      </c>
      <c r="R194" s="2" t="inlineStr"/>
    </row>
    <row r="195" ht="15" customHeight="1">
      <c r="A195" t="inlineStr">
        <is>
          <t>A 18996-2022</t>
        </is>
      </c>
      <c r="B195" s="1" t="n">
        <v>44690</v>
      </c>
      <c r="C195" s="1" t="n">
        <v>46062</v>
      </c>
      <c r="D195" t="inlineStr">
        <is>
          <t>VÄSTERBOTTENS LÄN</t>
        </is>
      </c>
      <c r="E195" t="inlineStr">
        <is>
          <t>VILHELMINA</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32665-2021</t>
        </is>
      </c>
      <c r="B196" s="1" t="n">
        <v>44371</v>
      </c>
      <c r="C196" s="1" t="n">
        <v>46062</v>
      </c>
      <c r="D196" t="inlineStr">
        <is>
          <t>VÄSTERBOTTENS LÄN</t>
        </is>
      </c>
      <c r="E196" t="inlineStr">
        <is>
          <t>VILHELMINA</t>
        </is>
      </c>
      <c r="G196" t="n">
        <v>2.9</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46062</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46062</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36139-2021</t>
        </is>
      </c>
      <c r="B199" s="1" t="n">
        <v>44389.5819675926</v>
      </c>
      <c r="C199" s="1" t="n">
        <v>46062</v>
      </c>
      <c r="D199" t="inlineStr">
        <is>
          <t>VÄSTERBOTTENS LÄN</t>
        </is>
      </c>
      <c r="E199" t="inlineStr">
        <is>
          <t>VILHELMINA</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46062</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46062</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56179-2022</t>
        </is>
      </c>
      <c r="B202" s="1" t="n">
        <v>44889.94913194444</v>
      </c>
      <c r="C202" s="1" t="n">
        <v>46062</v>
      </c>
      <c r="D202" t="inlineStr">
        <is>
          <t>VÄSTERBOTTENS LÄN</t>
        </is>
      </c>
      <c r="E202" t="inlineStr">
        <is>
          <t>VILHELMINA</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46062</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46062</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46062</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30018-2022</t>
        </is>
      </c>
      <c r="B206" s="1" t="n">
        <v>44756</v>
      </c>
      <c r="C206" s="1" t="n">
        <v>46062</v>
      </c>
      <c r="D206" t="inlineStr">
        <is>
          <t>VÄSTERBOTTENS LÄN</t>
        </is>
      </c>
      <c r="E206" t="inlineStr">
        <is>
          <t>VILHELMINA</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46062</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29555-2022</t>
        </is>
      </c>
      <c r="B208" s="1" t="n">
        <v>44754</v>
      </c>
      <c r="C208" s="1" t="n">
        <v>46062</v>
      </c>
      <c r="D208" t="inlineStr">
        <is>
          <t>VÄSTERBOTTENS LÄN</t>
        </is>
      </c>
      <c r="E208" t="inlineStr">
        <is>
          <t>VILHELMINA</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46062</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46062</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46062</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57086-2021</t>
        </is>
      </c>
      <c r="B212" s="1" t="n">
        <v>44482</v>
      </c>
      <c r="C212" s="1" t="n">
        <v>46062</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46062</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70854-2021</t>
        </is>
      </c>
      <c r="B214" s="1" t="n">
        <v>44532</v>
      </c>
      <c r="C214" s="1" t="n">
        <v>46062</v>
      </c>
      <c r="D214" t="inlineStr">
        <is>
          <t>VÄSTERBOTTENS LÄN</t>
        </is>
      </c>
      <c r="E214" t="inlineStr">
        <is>
          <t>VILHELMINA</t>
        </is>
      </c>
      <c r="G214" t="n">
        <v>2.6</v>
      </c>
      <c r="H214" t="n">
        <v>0</v>
      </c>
      <c r="I214" t="n">
        <v>0</v>
      </c>
      <c r="J214" t="n">
        <v>0</v>
      </c>
      <c r="K214" t="n">
        <v>0</v>
      </c>
      <c r="L214" t="n">
        <v>0</v>
      </c>
      <c r="M214" t="n">
        <v>0</v>
      </c>
      <c r="N214" t="n">
        <v>0</v>
      </c>
      <c r="O214" t="n">
        <v>0</v>
      </c>
      <c r="P214" t="n">
        <v>0</v>
      </c>
      <c r="Q214" t="n">
        <v>0</v>
      </c>
      <c r="R214" s="2" t="inlineStr"/>
    </row>
    <row r="215" ht="15" customHeight="1">
      <c r="A215" t="inlineStr">
        <is>
          <t>A 27874-2022</t>
        </is>
      </c>
      <c r="B215" s="1" t="n">
        <v>44743</v>
      </c>
      <c r="C215" s="1" t="n">
        <v>46062</v>
      </c>
      <c r="D215" t="inlineStr">
        <is>
          <t>VÄSTERBOTTENS LÄN</t>
        </is>
      </c>
      <c r="E215" t="inlineStr">
        <is>
          <t>VILHELMINA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27880-2022</t>
        </is>
      </c>
      <c r="B216" s="1" t="n">
        <v>44743</v>
      </c>
      <c r="C216" s="1" t="n">
        <v>46062</v>
      </c>
      <c r="D216" t="inlineStr">
        <is>
          <t>VÄSTERBOTTENS LÄN</t>
        </is>
      </c>
      <c r="E216" t="inlineStr">
        <is>
          <t>VILHELMINA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46062</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46062</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46062</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46062</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46062</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46062</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46062</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69850-2021</t>
        </is>
      </c>
      <c r="B224" s="1" t="n">
        <v>44532</v>
      </c>
      <c r="C224" s="1" t="n">
        <v>46062</v>
      </c>
      <c r="D224" t="inlineStr">
        <is>
          <t>VÄSTERBOTTENS LÄN</t>
        </is>
      </c>
      <c r="E224" t="inlineStr">
        <is>
          <t>VILHELMINA</t>
        </is>
      </c>
      <c r="G224" t="n">
        <v>6.8</v>
      </c>
      <c r="H224" t="n">
        <v>0</v>
      </c>
      <c r="I224" t="n">
        <v>0</v>
      </c>
      <c r="J224" t="n">
        <v>0</v>
      </c>
      <c r="K224" t="n">
        <v>0</v>
      </c>
      <c r="L224" t="n">
        <v>0</v>
      </c>
      <c r="M224" t="n">
        <v>0</v>
      </c>
      <c r="N224" t="n">
        <v>0</v>
      </c>
      <c r="O224" t="n">
        <v>0</v>
      </c>
      <c r="P224" t="n">
        <v>0</v>
      </c>
      <c r="Q224" t="n">
        <v>0</v>
      </c>
      <c r="R224" s="2" t="inlineStr"/>
    </row>
    <row r="225" ht="15" customHeight="1">
      <c r="A225" t="inlineStr">
        <is>
          <t>A 36931-2022</t>
        </is>
      </c>
      <c r="B225" s="1" t="n">
        <v>44805</v>
      </c>
      <c r="C225" s="1" t="n">
        <v>46062</v>
      </c>
      <c r="D225" t="inlineStr">
        <is>
          <t>VÄSTERBOTTENS LÄN</t>
        </is>
      </c>
      <c r="E225" t="inlineStr">
        <is>
          <t>VILHELMINA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46062</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35686-2022</t>
        </is>
      </c>
      <c r="B227" s="1" t="n">
        <v>44799</v>
      </c>
      <c r="C227" s="1" t="n">
        <v>46062</v>
      </c>
      <c r="D227" t="inlineStr">
        <is>
          <t>VÄSTERBOTTENS LÄN</t>
        </is>
      </c>
      <c r="E227" t="inlineStr">
        <is>
          <t>VILHELMINA</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46062</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46062</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46062</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46062</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46062</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46062</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46062</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46062</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46062</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46062</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46062</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46062</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46062</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46062</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46062</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8908-2023</t>
        </is>
      </c>
      <c r="B243" s="1" t="n">
        <v>44972</v>
      </c>
      <c r="C243" s="1" t="n">
        <v>46062</v>
      </c>
      <c r="D243" t="inlineStr">
        <is>
          <t>VÄSTERBOTTENS LÄN</t>
        </is>
      </c>
      <c r="E243" t="inlineStr">
        <is>
          <t>VILHELMINA</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46062</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46062</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46062</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46062</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45481.95178240741</v>
      </c>
      <c r="C248" s="1" t="n">
        <v>46062</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46062</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40462-2024</t>
        </is>
      </c>
      <c r="B250" s="1" t="n">
        <v>45555.51084490741</v>
      </c>
      <c r="C250" s="1" t="n">
        <v>46062</v>
      </c>
      <c r="D250" t="inlineStr">
        <is>
          <t>VÄSTERBOTTENS LÄN</t>
        </is>
      </c>
      <c r="E250" t="inlineStr">
        <is>
          <t>VILHELMINA</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54430-2024</t>
        </is>
      </c>
      <c r="B251" s="1" t="n">
        <v>45617.49107638889</v>
      </c>
      <c r="C251" s="1" t="n">
        <v>46062</v>
      </c>
      <c r="D251" t="inlineStr">
        <is>
          <t>VÄSTERBOTTENS LÄN</t>
        </is>
      </c>
      <c r="E251" t="inlineStr">
        <is>
          <t>VILHELMINA</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61048-2022</t>
        </is>
      </c>
      <c r="B252" s="1" t="n">
        <v>44914</v>
      </c>
      <c r="C252" s="1" t="n">
        <v>46062</v>
      </c>
      <c r="D252" t="inlineStr">
        <is>
          <t>VÄSTERBOTTENS LÄN</t>
        </is>
      </c>
      <c r="E252" t="inlineStr">
        <is>
          <t>VILHELMINA</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46062</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26947-2024</t>
        </is>
      </c>
      <c r="B254" s="1" t="n">
        <v>45470.9693287037</v>
      </c>
      <c r="C254" s="1" t="n">
        <v>46062</v>
      </c>
      <c r="D254" t="inlineStr">
        <is>
          <t>VÄSTERBOTTENS LÄN</t>
        </is>
      </c>
      <c r="E254" t="inlineStr">
        <is>
          <t>VILHELMINA</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46062</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46062</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46062</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46062</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46062</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46062</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46062</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46062</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38674-2023</t>
        </is>
      </c>
      <c r="B263" s="1" t="n">
        <v>45162.94335648148</v>
      </c>
      <c r="C263" s="1" t="n">
        <v>46062</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29954-2023</t>
        </is>
      </c>
      <c r="B264" s="1" t="n">
        <v>45107</v>
      </c>
      <c r="C264" s="1" t="n">
        <v>46062</v>
      </c>
      <c r="D264" t="inlineStr">
        <is>
          <t>VÄSTERBOTTENS LÄN</t>
        </is>
      </c>
      <c r="E264" t="inlineStr">
        <is>
          <t>VILHELMINA</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46062</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46062</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46062</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37714-2024</t>
        </is>
      </c>
      <c r="B268" s="1" t="n">
        <v>45541.63569444444</v>
      </c>
      <c r="C268" s="1" t="n">
        <v>46062</v>
      </c>
      <c r="D268" t="inlineStr">
        <is>
          <t>VÄSTERBOTTENS LÄN</t>
        </is>
      </c>
      <c r="E268" t="inlineStr">
        <is>
          <t>VILHELMINA</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37715-2024</t>
        </is>
      </c>
      <c r="B269" s="1" t="n">
        <v>45541.63581018519</v>
      </c>
      <c r="C269" s="1" t="n">
        <v>46062</v>
      </c>
      <c r="D269" t="inlineStr">
        <is>
          <t>VÄSTERBOTTENS LÄN</t>
        </is>
      </c>
      <c r="E269" t="inlineStr">
        <is>
          <t>VILHELMINA</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46164-2023</t>
        </is>
      </c>
      <c r="B270" s="1" t="n">
        <v>45190</v>
      </c>
      <c r="C270" s="1" t="n">
        <v>46062</v>
      </c>
      <c r="D270" t="inlineStr">
        <is>
          <t>VÄSTERBOTTENS LÄN</t>
        </is>
      </c>
      <c r="E270" t="inlineStr">
        <is>
          <t>VILHELMINA</t>
        </is>
      </c>
      <c r="G270" t="n">
        <v>6.3</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46062</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57470-2024</t>
        </is>
      </c>
      <c r="B272" s="1" t="n">
        <v>45630</v>
      </c>
      <c r="C272" s="1" t="n">
        <v>46062</v>
      </c>
      <c r="D272" t="inlineStr">
        <is>
          <t>VÄSTERBOTTENS LÄN</t>
        </is>
      </c>
      <c r="E272" t="inlineStr">
        <is>
          <t>VILHELMINA</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46062</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32658-2021</t>
        </is>
      </c>
      <c r="B274" s="1" t="n">
        <v>44371</v>
      </c>
      <c r="C274" s="1" t="n">
        <v>46062</v>
      </c>
      <c r="D274" t="inlineStr">
        <is>
          <t>VÄSTERBOTTENS LÄN</t>
        </is>
      </c>
      <c r="E274" t="inlineStr">
        <is>
          <t>VILHELMINA</t>
        </is>
      </c>
      <c r="G274" t="n">
        <v>2.2</v>
      </c>
      <c r="H274" t="n">
        <v>0</v>
      </c>
      <c r="I274" t="n">
        <v>0</v>
      </c>
      <c r="J274" t="n">
        <v>0</v>
      </c>
      <c r="K274" t="n">
        <v>0</v>
      </c>
      <c r="L274" t="n">
        <v>0</v>
      </c>
      <c r="M274" t="n">
        <v>0</v>
      </c>
      <c r="N274" t="n">
        <v>0</v>
      </c>
      <c r="O274" t="n">
        <v>0</v>
      </c>
      <c r="P274" t="n">
        <v>0</v>
      </c>
      <c r="Q274" t="n">
        <v>0</v>
      </c>
      <c r="R274" s="2" t="inlineStr"/>
    </row>
    <row r="275" ht="15" customHeight="1">
      <c r="A275" t="inlineStr">
        <is>
          <t>A 8718-2025</t>
        </is>
      </c>
      <c r="B275" s="1" t="n">
        <v>45712</v>
      </c>
      <c r="C275" s="1" t="n">
        <v>46062</v>
      </c>
      <c r="D275" t="inlineStr">
        <is>
          <t>VÄSTERBOTTENS LÄN</t>
        </is>
      </c>
      <c r="E275" t="inlineStr">
        <is>
          <t>VILHELMINA</t>
        </is>
      </c>
      <c r="G275" t="n">
        <v>21.3</v>
      </c>
      <c r="H275" t="n">
        <v>0</v>
      </c>
      <c r="I275" t="n">
        <v>0</v>
      </c>
      <c r="J275" t="n">
        <v>0</v>
      </c>
      <c r="K275" t="n">
        <v>0</v>
      </c>
      <c r="L275" t="n">
        <v>0</v>
      </c>
      <c r="M275" t="n">
        <v>0</v>
      </c>
      <c r="N275" t="n">
        <v>0</v>
      </c>
      <c r="O275" t="n">
        <v>0</v>
      </c>
      <c r="P275" t="n">
        <v>0</v>
      </c>
      <c r="Q275" t="n">
        <v>0</v>
      </c>
      <c r="R275" s="2" t="inlineStr"/>
    </row>
    <row r="276" ht="15" customHeight="1">
      <c r="A276" t="inlineStr">
        <is>
          <t>A 10833-2022</t>
        </is>
      </c>
      <c r="B276" s="1" t="n">
        <v>44627</v>
      </c>
      <c r="C276" s="1" t="n">
        <v>46062</v>
      </c>
      <c r="D276" t="inlineStr">
        <is>
          <t>VÄSTERBOTTENS LÄN</t>
        </is>
      </c>
      <c r="E276" t="inlineStr">
        <is>
          <t>VILHELMINA</t>
        </is>
      </c>
      <c r="G276" t="n">
        <v>5.4</v>
      </c>
      <c r="H276" t="n">
        <v>0</v>
      </c>
      <c r="I276" t="n">
        <v>0</v>
      </c>
      <c r="J276" t="n">
        <v>0</v>
      </c>
      <c r="K276" t="n">
        <v>0</v>
      </c>
      <c r="L276" t="n">
        <v>0</v>
      </c>
      <c r="M276" t="n">
        <v>0</v>
      </c>
      <c r="N276" t="n">
        <v>0</v>
      </c>
      <c r="O276" t="n">
        <v>0</v>
      </c>
      <c r="P276" t="n">
        <v>0</v>
      </c>
      <c r="Q276" t="n">
        <v>0</v>
      </c>
      <c r="R276" s="2" t="inlineStr"/>
    </row>
    <row r="277" ht="15" customHeight="1">
      <c r="A277" t="inlineStr">
        <is>
          <t>A 28656-2024</t>
        </is>
      </c>
      <c r="B277" s="1" t="n">
        <v>45478</v>
      </c>
      <c r="C277" s="1" t="n">
        <v>46062</v>
      </c>
      <c r="D277" t="inlineStr">
        <is>
          <t>VÄSTERBOTTENS LÄN</t>
        </is>
      </c>
      <c r="E277" t="inlineStr">
        <is>
          <t>VILHELMINA</t>
        </is>
      </c>
      <c r="F277" t="inlineStr">
        <is>
          <t>Allmännings- och besparingsskogar</t>
        </is>
      </c>
      <c r="G277" t="n">
        <v>1.6</v>
      </c>
      <c r="H277" t="n">
        <v>0</v>
      </c>
      <c r="I277" t="n">
        <v>0</v>
      </c>
      <c r="J277" t="n">
        <v>0</v>
      </c>
      <c r="K277" t="n">
        <v>0</v>
      </c>
      <c r="L277" t="n">
        <v>0</v>
      </c>
      <c r="M277" t="n">
        <v>0</v>
      </c>
      <c r="N277" t="n">
        <v>0</v>
      </c>
      <c r="O277" t="n">
        <v>0</v>
      </c>
      <c r="P277" t="n">
        <v>0</v>
      </c>
      <c r="Q277" t="n">
        <v>0</v>
      </c>
      <c r="R277" s="2" t="inlineStr"/>
    </row>
    <row r="278" ht="15" customHeight="1">
      <c r="A278" t="inlineStr">
        <is>
          <t>A 43791-2024</t>
        </is>
      </c>
      <c r="B278" s="1" t="n">
        <v>45571</v>
      </c>
      <c r="C278" s="1" t="n">
        <v>46062</v>
      </c>
      <c r="D278" t="inlineStr">
        <is>
          <t>VÄSTERBOTTENS LÄN</t>
        </is>
      </c>
      <c r="E278" t="inlineStr">
        <is>
          <t>VILHELMINA</t>
        </is>
      </c>
      <c r="G278" t="n">
        <v>30.3</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46062</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43792-2024</t>
        </is>
      </c>
      <c r="B280" s="1" t="n">
        <v>45571</v>
      </c>
      <c r="C280" s="1" t="n">
        <v>46062</v>
      </c>
      <c r="D280" t="inlineStr">
        <is>
          <t>VÄSTERBOTTENS LÄN</t>
        </is>
      </c>
      <c r="E280" t="inlineStr">
        <is>
          <t>VILHELMINA</t>
        </is>
      </c>
      <c r="G280" t="n">
        <v>25.3</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46062</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58207-2022</t>
        </is>
      </c>
      <c r="B282" s="1" t="n">
        <v>44901</v>
      </c>
      <c r="C282" s="1" t="n">
        <v>46062</v>
      </c>
      <c r="D282" t="inlineStr">
        <is>
          <t>VÄSTERBOTTENS LÄN</t>
        </is>
      </c>
      <c r="E282" t="inlineStr">
        <is>
          <t>VILHELMINA</t>
        </is>
      </c>
      <c r="G282" t="n">
        <v>143.2</v>
      </c>
      <c r="H282" t="n">
        <v>0</v>
      </c>
      <c r="I282" t="n">
        <v>0</v>
      </c>
      <c r="J282" t="n">
        <v>0</v>
      </c>
      <c r="K282" t="n">
        <v>0</v>
      </c>
      <c r="L282" t="n">
        <v>0</v>
      </c>
      <c r="M282" t="n">
        <v>0</v>
      </c>
      <c r="N282" t="n">
        <v>0</v>
      </c>
      <c r="O282" t="n">
        <v>0</v>
      </c>
      <c r="P282" t="n">
        <v>0</v>
      </c>
      <c r="Q282" t="n">
        <v>0</v>
      </c>
      <c r="R282" s="2" t="inlineStr"/>
    </row>
    <row r="283" ht="15" customHeight="1">
      <c r="A283" t="inlineStr">
        <is>
          <t>A 402-2023</t>
        </is>
      </c>
      <c r="B283" s="1" t="n">
        <v>44923</v>
      </c>
      <c r="C283" s="1" t="n">
        <v>46062</v>
      </c>
      <c r="D283" t="inlineStr">
        <is>
          <t>VÄSTERBOTTENS LÄN</t>
        </is>
      </c>
      <c r="E283" t="inlineStr">
        <is>
          <t>VILHELMINA</t>
        </is>
      </c>
      <c r="G283" t="n">
        <v>14.7</v>
      </c>
      <c r="H283" t="n">
        <v>0</v>
      </c>
      <c r="I283" t="n">
        <v>0</v>
      </c>
      <c r="J283" t="n">
        <v>0</v>
      </c>
      <c r="K283" t="n">
        <v>0</v>
      </c>
      <c r="L283" t="n">
        <v>0</v>
      </c>
      <c r="M283" t="n">
        <v>0</v>
      </c>
      <c r="N283" t="n">
        <v>0</v>
      </c>
      <c r="O283" t="n">
        <v>0</v>
      </c>
      <c r="P283" t="n">
        <v>0</v>
      </c>
      <c r="Q283" t="n">
        <v>0</v>
      </c>
      <c r="R283" s="2" t="inlineStr"/>
    </row>
    <row r="284" ht="15" customHeight="1">
      <c r="A284" t="inlineStr">
        <is>
          <t>A 13557-2024</t>
        </is>
      </c>
      <c r="B284" s="1" t="n">
        <v>45388</v>
      </c>
      <c r="C284" s="1" t="n">
        <v>46062</v>
      </c>
      <c r="D284" t="inlineStr">
        <is>
          <t>VÄSTERBOTTENS LÄN</t>
        </is>
      </c>
      <c r="E284" t="inlineStr">
        <is>
          <t>VILHELMINA</t>
        </is>
      </c>
      <c r="G284" t="n">
        <v>11.2</v>
      </c>
      <c r="H284" t="n">
        <v>0</v>
      </c>
      <c r="I284" t="n">
        <v>0</v>
      </c>
      <c r="J284" t="n">
        <v>0</v>
      </c>
      <c r="K284" t="n">
        <v>0</v>
      </c>
      <c r="L284" t="n">
        <v>0</v>
      </c>
      <c r="M284" t="n">
        <v>0</v>
      </c>
      <c r="N284" t="n">
        <v>0</v>
      </c>
      <c r="O284" t="n">
        <v>0</v>
      </c>
      <c r="P284" t="n">
        <v>0</v>
      </c>
      <c r="Q284" t="n">
        <v>0</v>
      </c>
      <c r="R284" s="2" t="inlineStr"/>
    </row>
    <row r="285" ht="15" customHeight="1">
      <c r="A285" t="inlineStr">
        <is>
          <t>A 42976-2024</t>
        </is>
      </c>
      <c r="B285" s="1" t="n">
        <v>45567.37387731481</v>
      </c>
      <c r="C285" s="1" t="n">
        <v>46062</v>
      </c>
      <c r="D285" t="inlineStr">
        <is>
          <t>VÄSTERBOTTENS LÄN</t>
        </is>
      </c>
      <c r="E285" t="inlineStr">
        <is>
          <t>VILHELMINA</t>
        </is>
      </c>
      <c r="F285" t="inlineStr">
        <is>
          <t>SCA</t>
        </is>
      </c>
      <c r="G285" t="n">
        <v>20.6</v>
      </c>
      <c r="H285" t="n">
        <v>0</v>
      </c>
      <c r="I285" t="n">
        <v>0</v>
      </c>
      <c r="J285" t="n">
        <v>0</v>
      </c>
      <c r="K285" t="n">
        <v>0</v>
      </c>
      <c r="L285" t="n">
        <v>0</v>
      </c>
      <c r="M285" t="n">
        <v>0</v>
      </c>
      <c r="N285" t="n">
        <v>0</v>
      </c>
      <c r="O285" t="n">
        <v>0</v>
      </c>
      <c r="P285" t="n">
        <v>0</v>
      </c>
      <c r="Q285" t="n">
        <v>0</v>
      </c>
      <c r="R285" s="2" t="inlineStr"/>
    </row>
    <row r="286" ht="15" customHeight="1">
      <c r="A286" t="inlineStr">
        <is>
          <t>A 2382-2023</t>
        </is>
      </c>
      <c r="B286" s="1" t="n">
        <v>44942</v>
      </c>
      <c r="C286" s="1" t="n">
        <v>46062</v>
      </c>
      <c r="D286" t="inlineStr">
        <is>
          <t>VÄSTERBOTTENS LÄN</t>
        </is>
      </c>
      <c r="E286" t="inlineStr">
        <is>
          <t>VILHELMINA</t>
        </is>
      </c>
      <c r="G286" t="n">
        <v>29.7</v>
      </c>
      <c r="H286" t="n">
        <v>0</v>
      </c>
      <c r="I286" t="n">
        <v>0</v>
      </c>
      <c r="J286" t="n">
        <v>0</v>
      </c>
      <c r="K286" t="n">
        <v>0</v>
      </c>
      <c r="L286" t="n">
        <v>0</v>
      </c>
      <c r="M286" t="n">
        <v>0</v>
      </c>
      <c r="N286" t="n">
        <v>0</v>
      </c>
      <c r="O286" t="n">
        <v>0</v>
      </c>
      <c r="P286" t="n">
        <v>0</v>
      </c>
      <c r="Q286" t="n">
        <v>0</v>
      </c>
      <c r="R286" s="2" t="inlineStr"/>
    </row>
    <row r="287" ht="15" customHeight="1">
      <c r="A287" t="inlineStr">
        <is>
          <t>A 8578-2025</t>
        </is>
      </c>
      <c r="B287" s="1" t="n">
        <v>45709</v>
      </c>
      <c r="C287" s="1" t="n">
        <v>46062</v>
      </c>
      <c r="D287" t="inlineStr">
        <is>
          <t>VÄSTERBOTTENS LÄN</t>
        </is>
      </c>
      <c r="E287" t="inlineStr">
        <is>
          <t>VILHELMINA</t>
        </is>
      </c>
      <c r="G287" t="n">
        <v>3.5</v>
      </c>
      <c r="H287" t="n">
        <v>0</v>
      </c>
      <c r="I287" t="n">
        <v>0</v>
      </c>
      <c r="J287" t="n">
        <v>0</v>
      </c>
      <c r="K287" t="n">
        <v>0</v>
      </c>
      <c r="L287" t="n">
        <v>0</v>
      </c>
      <c r="M287" t="n">
        <v>0</v>
      </c>
      <c r="N287" t="n">
        <v>0</v>
      </c>
      <c r="O287" t="n">
        <v>0</v>
      </c>
      <c r="P287" t="n">
        <v>0</v>
      </c>
      <c r="Q287" t="n">
        <v>0</v>
      </c>
      <c r="R287" s="2" t="inlineStr"/>
    </row>
    <row r="288" ht="15" customHeight="1">
      <c r="A288" t="inlineStr">
        <is>
          <t>A 5575-2025</t>
        </is>
      </c>
      <c r="B288" s="1" t="n">
        <v>45693.53200231482</v>
      </c>
      <c r="C288" s="1" t="n">
        <v>46062</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47253-2022</t>
        </is>
      </c>
      <c r="B289" s="1" t="n">
        <v>44852</v>
      </c>
      <c r="C289" s="1" t="n">
        <v>46062</v>
      </c>
      <c r="D289" t="inlineStr">
        <is>
          <t>VÄSTERBOTTENS LÄN</t>
        </is>
      </c>
      <c r="E289" t="inlineStr">
        <is>
          <t>VILHELMINA</t>
        </is>
      </c>
      <c r="F289" t="inlineStr">
        <is>
          <t>SCA</t>
        </is>
      </c>
      <c r="G289" t="n">
        <v>0.3</v>
      </c>
      <c r="H289" t="n">
        <v>0</v>
      </c>
      <c r="I289" t="n">
        <v>0</v>
      </c>
      <c r="J289" t="n">
        <v>0</v>
      </c>
      <c r="K289" t="n">
        <v>0</v>
      </c>
      <c r="L289" t="n">
        <v>0</v>
      </c>
      <c r="M289" t="n">
        <v>0</v>
      </c>
      <c r="N289" t="n">
        <v>0</v>
      </c>
      <c r="O289" t="n">
        <v>0</v>
      </c>
      <c r="P289" t="n">
        <v>0</v>
      </c>
      <c r="Q289" t="n">
        <v>0</v>
      </c>
      <c r="R289" s="2" t="inlineStr"/>
    </row>
    <row r="290" ht="15" customHeight="1">
      <c r="A290" t="inlineStr">
        <is>
          <t>A 65133-2021</t>
        </is>
      </c>
      <c r="B290" s="1" t="n">
        <v>44515</v>
      </c>
      <c r="C290" s="1" t="n">
        <v>46062</v>
      </c>
      <c r="D290" t="inlineStr">
        <is>
          <t>VÄSTERBOTTENS LÄN</t>
        </is>
      </c>
      <c r="E290" t="inlineStr">
        <is>
          <t>VILHELMINA</t>
        </is>
      </c>
      <c r="G290" t="n">
        <v>16.4</v>
      </c>
      <c r="H290" t="n">
        <v>0</v>
      </c>
      <c r="I290" t="n">
        <v>0</v>
      </c>
      <c r="J290" t="n">
        <v>0</v>
      </c>
      <c r="K290" t="n">
        <v>0</v>
      </c>
      <c r="L290" t="n">
        <v>0</v>
      </c>
      <c r="M290" t="n">
        <v>0</v>
      </c>
      <c r="N290" t="n">
        <v>0</v>
      </c>
      <c r="O290" t="n">
        <v>0</v>
      </c>
      <c r="P290" t="n">
        <v>0</v>
      </c>
      <c r="Q290" t="n">
        <v>0</v>
      </c>
      <c r="R290" s="2" t="inlineStr"/>
    </row>
    <row r="291" ht="15" customHeight="1">
      <c r="A291" t="inlineStr">
        <is>
          <t>A 31095-2024</t>
        </is>
      </c>
      <c r="B291" s="1" t="n">
        <v>45502</v>
      </c>
      <c r="C291" s="1" t="n">
        <v>46062</v>
      </c>
      <c r="D291" t="inlineStr">
        <is>
          <t>VÄSTERBOTTENS LÄN</t>
        </is>
      </c>
      <c r="E291" t="inlineStr">
        <is>
          <t>VILHELMINA</t>
        </is>
      </c>
      <c r="G291" t="n">
        <v>4.7</v>
      </c>
      <c r="H291" t="n">
        <v>0</v>
      </c>
      <c r="I291" t="n">
        <v>0</v>
      </c>
      <c r="J291" t="n">
        <v>0</v>
      </c>
      <c r="K291" t="n">
        <v>0</v>
      </c>
      <c r="L291" t="n">
        <v>0</v>
      </c>
      <c r="M291" t="n">
        <v>0</v>
      </c>
      <c r="N291" t="n">
        <v>0</v>
      </c>
      <c r="O291" t="n">
        <v>0</v>
      </c>
      <c r="P291" t="n">
        <v>0</v>
      </c>
      <c r="Q291" t="n">
        <v>0</v>
      </c>
      <c r="R291" s="2" t="inlineStr"/>
    </row>
    <row r="292" ht="15" customHeight="1">
      <c r="A292" t="inlineStr">
        <is>
          <t>A 33636-2021</t>
        </is>
      </c>
      <c r="B292" s="1" t="n">
        <v>44378</v>
      </c>
      <c r="C292" s="1" t="n">
        <v>46062</v>
      </c>
      <c r="D292" t="inlineStr">
        <is>
          <t>VÄSTERBOTTENS LÄN</t>
        </is>
      </c>
      <c r="E292" t="inlineStr">
        <is>
          <t>VILHELMINA</t>
        </is>
      </c>
      <c r="G292" t="n">
        <v>1.6</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46062</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66917-2021</t>
        </is>
      </c>
      <c r="B294" s="1" t="n">
        <v>44522</v>
      </c>
      <c r="C294" s="1" t="n">
        <v>46062</v>
      </c>
      <c r="D294" t="inlineStr">
        <is>
          <t>VÄSTERBOTTENS LÄN</t>
        </is>
      </c>
      <c r="E294" t="inlineStr">
        <is>
          <t>VILHELMINA</t>
        </is>
      </c>
      <c r="F294" t="inlineStr">
        <is>
          <t>Allmännings- och besparingsskogar</t>
        </is>
      </c>
      <c r="G294" t="n">
        <v>11.7</v>
      </c>
      <c r="H294" t="n">
        <v>0</v>
      </c>
      <c r="I294" t="n">
        <v>0</v>
      </c>
      <c r="J294" t="n">
        <v>0</v>
      </c>
      <c r="K294" t="n">
        <v>0</v>
      </c>
      <c r="L294" t="n">
        <v>0</v>
      </c>
      <c r="M294" t="n">
        <v>0</v>
      </c>
      <c r="N294" t="n">
        <v>0</v>
      </c>
      <c r="O294" t="n">
        <v>0</v>
      </c>
      <c r="P294" t="n">
        <v>0</v>
      </c>
      <c r="Q294" t="n">
        <v>0</v>
      </c>
      <c r="R294" s="2" t="inlineStr"/>
    </row>
    <row r="295" ht="15" customHeight="1">
      <c r="A295" t="inlineStr">
        <is>
          <t>A 45672-2023</t>
        </is>
      </c>
      <c r="B295" s="1" t="n">
        <v>45194</v>
      </c>
      <c r="C295" s="1" t="n">
        <v>46062</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46062</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12765-2025</t>
        </is>
      </c>
      <c r="B297" s="1" t="n">
        <v>45733</v>
      </c>
      <c r="C297" s="1" t="n">
        <v>46062</v>
      </c>
      <c r="D297" t="inlineStr">
        <is>
          <t>VÄSTERBOTTENS LÄN</t>
        </is>
      </c>
      <c r="E297" t="inlineStr">
        <is>
          <t>VILHELMINA</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36320-2024</t>
        </is>
      </c>
      <c r="B298" s="1" t="n">
        <v>45534.63586805556</v>
      </c>
      <c r="C298" s="1" t="n">
        <v>46062</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31496-2023</t>
        </is>
      </c>
      <c r="B299" s="1" t="n">
        <v>45114.94138888889</v>
      </c>
      <c r="C299" s="1" t="n">
        <v>46062</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28722-2022</t>
        </is>
      </c>
      <c r="B300" s="1" t="n">
        <v>44748</v>
      </c>
      <c r="C300" s="1" t="n">
        <v>46062</v>
      </c>
      <c r="D300" t="inlineStr">
        <is>
          <t>VÄSTERBOTTENS LÄN</t>
        </is>
      </c>
      <c r="E300" t="inlineStr">
        <is>
          <t>VILHELMINA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25062-2025</t>
        </is>
      </c>
      <c r="B301" s="1" t="n">
        <v>45799.69844907407</v>
      </c>
      <c r="C301" s="1" t="n">
        <v>46062</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35757-2023</t>
        </is>
      </c>
      <c r="B302" s="1" t="n">
        <v>45147.95444444445</v>
      </c>
      <c r="C302" s="1" t="n">
        <v>46062</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39914-2023</t>
        </is>
      </c>
      <c r="B303" s="1" t="n">
        <v>45166</v>
      </c>
      <c r="C303" s="1" t="n">
        <v>46062</v>
      </c>
      <c r="D303" t="inlineStr">
        <is>
          <t>VÄSTERBOTTENS LÄN</t>
        </is>
      </c>
      <c r="E303" t="inlineStr">
        <is>
          <t>VILHELMINA</t>
        </is>
      </c>
      <c r="G303" t="n">
        <v>27.5</v>
      </c>
      <c r="H303" t="n">
        <v>0</v>
      </c>
      <c r="I303" t="n">
        <v>0</v>
      </c>
      <c r="J303" t="n">
        <v>0</v>
      </c>
      <c r="K303" t="n">
        <v>0</v>
      </c>
      <c r="L303" t="n">
        <v>0</v>
      </c>
      <c r="M303" t="n">
        <v>0</v>
      </c>
      <c r="N303" t="n">
        <v>0</v>
      </c>
      <c r="O303" t="n">
        <v>0</v>
      </c>
      <c r="P303" t="n">
        <v>0</v>
      </c>
      <c r="Q303" t="n">
        <v>0</v>
      </c>
      <c r="R303" s="2" t="inlineStr"/>
    </row>
    <row r="304" ht="15" customHeight="1">
      <c r="A304" t="inlineStr">
        <is>
          <t>A 47483-2023</t>
        </is>
      </c>
      <c r="B304" s="1" t="n">
        <v>45202.9413425926</v>
      </c>
      <c r="C304" s="1" t="n">
        <v>46062</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38620-2025</t>
        </is>
      </c>
      <c r="B305" s="1" t="n">
        <v>45884.55297453704</v>
      </c>
      <c r="C305" s="1" t="n">
        <v>46062</v>
      </c>
      <c r="D305" t="inlineStr">
        <is>
          <t>VÄSTERBOTTENS LÄN</t>
        </is>
      </c>
      <c r="E305" t="inlineStr">
        <is>
          <t>VILHELMINA</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36215-2023</t>
        </is>
      </c>
      <c r="B306" s="1" t="n">
        <v>45149.95266203704</v>
      </c>
      <c r="C306" s="1" t="n">
        <v>46062</v>
      </c>
      <c r="D306" t="inlineStr">
        <is>
          <t>VÄSTERBOTTENS LÄN</t>
        </is>
      </c>
      <c r="E306" t="inlineStr">
        <is>
          <t>VILHELMINA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24871-2025</t>
        </is>
      </c>
      <c r="B307" s="1" t="n">
        <v>45799.49028935185</v>
      </c>
      <c r="C307" s="1" t="n">
        <v>46062</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24870-2025</t>
        </is>
      </c>
      <c r="B308" s="1" t="n">
        <v>45799.49025462963</v>
      </c>
      <c r="C308" s="1" t="n">
        <v>46062</v>
      </c>
      <c r="D308" t="inlineStr">
        <is>
          <t>VÄSTERBOTTENS LÄN</t>
        </is>
      </c>
      <c r="E308" t="inlineStr">
        <is>
          <t>VILHELMINA</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32455-2024</t>
        </is>
      </c>
      <c r="B309" s="1" t="n">
        <v>45512.95870370371</v>
      </c>
      <c r="C309" s="1" t="n">
        <v>46062</v>
      </c>
      <c r="D309" t="inlineStr">
        <is>
          <t>VÄSTERBOTTENS LÄN</t>
        </is>
      </c>
      <c r="E309" t="inlineStr">
        <is>
          <t>VILHELMINA</t>
        </is>
      </c>
      <c r="F309" t="inlineStr">
        <is>
          <t>SCA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46062</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17587-2024</t>
        </is>
      </c>
      <c r="B311" s="1" t="n">
        <v>45415.94033564815</v>
      </c>
      <c r="C311" s="1" t="n">
        <v>46062</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25524-2025</t>
        </is>
      </c>
      <c r="B312" s="1" t="n">
        <v>45803.38644675926</v>
      </c>
      <c r="C312" s="1" t="n">
        <v>46062</v>
      </c>
      <c r="D312" t="inlineStr">
        <is>
          <t>VÄSTERBOTTENS LÄN</t>
        </is>
      </c>
      <c r="E312" t="inlineStr">
        <is>
          <t>VILHELMINA</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46062</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46062</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25180-2025</t>
        </is>
      </c>
      <c r="B315" s="1" t="n">
        <v>45800.44892361111</v>
      </c>
      <c r="C315" s="1" t="n">
        <v>46062</v>
      </c>
      <c r="D315" t="inlineStr">
        <is>
          <t>VÄSTERBOTTENS LÄN</t>
        </is>
      </c>
      <c r="E315" t="inlineStr">
        <is>
          <t>VILHELMINA</t>
        </is>
      </c>
      <c r="F315" t="inlineStr">
        <is>
          <t>SCA</t>
        </is>
      </c>
      <c r="G315" t="n">
        <v>10.8</v>
      </c>
      <c r="H315" t="n">
        <v>0</v>
      </c>
      <c r="I315" t="n">
        <v>0</v>
      </c>
      <c r="J315" t="n">
        <v>0</v>
      </c>
      <c r="K315" t="n">
        <v>0</v>
      </c>
      <c r="L315" t="n">
        <v>0</v>
      </c>
      <c r="M315" t="n">
        <v>0</v>
      </c>
      <c r="N315" t="n">
        <v>0</v>
      </c>
      <c r="O315" t="n">
        <v>0</v>
      </c>
      <c r="P315" t="n">
        <v>0</v>
      </c>
      <c r="Q315" t="n">
        <v>0</v>
      </c>
      <c r="R315" s="2" t="inlineStr"/>
    </row>
    <row r="316" ht="15" customHeight="1">
      <c r="A316" t="inlineStr">
        <is>
          <t>A 35412-2024</t>
        </is>
      </c>
      <c r="B316" s="1" t="n">
        <v>45531.4075</v>
      </c>
      <c r="C316" s="1" t="n">
        <v>46062</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38543-2025</t>
        </is>
      </c>
      <c r="B317" s="1" t="n">
        <v>45884.42813657408</v>
      </c>
      <c r="C317" s="1" t="n">
        <v>46062</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25176-2025</t>
        </is>
      </c>
      <c r="B318" s="1" t="n">
        <v>45800.44840277778</v>
      </c>
      <c r="C318" s="1" t="n">
        <v>46062</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46318-2022</t>
        </is>
      </c>
      <c r="B319" s="1" t="n">
        <v>44847</v>
      </c>
      <c r="C319" s="1" t="n">
        <v>46062</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46062</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38597-2025</t>
        </is>
      </c>
      <c r="B321" s="1" t="n">
        <v>45884.49061342593</v>
      </c>
      <c r="C321" s="1" t="n">
        <v>46062</v>
      </c>
      <c r="D321" t="inlineStr">
        <is>
          <t>VÄSTERBOTTENS LÄN</t>
        </is>
      </c>
      <c r="E321" t="inlineStr">
        <is>
          <t>VILHELMINA</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25309-2025</t>
        </is>
      </c>
      <c r="B322" s="1" t="n">
        <v>45800.57380787037</v>
      </c>
      <c r="C322" s="1" t="n">
        <v>46062</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25239-2025</t>
        </is>
      </c>
      <c r="B323" s="1" t="n">
        <v>45800</v>
      </c>
      <c r="C323" s="1" t="n">
        <v>46062</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25770-2025</t>
        </is>
      </c>
      <c r="B324" s="1" t="n">
        <v>45804.3449537037</v>
      </c>
      <c r="C324" s="1" t="n">
        <v>46062</v>
      </c>
      <c r="D324" t="inlineStr">
        <is>
          <t>VÄSTERBOTTENS LÄN</t>
        </is>
      </c>
      <c r="E324" t="inlineStr">
        <is>
          <t>VILHELMINA</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27355-2023</t>
        </is>
      </c>
      <c r="B325" s="1" t="n">
        <v>45096</v>
      </c>
      <c r="C325" s="1" t="n">
        <v>46062</v>
      </c>
      <c r="D325" t="inlineStr">
        <is>
          <t>VÄSTERBOTTENS LÄN</t>
        </is>
      </c>
      <c r="E325" t="inlineStr">
        <is>
          <t>VILHELMINA</t>
        </is>
      </c>
      <c r="G325" t="n">
        <v>2.6</v>
      </c>
      <c r="H325" t="n">
        <v>0</v>
      </c>
      <c r="I325" t="n">
        <v>0</v>
      </c>
      <c r="J325" t="n">
        <v>0</v>
      </c>
      <c r="K325" t="n">
        <v>0</v>
      </c>
      <c r="L325" t="n">
        <v>0</v>
      </c>
      <c r="M325" t="n">
        <v>0</v>
      </c>
      <c r="N325" t="n">
        <v>0</v>
      </c>
      <c r="O325" t="n">
        <v>0</v>
      </c>
      <c r="P325" t="n">
        <v>0</v>
      </c>
      <c r="Q325" t="n">
        <v>0</v>
      </c>
      <c r="R325" s="2" t="inlineStr"/>
    </row>
    <row r="326" ht="15" customHeight="1">
      <c r="A326" t="inlineStr">
        <is>
          <t>A 56891-2023</t>
        </is>
      </c>
      <c r="B326" s="1" t="n">
        <v>45239</v>
      </c>
      <c r="C326" s="1" t="n">
        <v>46062</v>
      </c>
      <c r="D326" t="inlineStr">
        <is>
          <t>VÄSTERBOTTENS LÄN</t>
        </is>
      </c>
      <c r="E326" t="inlineStr">
        <is>
          <t>VILHELMINA</t>
        </is>
      </c>
      <c r="G326" t="n">
        <v>1.1</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46062</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36082-2022</t>
        </is>
      </c>
      <c r="B328" s="1" t="n">
        <v>44802</v>
      </c>
      <c r="C328" s="1" t="n">
        <v>46062</v>
      </c>
      <c r="D328" t="inlineStr">
        <is>
          <t>VÄSTERBOTTENS LÄN</t>
        </is>
      </c>
      <c r="E328" t="inlineStr">
        <is>
          <t>VILHELMINA</t>
        </is>
      </c>
      <c r="F328" t="inlineStr">
        <is>
          <t>SCA</t>
        </is>
      </c>
      <c r="G328" t="n">
        <v>6.2</v>
      </c>
      <c r="H328" t="n">
        <v>0</v>
      </c>
      <c r="I328" t="n">
        <v>0</v>
      </c>
      <c r="J328" t="n">
        <v>0</v>
      </c>
      <c r="K328" t="n">
        <v>0</v>
      </c>
      <c r="L328" t="n">
        <v>0</v>
      </c>
      <c r="M328" t="n">
        <v>0</v>
      </c>
      <c r="N328" t="n">
        <v>0</v>
      </c>
      <c r="O328" t="n">
        <v>0</v>
      </c>
      <c r="P328" t="n">
        <v>0</v>
      </c>
      <c r="Q328" t="n">
        <v>0</v>
      </c>
      <c r="R328" s="2" t="inlineStr"/>
    </row>
    <row r="329" ht="15" customHeight="1">
      <c r="A329" t="inlineStr">
        <is>
          <t>A 25942-2025</t>
        </is>
      </c>
      <c r="B329" s="1" t="n">
        <v>45804.59461805555</v>
      </c>
      <c r="C329" s="1" t="n">
        <v>46062</v>
      </c>
      <c r="D329" t="inlineStr">
        <is>
          <t>VÄSTERBOTTENS LÄN</t>
        </is>
      </c>
      <c r="E329" t="inlineStr">
        <is>
          <t>VILHELMINA</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38569-2024</t>
        </is>
      </c>
      <c r="B330" s="1" t="n">
        <v>45546.63689814815</v>
      </c>
      <c r="C330" s="1" t="n">
        <v>46062</v>
      </c>
      <c r="D330" t="inlineStr">
        <is>
          <t>VÄSTERBOTTENS LÄN</t>
        </is>
      </c>
      <c r="E330" t="inlineStr">
        <is>
          <t>VILHELMINA</t>
        </is>
      </c>
      <c r="G330" t="n">
        <v>31.5</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46062</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46062</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44285-2024</t>
        </is>
      </c>
      <c r="B333" s="1" t="n">
        <v>45573</v>
      </c>
      <c r="C333" s="1" t="n">
        <v>46062</v>
      </c>
      <c r="D333" t="inlineStr">
        <is>
          <t>VÄSTERBOTTENS LÄN</t>
        </is>
      </c>
      <c r="E333" t="inlineStr">
        <is>
          <t>VILHELMINA</t>
        </is>
      </c>
      <c r="G333" t="n">
        <v>30.9</v>
      </c>
      <c r="H333" t="n">
        <v>0</v>
      </c>
      <c r="I333" t="n">
        <v>0</v>
      </c>
      <c r="J333" t="n">
        <v>0</v>
      </c>
      <c r="K333" t="n">
        <v>0</v>
      </c>
      <c r="L333" t="n">
        <v>0</v>
      </c>
      <c r="M333" t="n">
        <v>0</v>
      </c>
      <c r="N333" t="n">
        <v>0</v>
      </c>
      <c r="O333" t="n">
        <v>0</v>
      </c>
      <c r="P333" t="n">
        <v>0</v>
      </c>
      <c r="Q333" t="n">
        <v>0</v>
      </c>
      <c r="R333" s="2" t="inlineStr"/>
    </row>
    <row r="334" ht="15" customHeight="1">
      <c r="A334" t="inlineStr">
        <is>
          <t>A 46908-2024</t>
        </is>
      </c>
      <c r="B334" s="1" t="n">
        <v>45583</v>
      </c>
      <c r="C334" s="1" t="n">
        <v>46062</v>
      </c>
      <c r="D334" t="inlineStr">
        <is>
          <t>VÄSTERBOTTENS LÄN</t>
        </is>
      </c>
      <c r="E334" t="inlineStr">
        <is>
          <t>VILHELMINA</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39320-2025</t>
        </is>
      </c>
      <c r="B335" s="1" t="n">
        <v>45889.46940972222</v>
      </c>
      <c r="C335" s="1" t="n">
        <v>46062</v>
      </c>
      <c r="D335" t="inlineStr">
        <is>
          <t>VÄSTERBOTTENS LÄN</t>
        </is>
      </c>
      <c r="E335" t="inlineStr">
        <is>
          <t>VILHELMINA</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26744-2025</t>
        </is>
      </c>
      <c r="B336" s="1" t="n">
        <v>45810.53185185185</v>
      </c>
      <c r="C336" s="1" t="n">
        <v>46062</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39138-2025</t>
        </is>
      </c>
      <c r="B337" s="1" t="n">
        <v>45888.59435185185</v>
      </c>
      <c r="C337" s="1" t="n">
        <v>46062</v>
      </c>
      <c r="D337" t="inlineStr">
        <is>
          <t>VÄSTERBOTTENS LÄN</t>
        </is>
      </c>
      <c r="E337" t="inlineStr">
        <is>
          <t>VILHELMINA</t>
        </is>
      </c>
      <c r="G337" t="n">
        <v>6.7</v>
      </c>
      <c r="H337" t="n">
        <v>0</v>
      </c>
      <c r="I337" t="n">
        <v>0</v>
      </c>
      <c r="J337" t="n">
        <v>0</v>
      </c>
      <c r="K337" t="n">
        <v>0</v>
      </c>
      <c r="L337" t="n">
        <v>0</v>
      </c>
      <c r="M337" t="n">
        <v>0</v>
      </c>
      <c r="N337" t="n">
        <v>0</v>
      </c>
      <c r="O337" t="n">
        <v>0</v>
      </c>
      <c r="P337" t="n">
        <v>0</v>
      </c>
      <c r="Q337" t="n">
        <v>0</v>
      </c>
      <c r="R337" s="2" t="inlineStr"/>
    </row>
    <row r="338" ht="15" customHeight="1">
      <c r="A338" t="inlineStr">
        <is>
          <t>A 26790-2025</t>
        </is>
      </c>
      <c r="B338" s="1" t="n">
        <v>45810.59417824074</v>
      </c>
      <c r="C338" s="1" t="n">
        <v>46062</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39378-2025</t>
        </is>
      </c>
      <c r="B339" s="1" t="n">
        <v>45889.59453703704</v>
      </c>
      <c r="C339" s="1" t="n">
        <v>46062</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12368-2025</t>
        </is>
      </c>
      <c r="B340" s="1" t="n">
        <v>45730.37633101852</v>
      </c>
      <c r="C340" s="1" t="n">
        <v>46062</v>
      </c>
      <c r="D340" t="inlineStr">
        <is>
          <t>VÄSTERBOTTENS LÄN</t>
        </is>
      </c>
      <c r="E340" t="inlineStr">
        <is>
          <t>VILHELMINA</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12373-2025</t>
        </is>
      </c>
      <c r="B341" s="1" t="n">
        <v>45730</v>
      </c>
      <c r="C341" s="1" t="n">
        <v>46062</v>
      </c>
      <c r="D341" t="inlineStr">
        <is>
          <t>VÄSTERBOTTENS LÄN</t>
        </is>
      </c>
      <c r="E341" t="inlineStr">
        <is>
          <t>VILHELMINA</t>
        </is>
      </c>
      <c r="F341" t="inlineStr">
        <is>
          <t>Övriga statliga verk och myndigheter</t>
        </is>
      </c>
      <c r="G341" t="n">
        <v>25.5</v>
      </c>
      <c r="H341" t="n">
        <v>0</v>
      </c>
      <c r="I341" t="n">
        <v>0</v>
      </c>
      <c r="J341" t="n">
        <v>0</v>
      </c>
      <c r="K341" t="n">
        <v>0</v>
      </c>
      <c r="L341" t="n">
        <v>0</v>
      </c>
      <c r="M341" t="n">
        <v>0</v>
      </c>
      <c r="N341" t="n">
        <v>0</v>
      </c>
      <c r="O341" t="n">
        <v>0</v>
      </c>
      <c r="P341" t="n">
        <v>0</v>
      </c>
      <c r="Q341" t="n">
        <v>0</v>
      </c>
      <c r="R341" s="2" t="inlineStr"/>
    </row>
    <row r="342" ht="15" customHeight="1">
      <c r="A342" t="inlineStr">
        <is>
          <t>A 26722-2025</t>
        </is>
      </c>
      <c r="B342" s="1" t="n">
        <v>45810</v>
      </c>
      <c r="C342" s="1" t="n">
        <v>46062</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26745-2025</t>
        </is>
      </c>
      <c r="B343" s="1" t="n">
        <v>45810.53188657408</v>
      </c>
      <c r="C343" s="1" t="n">
        <v>46062</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8859-2023</t>
        </is>
      </c>
      <c r="B344" s="1" t="n">
        <v>44978</v>
      </c>
      <c r="C344" s="1" t="n">
        <v>46062</v>
      </c>
      <c r="D344" t="inlineStr">
        <is>
          <t>VÄSTERBOTTENS LÄN</t>
        </is>
      </c>
      <c r="E344" t="inlineStr">
        <is>
          <t>VILHELMINA</t>
        </is>
      </c>
      <c r="G344" t="n">
        <v>6.3</v>
      </c>
      <c r="H344" t="n">
        <v>0</v>
      </c>
      <c r="I344" t="n">
        <v>0</v>
      </c>
      <c r="J344" t="n">
        <v>0</v>
      </c>
      <c r="K344" t="n">
        <v>0</v>
      </c>
      <c r="L344" t="n">
        <v>0</v>
      </c>
      <c r="M344" t="n">
        <v>0</v>
      </c>
      <c r="N344" t="n">
        <v>0</v>
      </c>
      <c r="O344" t="n">
        <v>0</v>
      </c>
      <c r="P344" t="n">
        <v>0</v>
      </c>
      <c r="Q344" t="n">
        <v>0</v>
      </c>
      <c r="R344" s="2" t="inlineStr"/>
    </row>
    <row r="345" ht="15" customHeight="1">
      <c r="A345" t="inlineStr">
        <is>
          <t>A 27601-2025</t>
        </is>
      </c>
      <c r="B345" s="1" t="n">
        <v>45813.52791666667</v>
      </c>
      <c r="C345" s="1" t="n">
        <v>46062</v>
      </c>
      <c r="D345" t="inlineStr">
        <is>
          <t>VÄSTERBOTTENS LÄN</t>
        </is>
      </c>
      <c r="E345" t="inlineStr">
        <is>
          <t>VILHELMINA</t>
        </is>
      </c>
      <c r="F345" t="inlineStr">
        <is>
          <t>Övriga statliga verk och myndigheter</t>
        </is>
      </c>
      <c r="G345" t="n">
        <v>36.5</v>
      </c>
      <c r="H345" t="n">
        <v>0</v>
      </c>
      <c r="I345" t="n">
        <v>0</v>
      </c>
      <c r="J345" t="n">
        <v>0</v>
      </c>
      <c r="K345" t="n">
        <v>0</v>
      </c>
      <c r="L345" t="n">
        <v>0</v>
      </c>
      <c r="M345" t="n">
        <v>0</v>
      </c>
      <c r="N345" t="n">
        <v>0</v>
      </c>
      <c r="O345" t="n">
        <v>0</v>
      </c>
      <c r="P345" t="n">
        <v>0</v>
      </c>
      <c r="Q345" t="n">
        <v>0</v>
      </c>
      <c r="R345" s="2" t="inlineStr"/>
    </row>
    <row r="346" ht="15" customHeight="1">
      <c r="A346" t="inlineStr">
        <is>
          <t>A 15617-2024</t>
        </is>
      </c>
      <c r="B346" s="1" t="n">
        <v>45401.94358796296</v>
      </c>
      <c r="C346" s="1" t="n">
        <v>46062</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39571-2025</t>
        </is>
      </c>
      <c r="B347" s="1" t="n">
        <v>45890.49021990741</v>
      </c>
      <c r="C347" s="1" t="n">
        <v>46062</v>
      </c>
      <c r="D347" t="inlineStr">
        <is>
          <t>VÄSTERBOTTENS LÄN</t>
        </is>
      </c>
      <c r="E347" t="inlineStr">
        <is>
          <t>VILHELMINA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39558-2025</t>
        </is>
      </c>
      <c r="B348" s="1" t="n">
        <v>45890.46978009259</v>
      </c>
      <c r="C348" s="1" t="n">
        <v>46062</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39533-2025</t>
        </is>
      </c>
      <c r="B349" s="1" t="n">
        <v>45890.44863425926</v>
      </c>
      <c r="C349" s="1" t="n">
        <v>46062</v>
      </c>
      <c r="D349" t="inlineStr">
        <is>
          <t>VÄSTERBOTTENS LÄN</t>
        </is>
      </c>
      <c r="E349" t="inlineStr">
        <is>
          <t>VILHELMINA</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39534-2025</t>
        </is>
      </c>
      <c r="B350" s="1" t="n">
        <v>45890.44875</v>
      </c>
      <c r="C350" s="1" t="n">
        <v>46062</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40220-2025</t>
        </is>
      </c>
      <c r="B351" s="1" t="n">
        <v>45894</v>
      </c>
      <c r="C351" s="1" t="n">
        <v>46062</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8215-2023</t>
        </is>
      </c>
      <c r="B352" s="1" t="n">
        <v>44971</v>
      </c>
      <c r="C352" s="1" t="n">
        <v>46062</v>
      </c>
      <c r="D352" t="inlineStr">
        <is>
          <t>VÄSTERBOTTENS LÄN</t>
        </is>
      </c>
      <c r="E352" t="inlineStr">
        <is>
          <t>VILHELMINA</t>
        </is>
      </c>
      <c r="G352" t="n">
        <v>0.8</v>
      </c>
      <c r="H352" t="n">
        <v>0</v>
      </c>
      <c r="I352" t="n">
        <v>0</v>
      </c>
      <c r="J352" t="n">
        <v>0</v>
      </c>
      <c r="K352" t="n">
        <v>0</v>
      </c>
      <c r="L352" t="n">
        <v>0</v>
      </c>
      <c r="M352" t="n">
        <v>0</v>
      </c>
      <c r="N352" t="n">
        <v>0</v>
      </c>
      <c r="O352" t="n">
        <v>0</v>
      </c>
      <c r="P352" t="n">
        <v>0</v>
      </c>
      <c r="Q352" t="n">
        <v>0</v>
      </c>
      <c r="R352" s="2" t="inlineStr"/>
    </row>
    <row r="353" ht="15" customHeight="1">
      <c r="A353" t="inlineStr">
        <is>
          <t>A 27943-2025</t>
        </is>
      </c>
      <c r="B353" s="1" t="n">
        <v>45817.51078703703</v>
      </c>
      <c r="C353" s="1" t="n">
        <v>46062</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8556-2025</t>
        </is>
      </c>
      <c r="B354" s="1" t="n">
        <v>45709</v>
      </c>
      <c r="C354" s="1" t="n">
        <v>46062</v>
      </c>
      <c r="D354" t="inlineStr">
        <is>
          <t>VÄSTERBOTTENS LÄN</t>
        </is>
      </c>
      <c r="E354" t="inlineStr">
        <is>
          <t>VILHELMINA</t>
        </is>
      </c>
      <c r="G354" t="n">
        <v>1</v>
      </c>
      <c r="H354" t="n">
        <v>0</v>
      </c>
      <c r="I354" t="n">
        <v>0</v>
      </c>
      <c r="J354" t="n">
        <v>0</v>
      </c>
      <c r="K354" t="n">
        <v>0</v>
      </c>
      <c r="L354" t="n">
        <v>0</v>
      </c>
      <c r="M354" t="n">
        <v>0</v>
      </c>
      <c r="N354" t="n">
        <v>0</v>
      </c>
      <c r="O354" t="n">
        <v>0</v>
      </c>
      <c r="P354" t="n">
        <v>0</v>
      </c>
      <c r="Q354" t="n">
        <v>0</v>
      </c>
      <c r="R354" s="2" t="inlineStr"/>
    </row>
    <row r="355" ht="15" customHeight="1">
      <c r="A355" t="inlineStr">
        <is>
          <t>A 27952-2025</t>
        </is>
      </c>
      <c r="B355" s="1" t="n">
        <v>45817.53157407408</v>
      </c>
      <c r="C355" s="1" t="n">
        <v>46062</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26499-2024</t>
        </is>
      </c>
      <c r="B356" s="1" t="n">
        <v>45469</v>
      </c>
      <c r="C356" s="1" t="n">
        <v>46062</v>
      </c>
      <c r="D356" t="inlineStr">
        <is>
          <t>VÄSTERBOTTENS LÄN</t>
        </is>
      </c>
      <c r="E356" t="inlineStr">
        <is>
          <t>VILHELMINA</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28016-2025</t>
        </is>
      </c>
      <c r="B357" s="1" t="n">
        <v>45817.61506944444</v>
      </c>
      <c r="C357" s="1" t="n">
        <v>46062</v>
      </c>
      <c r="D357" t="inlineStr">
        <is>
          <t>VÄSTERBOTTENS LÄN</t>
        </is>
      </c>
      <c r="E357" t="inlineStr">
        <is>
          <t>VILHELMINA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40196-2025</t>
        </is>
      </c>
      <c r="B358" s="1" t="n">
        <v>45894.65951388889</v>
      </c>
      <c r="C358" s="1" t="n">
        <v>46062</v>
      </c>
      <c r="D358" t="inlineStr">
        <is>
          <t>VÄSTERBOTTENS LÄN</t>
        </is>
      </c>
      <c r="E358" t="inlineStr">
        <is>
          <t>VILHELMINA</t>
        </is>
      </c>
      <c r="G358" t="n">
        <v>23.3</v>
      </c>
      <c r="H358" t="n">
        <v>0</v>
      </c>
      <c r="I358" t="n">
        <v>0</v>
      </c>
      <c r="J358" t="n">
        <v>0</v>
      </c>
      <c r="K358" t="n">
        <v>0</v>
      </c>
      <c r="L358" t="n">
        <v>0</v>
      </c>
      <c r="M358" t="n">
        <v>0</v>
      </c>
      <c r="N358" t="n">
        <v>0</v>
      </c>
      <c r="O358" t="n">
        <v>0</v>
      </c>
      <c r="P358" t="n">
        <v>0</v>
      </c>
      <c r="Q358" t="n">
        <v>0</v>
      </c>
      <c r="R358" s="2" t="inlineStr"/>
    </row>
    <row r="359" ht="15" customHeight="1">
      <c r="A359" t="inlineStr">
        <is>
          <t>A 33661-2023</t>
        </is>
      </c>
      <c r="B359" s="1" t="n">
        <v>45119</v>
      </c>
      <c r="C359" s="1" t="n">
        <v>46062</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27945-2025</t>
        </is>
      </c>
      <c r="B360" s="1" t="n">
        <v>45817</v>
      </c>
      <c r="C360" s="1" t="n">
        <v>46062</v>
      </c>
      <c r="D360" t="inlineStr">
        <is>
          <t>VÄSTERBOTTENS LÄN</t>
        </is>
      </c>
      <c r="E360" t="inlineStr">
        <is>
          <t>VILHELMINA</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28071-2025</t>
        </is>
      </c>
      <c r="B361" s="1" t="n">
        <v>45817.67755787037</v>
      </c>
      <c r="C361" s="1" t="n">
        <v>46062</v>
      </c>
      <c r="D361" t="inlineStr">
        <is>
          <t>VÄSTERBOTTENS LÄN</t>
        </is>
      </c>
      <c r="E361" t="inlineStr">
        <is>
          <t>VILHELMINA</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28019-2025</t>
        </is>
      </c>
      <c r="B362" s="1" t="n">
        <v>45817.61545138889</v>
      </c>
      <c r="C362" s="1" t="n">
        <v>46062</v>
      </c>
      <c r="D362" t="inlineStr">
        <is>
          <t>VÄSTERBOTTENS LÄN</t>
        </is>
      </c>
      <c r="E362" t="inlineStr">
        <is>
          <t>VILHELMINA</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28050-2025</t>
        </is>
      </c>
      <c r="B363" s="1" t="n">
        <v>45817.65658564815</v>
      </c>
      <c r="C363" s="1" t="n">
        <v>46062</v>
      </c>
      <c r="D363" t="inlineStr">
        <is>
          <t>VÄSTERBOTTENS LÄN</t>
        </is>
      </c>
      <c r="E363" t="inlineStr">
        <is>
          <t>VILHELMINA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55714-2023</t>
        </is>
      </c>
      <c r="B364" s="1" t="n">
        <v>45232</v>
      </c>
      <c r="C364" s="1" t="n">
        <v>46062</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34763-2024</t>
        </is>
      </c>
      <c r="B365" s="1" t="n">
        <v>45526.61646990741</v>
      </c>
      <c r="C365" s="1" t="n">
        <v>46062</v>
      </c>
      <c r="D365" t="inlineStr">
        <is>
          <t>VÄSTERBOTTENS LÄN</t>
        </is>
      </c>
      <c r="E365" t="inlineStr">
        <is>
          <t>VILHELMINA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34764-2024</t>
        </is>
      </c>
      <c r="B366" s="1" t="n">
        <v>45526.61664351852</v>
      </c>
      <c r="C366" s="1" t="n">
        <v>46062</v>
      </c>
      <c r="D366" t="inlineStr">
        <is>
          <t>VÄSTERBOTTENS LÄN</t>
        </is>
      </c>
      <c r="E366" t="inlineStr">
        <is>
          <t>VILHELMINA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18564-2022</t>
        </is>
      </c>
      <c r="B367" s="1" t="n">
        <v>44686</v>
      </c>
      <c r="C367" s="1" t="n">
        <v>46062</v>
      </c>
      <c r="D367" t="inlineStr">
        <is>
          <t>VÄSTERBOTTENS LÄN</t>
        </is>
      </c>
      <c r="E367" t="inlineStr">
        <is>
          <t>VILHELMINA</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62101-2024</t>
        </is>
      </c>
      <c r="B368" s="1" t="n">
        <v>45656.51119212963</v>
      </c>
      <c r="C368" s="1" t="n">
        <v>46062</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40144-2025</t>
        </is>
      </c>
      <c r="B369" s="1" t="n">
        <v>45894.57322916666</v>
      </c>
      <c r="C369" s="1" t="n">
        <v>46062</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43987-2024</t>
        </is>
      </c>
      <c r="B370" s="1" t="n">
        <v>45572.51092592593</v>
      </c>
      <c r="C370" s="1" t="n">
        <v>46062</v>
      </c>
      <c r="D370" t="inlineStr">
        <is>
          <t>VÄSTERBOTTENS LÄN</t>
        </is>
      </c>
      <c r="E370" t="inlineStr">
        <is>
          <t>VILHELMINA</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46062</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664-2022</t>
        </is>
      </c>
      <c r="B372" s="1" t="n">
        <v>44568</v>
      </c>
      <c r="C372" s="1" t="n">
        <v>46062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6369-2024</t>
        </is>
      </c>
      <c r="B373" s="1" t="n">
        <v>45338</v>
      </c>
      <c r="C373" s="1" t="n">
        <v>46062</v>
      </c>
      <c r="D373" t="inlineStr">
        <is>
          <t>VÄSTERBOTTENS LÄN</t>
        </is>
      </c>
      <c r="E373" t="inlineStr">
        <is>
          <t>VILHELMINA</t>
        </is>
      </c>
      <c r="G373" t="n">
        <v>3.6</v>
      </c>
      <c r="H373" t="n">
        <v>0</v>
      </c>
      <c r="I373" t="n">
        <v>0</v>
      </c>
      <c r="J373" t="n">
        <v>0</v>
      </c>
      <c r="K373" t="n">
        <v>0</v>
      </c>
      <c r="L373" t="n">
        <v>0</v>
      </c>
      <c r="M373" t="n">
        <v>0</v>
      </c>
      <c r="N373" t="n">
        <v>0</v>
      </c>
      <c r="O373" t="n">
        <v>0</v>
      </c>
      <c r="P373" t="n">
        <v>0</v>
      </c>
      <c r="Q373" t="n">
        <v>0</v>
      </c>
      <c r="R373" s="2" t="inlineStr"/>
    </row>
    <row r="374" ht="15" customHeight="1">
      <c r="A374" t="inlineStr">
        <is>
          <t>A 34805-2023</t>
        </is>
      </c>
      <c r="B374" s="1" t="n">
        <v>45140</v>
      </c>
      <c r="C374" s="1" t="n">
        <v>46062</v>
      </c>
      <c r="D374" t="inlineStr">
        <is>
          <t>VÄSTERBOTTENS LÄN</t>
        </is>
      </c>
      <c r="E374" t="inlineStr">
        <is>
          <t>VILHELMINA</t>
        </is>
      </c>
      <c r="G374" t="n">
        <v>4.3</v>
      </c>
      <c r="H374" t="n">
        <v>0</v>
      </c>
      <c r="I374" t="n">
        <v>0</v>
      </c>
      <c r="J374" t="n">
        <v>0</v>
      </c>
      <c r="K374" t="n">
        <v>0</v>
      </c>
      <c r="L374" t="n">
        <v>0</v>
      </c>
      <c r="M374" t="n">
        <v>0</v>
      </c>
      <c r="N374" t="n">
        <v>0</v>
      </c>
      <c r="O374" t="n">
        <v>0</v>
      </c>
      <c r="P374" t="n">
        <v>0</v>
      </c>
      <c r="Q374" t="n">
        <v>0</v>
      </c>
      <c r="R374" s="2" t="inlineStr"/>
    </row>
    <row r="375" ht="15" customHeight="1">
      <c r="A375" t="inlineStr">
        <is>
          <t>A 56396-2022</t>
        </is>
      </c>
      <c r="B375" s="1" t="n">
        <v>44890</v>
      </c>
      <c r="C375" s="1" t="n">
        <v>46062</v>
      </c>
      <c r="D375" t="inlineStr">
        <is>
          <t>VÄSTERBOTTENS LÄN</t>
        </is>
      </c>
      <c r="E375" t="inlineStr">
        <is>
          <t>VILHELMINA</t>
        </is>
      </c>
      <c r="G375" t="n">
        <v>1.6</v>
      </c>
      <c r="H375" t="n">
        <v>0</v>
      </c>
      <c r="I375" t="n">
        <v>0</v>
      </c>
      <c r="J375" t="n">
        <v>0</v>
      </c>
      <c r="K375" t="n">
        <v>0</v>
      </c>
      <c r="L375" t="n">
        <v>0</v>
      </c>
      <c r="M375" t="n">
        <v>0</v>
      </c>
      <c r="N375" t="n">
        <v>0</v>
      </c>
      <c r="O375" t="n">
        <v>0</v>
      </c>
      <c r="P375" t="n">
        <v>0</v>
      </c>
      <c r="Q375" t="n">
        <v>0</v>
      </c>
      <c r="R375" s="2" t="inlineStr"/>
    </row>
    <row r="376" ht="15" customHeight="1">
      <c r="A376" t="inlineStr">
        <is>
          <t>A 21370-2024</t>
        </is>
      </c>
      <c r="B376" s="1" t="n">
        <v>45440.95310185185</v>
      </c>
      <c r="C376" s="1" t="n">
        <v>46062</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45972-2023</t>
        </is>
      </c>
      <c r="B377" s="1" t="n">
        <v>45195</v>
      </c>
      <c r="C377" s="1" t="n">
        <v>46062</v>
      </c>
      <c r="D377" t="inlineStr">
        <is>
          <t>VÄSTERBOTTENS LÄN</t>
        </is>
      </c>
      <c r="E377" t="inlineStr">
        <is>
          <t>VILHELMINA</t>
        </is>
      </c>
      <c r="F377" t="inlineStr">
        <is>
          <t>SCA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56823-2023</t>
        </is>
      </c>
      <c r="B378" s="1" t="n">
        <v>45238</v>
      </c>
      <c r="C378" s="1" t="n">
        <v>46062</v>
      </c>
      <c r="D378" t="inlineStr">
        <is>
          <t>VÄSTERBOTTENS LÄN</t>
        </is>
      </c>
      <c r="E378" t="inlineStr">
        <is>
          <t>VILHELMINA</t>
        </is>
      </c>
      <c r="F378" t="inlineStr">
        <is>
          <t>Allmännings- och besparingsskogar</t>
        </is>
      </c>
      <c r="G378" t="n">
        <v>82</v>
      </c>
      <c r="H378" t="n">
        <v>0</v>
      </c>
      <c r="I378" t="n">
        <v>0</v>
      </c>
      <c r="J378" t="n">
        <v>0</v>
      </c>
      <c r="K378" t="n">
        <v>0</v>
      </c>
      <c r="L378" t="n">
        <v>0</v>
      </c>
      <c r="M378" t="n">
        <v>0</v>
      </c>
      <c r="N378" t="n">
        <v>0</v>
      </c>
      <c r="O378" t="n">
        <v>0</v>
      </c>
      <c r="P378" t="n">
        <v>0</v>
      </c>
      <c r="Q378" t="n">
        <v>0</v>
      </c>
      <c r="R378" s="2" t="inlineStr"/>
    </row>
    <row r="379" ht="15" customHeight="1">
      <c r="A379" t="inlineStr">
        <is>
          <t>A 56830-2023</t>
        </is>
      </c>
      <c r="B379" s="1" t="n">
        <v>45238</v>
      </c>
      <c r="C379" s="1" t="n">
        <v>46062</v>
      </c>
      <c r="D379" t="inlineStr">
        <is>
          <t>VÄSTERBOTTENS LÄN</t>
        </is>
      </c>
      <c r="E379" t="inlineStr">
        <is>
          <t>VILHELMINA</t>
        </is>
      </c>
      <c r="F379" t="inlineStr">
        <is>
          <t>Allmännings- och besparingsskogar</t>
        </is>
      </c>
      <c r="G379" t="n">
        <v>66</v>
      </c>
      <c r="H379" t="n">
        <v>0</v>
      </c>
      <c r="I379" t="n">
        <v>0</v>
      </c>
      <c r="J379" t="n">
        <v>0</v>
      </c>
      <c r="K379" t="n">
        <v>0</v>
      </c>
      <c r="L379" t="n">
        <v>0</v>
      </c>
      <c r="M379" t="n">
        <v>0</v>
      </c>
      <c r="N379" t="n">
        <v>0</v>
      </c>
      <c r="O379" t="n">
        <v>0</v>
      </c>
      <c r="P379" t="n">
        <v>0</v>
      </c>
      <c r="Q379" t="n">
        <v>0</v>
      </c>
      <c r="R379" s="2" t="inlineStr"/>
    </row>
    <row r="380" ht="15" customHeight="1">
      <c r="A380" t="inlineStr">
        <is>
          <t>A 8750-2021</t>
        </is>
      </c>
      <c r="B380" s="1" t="n">
        <v>44246</v>
      </c>
      <c r="C380" s="1" t="n">
        <v>46062</v>
      </c>
      <c r="D380" t="inlineStr">
        <is>
          <t>VÄSTERBOTTENS LÄN</t>
        </is>
      </c>
      <c r="E380" t="inlineStr">
        <is>
          <t>VILHELMINA</t>
        </is>
      </c>
      <c r="G380" t="n">
        <v>5.2</v>
      </c>
      <c r="H380" t="n">
        <v>0</v>
      </c>
      <c r="I380" t="n">
        <v>0</v>
      </c>
      <c r="J380" t="n">
        <v>0</v>
      </c>
      <c r="K380" t="n">
        <v>0</v>
      </c>
      <c r="L380" t="n">
        <v>0</v>
      </c>
      <c r="M380" t="n">
        <v>0</v>
      </c>
      <c r="N380" t="n">
        <v>0</v>
      </c>
      <c r="O380" t="n">
        <v>0</v>
      </c>
      <c r="P380" t="n">
        <v>0</v>
      </c>
      <c r="Q380" t="n">
        <v>0</v>
      </c>
      <c r="R380" s="2" t="inlineStr"/>
    </row>
    <row r="381" ht="15" customHeight="1">
      <c r="A381" t="inlineStr">
        <is>
          <t>A 41171-2025</t>
        </is>
      </c>
      <c r="B381" s="1" t="n">
        <v>45898</v>
      </c>
      <c r="C381" s="1" t="n">
        <v>46062</v>
      </c>
      <c r="D381" t="inlineStr">
        <is>
          <t>VÄSTERBOTTENS LÄN</t>
        </is>
      </c>
      <c r="E381" t="inlineStr">
        <is>
          <t>VILHELMINA</t>
        </is>
      </c>
      <c r="F381" t="inlineStr">
        <is>
          <t>Övriga Aktiebolag</t>
        </is>
      </c>
      <c r="G381" t="n">
        <v>5.6</v>
      </c>
      <c r="H381" t="n">
        <v>0</v>
      </c>
      <c r="I381" t="n">
        <v>0</v>
      </c>
      <c r="J381" t="n">
        <v>0</v>
      </c>
      <c r="K381" t="n">
        <v>0</v>
      </c>
      <c r="L381" t="n">
        <v>0</v>
      </c>
      <c r="M381" t="n">
        <v>0</v>
      </c>
      <c r="N381" t="n">
        <v>0</v>
      </c>
      <c r="O381" t="n">
        <v>0</v>
      </c>
      <c r="P381" t="n">
        <v>0</v>
      </c>
      <c r="Q381" t="n">
        <v>0</v>
      </c>
      <c r="R381" s="2" t="inlineStr"/>
    </row>
    <row r="382" ht="15" customHeight="1">
      <c r="A382" t="inlineStr">
        <is>
          <t>A 49221-2024</t>
        </is>
      </c>
      <c r="B382" s="1" t="n">
        <v>45595.41166666667</v>
      </c>
      <c r="C382" s="1" t="n">
        <v>46062</v>
      </c>
      <c r="D382" t="inlineStr">
        <is>
          <t>VÄSTERBOTTENS LÄN</t>
        </is>
      </c>
      <c r="E382" t="inlineStr">
        <is>
          <t>VILHELMINA</t>
        </is>
      </c>
      <c r="G382" t="n">
        <v>11.4</v>
      </c>
      <c r="H382" t="n">
        <v>0</v>
      </c>
      <c r="I382" t="n">
        <v>0</v>
      </c>
      <c r="J382" t="n">
        <v>0</v>
      </c>
      <c r="K382" t="n">
        <v>0</v>
      </c>
      <c r="L382" t="n">
        <v>0</v>
      </c>
      <c r="M382" t="n">
        <v>0</v>
      </c>
      <c r="N382" t="n">
        <v>0</v>
      </c>
      <c r="O382" t="n">
        <v>0</v>
      </c>
      <c r="P382" t="n">
        <v>0</v>
      </c>
      <c r="Q382" t="n">
        <v>0</v>
      </c>
      <c r="R382" s="2" t="inlineStr"/>
    </row>
    <row r="383" ht="15" customHeight="1">
      <c r="A383" t="inlineStr">
        <is>
          <t>A 49886-2024</t>
        </is>
      </c>
      <c r="B383" s="1" t="n">
        <v>45597</v>
      </c>
      <c r="C383" s="1" t="n">
        <v>46062</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47254-2022</t>
        </is>
      </c>
      <c r="B384" s="1" t="n">
        <v>44852.94685185186</v>
      </c>
      <c r="C384" s="1" t="n">
        <v>46062</v>
      </c>
      <c r="D384" t="inlineStr">
        <is>
          <t>VÄSTERBOTTENS LÄN</t>
        </is>
      </c>
      <c r="E384" t="inlineStr">
        <is>
          <t>VILHELMINA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28897-2025</t>
        </is>
      </c>
      <c r="B385" s="1" t="n">
        <v>45820.6360300926</v>
      </c>
      <c r="C385" s="1" t="n">
        <v>46062</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37320-2021</t>
        </is>
      </c>
      <c r="B386" s="1" t="n">
        <v>44397</v>
      </c>
      <c r="C386" s="1" t="n">
        <v>46062</v>
      </c>
      <c r="D386" t="inlineStr">
        <is>
          <t>VÄSTERBOTTENS LÄN</t>
        </is>
      </c>
      <c r="E386" t="inlineStr">
        <is>
          <t>VILHELMINA</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57246-2023</t>
        </is>
      </c>
      <c r="B387" s="1" t="n">
        <v>45239</v>
      </c>
      <c r="C387" s="1" t="n">
        <v>46062</v>
      </c>
      <c r="D387" t="inlineStr">
        <is>
          <t>VÄSTERBOTTENS LÄN</t>
        </is>
      </c>
      <c r="E387" t="inlineStr">
        <is>
          <t>VILHELMINA</t>
        </is>
      </c>
      <c r="G387" t="n">
        <v>15.3</v>
      </c>
      <c r="H387" t="n">
        <v>0</v>
      </c>
      <c r="I387" t="n">
        <v>0</v>
      </c>
      <c r="J387" t="n">
        <v>0</v>
      </c>
      <c r="K387" t="n">
        <v>0</v>
      </c>
      <c r="L387" t="n">
        <v>0</v>
      </c>
      <c r="M387" t="n">
        <v>0</v>
      </c>
      <c r="N387" t="n">
        <v>0</v>
      </c>
      <c r="O387" t="n">
        <v>0</v>
      </c>
      <c r="P387" t="n">
        <v>0</v>
      </c>
      <c r="Q387" t="n">
        <v>0</v>
      </c>
      <c r="R387" s="2" t="inlineStr"/>
    </row>
    <row r="388" ht="15" customHeight="1">
      <c r="A388" t="inlineStr">
        <is>
          <t>A 41704-2025</t>
        </is>
      </c>
      <c r="B388" s="1" t="n">
        <v>45902</v>
      </c>
      <c r="C388" s="1" t="n">
        <v>46062</v>
      </c>
      <c r="D388" t="inlineStr">
        <is>
          <t>VÄSTERBOTTENS LÄN</t>
        </is>
      </c>
      <c r="E388" t="inlineStr">
        <is>
          <t>VILHELMINA</t>
        </is>
      </c>
      <c r="G388" t="n">
        <v>3.3</v>
      </c>
      <c r="H388" t="n">
        <v>0</v>
      </c>
      <c r="I388" t="n">
        <v>0</v>
      </c>
      <c r="J388" t="n">
        <v>0</v>
      </c>
      <c r="K388" t="n">
        <v>0</v>
      </c>
      <c r="L388" t="n">
        <v>0</v>
      </c>
      <c r="M388" t="n">
        <v>0</v>
      </c>
      <c r="N388" t="n">
        <v>0</v>
      </c>
      <c r="O388" t="n">
        <v>0</v>
      </c>
      <c r="P388" t="n">
        <v>0</v>
      </c>
      <c r="Q388" t="n">
        <v>0</v>
      </c>
      <c r="R388" s="2" t="inlineStr"/>
    </row>
    <row r="389" ht="15" customHeight="1">
      <c r="A389" t="inlineStr">
        <is>
          <t>A 29120-2025</t>
        </is>
      </c>
      <c r="B389" s="1" t="n">
        <v>45821</v>
      </c>
      <c r="C389" s="1" t="n">
        <v>46062</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46062</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46062</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15792-2025</t>
        </is>
      </c>
      <c r="B392" s="1" t="n">
        <v>45748.63356481482</v>
      </c>
      <c r="C392" s="1" t="n">
        <v>46062</v>
      </c>
      <c r="D392" t="inlineStr">
        <is>
          <t>VÄSTERBOTTENS LÄN</t>
        </is>
      </c>
      <c r="E392" t="inlineStr">
        <is>
          <t>VILHELMINA</t>
        </is>
      </c>
      <c r="G392" t="n">
        <v>5.5</v>
      </c>
      <c r="H392" t="n">
        <v>0</v>
      </c>
      <c r="I392" t="n">
        <v>0</v>
      </c>
      <c r="J392" t="n">
        <v>0</v>
      </c>
      <c r="K392" t="n">
        <v>0</v>
      </c>
      <c r="L392" t="n">
        <v>0</v>
      </c>
      <c r="M392" t="n">
        <v>0</v>
      </c>
      <c r="N392" t="n">
        <v>0</v>
      </c>
      <c r="O392" t="n">
        <v>0</v>
      </c>
      <c r="P392" t="n">
        <v>0</v>
      </c>
      <c r="Q392" t="n">
        <v>0</v>
      </c>
      <c r="R392" s="2" t="inlineStr"/>
    </row>
    <row r="393" ht="15" customHeight="1">
      <c r="A393" t="inlineStr">
        <is>
          <t>A 42360-2025</t>
        </is>
      </c>
      <c r="B393" s="1" t="n">
        <v>45904</v>
      </c>
      <c r="C393" s="1" t="n">
        <v>46062</v>
      </c>
      <c r="D393" t="inlineStr">
        <is>
          <t>VÄSTERBOTTENS LÄN</t>
        </is>
      </c>
      <c r="E393" t="inlineStr">
        <is>
          <t>VILHELMINA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61778-2023</t>
        </is>
      </c>
      <c r="B394" s="1" t="n">
        <v>45265.95667824074</v>
      </c>
      <c r="C394" s="1" t="n">
        <v>46062</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42382-2025</t>
        </is>
      </c>
      <c r="B395" s="1" t="n">
        <v>45904</v>
      </c>
      <c r="C395" s="1" t="n">
        <v>46062</v>
      </c>
      <c r="D395" t="inlineStr">
        <is>
          <t>VÄSTERBOTTENS LÄN</t>
        </is>
      </c>
      <c r="E395" t="inlineStr">
        <is>
          <t>VILHELMINA</t>
        </is>
      </c>
      <c r="F395" t="inlineStr">
        <is>
          <t>Övriga Aktiebolag</t>
        </is>
      </c>
      <c r="G395" t="n">
        <v>6.2</v>
      </c>
      <c r="H395" t="n">
        <v>0</v>
      </c>
      <c r="I395" t="n">
        <v>0</v>
      </c>
      <c r="J395" t="n">
        <v>0</v>
      </c>
      <c r="K395" t="n">
        <v>0</v>
      </c>
      <c r="L395" t="n">
        <v>0</v>
      </c>
      <c r="M395" t="n">
        <v>0</v>
      </c>
      <c r="N395" t="n">
        <v>0</v>
      </c>
      <c r="O395" t="n">
        <v>0</v>
      </c>
      <c r="P395" t="n">
        <v>0</v>
      </c>
      <c r="Q395" t="n">
        <v>0</v>
      </c>
      <c r="R395" s="2" t="inlineStr"/>
    </row>
    <row r="396" ht="15" customHeight="1">
      <c r="A396" t="inlineStr">
        <is>
          <t>A 72-2025</t>
        </is>
      </c>
      <c r="B396" s="1" t="n">
        <v>45659</v>
      </c>
      <c r="C396" s="1" t="n">
        <v>46062</v>
      </c>
      <c r="D396" t="inlineStr">
        <is>
          <t>VÄSTERBOTTENS LÄN</t>
        </is>
      </c>
      <c r="E396" t="inlineStr">
        <is>
          <t>VILHELMINA</t>
        </is>
      </c>
      <c r="G396" t="n">
        <v>0.9</v>
      </c>
      <c r="H396" t="n">
        <v>0</v>
      </c>
      <c r="I396" t="n">
        <v>0</v>
      </c>
      <c r="J396" t="n">
        <v>0</v>
      </c>
      <c r="K396" t="n">
        <v>0</v>
      </c>
      <c r="L396" t="n">
        <v>0</v>
      </c>
      <c r="M396" t="n">
        <v>0</v>
      </c>
      <c r="N396" t="n">
        <v>0</v>
      </c>
      <c r="O396" t="n">
        <v>0</v>
      </c>
      <c r="P396" t="n">
        <v>0</v>
      </c>
      <c r="Q396" t="n">
        <v>0</v>
      </c>
      <c r="R396" s="2" t="inlineStr"/>
    </row>
    <row r="397" ht="15" customHeight="1">
      <c r="A397" t="inlineStr">
        <is>
          <t>A 29466-2025</t>
        </is>
      </c>
      <c r="B397" s="1" t="n">
        <v>45824.69865740741</v>
      </c>
      <c r="C397" s="1" t="n">
        <v>46062</v>
      </c>
      <c r="D397" t="inlineStr">
        <is>
          <t>VÄSTERBOTTENS LÄN</t>
        </is>
      </c>
      <c r="E397" t="inlineStr">
        <is>
          <t>VILHELMINA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30746-2025</t>
        </is>
      </c>
      <c r="B398" s="1" t="n">
        <v>45831.58256944444</v>
      </c>
      <c r="C398" s="1" t="n">
        <v>46062</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47011-2024</t>
        </is>
      </c>
      <c r="B399" s="1" t="n">
        <v>45586.38592592593</v>
      </c>
      <c r="C399" s="1" t="n">
        <v>46062</v>
      </c>
      <c r="D399" t="inlineStr">
        <is>
          <t>VÄSTERBOTTENS LÄN</t>
        </is>
      </c>
      <c r="E399" t="inlineStr">
        <is>
          <t>VILHELMINA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24988-2025</t>
        </is>
      </c>
      <c r="B400" s="1" t="n">
        <v>45799</v>
      </c>
      <c r="C400" s="1" t="n">
        <v>46062</v>
      </c>
      <c r="D400" t="inlineStr">
        <is>
          <t>VÄSTERBOTTENS LÄN</t>
        </is>
      </c>
      <c r="E400" t="inlineStr">
        <is>
          <t>VILHELMINA</t>
        </is>
      </c>
      <c r="G400" t="n">
        <v>8.9</v>
      </c>
      <c r="H400" t="n">
        <v>0</v>
      </c>
      <c r="I400" t="n">
        <v>0</v>
      </c>
      <c r="J400" t="n">
        <v>0</v>
      </c>
      <c r="K400" t="n">
        <v>0</v>
      </c>
      <c r="L400" t="n">
        <v>0</v>
      </c>
      <c r="M400" t="n">
        <v>0</v>
      </c>
      <c r="N400" t="n">
        <v>0</v>
      </c>
      <c r="O400" t="n">
        <v>0</v>
      </c>
      <c r="P400" t="n">
        <v>0</v>
      </c>
      <c r="Q400" t="n">
        <v>0</v>
      </c>
      <c r="R400" s="2" t="inlineStr"/>
    </row>
    <row r="401" ht="15" customHeight="1">
      <c r="A401" t="inlineStr">
        <is>
          <t>A 7982-2025</t>
        </is>
      </c>
      <c r="B401" s="1" t="n">
        <v>45707.46905092592</v>
      </c>
      <c r="C401" s="1" t="n">
        <v>46062</v>
      </c>
      <c r="D401" t="inlineStr">
        <is>
          <t>VÄSTERBOTTENS LÄN</t>
        </is>
      </c>
      <c r="E401" t="inlineStr">
        <is>
          <t>VILHELMINA</t>
        </is>
      </c>
      <c r="G401" t="n">
        <v>6</v>
      </c>
      <c r="H401" t="n">
        <v>0</v>
      </c>
      <c r="I401" t="n">
        <v>0</v>
      </c>
      <c r="J401" t="n">
        <v>0</v>
      </c>
      <c r="K401" t="n">
        <v>0</v>
      </c>
      <c r="L401" t="n">
        <v>0</v>
      </c>
      <c r="M401" t="n">
        <v>0</v>
      </c>
      <c r="N401" t="n">
        <v>0</v>
      </c>
      <c r="O401" t="n">
        <v>0</v>
      </c>
      <c r="P401" t="n">
        <v>0</v>
      </c>
      <c r="Q401" t="n">
        <v>0</v>
      </c>
      <c r="R401" s="2" t="inlineStr"/>
    </row>
    <row r="402" ht="15" customHeight="1">
      <c r="A402" t="inlineStr">
        <is>
          <t>A 29203-2025</t>
        </is>
      </c>
      <c r="B402" s="1" t="n">
        <v>45823</v>
      </c>
      <c r="C402" s="1" t="n">
        <v>46062</v>
      </c>
      <c r="D402" t="inlineStr">
        <is>
          <t>VÄSTERBOTTENS LÄN</t>
        </is>
      </c>
      <c r="E402" t="inlineStr">
        <is>
          <t>VILHELMINA</t>
        </is>
      </c>
      <c r="G402" t="n">
        <v>2.3</v>
      </c>
      <c r="H402" t="n">
        <v>0</v>
      </c>
      <c r="I402" t="n">
        <v>0</v>
      </c>
      <c r="J402" t="n">
        <v>0</v>
      </c>
      <c r="K402" t="n">
        <v>0</v>
      </c>
      <c r="L402" t="n">
        <v>0</v>
      </c>
      <c r="M402" t="n">
        <v>0</v>
      </c>
      <c r="N402" t="n">
        <v>0</v>
      </c>
      <c r="O402" t="n">
        <v>0</v>
      </c>
      <c r="P402" t="n">
        <v>0</v>
      </c>
      <c r="Q402" t="n">
        <v>0</v>
      </c>
      <c r="R402" s="2" t="inlineStr"/>
    </row>
    <row r="403" ht="15" customHeight="1">
      <c r="A403" t="inlineStr">
        <is>
          <t>A 22617-2025</t>
        </is>
      </c>
      <c r="B403" s="1" t="n">
        <v>45789</v>
      </c>
      <c r="C403" s="1" t="n">
        <v>46062</v>
      </c>
      <c r="D403" t="inlineStr">
        <is>
          <t>VÄSTERBOTTENS LÄN</t>
        </is>
      </c>
      <c r="E403" t="inlineStr">
        <is>
          <t>VILHELMINA</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29234-2025</t>
        </is>
      </c>
      <c r="B404" s="1" t="n">
        <v>45824.34478009259</v>
      </c>
      <c r="C404" s="1" t="n">
        <v>46062</v>
      </c>
      <c r="D404" t="inlineStr">
        <is>
          <t>VÄSTERBOTTENS LÄN</t>
        </is>
      </c>
      <c r="E404" t="inlineStr">
        <is>
          <t>VILHELMINA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15639-2024</t>
        </is>
      </c>
      <c r="B405" s="1" t="n">
        <v>45403</v>
      </c>
      <c r="C405" s="1" t="n">
        <v>46062</v>
      </c>
      <c r="D405" t="inlineStr">
        <is>
          <t>VÄSTERBOTTENS LÄN</t>
        </is>
      </c>
      <c r="E405" t="inlineStr">
        <is>
          <t>VILHELMINA</t>
        </is>
      </c>
      <c r="G405" t="n">
        <v>81.90000000000001</v>
      </c>
      <c r="H405" t="n">
        <v>0</v>
      </c>
      <c r="I405" t="n">
        <v>0</v>
      </c>
      <c r="J405" t="n">
        <v>0</v>
      </c>
      <c r="K405" t="n">
        <v>0</v>
      </c>
      <c r="L405" t="n">
        <v>0</v>
      </c>
      <c r="M405" t="n">
        <v>0</v>
      </c>
      <c r="N405" t="n">
        <v>0</v>
      </c>
      <c r="O405" t="n">
        <v>0</v>
      </c>
      <c r="P405" t="n">
        <v>0</v>
      </c>
      <c r="Q405" t="n">
        <v>0</v>
      </c>
      <c r="R405" s="2" t="inlineStr"/>
    </row>
    <row r="406" ht="15" customHeight="1">
      <c r="A406" t="inlineStr">
        <is>
          <t>A 11538-2024</t>
        </is>
      </c>
      <c r="B406" s="1" t="n">
        <v>45372</v>
      </c>
      <c r="C406" s="1" t="n">
        <v>46062</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29468-2025</t>
        </is>
      </c>
      <c r="B407" s="1" t="n">
        <v>45824.69888888889</v>
      </c>
      <c r="C407" s="1" t="n">
        <v>46062</v>
      </c>
      <c r="D407" t="inlineStr">
        <is>
          <t>VÄSTERBOTTENS LÄN</t>
        </is>
      </c>
      <c r="E407" t="inlineStr">
        <is>
          <t>VILHELMINA</t>
        </is>
      </c>
      <c r="F407" t="inlineStr">
        <is>
          <t>SCA</t>
        </is>
      </c>
      <c r="G407" t="n">
        <v>4.5</v>
      </c>
      <c r="H407" t="n">
        <v>0</v>
      </c>
      <c r="I407" t="n">
        <v>0</v>
      </c>
      <c r="J407" t="n">
        <v>0</v>
      </c>
      <c r="K407" t="n">
        <v>0</v>
      </c>
      <c r="L407" t="n">
        <v>0</v>
      </c>
      <c r="M407" t="n">
        <v>0</v>
      </c>
      <c r="N407" t="n">
        <v>0</v>
      </c>
      <c r="O407" t="n">
        <v>0</v>
      </c>
      <c r="P407" t="n">
        <v>0</v>
      </c>
      <c r="Q407" t="n">
        <v>0</v>
      </c>
      <c r="R407" s="2" t="inlineStr"/>
    </row>
    <row r="408" ht="15" customHeight="1">
      <c r="A408" t="inlineStr">
        <is>
          <t>A 2022-2024</t>
        </is>
      </c>
      <c r="B408" s="1" t="n">
        <v>45308</v>
      </c>
      <c r="C408" s="1" t="n">
        <v>46062</v>
      </c>
      <c r="D408" t="inlineStr">
        <is>
          <t>VÄSTERBOTTENS LÄN</t>
        </is>
      </c>
      <c r="E408" t="inlineStr">
        <is>
          <t>VILHELMINA</t>
        </is>
      </c>
      <c r="G408" t="n">
        <v>8.5</v>
      </c>
      <c r="H408" t="n">
        <v>0</v>
      </c>
      <c r="I408" t="n">
        <v>0</v>
      </c>
      <c r="J408" t="n">
        <v>0</v>
      </c>
      <c r="K408" t="n">
        <v>0</v>
      </c>
      <c r="L408" t="n">
        <v>0</v>
      </c>
      <c r="M408" t="n">
        <v>0</v>
      </c>
      <c r="N408" t="n">
        <v>0</v>
      </c>
      <c r="O408" t="n">
        <v>0</v>
      </c>
      <c r="P408" t="n">
        <v>0</v>
      </c>
      <c r="Q408" t="n">
        <v>0</v>
      </c>
      <c r="R408" s="2" t="inlineStr"/>
    </row>
    <row r="409" ht="15" customHeight="1">
      <c r="A409" t="inlineStr">
        <is>
          <t>A 58456-2023</t>
        </is>
      </c>
      <c r="B409" s="1" t="n">
        <v>45250.96092592592</v>
      </c>
      <c r="C409" s="1" t="n">
        <v>46062</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37912-2025</t>
        </is>
      </c>
      <c r="B410" s="1" t="n">
        <v>45880</v>
      </c>
      <c r="C410" s="1" t="n">
        <v>46062</v>
      </c>
      <c r="D410" t="inlineStr">
        <is>
          <t>VÄSTERBOTTENS LÄN</t>
        </is>
      </c>
      <c r="E410" t="inlineStr">
        <is>
          <t>VILHELMINA</t>
        </is>
      </c>
      <c r="F410" t="inlineStr">
        <is>
          <t>SCA</t>
        </is>
      </c>
      <c r="G410" t="n">
        <v>23.9</v>
      </c>
      <c r="H410" t="n">
        <v>0</v>
      </c>
      <c r="I410" t="n">
        <v>0</v>
      </c>
      <c r="J410" t="n">
        <v>0</v>
      </c>
      <c r="K410" t="n">
        <v>0</v>
      </c>
      <c r="L410" t="n">
        <v>0</v>
      </c>
      <c r="M410" t="n">
        <v>0</v>
      </c>
      <c r="N410" t="n">
        <v>0</v>
      </c>
      <c r="O410" t="n">
        <v>0</v>
      </c>
      <c r="P410" t="n">
        <v>0</v>
      </c>
      <c r="Q410" t="n">
        <v>0</v>
      </c>
      <c r="R410" s="2" t="inlineStr"/>
    </row>
    <row r="411" ht="15" customHeight="1">
      <c r="A411" t="inlineStr">
        <is>
          <t>A 60782-2023</t>
        </is>
      </c>
      <c r="B411" s="1" t="n">
        <v>45259</v>
      </c>
      <c r="C411" s="1" t="n">
        <v>46062</v>
      </c>
      <c r="D411" t="inlineStr">
        <is>
          <t>VÄSTERBOTTENS LÄN</t>
        </is>
      </c>
      <c r="E411" t="inlineStr">
        <is>
          <t>VILHELMINA</t>
        </is>
      </c>
      <c r="G411" t="n">
        <v>12.7</v>
      </c>
      <c r="H411" t="n">
        <v>0</v>
      </c>
      <c r="I411" t="n">
        <v>0</v>
      </c>
      <c r="J411" t="n">
        <v>0</v>
      </c>
      <c r="K411" t="n">
        <v>0</v>
      </c>
      <c r="L411" t="n">
        <v>0</v>
      </c>
      <c r="M411" t="n">
        <v>0</v>
      </c>
      <c r="N411" t="n">
        <v>0</v>
      </c>
      <c r="O411" t="n">
        <v>0</v>
      </c>
      <c r="P411" t="n">
        <v>0</v>
      </c>
      <c r="Q411" t="n">
        <v>0</v>
      </c>
      <c r="R411" s="2" t="inlineStr"/>
    </row>
    <row r="412" ht="15" customHeight="1">
      <c r="A412" t="inlineStr">
        <is>
          <t>A 65151-2021</t>
        </is>
      </c>
      <c r="B412" s="1" t="n">
        <v>44515</v>
      </c>
      <c r="C412" s="1" t="n">
        <v>46062</v>
      </c>
      <c r="D412" t="inlineStr">
        <is>
          <t>VÄSTERBOTTENS LÄN</t>
        </is>
      </c>
      <c r="E412" t="inlineStr">
        <is>
          <t>VILHELMINA</t>
        </is>
      </c>
      <c r="G412" t="n">
        <v>11.8</v>
      </c>
      <c r="H412" t="n">
        <v>0</v>
      </c>
      <c r="I412" t="n">
        <v>0</v>
      </c>
      <c r="J412" t="n">
        <v>0</v>
      </c>
      <c r="K412" t="n">
        <v>0</v>
      </c>
      <c r="L412" t="n">
        <v>0</v>
      </c>
      <c r="M412" t="n">
        <v>0</v>
      </c>
      <c r="N412" t="n">
        <v>0</v>
      </c>
      <c r="O412" t="n">
        <v>0</v>
      </c>
      <c r="P412" t="n">
        <v>0</v>
      </c>
      <c r="Q412" t="n">
        <v>0</v>
      </c>
      <c r="R412" s="2" t="inlineStr"/>
    </row>
    <row r="413" ht="15" customHeight="1">
      <c r="A413" t="inlineStr">
        <is>
          <t>A 65159-2021</t>
        </is>
      </c>
      <c r="B413" s="1" t="n">
        <v>44515</v>
      </c>
      <c r="C413" s="1" t="n">
        <v>46062</v>
      </c>
      <c r="D413" t="inlineStr">
        <is>
          <t>VÄSTERBOTTENS LÄN</t>
        </is>
      </c>
      <c r="E413" t="inlineStr">
        <is>
          <t>VILHELMINA</t>
        </is>
      </c>
      <c r="G413" t="n">
        <v>5</v>
      </c>
      <c r="H413" t="n">
        <v>0</v>
      </c>
      <c r="I413" t="n">
        <v>0</v>
      </c>
      <c r="J413" t="n">
        <v>0</v>
      </c>
      <c r="K413" t="n">
        <v>0</v>
      </c>
      <c r="L413" t="n">
        <v>0</v>
      </c>
      <c r="M413" t="n">
        <v>0</v>
      </c>
      <c r="N413" t="n">
        <v>0</v>
      </c>
      <c r="O413" t="n">
        <v>0</v>
      </c>
      <c r="P413" t="n">
        <v>0</v>
      </c>
      <c r="Q413" t="n">
        <v>0</v>
      </c>
      <c r="R413" s="2" t="inlineStr"/>
    </row>
    <row r="414" ht="15" customHeight="1">
      <c r="A414" t="inlineStr">
        <is>
          <t>A 45593-2024</t>
        </is>
      </c>
      <c r="B414" s="1" t="n">
        <v>45579</v>
      </c>
      <c r="C414" s="1" t="n">
        <v>46062</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44017-2025</t>
        </is>
      </c>
      <c r="B415" s="1" t="n">
        <v>45915</v>
      </c>
      <c r="C415" s="1" t="n">
        <v>46062</v>
      </c>
      <c r="D415" t="inlineStr">
        <is>
          <t>VÄSTERBOTTENS LÄN</t>
        </is>
      </c>
      <c r="E415" t="inlineStr">
        <is>
          <t>VILHELMINA</t>
        </is>
      </c>
      <c r="G415" t="n">
        <v>1.5</v>
      </c>
      <c r="H415" t="n">
        <v>0</v>
      </c>
      <c r="I415" t="n">
        <v>0</v>
      </c>
      <c r="J415" t="n">
        <v>0</v>
      </c>
      <c r="K415" t="n">
        <v>0</v>
      </c>
      <c r="L415" t="n">
        <v>0</v>
      </c>
      <c r="M415" t="n">
        <v>0</v>
      </c>
      <c r="N415" t="n">
        <v>0</v>
      </c>
      <c r="O415" t="n">
        <v>0</v>
      </c>
      <c r="P415" t="n">
        <v>0</v>
      </c>
      <c r="Q415" t="n">
        <v>0</v>
      </c>
      <c r="R415" s="2" t="inlineStr"/>
    </row>
    <row r="416" ht="15" customHeight="1">
      <c r="A416" t="inlineStr">
        <is>
          <t>A 44015-2025</t>
        </is>
      </c>
      <c r="B416" s="1" t="n">
        <v>45915</v>
      </c>
      <c r="C416" s="1" t="n">
        <v>46062</v>
      </c>
      <c r="D416" t="inlineStr">
        <is>
          <t>VÄSTERBOTTENS LÄN</t>
        </is>
      </c>
      <c r="E416" t="inlineStr">
        <is>
          <t>VILHELMINA</t>
        </is>
      </c>
      <c r="G416" t="n">
        <v>1</v>
      </c>
      <c r="H416" t="n">
        <v>0</v>
      </c>
      <c r="I416" t="n">
        <v>0</v>
      </c>
      <c r="J416" t="n">
        <v>0</v>
      </c>
      <c r="K416" t="n">
        <v>0</v>
      </c>
      <c r="L416" t="n">
        <v>0</v>
      </c>
      <c r="M416" t="n">
        <v>0</v>
      </c>
      <c r="N416" t="n">
        <v>0</v>
      </c>
      <c r="O416" t="n">
        <v>0</v>
      </c>
      <c r="P416" t="n">
        <v>0</v>
      </c>
      <c r="Q416" t="n">
        <v>0</v>
      </c>
      <c r="R416" s="2" t="inlineStr"/>
    </row>
    <row r="417" ht="15" customHeight="1">
      <c r="A417" t="inlineStr">
        <is>
          <t>A 2008-2025</t>
        </is>
      </c>
      <c r="B417" s="1" t="n">
        <v>45672.45302083333</v>
      </c>
      <c r="C417" s="1" t="n">
        <v>46062</v>
      </c>
      <c r="D417" t="inlineStr">
        <is>
          <t>VÄSTERBOTTENS LÄN</t>
        </is>
      </c>
      <c r="E417" t="inlineStr">
        <is>
          <t>VILHELMINA</t>
        </is>
      </c>
      <c r="G417" t="n">
        <v>0.7</v>
      </c>
      <c r="H417" t="n">
        <v>0</v>
      </c>
      <c r="I417" t="n">
        <v>0</v>
      </c>
      <c r="J417" t="n">
        <v>0</v>
      </c>
      <c r="K417" t="n">
        <v>0</v>
      </c>
      <c r="L417" t="n">
        <v>0</v>
      </c>
      <c r="M417" t="n">
        <v>0</v>
      </c>
      <c r="N417" t="n">
        <v>0</v>
      </c>
      <c r="O417" t="n">
        <v>0</v>
      </c>
      <c r="P417" t="n">
        <v>0</v>
      </c>
      <c r="Q417" t="n">
        <v>0</v>
      </c>
      <c r="R417" s="2" t="inlineStr"/>
    </row>
    <row r="418" ht="15" customHeight="1">
      <c r="A418" t="inlineStr">
        <is>
          <t>A 41484-2022</t>
        </is>
      </c>
      <c r="B418" s="1" t="n">
        <v>44826</v>
      </c>
      <c r="C418" s="1" t="n">
        <v>46062</v>
      </c>
      <c r="D418" t="inlineStr">
        <is>
          <t>VÄSTERBOTTENS LÄN</t>
        </is>
      </c>
      <c r="E418" t="inlineStr">
        <is>
          <t>VILHELMINA</t>
        </is>
      </c>
      <c r="F418" t="inlineStr">
        <is>
          <t>SCA</t>
        </is>
      </c>
      <c r="G418" t="n">
        <v>18.1</v>
      </c>
      <c r="H418" t="n">
        <v>0</v>
      </c>
      <c r="I418" t="n">
        <v>0</v>
      </c>
      <c r="J418" t="n">
        <v>0</v>
      </c>
      <c r="K418" t="n">
        <v>0</v>
      </c>
      <c r="L418" t="n">
        <v>0</v>
      </c>
      <c r="M418" t="n">
        <v>0</v>
      </c>
      <c r="N418" t="n">
        <v>0</v>
      </c>
      <c r="O418" t="n">
        <v>0</v>
      </c>
      <c r="P418" t="n">
        <v>0</v>
      </c>
      <c r="Q418" t="n">
        <v>0</v>
      </c>
      <c r="R418" s="2" t="inlineStr"/>
    </row>
    <row r="419" ht="15" customHeight="1">
      <c r="A419" t="inlineStr">
        <is>
          <t>A 29940-2025</t>
        </is>
      </c>
      <c r="B419" s="1" t="n">
        <v>45826.45104166667</v>
      </c>
      <c r="C419" s="1" t="n">
        <v>46062</v>
      </c>
      <c r="D419" t="inlineStr">
        <is>
          <t>VÄSTERBOTTENS LÄN</t>
        </is>
      </c>
      <c r="E419" t="inlineStr">
        <is>
          <t>VILHELMINA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29942-2025</t>
        </is>
      </c>
      <c r="B420" s="1" t="n">
        <v>45826.45702546297</v>
      </c>
      <c r="C420" s="1" t="n">
        <v>46062</v>
      </c>
      <c r="D420" t="inlineStr">
        <is>
          <t>VÄSTERBOTTENS LÄN</t>
        </is>
      </c>
      <c r="E420" t="inlineStr">
        <is>
          <t>VILHELMINA</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46316-2022</t>
        </is>
      </c>
      <c r="B421" s="1" t="n">
        <v>44847</v>
      </c>
      <c r="C421" s="1" t="n">
        <v>46062</v>
      </c>
      <c r="D421" t="inlineStr">
        <is>
          <t>VÄSTERBOTTENS LÄN</t>
        </is>
      </c>
      <c r="E421" t="inlineStr">
        <is>
          <t>VILHELMINA</t>
        </is>
      </c>
      <c r="G421" t="n">
        <v>2.1</v>
      </c>
      <c r="H421" t="n">
        <v>0</v>
      </c>
      <c r="I421" t="n">
        <v>0</v>
      </c>
      <c r="J421" t="n">
        <v>0</v>
      </c>
      <c r="K421" t="n">
        <v>0</v>
      </c>
      <c r="L421" t="n">
        <v>0</v>
      </c>
      <c r="M421" t="n">
        <v>0</v>
      </c>
      <c r="N421" t="n">
        <v>0</v>
      </c>
      <c r="O421" t="n">
        <v>0</v>
      </c>
      <c r="P421" t="n">
        <v>0</v>
      </c>
      <c r="Q421" t="n">
        <v>0</v>
      </c>
      <c r="R421" s="2" t="inlineStr"/>
    </row>
    <row r="422" ht="15" customHeight="1">
      <c r="A422" t="inlineStr">
        <is>
          <t>A 40732-2024</t>
        </is>
      </c>
      <c r="B422" s="1" t="n">
        <v>45558</v>
      </c>
      <c r="C422" s="1" t="n">
        <v>46062</v>
      </c>
      <c r="D422" t="inlineStr">
        <is>
          <t>VÄSTERBOTTENS LÄN</t>
        </is>
      </c>
      <c r="E422" t="inlineStr">
        <is>
          <t>VILHELMINA</t>
        </is>
      </c>
      <c r="F422" t="inlineStr">
        <is>
          <t>Allmännings- och besparingsskogar</t>
        </is>
      </c>
      <c r="G422" t="n">
        <v>90</v>
      </c>
      <c r="H422" t="n">
        <v>0</v>
      </c>
      <c r="I422" t="n">
        <v>0</v>
      </c>
      <c r="J422" t="n">
        <v>0</v>
      </c>
      <c r="K422" t="n">
        <v>0</v>
      </c>
      <c r="L422" t="n">
        <v>0</v>
      </c>
      <c r="M422" t="n">
        <v>0</v>
      </c>
      <c r="N422" t="n">
        <v>0</v>
      </c>
      <c r="O422" t="n">
        <v>0</v>
      </c>
      <c r="P422" t="n">
        <v>0</v>
      </c>
      <c r="Q422" t="n">
        <v>0</v>
      </c>
      <c r="R422" s="2" t="inlineStr"/>
    </row>
    <row r="423" ht="15" customHeight="1">
      <c r="A423" t="inlineStr">
        <is>
          <t>A 59031-2024</t>
        </is>
      </c>
      <c r="B423" s="1" t="n">
        <v>45636</v>
      </c>
      <c r="C423" s="1" t="n">
        <v>46062</v>
      </c>
      <c r="D423" t="inlineStr">
        <is>
          <t>VÄSTERBOTTENS LÄN</t>
        </is>
      </c>
      <c r="E423" t="inlineStr">
        <is>
          <t>VILHELMINA</t>
        </is>
      </c>
      <c r="G423" t="n">
        <v>40</v>
      </c>
      <c r="H423" t="n">
        <v>0</v>
      </c>
      <c r="I423" t="n">
        <v>0</v>
      </c>
      <c r="J423" t="n">
        <v>0</v>
      </c>
      <c r="K423" t="n">
        <v>0</v>
      </c>
      <c r="L423" t="n">
        <v>0</v>
      </c>
      <c r="M423" t="n">
        <v>0</v>
      </c>
      <c r="N423" t="n">
        <v>0</v>
      </c>
      <c r="O423" t="n">
        <v>0</v>
      </c>
      <c r="P423" t="n">
        <v>0</v>
      </c>
      <c r="Q423" t="n">
        <v>0</v>
      </c>
      <c r="R423" s="2" t="inlineStr"/>
    </row>
    <row r="424" ht="15" customHeight="1">
      <c r="A424" t="inlineStr">
        <is>
          <t>A 44626-2025</t>
        </is>
      </c>
      <c r="B424" s="1" t="n">
        <v>45917</v>
      </c>
      <c r="C424" s="1" t="n">
        <v>46062</v>
      </c>
      <c r="D424" t="inlineStr">
        <is>
          <t>VÄSTERBOTTENS LÄN</t>
        </is>
      </c>
      <c r="E424" t="inlineStr">
        <is>
          <t>VILHELMINA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25551-2024</t>
        </is>
      </c>
      <c r="B425" s="1" t="n">
        <v>45463</v>
      </c>
      <c r="C425" s="1" t="n">
        <v>46062</v>
      </c>
      <c r="D425" t="inlineStr">
        <is>
          <t>VÄSTERBOTTENS LÄN</t>
        </is>
      </c>
      <c r="E425" t="inlineStr">
        <is>
          <t>VILHELMINA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12374-2025</t>
        </is>
      </c>
      <c r="B426" s="1" t="n">
        <v>45730</v>
      </c>
      <c r="C426" s="1" t="n">
        <v>46062</v>
      </c>
      <c r="D426" t="inlineStr">
        <is>
          <t>VÄSTERBOTTENS LÄN</t>
        </is>
      </c>
      <c r="E426" t="inlineStr">
        <is>
          <t>VILHELMINA</t>
        </is>
      </c>
      <c r="F426" t="inlineStr">
        <is>
          <t>Övriga statliga verk och myndigheter</t>
        </is>
      </c>
      <c r="G426" t="n">
        <v>18.7</v>
      </c>
      <c r="H426" t="n">
        <v>0</v>
      </c>
      <c r="I426" t="n">
        <v>0</v>
      </c>
      <c r="J426" t="n">
        <v>0</v>
      </c>
      <c r="K426" t="n">
        <v>0</v>
      </c>
      <c r="L426" t="n">
        <v>0</v>
      </c>
      <c r="M426" t="n">
        <v>0</v>
      </c>
      <c r="N426" t="n">
        <v>0</v>
      </c>
      <c r="O426" t="n">
        <v>0</v>
      </c>
      <c r="P426" t="n">
        <v>0</v>
      </c>
      <c r="Q426" t="n">
        <v>0</v>
      </c>
      <c r="R426" s="2" t="inlineStr"/>
    </row>
    <row r="427" ht="15" customHeight="1">
      <c r="A427" t="inlineStr">
        <is>
          <t>A 12375-2025</t>
        </is>
      </c>
      <c r="B427" s="1" t="n">
        <v>45730</v>
      </c>
      <c r="C427" s="1" t="n">
        <v>46062</v>
      </c>
      <c r="D427" t="inlineStr">
        <is>
          <t>VÄSTERBOTTENS LÄN</t>
        </is>
      </c>
      <c r="E427" t="inlineStr">
        <is>
          <t>VILHELMINA</t>
        </is>
      </c>
      <c r="F427" t="inlineStr">
        <is>
          <t>Övriga statliga verk och myndigheter</t>
        </is>
      </c>
      <c r="G427" t="n">
        <v>22.3</v>
      </c>
      <c r="H427" t="n">
        <v>0</v>
      </c>
      <c r="I427" t="n">
        <v>0</v>
      </c>
      <c r="J427" t="n">
        <v>0</v>
      </c>
      <c r="K427" t="n">
        <v>0</v>
      </c>
      <c r="L427" t="n">
        <v>0</v>
      </c>
      <c r="M427" t="n">
        <v>0</v>
      </c>
      <c r="N427" t="n">
        <v>0</v>
      </c>
      <c r="O427" t="n">
        <v>0</v>
      </c>
      <c r="P427" t="n">
        <v>0</v>
      </c>
      <c r="Q427" t="n">
        <v>0</v>
      </c>
      <c r="R427" s="2" t="inlineStr"/>
    </row>
    <row r="428" ht="15" customHeight="1">
      <c r="A428" t="inlineStr">
        <is>
          <t>A 30553-2025</t>
        </is>
      </c>
      <c r="B428" s="1" t="n">
        <v>45831.38579861111</v>
      </c>
      <c r="C428" s="1" t="n">
        <v>46062</v>
      </c>
      <c r="D428" t="inlineStr">
        <is>
          <t>VÄSTERBOTTENS LÄN</t>
        </is>
      </c>
      <c r="E428" t="inlineStr">
        <is>
          <t>VILHELMINA</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56246-2023</t>
        </is>
      </c>
      <c r="B429" s="1" t="n">
        <v>45240</v>
      </c>
      <c r="C429" s="1" t="n">
        <v>46062</v>
      </c>
      <c r="D429" t="inlineStr">
        <is>
          <t>VÄSTERBOTTENS LÄN</t>
        </is>
      </c>
      <c r="E429" t="inlineStr">
        <is>
          <t>VILHELMINA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48470-2023</t>
        </is>
      </c>
      <c r="B430" s="1" t="n">
        <v>45206.95747685185</v>
      </c>
      <c r="C430" s="1" t="n">
        <v>46062</v>
      </c>
      <c r="D430" t="inlineStr">
        <is>
          <t>VÄSTERBOTTENS LÄN</t>
        </is>
      </c>
      <c r="E430" t="inlineStr">
        <is>
          <t>VILHELMINA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63218-2021</t>
        </is>
      </c>
      <c r="B431" s="1" t="n">
        <v>44505</v>
      </c>
      <c r="C431" s="1" t="n">
        <v>46062</v>
      </c>
      <c r="D431" t="inlineStr">
        <is>
          <t>VÄSTERBOTTENS LÄN</t>
        </is>
      </c>
      <c r="E431" t="inlineStr">
        <is>
          <t>VILHELMINA</t>
        </is>
      </c>
      <c r="G431" t="n">
        <v>6.8</v>
      </c>
      <c r="H431" t="n">
        <v>0</v>
      </c>
      <c r="I431" t="n">
        <v>0</v>
      </c>
      <c r="J431" t="n">
        <v>0</v>
      </c>
      <c r="K431" t="n">
        <v>0</v>
      </c>
      <c r="L431" t="n">
        <v>0</v>
      </c>
      <c r="M431" t="n">
        <v>0</v>
      </c>
      <c r="N431" t="n">
        <v>0</v>
      </c>
      <c r="O431" t="n">
        <v>0</v>
      </c>
      <c r="P431" t="n">
        <v>0</v>
      </c>
      <c r="Q431" t="n">
        <v>0</v>
      </c>
      <c r="R431" s="2" t="inlineStr"/>
    </row>
    <row r="432" ht="15" customHeight="1">
      <c r="A432" t="inlineStr">
        <is>
          <t>A 45027-2025</t>
        </is>
      </c>
      <c r="B432" s="1" t="n">
        <v>45918</v>
      </c>
      <c r="C432" s="1" t="n">
        <v>46062</v>
      </c>
      <c r="D432" t="inlineStr">
        <is>
          <t>VÄSTERBOTTENS LÄN</t>
        </is>
      </c>
      <c r="E432" t="inlineStr">
        <is>
          <t>VILHELMINA</t>
        </is>
      </c>
      <c r="G432" t="n">
        <v>14.3</v>
      </c>
      <c r="H432" t="n">
        <v>0</v>
      </c>
      <c r="I432" t="n">
        <v>0</v>
      </c>
      <c r="J432" t="n">
        <v>0</v>
      </c>
      <c r="K432" t="n">
        <v>0</v>
      </c>
      <c r="L432" t="n">
        <v>0</v>
      </c>
      <c r="M432" t="n">
        <v>0</v>
      </c>
      <c r="N432" t="n">
        <v>0</v>
      </c>
      <c r="O432" t="n">
        <v>0</v>
      </c>
      <c r="P432" t="n">
        <v>0</v>
      </c>
      <c r="Q432" t="n">
        <v>0</v>
      </c>
      <c r="R432" s="2" t="inlineStr"/>
    </row>
    <row r="433" ht="15" customHeight="1">
      <c r="A433" t="inlineStr">
        <is>
          <t>A 45749-2025</t>
        </is>
      </c>
      <c r="B433" s="1" t="n">
        <v>45923.48195601852</v>
      </c>
      <c r="C433" s="1" t="n">
        <v>46062</v>
      </c>
      <c r="D433" t="inlineStr">
        <is>
          <t>VÄSTERBOTTENS LÄN</t>
        </is>
      </c>
      <c r="E433" t="inlineStr">
        <is>
          <t>VILHELMINA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58824-2024</t>
        </is>
      </c>
      <c r="B434" s="1" t="n">
        <v>45636.36488425926</v>
      </c>
      <c r="C434" s="1" t="n">
        <v>46062</v>
      </c>
      <c r="D434" t="inlineStr">
        <is>
          <t>VÄSTERBOTTENS LÄN</t>
        </is>
      </c>
      <c r="E434" t="inlineStr">
        <is>
          <t>VILHELMINA</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12362-2025</t>
        </is>
      </c>
      <c r="B435" s="1" t="n">
        <v>45730</v>
      </c>
      <c r="C435" s="1" t="n">
        <v>46062</v>
      </c>
      <c r="D435" t="inlineStr">
        <is>
          <t>VÄSTERBOTTENS LÄN</t>
        </is>
      </c>
      <c r="E435" t="inlineStr">
        <is>
          <t>VILHELMINA</t>
        </is>
      </c>
      <c r="F435" t="inlineStr">
        <is>
          <t>Övriga statliga verk och myndigheter</t>
        </is>
      </c>
      <c r="G435" t="n">
        <v>6.1</v>
      </c>
      <c r="H435" t="n">
        <v>0</v>
      </c>
      <c r="I435" t="n">
        <v>0</v>
      </c>
      <c r="J435" t="n">
        <v>0</v>
      </c>
      <c r="K435" t="n">
        <v>0</v>
      </c>
      <c r="L435" t="n">
        <v>0</v>
      </c>
      <c r="M435" t="n">
        <v>0</v>
      </c>
      <c r="N435" t="n">
        <v>0</v>
      </c>
      <c r="O435" t="n">
        <v>0</v>
      </c>
      <c r="P435" t="n">
        <v>0</v>
      </c>
      <c r="Q435" t="n">
        <v>0</v>
      </c>
      <c r="R435" s="2" t="inlineStr"/>
    </row>
    <row r="436" ht="15" customHeight="1">
      <c r="A436" t="inlineStr">
        <is>
          <t>A 12364-2025</t>
        </is>
      </c>
      <c r="B436" s="1" t="n">
        <v>45730.37515046296</v>
      </c>
      <c r="C436" s="1" t="n">
        <v>46062</v>
      </c>
      <c r="D436" t="inlineStr">
        <is>
          <t>VÄSTERBOTTENS LÄN</t>
        </is>
      </c>
      <c r="E436" t="inlineStr">
        <is>
          <t>VILHELMINA</t>
        </is>
      </c>
      <c r="F436" t="inlineStr">
        <is>
          <t>Övriga statliga verk och myndigheter</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12377-2025</t>
        </is>
      </c>
      <c r="B437" s="1" t="n">
        <v>45730</v>
      </c>
      <c r="C437" s="1" t="n">
        <v>46062</v>
      </c>
      <c r="D437" t="inlineStr">
        <is>
          <t>VÄSTERBOTTENS LÄN</t>
        </is>
      </c>
      <c r="E437" t="inlineStr">
        <is>
          <t>VILHELMINA</t>
        </is>
      </c>
      <c r="F437" t="inlineStr">
        <is>
          <t>Övriga statliga verk och myndigheter</t>
        </is>
      </c>
      <c r="G437" t="n">
        <v>37.1</v>
      </c>
      <c r="H437" t="n">
        <v>0</v>
      </c>
      <c r="I437" t="n">
        <v>0</v>
      </c>
      <c r="J437" t="n">
        <v>0</v>
      </c>
      <c r="K437" t="n">
        <v>0</v>
      </c>
      <c r="L437" t="n">
        <v>0</v>
      </c>
      <c r="M437" t="n">
        <v>0</v>
      </c>
      <c r="N437" t="n">
        <v>0</v>
      </c>
      <c r="O437" t="n">
        <v>0</v>
      </c>
      <c r="P437" t="n">
        <v>0</v>
      </c>
      <c r="Q437" t="n">
        <v>0</v>
      </c>
      <c r="R437" s="2" t="inlineStr"/>
    </row>
    <row r="438" ht="15" customHeight="1">
      <c r="A438" t="inlineStr">
        <is>
          <t>A 46547-2023</t>
        </is>
      </c>
      <c r="B438" s="1" t="n">
        <v>45197.94158564815</v>
      </c>
      <c r="C438" s="1" t="n">
        <v>46062</v>
      </c>
      <c r="D438" t="inlineStr">
        <is>
          <t>VÄSTERBOTTENS LÄN</t>
        </is>
      </c>
      <c r="E438" t="inlineStr">
        <is>
          <t>VILHELMINA</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45435-2025</t>
        </is>
      </c>
      <c r="B439" s="1" t="n">
        <v>45922.46759259259</v>
      </c>
      <c r="C439" s="1" t="n">
        <v>46062</v>
      </c>
      <c r="D439" t="inlineStr">
        <is>
          <t>VÄSTERBOTTENS LÄN</t>
        </is>
      </c>
      <c r="E439" t="inlineStr">
        <is>
          <t>VILHELMINA</t>
        </is>
      </c>
      <c r="G439" t="n">
        <v>4.6</v>
      </c>
      <c r="H439" t="n">
        <v>0</v>
      </c>
      <c r="I439" t="n">
        <v>0</v>
      </c>
      <c r="J439" t="n">
        <v>0</v>
      </c>
      <c r="K439" t="n">
        <v>0</v>
      </c>
      <c r="L439" t="n">
        <v>0</v>
      </c>
      <c r="M439" t="n">
        <v>0</v>
      </c>
      <c r="N439" t="n">
        <v>0</v>
      </c>
      <c r="O439" t="n">
        <v>0</v>
      </c>
      <c r="P439" t="n">
        <v>0</v>
      </c>
      <c r="Q439" t="n">
        <v>0</v>
      </c>
      <c r="R439" s="2" t="inlineStr"/>
    </row>
    <row r="440" ht="15" customHeight="1">
      <c r="A440" t="inlineStr">
        <is>
          <t>A 45271-2025</t>
        </is>
      </c>
      <c r="B440" s="1" t="n">
        <v>45919</v>
      </c>
      <c r="C440" s="1" t="n">
        <v>46062</v>
      </c>
      <c r="D440" t="inlineStr">
        <is>
          <t>VÄSTERBOTTENS LÄN</t>
        </is>
      </c>
      <c r="E440" t="inlineStr">
        <is>
          <t>VILHELMINA</t>
        </is>
      </c>
      <c r="G440" t="n">
        <v>8.6</v>
      </c>
      <c r="H440" t="n">
        <v>0</v>
      </c>
      <c r="I440" t="n">
        <v>0</v>
      </c>
      <c r="J440" t="n">
        <v>0</v>
      </c>
      <c r="K440" t="n">
        <v>0</v>
      </c>
      <c r="L440" t="n">
        <v>0</v>
      </c>
      <c r="M440" t="n">
        <v>0</v>
      </c>
      <c r="N440" t="n">
        <v>0</v>
      </c>
      <c r="O440" t="n">
        <v>0</v>
      </c>
      <c r="P440" t="n">
        <v>0</v>
      </c>
      <c r="Q440" t="n">
        <v>0</v>
      </c>
      <c r="R440" s="2" t="inlineStr"/>
    </row>
    <row r="441" ht="15" customHeight="1">
      <c r="A441" t="inlineStr">
        <is>
          <t>A 62100-2024</t>
        </is>
      </c>
      <c r="B441" s="1" t="n">
        <v>45656</v>
      </c>
      <c r="C441" s="1" t="n">
        <v>46062</v>
      </c>
      <c r="D441" t="inlineStr">
        <is>
          <t>VÄSTERBOTTENS LÄN</t>
        </is>
      </c>
      <c r="E441" t="inlineStr">
        <is>
          <t>VILHELMINA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31307-2025</t>
        </is>
      </c>
      <c r="B442" s="1" t="n">
        <v>45833</v>
      </c>
      <c r="C442" s="1" t="n">
        <v>46062</v>
      </c>
      <c r="D442" t="inlineStr">
        <is>
          <t>VÄSTERBOTTENS LÄN</t>
        </is>
      </c>
      <c r="E442" t="inlineStr">
        <is>
          <t>VILHELMINA</t>
        </is>
      </c>
      <c r="G442" t="n">
        <v>9.9</v>
      </c>
      <c r="H442" t="n">
        <v>0</v>
      </c>
      <c r="I442" t="n">
        <v>0</v>
      </c>
      <c r="J442" t="n">
        <v>0</v>
      </c>
      <c r="K442" t="n">
        <v>0</v>
      </c>
      <c r="L442" t="n">
        <v>0</v>
      </c>
      <c r="M442" t="n">
        <v>0</v>
      </c>
      <c r="N442" t="n">
        <v>0</v>
      </c>
      <c r="O442" t="n">
        <v>0</v>
      </c>
      <c r="P442" t="n">
        <v>0</v>
      </c>
      <c r="Q442" t="n">
        <v>0</v>
      </c>
      <c r="R442" s="2" t="inlineStr"/>
    </row>
    <row r="443" ht="15" customHeight="1">
      <c r="A443" t="inlineStr">
        <is>
          <t>A 46071-2022</t>
        </is>
      </c>
      <c r="B443" s="1" t="n">
        <v>44847</v>
      </c>
      <c r="C443" s="1" t="n">
        <v>46062</v>
      </c>
      <c r="D443" t="inlineStr">
        <is>
          <t>VÄSTERBOTTENS LÄN</t>
        </is>
      </c>
      <c r="E443" t="inlineStr">
        <is>
          <t>VILHELMINA</t>
        </is>
      </c>
      <c r="G443" t="n">
        <v>10.6</v>
      </c>
      <c r="H443" t="n">
        <v>0</v>
      </c>
      <c r="I443" t="n">
        <v>0</v>
      </c>
      <c r="J443" t="n">
        <v>0</v>
      </c>
      <c r="K443" t="n">
        <v>0</v>
      </c>
      <c r="L443" t="n">
        <v>0</v>
      </c>
      <c r="M443" t="n">
        <v>0</v>
      </c>
      <c r="N443" t="n">
        <v>0</v>
      </c>
      <c r="O443" t="n">
        <v>0</v>
      </c>
      <c r="P443" t="n">
        <v>0</v>
      </c>
      <c r="Q443" t="n">
        <v>0</v>
      </c>
      <c r="R443" s="2" t="inlineStr"/>
    </row>
    <row r="444" ht="15" customHeight="1">
      <c r="A444" t="inlineStr">
        <is>
          <t>A 25701-2024</t>
        </is>
      </c>
      <c r="B444" s="1" t="n">
        <v>45463.94247685185</v>
      </c>
      <c r="C444" s="1" t="n">
        <v>46062</v>
      </c>
      <c r="D444" t="inlineStr">
        <is>
          <t>VÄSTERBOTTENS LÄN</t>
        </is>
      </c>
      <c r="E444" t="inlineStr">
        <is>
          <t>VILHELMINA</t>
        </is>
      </c>
      <c r="F444" t="inlineStr">
        <is>
          <t>SCA</t>
        </is>
      </c>
      <c r="G444" t="n">
        <v>8.6</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46062</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38364-2023</t>
        </is>
      </c>
      <c r="B446" s="1" t="n">
        <v>45161</v>
      </c>
      <c r="C446" s="1" t="n">
        <v>46062</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31730-2025</t>
        </is>
      </c>
      <c r="B447" s="1" t="n">
        <v>45834</v>
      </c>
      <c r="C447" s="1" t="n">
        <v>46062</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48229-2024</t>
        </is>
      </c>
      <c r="B448" s="1" t="n">
        <v>45590.37554398148</v>
      </c>
      <c r="C448" s="1" t="n">
        <v>46062</v>
      </c>
      <c r="D448" t="inlineStr">
        <is>
          <t>VÄSTERBOTTENS LÄN</t>
        </is>
      </c>
      <c r="E448" t="inlineStr">
        <is>
          <t>VILHELMINA</t>
        </is>
      </c>
      <c r="G448" t="n">
        <v>11.6</v>
      </c>
      <c r="H448" t="n">
        <v>0</v>
      </c>
      <c r="I448" t="n">
        <v>0</v>
      </c>
      <c r="J448" t="n">
        <v>0</v>
      </c>
      <c r="K448" t="n">
        <v>0</v>
      </c>
      <c r="L448" t="n">
        <v>0</v>
      </c>
      <c r="M448" t="n">
        <v>0</v>
      </c>
      <c r="N448" t="n">
        <v>0</v>
      </c>
      <c r="O448" t="n">
        <v>0</v>
      </c>
      <c r="P448" t="n">
        <v>0</v>
      </c>
      <c r="Q448" t="n">
        <v>0</v>
      </c>
      <c r="R448" s="2" t="inlineStr"/>
    </row>
    <row r="449" ht="15" customHeight="1">
      <c r="A449" t="inlineStr">
        <is>
          <t>A 23278-2021</t>
        </is>
      </c>
      <c r="B449" s="1" t="n">
        <v>44328</v>
      </c>
      <c r="C449" s="1" t="n">
        <v>46062</v>
      </c>
      <c r="D449" t="inlineStr">
        <is>
          <t>VÄSTERBOTTENS LÄN</t>
        </is>
      </c>
      <c r="E449" t="inlineStr">
        <is>
          <t>VILHELMINA</t>
        </is>
      </c>
      <c r="F449" t="inlineStr">
        <is>
          <t>Allmännings- och besparingsskogar</t>
        </is>
      </c>
      <c r="G449" t="n">
        <v>13.6</v>
      </c>
      <c r="H449" t="n">
        <v>0</v>
      </c>
      <c r="I449" t="n">
        <v>0</v>
      </c>
      <c r="J449" t="n">
        <v>0</v>
      </c>
      <c r="K449" t="n">
        <v>0</v>
      </c>
      <c r="L449" t="n">
        <v>0</v>
      </c>
      <c r="M449" t="n">
        <v>0</v>
      </c>
      <c r="N449" t="n">
        <v>0</v>
      </c>
      <c r="O449" t="n">
        <v>0</v>
      </c>
      <c r="P449" t="n">
        <v>0</v>
      </c>
      <c r="Q449" t="n">
        <v>0</v>
      </c>
      <c r="R449" s="2" t="inlineStr"/>
    </row>
    <row r="450" ht="15" customHeight="1">
      <c r="A450" t="inlineStr">
        <is>
          <t>A 64421-2023</t>
        </is>
      </c>
      <c r="B450" s="1" t="n">
        <v>45280</v>
      </c>
      <c r="C450" s="1" t="n">
        <v>46062</v>
      </c>
      <c r="D450" t="inlineStr">
        <is>
          <t>VÄSTERBOTTENS LÄN</t>
        </is>
      </c>
      <c r="E450" t="inlineStr">
        <is>
          <t>VILHELMINA</t>
        </is>
      </c>
      <c r="G450" t="n">
        <v>4.9</v>
      </c>
      <c r="H450" t="n">
        <v>0</v>
      </c>
      <c r="I450" t="n">
        <v>0</v>
      </c>
      <c r="J450" t="n">
        <v>0</v>
      </c>
      <c r="K450" t="n">
        <v>0</v>
      </c>
      <c r="L450" t="n">
        <v>0</v>
      </c>
      <c r="M450" t="n">
        <v>0</v>
      </c>
      <c r="N450" t="n">
        <v>0</v>
      </c>
      <c r="O450" t="n">
        <v>0</v>
      </c>
      <c r="P450" t="n">
        <v>0</v>
      </c>
      <c r="Q450" t="n">
        <v>0</v>
      </c>
      <c r="R450" s="2" t="inlineStr"/>
    </row>
    <row r="451" ht="15" customHeight="1">
      <c r="A451" t="inlineStr">
        <is>
          <t>A 47035-2025</t>
        </is>
      </c>
      <c r="B451" s="1" t="n">
        <v>45929.59428240741</v>
      </c>
      <c r="C451" s="1" t="n">
        <v>46062</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53606-2024</t>
        </is>
      </c>
      <c r="B452" s="1" t="n">
        <v>45614</v>
      </c>
      <c r="C452" s="1" t="n">
        <v>46062</v>
      </c>
      <c r="D452" t="inlineStr">
        <is>
          <t>VÄSTERBOTTENS LÄN</t>
        </is>
      </c>
      <c r="E452" t="inlineStr">
        <is>
          <t>VILHELMINA</t>
        </is>
      </c>
      <c r="F452" t="inlineStr">
        <is>
          <t>SCA</t>
        </is>
      </c>
      <c r="G452" t="n">
        <v>10.1</v>
      </c>
      <c r="H452" t="n">
        <v>0</v>
      </c>
      <c r="I452" t="n">
        <v>0</v>
      </c>
      <c r="J452" t="n">
        <v>0</v>
      </c>
      <c r="K452" t="n">
        <v>0</v>
      </c>
      <c r="L452" t="n">
        <v>0</v>
      </c>
      <c r="M452" t="n">
        <v>0</v>
      </c>
      <c r="N452" t="n">
        <v>0</v>
      </c>
      <c r="O452" t="n">
        <v>0</v>
      </c>
      <c r="P452" t="n">
        <v>0</v>
      </c>
      <c r="Q452" t="n">
        <v>0</v>
      </c>
      <c r="R452" s="2" t="inlineStr"/>
    </row>
    <row r="453" ht="15" customHeight="1">
      <c r="A453" t="inlineStr">
        <is>
          <t>A 54804-2024</t>
        </is>
      </c>
      <c r="B453" s="1" t="n">
        <v>45618</v>
      </c>
      <c r="C453" s="1" t="n">
        <v>46062</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46934-2025</t>
        </is>
      </c>
      <c r="B454" s="1" t="n">
        <v>45929</v>
      </c>
      <c r="C454" s="1" t="n">
        <v>46062</v>
      </c>
      <c r="D454" t="inlineStr">
        <is>
          <t>VÄSTERBOTTENS LÄN</t>
        </is>
      </c>
      <c r="E454" t="inlineStr">
        <is>
          <t>VILHELMINA</t>
        </is>
      </c>
      <c r="F454" t="inlineStr">
        <is>
          <t>SCA</t>
        </is>
      </c>
      <c r="G454" t="n">
        <v>20</v>
      </c>
      <c r="H454" t="n">
        <v>0</v>
      </c>
      <c r="I454" t="n">
        <v>0</v>
      </c>
      <c r="J454" t="n">
        <v>0</v>
      </c>
      <c r="K454" t="n">
        <v>0</v>
      </c>
      <c r="L454" t="n">
        <v>0</v>
      </c>
      <c r="M454" t="n">
        <v>0</v>
      </c>
      <c r="N454" t="n">
        <v>0</v>
      </c>
      <c r="O454" t="n">
        <v>0</v>
      </c>
      <c r="P454" t="n">
        <v>0</v>
      </c>
      <c r="Q454" t="n">
        <v>0</v>
      </c>
      <c r="R454" s="2" t="inlineStr"/>
    </row>
    <row r="455" ht="15" customHeight="1">
      <c r="A455" t="inlineStr">
        <is>
          <t>A 30681-2024</t>
        </is>
      </c>
      <c r="B455" s="1" t="n">
        <v>45495.9509837963</v>
      </c>
      <c r="C455" s="1" t="n">
        <v>46062</v>
      </c>
      <c r="D455" t="inlineStr">
        <is>
          <t>VÄSTERBOTTENS LÄN</t>
        </is>
      </c>
      <c r="E455" t="inlineStr">
        <is>
          <t>VILHELMINA</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46062</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46062</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31724-2025</t>
        </is>
      </c>
      <c r="B458" s="1" t="n">
        <v>45834</v>
      </c>
      <c r="C458" s="1" t="n">
        <v>46062</v>
      </c>
      <c r="D458" t="inlineStr">
        <is>
          <t>VÄSTERBOTTENS LÄN</t>
        </is>
      </c>
      <c r="E458" t="inlineStr">
        <is>
          <t>VILHELMINA</t>
        </is>
      </c>
      <c r="G458" t="n">
        <v>19.7</v>
      </c>
      <c r="H458" t="n">
        <v>0</v>
      </c>
      <c r="I458" t="n">
        <v>0</v>
      </c>
      <c r="J458" t="n">
        <v>0</v>
      </c>
      <c r="K458" t="n">
        <v>0</v>
      </c>
      <c r="L458" t="n">
        <v>0</v>
      </c>
      <c r="M458" t="n">
        <v>0</v>
      </c>
      <c r="N458" t="n">
        <v>0</v>
      </c>
      <c r="O458" t="n">
        <v>0</v>
      </c>
      <c r="P458" t="n">
        <v>0</v>
      </c>
      <c r="Q458" t="n">
        <v>0</v>
      </c>
      <c r="R458" s="2" t="inlineStr"/>
    </row>
    <row r="459" ht="15" customHeight="1">
      <c r="A459" t="inlineStr">
        <is>
          <t>A 31733-2025</t>
        </is>
      </c>
      <c r="B459" s="1" t="n">
        <v>45834.47035879629</v>
      </c>
      <c r="C459" s="1" t="n">
        <v>46062</v>
      </c>
      <c r="D459" t="inlineStr">
        <is>
          <t>VÄSTERBOTTENS LÄN</t>
        </is>
      </c>
      <c r="E459" t="inlineStr">
        <is>
          <t>VILHELMINA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53034-2023</t>
        </is>
      </c>
      <c r="B460" s="1" t="n">
        <v>45226.96258101852</v>
      </c>
      <c r="C460" s="1" t="n">
        <v>46062</v>
      </c>
      <c r="D460" t="inlineStr">
        <is>
          <t>VÄSTERBOTTENS LÄN</t>
        </is>
      </c>
      <c r="E460" t="inlineStr">
        <is>
          <t>VILHELMINA</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48754-2021</t>
        </is>
      </c>
      <c r="B461" s="1" t="n">
        <v>44452</v>
      </c>
      <c r="C461" s="1" t="n">
        <v>46062</v>
      </c>
      <c r="D461" t="inlineStr">
        <is>
          <t>VÄSTERBOTTENS LÄN</t>
        </is>
      </c>
      <c r="E461" t="inlineStr">
        <is>
          <t>VILHELMINA</t>
        </is>
      </c>
      <c r="G461" t="n">
        <v>5.6</v>
      </c>
      <c r="H461" t="n">
        <v>0</v>
      </c>
      <c r="I461" t="n">
        <v>0</v>
      </c>
      <c r="J461" t="n">
        <v>0</v>
      </c>
      <c r="K461" t="n">
        <v>0</v>
      </c>
      <c r="L461" t="n">
        <v>0</v>
      </c>
      <c r="M461" t="n">
        <v>0</v>
      </c>
      <c r="N461" t="n">
        <v>0</v>
      </c>
      <c r="O461" t="n">
        <v>0</v>
      </c>
      <c r="P461" t="n">
        <v>0</v>
      </c>
      <c r="Q461" t="n">
        <v>0</v>
      </c>
      <c r="R461" s="2" t="inlineStr"/>
    </row>
    <row r="462" ht="15" customHeight="1">
      <c r="A462" t="inlineStr">
        <is>
          <t>A 48756-2021</t>
        </is>
      </c>
      <c r="B462" s="1" t="n">
        <v>44452</v>
      </c>
      <c r="C462" s="1" t="n">
        <v>46062</v>
      </c>
      <c r="D462" t="inlineStr">
        <is>
          <t>VÄSTERBOTTENS LÄN</t>
        </is>
      </c>
      <c r="E462" t="inlineStr">
        <is>
          <t>VILHELMINA</t>
        </is>
      </c>
      <c r="G462" t="n">
        <v>13.3</v>
      </c>
      <c r="H462" t="n">
        <v>0</v>
      </c>
      <c r="I462" t="n">
        <v>0</v>
      </c>
      <c r="J462" t="n">
        <v>0</v>
      </c>
      <c r="K462" t="n">
        <v>0</v>
      </c>
      <c r="L462" t="n">
        <v>0</v>
      </c>
      <c r="M462" t="n">
        <v>0</v>
      </c>
      <c r="N462" t="n">
        <v>0</v>
      </c>
      <c r="O462" t="n">
        <v>0</v>
      </c>
      <c r="P462" t="n">
        <v>0</v>
      </c>
      <c r="Q462" t="n">
        <v>0</v>
      </c>
      <c r="R462" s="2" t="inlineStr"/>
    </row>
    <row r="463" ht="15" customHeight="1">
      <c r="A463" t="inlineStr">
        <is>
          <t>A 55736-2025</t>
        </is>
      </c>
      <c r="B463" s="1" t="n">
        <v>45972</v>
      </c>
      <c r="C463" s="1" t="n">
        <v>46062</v>
      </c>
      <c r="D463" t="inlineStr">
        <is>
          <t>VÄSTERBOTTENS LÄN</t>
        </is>
      </c>
      <c r="E463" t="inlineStr">
        <is>
          <t>VILHELMINA</t>
        </is>
      </c>
      <c r="G463" t="n">
        <v>22.9</v>
      </c>
      <c r="H463" t="n">
        <v>0</v>
      </c>
      <c r="I463" t="n">
        <v>0</v>
      </c>
      <c r="J463" t="n">
        <v>0</v>
      </c>
      <c r="K463" t="n">
        <v>0</v>
      </c>
      <c r="L463" t="n">
        <v>0</v>
      </c>
      <c r="M463" t="n">
        <v>0</v>
      </c>
      <c r="N463" t="n">
        <v>0</v>
      </c>
      <c r="O463" t="n">
        <v>0</v>
      </c>
      <c r="P463" t="n">
        <v>0</v>
      </c>
      <c r="Q463" t="n">
        <v>0</v>
      </c>
      <c r="R463" s="2" t="inlineStr"/>
    </row>
    <row r="464" ht="15" customHeight="1">
      <c r="A464" t="inlineStr">
        <is>
          <t>A 7102-2024</t>
        </is>
      </c>
      <c r="B464" s="1" t="n">
        <v>45343</v>
      </c>
      <c r="C464" s="1" t="n">
        <v>46062</v>
      </c>
      <c r="D464" t="inlineStr">
        <is>
          <t>VÄSTERBOTTENS LÄN</t>
        </is>
      </c>
      <c r="E464" t="inlineStr">
        <is>
          <t>VILHELMINA</t>
        </is>
      </c>
      <c r="G464" t="n">
        <v>3.2</v>
      </c>
      <c r="H464" t="n">
        <v>0</v>
      </c>
      <c r="I464" t="n">
        <v>0</v>
      </c>
      <c r="J464" t="n">
        <v>0</v>
      </c>
      <c r="K464" t="n">
        <v>0</v>
      </c>
      <c r="L464" t="n">
        <v>0</v>
      </c>
      <c r="M464" t="n">
        <v>0</v>
      </c>
      <c r="N464" t="n">
        <v>0</v>
      </c>
      <c r="O464" t="n">
        <v>0</v>
      </c>
      <c r="P464" t="n">
        <v>0</v>
      </c>
      <c r="Q464" t="n">
        <v>0</v>
      </c>
      <c r="R464" s="2" t="inlineStr"/>
    </row>
    <row r="465" ht="15" customHeight="1">
      <c r="A465" t="inlineStr">
        <is>
          <t>A 23360-2025</t>
        </is>
      </c>
      <c r="B465" s="1" t="n">
        <v>45791</v>
      </c>
      <c r="C465" s="1" t="n">
        <v>46062</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55742-2025</t>
        </is>
      </c>
      <c r="B466" s="1" t="n">
        <v>45972</v>
      </c>
      <c r="C466" s="1" t="n">
        <v>46062</v>
      </c>
      <c r="D466" t="inlineStr">
        <is>
          <t>VÄSTERBOTTENS LÄN</t>
        </is>
      </c>
      <c r="E466" t="inlineStr">
        <is>
          <t>VILHELMINA</t>
        </is>
      </c>
      <c r="G466" t="n">
        <v>36.2</v>
      </c>
      <c r="H466" t="n">
        <v>0</v>
      </c>
      <c r="I466" t="n">
        <v>0</v>
      </c>
      <c r="J466" t="n">
        <v>0</v>
      </c>
      <c r="K466" t="n">
        <v>0</v>
      </c>
      <c r="L466" t="n">
        <v>0</v>
      </c>
      <c r="M466" t="n">
        <v>0</v>
      </c>
      <c r="N466" t="n">
        <v>0</v>
      </c>
      <c r="O466" t="n">
        <v>0</v>
      </c>
      <c r="P466" t="n">
        <v>0</v>
      </c>
      <c r="Q466" t="n">
        <v>0</v>
      </c>
      <c r="R466" s="2" t="inlineStr"/>
    </row>
    <row r="467" ht="15" customHeight="1">
      <c r="A467" t="inlineStr">
        <is>
          <t>A 22457-2025</t>
        </is>
      </c>
      <c r="B467" s="1" t="n">
        <v>45786</v>
      </c>
      <c r="C467" s="1" t="n">
        <v>46062</v>
      </c>
      <c r="D467" t="inlineStr">
        <is>
          <t>VÄSTERBOTTENS LÄN</t>
        </is>
      </c>
      <c r="E467" t="inlineStr">
        <is>
          <t>VILHELMINA</t>
        </is>
      </c>
      <c r="G467" t="n">
        <v>10.8</v>
      </c>
      <c r="H467" t="n">
        <v>0</v>
      </c>
      <c r="I467" t="n">
        <v>0</v>
      </c>
      <c r="J467" t="n">
        <v>0</v>
      </c>
      <c r="K467" t="n">
        <v>0</v>
      </c>
      <c r="L467" t="n">
        <v>0</v>
      </c>
      <c r="M467" t="n">
        <v>0</v>
      </c>
      <c r="N467" t="n">
        <v>0</v>
      </c>
      <c r="O467" t="n">
        <v>0</v>
      </c>
      <c r="P467" t="n">
        <v>0</v>
      </c>
      <c r="Q467" t="n">
        <v>0</v>
      </c>
      <c r="R467" s="2" t="inlineStr"/>
    </row>
    <row r="468" ht="15" customHeight="1">
      <c r="A468" t="inlineStr">
        <is>
          <t>A 20846-2025</t>
        </is>
      </c>
      <c r="B468" s="1" t="n">
        <v>45777</v>
      </c>
      <c r="C468" s="1" t="n">
        <v>46062</v>
      </c>
      <c r="D468" t="inlineStr">
        <is>
          <t>VÄSTERBOTTENS LÄN</t>
        </is>
      </c>
      <c r="E468" t="inlineStr">
        <is>
          <t>VILHELMINA</t>
        </is>
      </c>
      <c r="G468" t="n">
        <v>19.1</v>
      </c>
      <c r="H468" t="n">
        <v>0</v>
      </c>
      <c r="I468" t="n">
        <v>0</v>
      </c>
      <c r="J468" t="n">
        <v>0</v>
      </c>
      <c r="K468" t="n">
        <v>0</v>
      </c>
      <c r="L468" t="n">
        <v>0</v>
      </c>
      <c r="M468" t="n">
        <v>0</v>
      </c>
      <c r="N468" t="n">
        <v>0</v>
      </c>
      <c r="O468" t="n">
        <v>0</v>
      </c>
      <c r="P468" t="n">
        <v>0</v>
      </c>
      <c r="Q468" t="n">
        <v>0</v>
      </c>
      <c r="R468" s="2" t="inlineStr"/>
    </row>
    <row r="469" ht="15" customHeight="1">
      <c r="A469" t="inlineStr">
        <is>
          <t>A 19223-2025</t>
        </is>
      </c>
      <c r="B469" s="1" t="n">
        <v>45769</v>
      </c>
      <c r="C469" s="1" t="n">
        <v>46062</v>
      </c>
      <c r="D469" t="inlineStr">
        <is>
          <t>VÄSTERBOTTENS LÄN</t>
        </is>
      </c>
      <c r="E469" t="inlineStr">
        <is>
          <t>VILHELMINA</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32947-2025</t>
        </is>
      </c>
      <c r="B470" s="1" t="n">
        <v>45839</v>
      </c>
      <c r="C470" s="1" t="n">
        <v>46062</v>
      </c>
      <c r="D470" t="inlineStr">
        <is>
          <t>VÄSTERBOTTENS LÄN</t>
        </is>
      </c>
      <c r="E470" t="inlineStr">
        <is>
          <t>VILHELMINA</t>
        </is>
      </c>
      <c r="G470" t="n">
        <v>19.1</v>
      </c>
      <c r="H470" t="n">
        <v>0</v>
      </c>
      <c r="I470" t="n">
        <v>0</v>
      </c>
      <c r="J470" t="n">
        <v>0</v>
      </c>
      <c r="K470" t="n">
        <v>0</v>
      </c>
      <c r="L470" t="n">
        <v>0</v>
      </c>
      <c r="M470" t="n">
        <v>0</v>
      </c>
      <c r="N470" t="n">
        <v>0</v>
      </c>
      <c r="O470" t="n">
        <v>0</v>
      </c>
      <c r="P470" t="n">
        <v>0</v>
      </c>
      <c r="Q470" t="n">
        <v>0</v>
      </c>
      <c r="R470" s="2" t="inlineStr"/>
    </row>
    <row r="471" ht="15" customHeight="1">
      <c r="A471" t="inlineStr">
        <is>
          <t>A 9534-2023</t>
        </is>
      </c>
      <c r="B471" s="1" t="n">
        <v>44981.72646990741</v>
      </c>
      <c r="C471" s="1" t="n">
        <v>46062</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40781-2023</t>
        </is>
      </c>
      <c r="B472" s="1" t="n">
        <v>45170.95747685185</v>
      </c>
      <c r="C472" s="1" t="n">
        <v>46062</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20653-2021</t>
        </is>
      </c>
      <c r="B473" s="1" t="n">
        <v>44316.41677083333</v>
      </c>
      <c r="C473" s="1" t="n">
        <v>46062</v>
      </c>
      <c r="D473" t="inlineStr">
        <is>
          <t>VÄSTERBOTTENS LÄN</t>
        </is>
      </c>
      <c r="E473" t="inlineStr">
        <is>
          <t>VILHELMINA</t>
        </is>
      </c>
      <c r="F473" t="inlineStr">
        <is>
          <t>Kommuner</t>
        </is>
      </c>
      <c r="G473" t="n">
        <v>2.5</v>
      </c>
      <c r="H473" t="n">
        <v>0</v>
      </c>
      <c r="I473" t="n">
        <v>0</v>
      </c>
      <c r="J473" t="n">
        <v>0</v>
      </c>
      <c r="K473" t="n">
        <v>0</v>
      </c>
      <c r="L473" t="n">
        <v>0</v>
      </c>
      <c r="M473" t="n">
        <v>0</v>
      </c>
      <c r="N473" t="n">
        <v>0</v>
      </c>
      <c r="O473" t="n">
        <v>0</v>
      </c>
      <c r="P473" t="n">
        <v>0</v>
      </c>
      <c r="Q473" t="n">
        <v>0</v>
      </c>
      <c r="R473" s="2" t="inlineStr"/>
    </row>
    <row r="474" ht="15" customHeight="1">
      <c r="A474" t="inlineStr">
        <is>
          <t>A 13200-2025</t>
        </is>
      </c>
      <c r="B474" s="1" t="n">
        <v>45735</v>
      </c>
      <c r="C474" s="1" t="n">
        <v>46062</v>
      </c>
      <c r="D474" t="inlineStr">
        <is>
          <t>VÄSTERBOTTENS LÄN</t>
        </is>
      </c>
      <c r="E474" t="inlineStr">
        <is>
          <t>VILHELMINA</t>
        </is>
      </c>
      <c r="F474" t="inlineStr">
        <is>
          <t>SCA</t>
        </is>
      </c>
      <c r="G474" t="n">
        <v>5.5</v>
      </c>
      <c r="H474" t="n">
        <v>0</v>
      </c>
      <c r="I474" t="n">
        <v>0</v>
      </c>
      <c r="J474" t="n">
        <v>0</v>
      </c>
      <c r="K474" t="n">
        <v>0</v>
      </c>
      <c r="L474" t="n">
        <v>0</v>
      </c>
      <c r="M474" t="n">
        <v>0</v>
      </c>
      <c r="N474" t="n">
        <v>0</v>
      </c>
      <c r="O474" t="n">
        <v>0</v>
      </c>
      <c r="P474" t="n">
        <v>0</v>
      </c>
      <c r="Q474" t="n">
        <v>0</v>
      </c>
      <c r="R474" s="2" t="inlineStr"/>
    </row>
    <row r="475" ht="15" customHeight="1">
      <c r="A475" t="inlineStr">
        <is>
          <t>A 22440-2025</t>
        </is>
      </c>
      <c r="B475" s="1" t="n">
        <v>45786</v>
      </c>
      <c r="C475" s="1" t="n">
        <v>46062</v>
      </c>
      <c r="D475" t="inlineStr">
        <is>
          <t>VÄSTERBOTTENS LÄN</t>
        </is>
      </c>
      <c r="E475" t="inlineStr">
        <is>
          <t>VILHELMINA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12990-2025</t>
        </is>
      </c>
      <c r="B476" s="1" t="n">
        <v>45734</v>
      </c>
      <c r="C476" s="1" t="n">
        <v>46062</v>
      </c>
      <c r="D476" t="inlineStr">
        <is>
          <t>VÄSTERBOTTENS LÄN</t>
        </is>
      </c>
      <c r="E476" t="inlineStr">
        <is>
          <t>VILHELMINA</t>
        </is>
      </c>
      <c r="G476" t="n">
        <v>11.2</v>
      </c>
      <c r="H476" t="n">
        <v>0</v>
      </c>
      <c r="I476" t="n">
        <v>0</v>
      </c>
      <c r="J476" t="n">
        <v>0</v>
      </c>
      <c r="K476" t="n">
        <v>0</v>
      </c>
      <c r="L476" t="n">
        <v>0</v>
      </c>
      <c r="M476" t="n">
        <v>0</v>
      </c>
      <c r="N476" t="n">
        <v>0</v>
      </c>
      <c r="O476" t="n">
        <v>0</v>
      </c>
      <c r="P476" t="n">
        <v>0</v>
      </c>
      <c r="Q476" t="n">
        <v>0</v>
      </c>
      <c r="R476" s="2" t="inlineStr"/>
    </row>
    <row r="477" ht="15" customHeight="1">
      <c r="A477" t="inlineStr">
        <is>
          <t>A 35753-2023</t>
        </is>
      </c>
      <c r="B477" s="1" t="n">
        <v>45147.95390046296</v>
      </c>
      <c r="C477" s="1" t="n">
        <v>46062</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33319-2025</t>
        </is>
      </c>
      <c r="B478" s="1" t="n">
        <v>45841</v>
      </c>
      <c r="C478" s="1" t="n">
        <v>46062</v>
      </c>
      <c r="D478" t="inlineStr">
        <is>
          <t>VÄSTERBOTTENS LÄN</t>
        </is>
      </c>
      <c r="E478" t="inlineStr">
        <is>
          <t>VILHELMINA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48651-2025</t>
        </is>
      </c>
      <c r="B479" s="1" t="n">
        <v>45936.55251157407</v>
      </c>
      <c r="C479" s="1" t="n">
        <v>46062</v>
      </c>
      <c r="D479" t="inlineStr">
        <is>
          <t>VÄSTERBOTTENS LÄN</t>
        </is>
      </c>
      <c r="E479" t="inlineStr">
        <is>
          <t>VILHELMINA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33641-2025</t>
        </is>
      </c>
      <c r="B480" s="1" t="n">
        <v>45841.65045138889</v>
      </c>
      <c r="C480" s="1" t="n">
        <v>46062</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50505-2023</t>
        </is>
      </c>
      <c r="B481" s="1" t="n">
        <v>45216.95800925926</v>
      </c>
      <c r="C481" s="1" t="n">
        <v>46062</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29463-2024</t>
        </is>
      </c>
      <c r="B482" s="1" t="n">
        <v>45483.96994212963</v>
      </c>
      <c r="C482" s="1" t="n">
        <v>46062</v>
      </c>
      <c r="D482" t="inlineStr">
        <is>
          <t>VÄSTERBOTTENS LÄN</t>
        </is>
      </c>
      <c r="E482" t="inlineStr">
        <is>
          <t>VILHELMINA</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57023-2025</t>
        </is>
      </c>
      <c r="B483" s="1" t="n">
        <v>45979.25059027778</v>
      </c>
      <c r="C483" s="1" t="n">
        <v>46062</v>
      </c>
      <c r="D483" t="inlineStr">
        <is>
          <t>VÄSTERBOTTENS LÄN</t>
        </is>
      </c>
      <c r="E483" t="inlineStr">
        <is>
          <t>VILHELMINA</t>
        </is>
      </c>
      <c r="G483" t="n">
        <v>37.7</v>
      </c>
      <c r="H483" t="n">
        <v>0</v>
      </c>
      <c r="I483" t="n">
        <v>0</v>
      </c>
      <c r="J483" t="n">
        <v>0</v>
      </c>
      <c r="K483" t="n">
        <v>0</v>
      </c>
      <c r="L483" t="n">
        <v>0</v>
      </c>
      <c r="M483" t="n">
        <v>0</v>
      </c>
      <c r="N483" t="n">
        <v>0</v>
      </c>
      <c r="O483" t="n">
        <v>0</v>
      </c>
      <c r="P483" t="n">
        <v>0</v>
      </c>
      <c r="Q483" t="n">
        <v>0</v>
      </c>
      <c r="R483" s="2" t="inlineStr"/>
    </row>
    <row r="484" ht="15" customHeight="1">
      <c r="A484" t="inlineStr">
        <is>
          <t>A 72153-2021</t>
        </is>
      </c>
      <c r="B484" s="1" t="n">
        <v>44543</v>
      </c>
      <c r="C484" s="1" t="n">
        <v>46062</v>
      </c>
      <c r="D484" t="inlineStr">
        <is>
          <t>VÄSTERBOTTENS LÄN</t>
        </is>
      </c>
      <c r="E484" t="inlineStr">
        <is>
          <t>VILHELMINA</t>
        </is>
      </c>
      <c r="G484" t="n">
        <v>6.7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46062</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33320-2025</t>
        </is>
      </c>
      <c r="B486" s="1" t="n">
        <v>45841.34461805555</v>
      </c>
      <c r="C486" s="1" t="n">
        <v>46062</v>
      </c>
      <c r="D486" t="inlineStr">
        <is>
          <t>VÄSTERBOTTENS LÄN</t>
        </is>
      </c>
      <c r="E486" t="inlineStr">
        <is>
          <t>VILHELMINA</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27918-2022</t>
        </is>
      </c>
      <c r="B487" s="1" t="n">
        <v>44743.94145833333</v>
      </c>
      <c r="C487" s="1" t="n">
        <v>46062</v>
      </c>
      <c r="D487" t="inlineStr">
        <is>
          <t>VÄSTERBOTTENS LÄN</t>
        </is>
      </c>
      <c r="E487" t="inlineStr">
        <is>
          <t>VILHELMINA</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48816-2025</t>
        </is>
      </c>
      <c r="B488" s="1" t="n">
        <v>45937.36527777778</v>
      </c>
      <c r="C488" s="1" t="n">
        <v>46062</v>
      </c>
      <c r="D488" t="inlineStr">
        <is>
          <t>VÄSTERBOTTENS LÄN</t>
        </is>
      </c>
      <c r="E488" t="inlineStr">
        <is>
          <t>VILHELMINA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5955-2023</t>
        </is>
      </c>
      <c r="B489" s="1" t="n">
        <v>44963.93989583333</v>
      </c>
      <c r="C489" s="1" t="n">
        <v>46062</v>
      </c>
      <c r="D489" t="inlineStr">
        <is>
          <t>VÄSTERBOTTENS LÄN</t>
        </is>
      </c>
      <c r="E489" t="inlineStr">
        <is>
          <t>VILHELMINA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33142-2025</t>
        </is>
      </c>
      <c r="B490" s="1" t="n">
        <v>45840</v>
      </c>
      <c r="C490" s="1" t="n">
        <v>46062</v>
      </c>
      <c r="D490" t="inlineStr">
        <is>
          <t>VÄSTERBOTTENS LÄN</t>
        </is>
      </c>
      <c r="E490" t="inlineStr">
        <is>
          <t>VILHELMINA</t>
        </is>
      </c>
      <c r="G490" t="n">
        <v>15.2</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46062</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49680-2025</t>
        </is>
      </c>
      <c r="B492" s="1" t="n">
        <v>45939.65079861111</v>
      </c>
      <c r="C492" s="1" t="n">
        <v>46062</v>
      </c>
      <c r="D492" t="inlineStr">
        <is>
          <t>VÄSTERBOTTENS LÄN</t>
        </is>
      </c>
      <c r="E492" t="inlineStr">
        <is>
          <t>VILHELMINA</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48068-2022</t>
        </is>
      </c>
      <c r="B493" s="1" t="n">
        <v>44855</v>
      </c>
      <c r="C493" s="1" t="n">
        <v>46062</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33349-2023</t>
        </is>
      </c>
      <c r="B494" s="1" t="n">
        <v>45117</v>
      </c>
      <c r="C494" s="1" t="n">
        <v>46062</v>
      </c>
      <c r="D494" t="inlineStr">
        <is>
          <t>VÄSTERBOTTENS LÄN</t>
        </is>
      </c>
      <c r="E494" t="inlineStr">
        <is>
          <t>VILHELMINA</t>
        </is>
      </c>
      <c r="G494" t="n">
        <v>1.3</v>
      </c>
      <c r="H494" t="n">
        <v>0</v>
      </c>
      <c r="I494" t="n">
        <v>0</v>
      </c>
      <c r="J494" t="n">
        <v>0</v>
      </c>
      <c r="K494" t="n">
        <v>0</v>
      </c>
      <c r="L494" t="n">
        <v>0</v>
      </c>
      <c r="M494" t="n">
        <v>0</v>
      </c>
      <c r="N494" t="n">
        <v>0</v>
      </c>
      <c r="O494" t="n">
        <v>0</v>
      </c>
      <c r="P494" t="n">
        <v>0</v>
      </c>
      <c r="Q494" t="n">
        <v>0</v>
      </c>
      <c r="R494" s="2" t="inlineStr"/>
    </row>
    <row r="495" ht="15" customHeight="1">
      <c r="A495" t="inlineStr">
        <is>
          <t>A 58833-2023</t>
        </is>
      </c>
      <c r="B495" s="1" t="n">
        <v>45248</v>
      </c>
      <c r="C495" s="1" t="n">
        <v>46062</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19465-2025</t>
        </is>
      </c>
      <c r="B496" s="1" t="n">
        <v>45770</v>
      </c>
      <c r="C496" s="1" t="n">
        <v>46062</v>
      </c>
      <c r="D496" t="inlineStr">
        <is>
          <t>VÄSTERBOTTENS LÄN</t>
        </is>
      </c>
      <c r="E496" t="inlineStr">
        <is>
          <t>VILHELMINA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46062</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50148-2025</t>
        </is>
      </c>
      <c r="B498" s="1" t="n">
        <v>45943.57296296296</v>
      </c>
      <c r="C498" s="1" t="n">
        <v>46062</v>
      </c>
      <c r="D498" t="inlineStr">
        <is>
          <t>VÄSTERBOTTENS LÄN</t>
        </is>
      </c>
      <c r="E498" t="inlineStr">
        <is>
          <t>VILHELMINA</t>
        </is>
      </c>
      <c r="G498" t="n">
        <v>18.9</v>
      </c>
      <c r="H498" t="n">
        <v>0</v>
      </c>
      <c r="I498" t="n">
        <v>0</v>
      </c>
      <c r="J498" t="n">
        <v>0</v>
      </c>
      <c r="K498" t="n">
        <v>0</v>
      </c>
      <c r="L498" t="n">
        <v>0</v>
      </c>
      <c r="M498" t="n">
        <v>0</v>
      </c>
      <c r="N498" t="n">
        <v>0</v>
      </c>
      <c r="O498" t="n">
        <v>0</v>
      </c>
      <c r="P498" t="n">
        <v>0</v>
      </c>
      <c r="Q498" t="n">
        <v>0</v>
      </c>
      <c r="R498" s="2" t="inlineStr"/>
    </row>
    <row r="499" ht="15" customHeight="1">
      <c r="A499" t="inlineStr">
        <is>
          <t>A 34253-2025</t>
        </is>
      </c>
      <c r="B499" s="1" t="n">
        <v>45845</v>
      </c>
      <c r="C499" s="1" t="n">
        <v>46062</v>
      </c>
      <c r="D499" t="inlineStr">
        <is>
          <t>VÄSTERBOTTENS LÄN</t>
        </is>
      </c>
      <c r="E499" t="inlineStr">
        <is>
          <t>VILHELMINA</t>
        </is>
      </c>
      <c r="G499" t="n">
        <v>14.3</v>
      </c>
      <c r="H499" t="n">
        <v>0</v>
      </c>
      <c r="I499" t="n">
        <v>0</v>
      </c>
      <c r="J499" t="n">
        <v>0</v>
      </c>
      <c r="K499" t="n">
        <v>0</v>
      </c>
      <c r="L499" t="n">
        <v>0</v>
      </c>
      <c r="M499" t="n">
        <v>0</v>
      </c>
      <c r="N499" t="n">
        <v>0</v>
      </c>
      <c r="O499" t="n">
        <v>0</v>
      </c>
      <c r="P499" t="n">
        <v>0</v>
      </c>
      <c r="Q499" t="n">
        <v>0</v>
      </c>
      <c r="R499" s="2" t="inlineStr"/>
    </row>
    <row r="500" ht="15" customHeight="1">
      <c r="A500" t="inlineStr">
        <is>
          <t>A 58749-2023</t>
        </is>
      </c>
      <c r="B500" s="1" t="n">
        <v>45251.92947916667</v>
      </c>
      <c r="C500" s="1" t="n">
        <v>46062</v>
      </c>
      <c r="D500" t="inlineStr">
        <is>
          <t>VÄSTERBOTTENS LÄN</t>
        </is>
      </c>
      <c r="E500" t="inlineStr">
        <is>
          <t>VILHELMINA</t>
        </is>
      </c>
      <c r="G500" t="n">
        <v>2.8</v>
      </c>
      <c r="H500" t="n">
        <v>0</v>
      </c>
      <c r="I500" t="n">
        <v>0</v>
      </c>
      <c r="J500" t="n">
        <v>0</v>
      </c>
      <c r="K500" t="n">
        <v>0</v>
      </c>
      <c r="L500" t="n">
        <v>0</v>
      </c>
      <c r="M500" t="n">
        <v>0</v>
      </c>
      <c r="N500" t="n">
        <v>0</v>
      </c>
      <c r="O500" t="n">
        <v>0</v>
      </c>
      <c r="P500" t="n">
        <v>0</v>
      </c>
      <c r="Q500" t="n">
        <v>0</v>
      </c>
      <c r="R500" s="2" t="inlineStr"/>
    </row>
    <row r="501" ht="15" customHeight="1">
      <c r="A501" t="inlineStr">
        <is>
          <t>A 59011-2024</t>
        </is>
      </c>
      <c r="B501" s="1" t="n">
        <v>45636</v>
      </c>
      <c r="C501" s="1" t="n">
        <v>46062</v>
      </c>
      <c r="D501" t="inlineStr">
        <is>
          <t>VÄSTERBOTTENS LÄN</t>
        </is>
      </c>
      <c r="E501" t="inlineStr">
        <is>
          <t>VILHELMINA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34413-2025</t>
        </is>
      </c>
      <c r="B502" s="1" t="n">
        <v>45845</v>
      </c>
      <c r="C502" s="1" t="n">
        <v>46062</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56629-2024</t>
        </is>
      </c>
      <c r="B503" s="1" t="n">
        <v>45625</v>
      </c>
      <c r="C503" s="1" t="n">
        <v>46062</v>
      </c>
      <c r="D503" t="inlineStr">
        <is>
          <t>VÄSTERBOTTENS LÄN</t>
        </is>
      </c>
      <c r="E503" t="inlineStr">
        <is>
          <t>VILHELMINA</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59022-2024</t>
        </is>
      </c>
      <c r="B504" s="1" t="n">
        <v>45636</v>
      </c>
      <c r="C504" s="1" t="n">
        <v>46062</v>
      </c>
      <c r="D504" t="inlineStr">
        <is>
          <t>VÄSTERBOTTENS LÄN</t>
        </is>
      </c>
      <c r="E504" t="inlineStr">
        <is>
          <t>VILHELMINA</t>
        </is>
      </c>
      <c r="F504" t="inlineStr">
        <is>
          <t>Allmännings- och besparingsskogar</t>
        </is>
      </c>
      <c r="G504" t="n">
        <v>35</v>
      </c>
      <c r="H504" t="n">
        <v>0</v>
      </c>
      <c r="I504" t="n">
        <v>0</v>
      </c>
      <c r="J504" t="n">
        <v>0</v>
      </c>
      <c r="K504" t="n">
        <v>0</v>
      </c>
      <c r="L504" t="n">
        <v>0</v>
      </c>
      <c r="M504" t="n">
        <v>0</v>
      </c>
      <c r="N504" t="n">
        <v>0</v>
      </c>
      <c r="O504" t="n">
        <v>0</v>
      </c>
      <c r="P504" t="n">
        <v>0</v>
      </c>
      <c r="Q504" t="n">
        <v>0</v>
      </c>
      <c r="R504" s="2" t="inlineStr"/>
    </row>
    <row r="505" ht="15" customHeight="1">
      <c r="A505" t="inlineStr">
        <is>
          <t>A 59003-2024</t>
        </is>
      </c>
      <c r="B505" s="1" t="n">
        <v>45636</v>
      </c>
      <c r="C505" s="1" t="n">
        <v>46062</v>
      </c>
      <c r="D505" t="inlineStr">
        <is>
          <t>VÄSTERBOTTENS LÄN</t>
        </is>
      </c>
      <c r="E505" t="inlineStr">
        <is>
          <t>VILHELMINA</t>
        </is>
      </c>
      <c r="F505" t="inlineStr">
        <is>
          <t>Allmännings- och besparingsskogar</t>
        </is>
      </c>
      <c r="G505" t="n">
        <v>22</v>
      </c>
      <c r="H505" t="n">
        <v>0</v>
      </c>
      <c r="I505" t="n">
        <v>0</v>
      </c>
      <c r="J505" t="n">
        <v>0</v>
      </c>
      <c r="K505" t="n">
        <v>0</v>
      </c>
      <c r="L505" t="n">
        <v>0</v>
      </c>
      <c r="M505" t="n">
        <v>0</v>
      </c>
      <c r="N505" t="n">
        <v>0</v>
      </c>
      <c r="O505" t="n">
        <v>0</v>
      </c>
      <c r="P505" t="n">
        <v>0</v>
      </c>
      <c r="Q505" t="n">
        <v>0</v>
      </c>
      <c r="R505" s="2" t="inlineStr"/>
    </row>
    <row r="506" ht="15" customHeight="1">
      <c r="A506" t="inlineStr">
        <is>
          <t>A 31485-2025</t>
        </is>
      </c>
      <c r="B506" s="1" t="n">
        <v>45833</v>
      </c>
      <c r="C506" s="1" t="n">
        <v>46062</v>
      </c>
      <c r="D506" t="inlineStr">
        <is>
          <t>VÄSTERBOTTENS LÄN</t>
        </is>
      </c>
      <c r="E506" t="inlineStr">
        <is>
          <t>VILHELMINA</t>
        </is>
      </c>
      <c r="G506" t="n">
        <v>2.8</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46062</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50305-2025</t>
        </is>
      </c>
      <c r="B508" s="1" t="n">
        <v>45944.42415509259</v>
      </c>
      <c r="C508" s="1" t="n">
        <v>46062</v>
      </c>
      <c r="D508" t="inlineStr">
        <is>
          <t>VÄSTERBOTTENS LÄN</t>
        </is>
      </c>
      <c r="E508" t="inlineStr">
        <is>
          <t>VILHELMINA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50282-2025</t>
        </is>
      </c>
      <c r="B509" s="1" t="n">
        <v>45944.3862037037</v>
      </c>
      <c r="C509" s="1" t="n">
        <v>46062</v>
      </c>
      <c r="D509" t="inlineStr">
        <is>
          <t>VÄSTERBOTTENS LÄN</t>
        </is>
      </c>
      <c r="E509" t="inlineStr">
        <is>
          <t>VILHELMINA</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34563-2025</t>
        </is>
      </c>
      <c r="B510" s="1" t="n">
        <v>45847.57950231482</v>
      </c>
      <c r="C510" s="1" t="n">
        <v>46062</v>
      </c>
      <c r="D510" t="inlineStr">
        <is>
          <t>VÄSTERBOTTENS LÄN</t>
        </is>
      </c>
      <c r="E510" t="inlineStr">
        <is>
          <t>VILHELMINA</t>
        </is>
      </c>
      <c r="G510" t="n">
        <v>20.6</v>
      </c>
      <c r="H510" t="n">
        <v>0</v>
      </c>
      <c r="I510" t="n">
        <v>0</v>
      </c>
      <c r="J510" t="n">
        <v>0</v>
      </c>
      <c r="K510" t="n">
        <v>0</v>
      </c>
      <c r="L510" t="n">
        <v>0</v>
      </c>
      <c r="M510" t="n">
        <v>0</v>
      </c>
      <c r="N510" t="n">
        <v>0</v>
      </c>
      <c r="O510" t="n">
        <v>0</v>
      </c>
      <c r="P510" t="n">
        <v>0</v>
      </c>
      <c r="Q510" t="n">
        <v>0</v>
      </c>
      <c r="R510" s="2" t="inlineStr"/>
    </row>
    <row r="511" ht="15" customHeight="1">
      <c r="A511" t="inlineStr">
        <is>
          <t>A 34569-2025</t>
        </is>
      </c>
      <c r="B511" s="1" t="n">
        <v>45847.58480324074</v>
      </c>
      <c r="C511" s="1" t="n">
        <v>46062</v>
      </c>
      <c r="D511" t="inlineStr">
        <is>
          <t>VÄSTERBOTTENS LÄN</t>
        </is>
      </c>
      <c r="E511" t="inlineStr">
        <is>
          <t>VILHELMINA</t>
        </is>
      </c>
      <c r="G511" t="n">
        <v>5.3</v>
      </c>
      <c r="H511" t="n">
        <v>0</v>
      </c>
      <c r="I511" t="n">
        <v>0</v>
      </c>
      <c r="J511" t="n">
        <v>0</v>
      </c>
      <c r="K511" t="n">
        <v>0</v>
      </c>
      <c r="L511" t="n">
        <v>0</v>
      </c>
      <c r="M511" t="n">
        <v>0</v>
      </c>
      <c r="N511" t="n">
        <v>0</v>
      </c>
      <c r="O511" t="n">
        <v>0</v>
      </c>
      <c r="P511" t="n">
        <v>0</v>
      </c>
      <c r="Q511" t="n">
        <v>0</v>
      </c>
      <c r="R511" s="2" t="inlineStr"/>
    </row>
    <row r="512" ht="15" customHeight="1">
      <c r="A512" t="inlineStr">
        <is>
          <t>A 50922-2025</t>
        </is>
      </c>
      <c r="B512" s="1" t="n">
        <v>45946.67149305555</v>
      </c>
      <c r="C512" s="1" t="n">
        <v>46062</v>
      </c>
      <c r="D512" t="inlineStr">
        <is>
          <t>VÄSTERBOTTENS LÄN</t>
        </is>
      </c>
      <c r="E512" t="inlineStr">
        <is>
          <t>VILHELMINA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34542-2025</t>
        </is>
      </c>
      <c r="B513" s="1" t="n">
        <v>45847.53211805555</v>
      </c>
      <c r="C513" s="1" t="n">
        <v>46062</v>
      </c>
      <c r="D513" t="inlineStr">
        <is>
          <t>VÄSTERBOTTENS LÄN</t>
        </is>
      </c>
      <c r="E513" t="inlineStr">
        <is>
          <t>VILHELMINA</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51042-2025</t>
        </is>
      </c>
      <c r="B514" s="1" t="n">
        <v>45947.42334490741</v>
      </c>
      <c r="C514" s="1" t="n">
        <v>46062</v>
      </c>
      <c r="D514" t="inlineStr">
        <is>
          <t>VÄSTERBOTTENS LÄN</t>
        </is>
      </c>
      <c r="E514" t="inlineStr">
        <is>
          <t>VILHELMINA</t>
        </is>
      </c>
      <c r="G514" t="n">
        <v>12.6</v>
      </c>
      <c r="H514" t="n">
        <v>0</v>
      </c>
      <c r="I514" t="n">
        <v>0</v>
      </c>
      <c r="J514" t="n">
        <v>0</v>
      </c>
      <c r="K514" t="n">
        <v>0</v>
      </c>
      <c r="L514" t="n">
        <v>0</v>
      </c>
      <c r="M514" t="n">
        <v>0</v>
      </c>
      <c r="N514" t="n">
        <v>0</v>
      </c>
      <c r="O514" t="n">
        <v>0</v>
      </c>
      <c r="P514" t="n">
        <v>0</v>
      </c>
      <c r="Q514" t="n">
        <v>0</v>
      </c>
      <c r="R514" s="2" t="inlineStr"/>
    </row>
    <row r="515" ht="15" customHeight="1">
      <c r="A515" t="inlineStr">
        <is>
          <t>A 34087-2023</t>
        </is>
      </c>
      <c r="B515" s="1" t="n">
        <v>45125</v>
      </c>
      <c r="C515" s="1" t="n">
        <v>46062</v>
      </c>
      <c r="D515" t="inlineStr">
        <is>
          <t>VÄSTERBOTTENS LÄN</t>
        </is>
      </c>
      <c r="E515" t="inlineStr">
        <is>
          <t>VILHELMINA</t>
        </is>
      </c>
      <c r="G515" t="n">
        <v>13.2</v>
      </c>
      <c r="H515" t="n">
        <v>0</v>
      </c>
      <c r="I515" t="n">
        <v>0</v>
      </c>
      <c r="J515" t="n">
        <v>0</v>
      </c>
      <c r="K515" t="n">
        <v>0</v>
      </c>
      <c r="L515" t="n">
        <v>0</v>
      </c>
      <c r="M515" t="n">
        <v>0</v>
      </c>
      <c r="N515" t="n">
        <v>0</v>
      </c>
      <c r="O515" t="n">
        <v>0</v>
      </c>
      <c r="P515" t="n">
        <v>0</v>
      </c>
      <c r="Q515" t="n">
        <v>0</v>
      </c>
      <c r="R515" s="2" t="inlineStr"/>
    </row>
    <row r="516" ht="15" customHeight="1">
      <c r="A516" t="inlineStr">
        <is>
          <t>A 35230-2025</t>
        </is>
      </c>
      <c r="B516" s="1" t="n">
        <v>45853.59447916667</v>
      </c>
      <c r="C516" s="1" t="n">
        <v>46062</v>
      </c>
      <c r="D516" t="inlineStr">
        <is>
          <t>VÄSTERBOTTENS LÄN</t>
        </is>
      </c>
      <c r="E516" t="inlineStr">
        <is>
          <t>VILHELMINA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35231-2025</t>
        </is>
      </c>
      <c r="B517" s="1" t="n">
        <v>45853.59453703704</v>
      </c>
      <c r="C517" s="1" t="n">
        <v>46062</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38363-2023</t>
        </is>
      </c>
      <c r="B518" s="1" t="n">
        <v>45161</v>
      </c>
      <c r="C518" s="1" t="n">
        <v>46062</v>
      </c>
      <c r="D518" t="inlineStr">
        <is>
          <t>VÄSTERBOTTENS LÄN</t>
        </is>
      </c>
      <c r="E518" t="inlineStr">
        <is>
          <t>VILHELMINA</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6665-2021</t>
        </is>
      </c>
      <c r="B519" s="1" t="n">
        <v>44235</v>
      </c>
      <c r="C519" s="1" t="n">
        <v>46062</v>
      </c>
      <c r="D519" t="inlineStr">
        <is>
          <t>VÄSTERBOTTENS LÄN</t>
        </is>
      </c>
      <c r="E519" t="inlineStr">
        <is>
          <t>VILHELMINA</t>
        </is>
      </c>
      <c r="G519" t="n">
        <v>20</v>
      </c>
      <c r="H519" t="n">
        <v>0</v>
      </c>
      <c r="I519" t="n">
        <v>0</v>
      </c>
      <c r="J519" t="n">
        <v>0</v>
      </c>
      <c r="K519" t="n">
        <v>0</v>
      </c>
      <c r="L519" t="n">
        <v>0</v>
      </c>
      <c r="M519" t="n">
        <v>0</v>
      </c>
      <c r="N519" t="n">
        <v>0</v>
      </c>
      <c r="O519" t="n">
        <v>0</v>
      </c>
      <c r="P519" t="n">
        <v>0</v>
      </c>
      <c r="Q519" t="n">
        <v>0</v>
      </c>
      <c r="R519" s="2" t="inlineStr"/>
    </row>
    <row r="520" ht="15" customHeight="1">
      <c r="A520" t="inlineStr">
        <is>
          <t>A 16608-2024</t>
        </is>
      </c>
      <c r="B520" s="1" t="n">
        <v>45408</v>
      </c>
      <c r="C520" s="1" t="n">
        <v>46062</v>
      </c>
      <c r="D520" t="inlineStr">
        <is>
          <t>VÄSTERBOTTENS LÄN</t>
        </is>
      </c>
      <c r="E520" t="inlineStr">
        <is>
          <t>VILHELMINA</t>
        </is>
      </c>
      <c r="G520" t="n">
        <v>17.5</v>
      </c>
      <c r="H520" t="n">
        <v>0</v>
      </c>
      <c r="I520" t="n">
        <v>0</v>
      </c>
      <c r="J520" t="n">
        <v>0</v>
      </c>
      <c r="K520" t="n">
        <v>0</v>
      </c>
      <c r="L520" t="n">
        <v>0</v>
      </c>
      <c r="M520" t="n">
        <v>0</v>
      </c>
      <c r="N520" t="n">
        <v>0</v>
      </c>
      <c r="O520" t="n">
        <v>0</v>
      </c>
      <c r="P520" t="n">
        <v>0</v>
      </c>
      <c r="Q520" t="n">
        <v>0</v>
      </c>
      <c r="R520" s="2" t="inlineStr"/>
    </row>
    <row r="521" ht="15" customHeight="1">
      <c r="A521" t="inlineStr">
        <is>
          <t>A 45258-2024</t>
        </is>
      </c>
      <c r="B521" s="1" t="n">
        <v>45576.34444444445</v>
      </c>
      <c r="C521" s="1" t="n">
        <v>46062</v>
      </c>
      <c r="D521" t="inlineStr">
        <is>
          <t>VÄSTERBOTTENS LÄN</t>
        </is>
      </c>
      <c r="E521" t="inlineStr">
        <is>
          <t>VILHELMINA</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35285-2025</t>
        </is>
      </c>
      <c r="B522" s="1" t="n">
        <v>45854</v>
      </c>
      <c r="C522" s="1" t="n">
        <v>46062</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35287-2025</t>
        </is>
      </c>
      <c r="B523" s="1" t="n">
        <v>45854.3653587963</v>
      </c>
      <c r="C523" s="1" t="n">
        <v>46062</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35288-2025</t>
        </is>
      </c>
      <c r="B524" s="1" t="n">
        <v>45854.36543981481</v>
      </c>
      <c r="C524" s="1" t="n">
        <v>46062</v>
      </c>
      <c r="D524" t="inlineStr">
        <is>
          <t>VÄSTERBOTTENS LÄN</t>
        </is>
      </c>
      <c r="E524" t="inlineStr">
        <is>
          <t>VILHELMINA</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21726-2021</t>
        </is>
      </c>
      <c r="B525" s="1" t="n">
        <v>44322</v>
      </c>
      <c r="C525" s="1" t="n">
        <v>46062</v>
      </c>
      <c r="D525" t="inlineStr">
        <is>
          <t>VÄSTERBOTTENS LÄN</t>
        </is>
      </c>
      <c r="E525" t="inlineStr">
        <is>
          <t>VILHELMINA</t>
        </is>
      </c>
      <c r="G525" t="n">
        <v>19.6</v>
      </c>
      <c r="H525" t="n">
        <v>0</v>
      </c>
      <c r="I525" t="n">
        <v>0</v>
      </c>
      <c r="J525" t="n">
        <v>0</v>
      </c>
      <c r="K525" t="n">
        <v>0</v>
      </c>
      <c r="L525" t="n">
        <v>0</v>
      </c>
      <c r="M525" t="n">
        <v>0</v>
      </c>
      <c r="N525" t="n">
        <v>0</v>
      </c>
      <c r="O525" t="n">
        <v>0</v>
      </c>
      <c r="P525" t="n">
        <v>0</v>
      </c>
      <c r="Q525" t="n">
        <v>0</v>
      </c>
      <c r="R525" s="2" t="inlineStr"/>
    </row>
    <row r="526" ht="15" customHeight="1">
      <c r="A526" t="inlineStr">
        <is>
          <t>A 51704-2025</t>
        </is>
      </c>
      <c r="B526" s="1" t="n">
        <v>45951.55436342592</v>
      </c>
      <c r="C526" s="1" t="n">
        <v>46062</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51651-2025</t>
        </is>
      </c>
      <c r="B527" s="1" t="n">
        <v>45951.46043981481</v>
      </c>
      <c r="C527" s="1" t="n">
        <v>46062</v>
      </c>
      <c r="D527" t="inlineStr">
        <is>
          <t>VÄSTERBOTTENS LÄN</t>
        </is>
      </c>
      <c r="E527" t="inlineStr">
        <is>
          <t>VILHELMINA</t>
        </is>
      </c>
      <c r="G527" t="n">
        <v>6.9</v>
      </c>
      <c r="H527" t="n">
        <v>0</v>
      </c>
      <c r="I527" t="n">
        <v>0</v>
      </c>
      <c r="J527" t="n">
        <v>0</v>
      </c>
      <c r="K527" t="n">
        <v>0</v>
      </c>
      <c r="L527" t="n">
        <v>0</v>
      </c>
      <c r="M527" t="n">
        <v>0</v>
      </c>
      <c r="N527" t="n">
        <v>0</v>
      </c>
      <c r="O527" t="n">
        <v>0</v>
      </c>
      <c r="P527" t="n">
        <v>0</v>
      </c>
      <c r="Q527" t="n">
        <v>0</v>
      </c>
      <c r="R527" s="2" t="inlineStr"/>
    </row>
    <row r="528" ht="15" customHeight="1">
      <c r="A528" t="inlineStr">
        <is>
          <t>A 51657-2025</t>
        </is>
      </c>
      <c r="B528" s="1" t="n">
        <v>45951.47362268518</v>
      </c>
      <c r="C528" s="1" t="n">
        <v>46062</v>
      </c>
      <c r="D528" t="inlineStr">
        <is>
          <t>VÄSTERBOTTENS LÄN</t>
        </is>
      </c>
      <c r="E528" t="inlineStr">
        <is>
          <t>VILHELMINA</t>
        </is>
      </c>
      <c r="G528" t="n">
        <v>14.4</v>
      </c>
      <c r="H528" t="n">
        <v>0</v>
      </c>
      <c r="I528" t="n">
        <v>0</v>
      </c>
      <c r="J528" t="n">
        <v>0</v>
      </c>
      <c r="K528" t="n">
        <v>0</v>
      </c>
      <c r="L528" t="n">
        <v>0</v>
      </c>
      <c r="M528" t="n">
        <v>0</v>
      </c>
      <c r="N528" t="n">
        <v>0</v>
      </c>
      <c r="O528" t="n">
        <v>0</v>
      </c>
      <c r="P528" t="n">
        <v>0</v>
      </c>
      <c r="Q528" t="n">
        <v>0</v>
      </c>
      <c r="R528" s="2" t="inlineStr"/>
    </row>
    <row r="529" ht="15" customHeight="1">
      <c r="A529" t="inlineStr">
        <is>
          <t>A 48423-2023</t>
        </is>
      </c>
      <c r="B529" s="1" t="n">
        <v>45205</v>
      </c>
      <c r="C529" s="1" t="n">
        <v>46062</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51701-2025</t>
        </is>
      </c>
      <c r="B530" s="1" t="n">
        <v>45951.55298611111</v>
      </c>
      <c r="C530" s="1" t="n">
        <v>46062</v>
      </c>
      <c r="D530" t="inlineStr">
        <is>
          <t>VÄSTERBOTTENS LÄN</t>
        </is>
      </c>
      <c r="E530" t="inlineStr">
        <is>
          <t>VILHELMINA</t>
        </is>
      </c>
      <c r="G530" t="n">
        <v>4.1</v>
      </c>
      <c r="H530" t="n">
        <v>0</v>
      </c>
      <c r="I530" t="n">
        <v>0</v>
      </c>
      <c r="J530" t="n">
        <v>0</v>
      </c>
      <c r="K530" t="n">
        <v>0</v>
      </c>
      <c r="L530" t="n">
        <v>0</v>
      </c>
      <c r="M530" t="n">
        <v>0</v>
      </c>
      <c r="N530" t="n">
        <v>0</v>
      </c>
      <c r="O530" t="n">
        <v>0</v>
      </c>
      <c r="P530" t="n">
        <v>0</v>
      </c>
      <c r="Q530" t="n">
        <v>0</v>
      </c>
      <c r="R530" s="2" t="inlineStr"/>
    </row>
    <row r="531" ht="15" customHeight="1">
      <c r="A531" t="inlineStr">
        <is>
          <t>A 17432-2025</t>
        </is>
      </c>
      <c r="B531" s="1" t="n">
        <v>45757</v>
      </c>
      <c r="C531" s="1" t="n">
        <v>46062</v>
      </c>
      <c r="D531" t="inlineStr">
        <is>
          <t>VÄSTERBOTTENS LÄN</t>
        </is>
      </c>
      <c r="E531" t="inlineStr">
        <is>
          <t>VILHELMINA</t>
        </is>
      </c>
      <c r="G531" t="n">
        <v>4.6</v>
      </c>
      <c r="H531" t="n">
        <v>0</v>
      </c>
      <c r="I531" t="n">
        <v>0</v>
      </c>
      <c r="J531" t="n">
        <v>0</v>
      </c>
      <c r="K531" t="n">
        <v>0</v>
      </c>
      <c r="L531" t="n">
        <v>0</v>
      </c>
      <c r="M531" t="n">
        <v>0</v>
      </c>
      <c r="N531" t="n">
        <v>0</v>
      </c>
      <c r="O531" t="n">
        <v>0</v>
      </c>
      <c r="P531" t="n">
        <v>0</v>
      </c>
      <c r="Q531" t="n">
        <v>0</v>
      </c>
      <c r="R531" s="2" t="inlineStr"/>
    </row>
    <row r="532" ht="15" customHeight="1">
      <c r="A532" t="inlineStr">
        <is>
          <t>A 48483-2023</t>
        </is>
      </c>
      <c r="B532" s="1" t="n">
        <v>45206.95854166667</v>
      </c>
      <c r="C532" s="1" t="n">
        <v>46062</v>
      </c>
      <c r="D532" t="inlineStr">
        <is>
          <t>VÄSTERBOTTENS LÄN</t>
        </is>
      </c>
      <c r="E532" t="inlineStr">
        <is>
          <t>VILHELMINA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52034-2025</t>
        </is>
      </c>
      <c r="B533" s="1" t="n">
        <v>45952.61252314815</v>
      </c>
      <c r="C533" s="1" t="n">
        <v>46062</v>
      </c>
      <c r="D533" t="inlineStr">
        <is>
          <t>VÄSTERBOTTENS LÄN</t>
        </is>
      </c>
      <c r="E533" t="inlineStr">
        <is>
          <t>VILHELMINA</t>
        </is>
      </c>
      <c r="G533" t="n">
        <v>9.6</v>
      </c>
      <c r="H533" t="n">
        <v>0</v>
      </c>
      <c r="I533" t="n">
        <v>0</v>
      </c>
      <c r="J533" t="n">
        <v>0</v>
      </c>
      <c r="K533" t="n">
        <v>0</v>
      </c>
      <c r="L533" t="n">
        <v>0</v>
      </c>
      <c r="M533" t="n">
        <v>0</v>
      </c>
      <c r="N533" t="n">
        <v>0</v>
      </c>
      <c r="O533" t="n">
        <v>0</v>
      </c>
      <c r="P533" t="n">
        <v>0</v>
      </c>
      <c r="Q533" t="n">
        <v>0</v>
      </c>
      <c r="R533" s="2" t="inlineStr"/>
    </row>
    <row r="534" ht="15" customHeight="1">
      <c r="A534" t="inlineStr">
        <is>
          <t>A 35886-2025</t>
        </is>
      </c>
      <c r="B534" s="1" t="n">
        <v>45862</v>
      </c>
      <c r="C534" s="1" t="n">
        <v>46062</v>
      </c>
      <c r="D534" t="inlineStr">
        <is>
          <t>VÄSTERBOTTENS LÄN</t>
        </is>
      </c>
      <c r="E534" t="inlineStr">
        <is>
          <t>VILHELMINA</t>
        </is>
      </c>
      <c r="G534" t="n">
        <v>7</v>
      </c>
      <c r="H534" t="n">
        <v>0</v>
      </c>
      <c r="I534" t="n">
        <v>0</v>
      </c>
      <c r="J534" t="n">
        <v>0</v>
      </c>
      <c r="K534" t="n">
        <v>0</v>
      </c>
      <c r="L534" t="n">
        <v>0</v>
      </c>
      <c r="M534" t="n">
        <v>0</v>
      </c>
      <c r="N534" t="n">
        <v>0</v>
      </c>
      <c r="O534" t="n">
        <v>0</v>
      </c>
      <c r="P534" t="n">
        <v>0</v>
      </c>
      <c r="Q534" t="n">
        <v>0</v>
      </c>
      <c r="R534" s="2" t="inlineStr"/>
    </row>
    <row r="535" ht="15" customHeight="1">
      <c r="A535" t="inlineStr">
        <is>
          <t>A 35888-2025</t>
        </is>
      </c>
      <c r="B535" s="1" t="n">
        <v>45862.44034722223</v>
      </c>
      <c r="C535" s="1" t="n">
        <v>46062</v>
      </c>
      <c r="D535" t="inlineStr">
        <is>
          <t>VÄSTERBOTTENS LÄN</t>
        </is>
      </c>
      <c r="E535" t="inlineStr">
        <is>
          <t>VILHELMINA</t>
        </is>
      </c>
      <c r="G535" t="n">
        <v>2.4</v>
      </c>
      <c r="H535" t="n">
        <v>0</v>
      </c>
      <c r="I535" t="n">
        <v>0</v>
      </c>
      <c r="J535" t="n">
        <v>0</v>
      </c>
      <c r="K535" t="n">
        <v>0</v>
      </c>
      <c r="L535" t="n">
        <v>0</v>
      </c>
      <c r="M535" t="n">
        <v>0</v>
      </c>
      <c r="N535" t="n">
        <v>0</v>
      </c>
      <c r="O535" t="n">
        <v>0</v>
      </c>
      <c r="P535" t="n">
        <v>0</v>
      </c>
      <c r="Q535" t="n">
        <v>0</v>
      </c>
      <c r="R535" s="2" t="inlineStr"/>
    </row>
    <row r="536" ht="15" customHeight="1">
      <c r="A536" t="inlineStr">
        <is>
          <t>A 37717-2024</t>
        </is>
      </c>
      <c r="B536" s="1" t="n">
        <v>45541</v>
      </c>
      <c r="C536" s="1" t="n">
        <v>46062</v>
      </c>
      <c r="D536" t="inlineStr">
        <is>
          <t>VÄSTERBOTTENS LÄN</t>
        </is>
      </c>
      <c r="E536" t="inlineStr">
        <is>
          <t>VILHELMINA</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52334-2025</t>
        </is>
      </c>
      <c r="B537" s="1" t="n">
        <v>45953.68225694444</v>
      </c>
      <c r="C537" s="1" t="n">
        <v>46062</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6638-2025</t>
        </is>
      </c>
      <c r="B538" s="1" t="n">
        <v>45700</v>
      </c>
      <c r="C538" s="1" t="n">
        <v>46062</v>
      </c>
      <c r="D538" t="inlineStr">
        <is>
          <t>VÄSTERBOTTENS LÄN</t>
        </is>
      </c>
      <c r="E538" t="inlineStr">
        <is>
          <t>VILHELMINA</t>
        </is>
      </c>
      <c r="G538" t="n">
        <v>21.5</v>
      </c>
      <c r="H538" t="n">
        <v>0</v>
      </c>
      <c r="I538" t="n">
        <v>0</v>
      </c>
      <c r="J538" t="n">
        <v>0</v>
      </c>
      <c r="K538" t="n">
        <v>0</v>
      </c>
      <c r="L538" t="n">
        <v>0</v>
      </c>
      <c r="M538" t="n">
        <v>0</v>
      </c>
      <c r="N538" t="n">
        <v>0</v>
      </c>
      <c r="O538" t="n">
        <v>0</v>
      </c>
      <c r="P538" t="n">
        <v>0</v>
      </c>
      <c r="Q538" t="n">
        <v>0</v>
      </c>
      <c r="R538" s="2" t="inlineStr"/>
    </row>
    <row r="539" ht="15" customHeight="1">
      <c r="A539" t="inlineStr">
        <is>
          <t>A 60549-2025</t>
        </is>
      </c>
      <c r="B539" s="1" t="n">
        <v>45995.71637731481</v>
      </c>
      <c r="C539" s="1" t="n">
        <v>46062</v>
      </c>
      <c r="D539" t="inlineStr">
        <is>
          <t>VÄSTERBOTTENS LÄN</t>
        </is>
      </c>
      <c r="E539" t="inlineStr">
        <is>
          <t>VILHELMINA</t>
        </is>
      </c>
      <c r="G539" t="n">
        <v>19.6</v>
      </c>
      <c r="H539" t="n">
        <v>0</v>
      </c>
      <c r="I539" t="n">
        <v>0</v>
      </c>
      <c r="J539" t="n">
        <v>0</v>
      </c>
      <c r="K539" t="n">
        <v>0</v>
      </c>
      <c r="L539" t="n">
        <v>0</v>
      </c>
      <c r="M539" t="n">
        <v>0</v>
      </c>
      <c r="N539" t="n">
        <v>0</v>
      </c>
      <c r="O539" t="n">
        <v>0</v>
      </c>
      <c r="P539" t="n">
        <v>0</v>
      </c>
      <c r="Q539" t="n">
        <v>0</v>
      </c>
      <c r="R539" s="2" t="inlineStr"/>
    </row>
    <row r="540" ht="15" customHeight="1">
      <c r="A540" t="inlineStr">
        <is>
          <t>A 56624-2024</t>
        </is>
      </c>
      <c r="B540" s="1" t="n">
        <v>45625</v>
      </c>
      <c r="C540" s="1" t="n">
        <v>46062</v>
      </c>
      <c r="D540" t="inlineStr">
        <is>
          <t>VÄSTERBOTTENS LÄN</t>
        </is>
      </c>
      <c r="E540" t="inlineStr">
        <is>
          <t>VILHELMINA</t>
        </is>
      </c>
      <c r="F540" t="inlineStr">
        <is>
          <t>Allmännings- och besparingsskogar</t>
        </is>
      </c>
      <c r="G540" t="n">
        <v>17.8</v>
      </c>
      <c r="H540" t="n">
        <v>0</v>
      </c>
      <c r="I540" t="n">
        <v>0</v>
      </c>
      <c r="J540" t="n">
        <v>0</v>
      </c>
      <c r="K540" t="n">
        <v>0</v>
      </c>
      <c r="L540" t="n">
        <v>0</v>
      </c>
      <c r="M540" t="n">
        <v>0</v>
      </c>
      <c r="N540" t="n">
        <v>0</v>
      </c>
      <c r="O540" t="n">
        <v>0</v>
      </c>
      <c r="P540" t="n">
        <v>0</v>
      </c>
      <c r="Q540" t="n">
        <v>0</v>
      </c>
      <c r="R540" s="2" t="inlineStr"/>
    </row>
    <row r="541" ht="15" customHeight="1">
      <c r="A541" t="inlineStr">
        <is>
          <t>A 52398-2025</t>
        </is>
      </c>
      <c r="B541" s="1" t="n">
        <v>45954.34572916666</v>
      </c>
      <c r="C541" s="1" t="n">
        <v>46062</v>
      </c>
      <c r="D541" t="inlineStr">
        <is>
          <t>VÄSTERBOTTENS LÄN</t>
        </is>
      </c>
      <c r="E541" t="inlineStr">
        <is>
          <t>VILHELMINA</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52565-2025</t>
        </is>
      </c>
      <c r="B542" s="1" t="n">
        <v>45954.59429398148</v>
      </c>
      <c r="C542" s="1" t="n">
        <v>46062</v>
      </c>
      <c r="D542" t="inlineStr">
        <is>
          <t>VÄSTERBOTTENS LÄN</t>
        </is>
      </c>
      <c r="E542" t="inlineStr">
        <is>
          <t>VILHELMINA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6669-2021</t>
        </is>
      </c>
      <c r="B543" s="1" t="n">
        <v>44235</v>
      </c>
      <c r="C543" s="1" t="n">
        <v>46062</v>
      </c>
      <c r="D543" t="inlineStr">
        <is>
          <t>VÄSTERBOTTENS LÄN</t>
        </is>
      </c>
      <c r="E543" t="inlineStr">
        <is>
          <t>VILHELMINA</t>
        </is>
      </c>
      <c r="G543" t="n">
        <v>19.8</v>
      </c>
      <c r="H543" t="n">
        <v>0</v>
      </c>
      <c r="I543" t="n">
        <v>0</v>
      </c>
      <c r="J543" t="n">
        <v>0</v>
      </c>
      <c r="K543" t="n">
        <v>0</v>
      </c>
      <c r="L543" t="n">
        <v>0</v>
      </c>
      <c r="M543" t="n">
        <v>0</v>
      </c>
      <c r="N543" t="n">
        <v>0</v>
      </c>
      <c r="O543" t="n">
        <v>0</v>
      </c>
      <c r="P543" t="n">
        <v>0</v>
      </c>
      <c r="Q543" t="n">
        <v>0</v>
      </c>
      <c r="R543" s="2" t="inlineStr"/>
    </row>
    <row r="544" ht="15" customHeight="1">
      <c r="A544" t="inlineStr">
        <is>
          <t>A 6706-2021</t>
        </is>
      </c>
      <c r="B544" s="1" t="n">
        <v>44235</v>
      </c>
      <c r="C544" s="1" t="n">
        <v>46062</v>
      </c>
      <c r="D544" t="inlineStr">
        <is>
          <t>VÄSTERBOTTENS LÄN</t>
        </is>
      </c>
      <c r="E544" t="inlineStr">
        <is>
          <t>VILHELMINA</t>
        </is>
      </c>
      <c r="G544" t="n">
        <v>3.8</v>
      </c>
      <c r="H544" t="n">
        <v>0</v>
      </c>
      <c r="I544" t="n">
        <v>0</v>
      </c>
      <c r="J544" t="n">
        <v>0</v>
      </c>
      <c r="K544" t="n">
        <v>0</v>
      </c>
      <c r="L544" t="n">
        <v>0</v>
      </c>
      <c r="M544" t="n">
        <v>0</v>
      </c>
      <c r="N544" t="n">
        <v>0</v>
      </c>
      <c r="O544" t="n">
        <v>0</v>
      </c>
      <c r="P544" t="n">
        <v>0</v>
      </c>
      <c r="Q544" t="n">
        <v>0</v>
      </c>
      <c r="R544" s="2" t="inlineStr"/>
    </row>
    <row r="545" ht="15" customHeight="1">
      <c r="A545" t="inlineStr">
        <is>
          <t>A 58377-2021</t>
        </is>
      </c>
      <c r="B545" s="1" t="n">
        <v>44488</v>
      </c>
      <c r="C545" s="1" t="n">
        <v>46062</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475-2024</t>
        </is>
      </c>
      <c r="B546" s="1" t="n">
        <v>45297.83246527778</v>
      </c>
      <c r="C546" s="1" t="n">
        <v>46062</v>
      </c>
      <c r="D546" t="inlineStr">
        <is>
          <t>VÄSTERBOTTENS LÄN</t>
        </is>
      </c>
      <c r="E546" t="inlineStr">
        <is>
          <t>VILHELMINA</t>
        </is>
      </c>
      <c r="G546" t="n">
        <v>6.1</v>
      </c>
      <c r="H546" t="n">
        <v>0</v>
      </c>
      <c r="I546" t="n">
        <v>0</v>
      </c>
      <c r="J546" t="n">
        <v>0</v>
      </c>
      <c r="K546" t="n">
        <v>0</v>
      </c>
      <c r="L546" t="n">
        <v>0</v>
      </c>
      <c r="M546" t="n">
        <v>0</v>
      </c>
      <c r="N546" t="n">
        <v>0</v>
      </c>
      <c r="O546" t="n">
        <v>0</v>
      </c>
      <c r="P546" t="n">
        <v>0</v>
      </c>
      <c r="Q546" t="n">
        <v>0</v>
      </c>
      <c r="R546" s="2" t="inlineStr"/>
    </row>
    <row r="547" ht="15" customHeight="1">
      <c r="A547" t="inlineStr">
        <is>
          <t>A 14254-2025</t>
        </is>
      </c>
      <c r="B547" s="1" t="n">
        <v>45740.61644675926</v>
      </c>
      <c r="C547" s="1" t="n">
        <v>46062</v>
      </c>
      <c r="D547" t="inlineStr">
        <is>
          <t>VÄSTERBOTTENS LÄN</t>
        </is>
      </c>
      <c r="E547" t="inlineStr">
        <is>
          <t>VILHELMINA</t>
        </is>
      </c>
      <c r="G547" t="n">
        <v>2</v>
      </c>
      <c r="H547" t="n">
        <v>0</v>
      </c>
      <c r="I547" t="n">
        <v>0</v>
      </c>
      <c r="J547" t="n">
        <v>0</v>
      </c>
      <c r="K547" t="n">
        <v>0</v>
      </c>
      <c r="L547" t="n">
        <v>0</v>
      </c>
      <c r="M547" t="n">
        <v>0</v>
      </c>
      <c r="N547" t="n">
        <v>0</v>
      </c>
      <c r="O547" t="n">
        <v>0</v>
      </c>
      <c r="P547" t="n">
        <v>0</v>
      </c>
      <c r="Q547" t="n">
        <v>0</v>
      </c>
      <c r="R547" s="2" t="inlineStr"/>
    </row>
    <row r="548" ht="15" customHeight="1">
      <c r="A548" t="inlineStr">
        <is>
          <t>A 52811-2025</t>
        </is>
      </c>
      <c r="B548" s="1" t="n">
        <v>45957.44878472222</v>
      </c>
      <c r="C548" s="1" t="n">
        <v>46062</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19909-2025</t>
        </is>
      </c>
      <c r="B549" s="1" t="n">
        <v>45771.60482638889</v>
      </c>
      <c r="C549" s="1" t="n">
        <v>46062</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43817-2025</t>
        </is>
      </c>
      <c r="B550" s="1" t="n">
        <v>45912</v>
      </c>
      <c r="C550" s="1" t="n">
        <v>46062</v>
      </c>
      <c r="D550" t="inlineStr">
        <is>
          <t>VÄSTERBOTTENS LÄN</t>
        </is>
      </c>
      <c r="E550" t="inlineStr">
        <is>
          <t>VILHELMINA</t>
        </is>
      </c>
      <c r="G550" t="n">
        <v>23.1</v>
      </c>
      <c r="H550" t="n">
        <v>0</v>
      </c>
      <c r="I550" t="n">
        <v>0</v>
      </c>
      <c r="J550" t="n">
        <v>0</v>
      </c>
      <c r="K550" t="n">
        <v>0</v>
      </c>
      <c r="L550" t="n">
        <v>0</v>
      </c>
      <c r="M550" t="n">
        <v>0</v>
      </c>
      <c r="N550" t="n">
        <v>0</v>
      </c>
      <c r="O550" t="n">
        <v>0</v>
      </c>
      <c r="P550" t="n">
        <v>0</v>
      </c>
      <c r="Q550" t="n">
        <v>0</v>
      </c>
      <c r="R550" s="2" t="inlineStr"/>
    </row>
    <row r="551" ht="15" customHeight="1">
      <c r="A551" t="inlineStr">
        <is>
          <t>A 36669-2025</t>
        </is>
      </c>
      <c r="B551" s="1" t="n">
        <v>45873</v>
      </c>
      <c r="C551" s="1" t="n">
        <v>46062</v>
      </c>
      <c r="D551" t="inlineStr">
        <is>
          <t>VÄSTERBOTTENS LÄN</t>
        </is>
      </c>
      <c r="E551" t="inlineStr">
        <is>
          <t>VILHELMINA</t>
        </is>
      </c>
      <c r="G551" t="n">
        <v>12.5</v>
      </c>
      <c r="H551" t="n">
        <v>0</v>
      </c>
      <c r="I551" t="n">
        <v>0</v>
      </c>
      <c r="J551" t="n">
        <v>0</v>
      </c>
      <c r="K551" t="n">
        <v>0</v>
      </c>
      <c r="L551" t="n">
        <v>0</v>
      </c>
      <c r="M551" t="n">
        <v>0</v>
      </c>
      <c r="N551" t="n">
        <v>0</v>
      </c>
      <c r="O551" t="n">
        <v>0</v>
      </c>
      <c r="P551" t="n">
        <v>0</v>
      </c>
      <c r="Q551" t="n">
        <v>0</v>
      </c>
      <c r="R551" s="2" t="inlineStr"/>
    </row>
    <row r="552" ht="15" customHeight="1">
      <c r="A552" t="inlineStr">
        <is>
          <t>A 52789-2025</t>
        </is>
      </c>
      <c r="B552" s="1" t="n">
        <v>45957.42777777778</v>
      </c>
      <c r="C552" s="1" t="n">
        <v>46062</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36569-2025</t>
        </is>
      </c>
      <c r="B553" s="1" t="n">
        <v>45870</v>
      </c>
      <c r="C553" s="1" t="n">
        <v>46062</v>
      </c>
      <c r="D553" t="inlineStr">
        <is>
          <t>VÄSTERBOTTENS LÄN</t>
        </is>
      </c>
      <c r="E553" t="inlineStr">
        <is>
          <t>VILHELMINA</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8916-2023</t>
        </is>
      </c>
      <c r="B554" s="1" t="n">
        <v>44972</v>
      </c>
      <c r="C554" s="1" t="n">
        <v>46062</v>
      </c>
      <c r="D554" t="inlineStr">
        <is>
          <t>VÄSTERBOTTENS LÄN</t>
        </is>
      </c>
      <c r="E554" t="inlineStr">
        <is>
          <t>VILHELMINA</t>
        </is>
      </c>
      <c r="F554" t="inlineStr">
        <is>
          <t>Allmännings- och besparingsskogar</t>
        </is>
      </c>
      <c r="G554" t="n">
        <v>22.1</v>
      </c>
      <c r="H554" t="n">
        <v>0</v>
      </c>
      <c r="I554" t="n">
        <v>0</v>
      </c>
      <c r="J554" t="n">
        <v>0</v>
      </c>
      <c r="K554" t="n">
        <v>0</v>
      </c>
      <c r="L554" t="n">
        <v>0</v>
      </c>
      <c r="M554" t="n">
        <v>0</v>
      </c>
      <c r="N554" t="n">
        <v>0</v>
      </c>
      <c r="O554" t="n">
        <v>0</v>
      </c>
      <c r="P554" t="n">
        <v>0</v>
      </c>
      <c r="Q554" t="n">
        <v>0</v>
      </c>
      <c r="R554" s="2" t="inlineStr"/>
    </row>
    <row r="555" ht="15" customHeight="1">
      <c r="A555" t="inlineStr">
        <is>
          <t>A 44634-2024</t>
        </is>
      </c>
      <c r="B555" s="1" t="n">
        <v>45574</v>
      </c>
      <c r="C555" s="1" t="n">
        <v>46062</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36973-2025</t>
        </is>
      </c>
      <c r="B556" s="1" t="n">
        <v>45874.63747685185</v>
      </c>
      <c r="C556" s="1" t="n">
        <v>46062</v>
      </c>
      <c r="D556" t="inlineStr">
        <is>
          <t>VÄSTERBOTTENS LÄN</t>
        </is>
      </c>
      <c r="E556" t="inlineStr">
        <is>
          <t>VILHELMINA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37015-2025</t>
        </is>
      </c>
      <c r="B557" s="1" t="n">
        <v>45874.71912037037</v>
      </c>
      <c r="C557" s="1" t="n">
        <v>46062</v>
      </c>
      <c r="D557" t="inlineStr">
        <is>
          <t>VÄSTERBOTTENS LÄN</t>
        </is>
      </c>
      <c r="E557" t="inlineStr">
        <is>
          <t>VILHELMINA</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61780-2023</t>
        </is>
      </c>
      <c r="B558" s="1" t="n">
        <v>45265.95685185185</v>
      </c>
      <c r="C558" s="1" t="n">
        <v>46062</v>
      </c>
      <c r="D558" t="inlineStr">
        <is>
          <t>VÄSTERBOTTENS LÄN</t>
        </is>
      </c>
      <c r="E558" t="inlineStr">
        <is>
          <t>VILHELMINA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36944-2025</t>
        </is>
      </c>
      <c r="B559" s="1" t="n">
        <v>45874.59450231482</v>
      </c>
      <c r="C559" s="1" t="n">
        <v>46062</v>
      </c>
      <c r="D559" t="inlineStr">
        <is>
          <t>VÄSTERBOTTENS LÄN</t>
        </is>
      </c>
      <c r="E559" t="inlineStr">
        <is>
          <t>VILHELMINA</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37302-2025</t>
        </is>
      </c>
      <c r="B560" s="1" t="n">
        <v>45876</v>
      </c>
      <c r="C560" s="1" t="n">
        <v>46062</v>
      </c>
      <c r="D560" t="inlineStr">
        <is>
          <t>VÄSTERBOTTENS LÄN</t>
        </is>
      </c>
      <c r="E560" t="inlineStr">
        <is>
          <t>VILHELMINA</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59693-2024</t>
        </is>
      </c>
      <c r="B561" s="1" t="n">
        <v>45639</v>
      </c>
      <c r="C561" s="1" t="n">
        <v>46062</v>
      </c>
      <c r="D561" t="inlineStr">
        <is>
          <t>VÄSTERBOTTENS LÄN</t>
        </is>
      </c>
      <c r="E561" t="inlineStr">
        <is>
          <t>VILHELMINA</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53015-2025</t>
        </is>
      </c>
      <c r="B562" s="1" t="n">
        <v>45957.82777777778</v>
      </c>
      <c r="C562" s="1" t="n">
        <v>46062</v>
      </c>
      <c r="D562" t="inlineStr">
        <is>
          <t>VÄSTERBOTTENS LÄN</t>
        </is>
      </c>
      <c r="E562" t="inlineStr">
        <is>
          <t>VILHELMINA</t>
        </is>
      </c>
      <c r="G562" t="n">
        <v>17.2</v>
      </c>
      <c r="H562" t="n">
        <v>0</v>
      </c>
      <c r="I562" t="n">
        <v>0</v>
      </c>
      <c r="J562" t="n">
        <v>0</v>
      </c>
      <c r="K562" t="n">
        <v>0</v>
      </c>
      <c r="L562" t="n">
        <v>0</v>
      </c>
      <c r="M562" t="n">
        <v>0</v>
      </c>
      <c r="N562" t="n">
        <v>0</v>
      </c>
      <c r="O562" t="n">
        <v>0</v>
      </c>
      <c r="P562" t="n">
        <v>0</v>
      </c>
      <c r="Q562" t="n">
        <v>0</v>
      </c>
      <c r="R562" s="2" t="inlineStr"/>
    </row>
    <row r="563" ht="15" customHeight="1">
      <c r="A563" t="inlineStr">
        <is>
          <t>A 20324-2025</t>
        </is>
      </c>
      <c r="B563" s="1" t="n">
        <v>45775</v>
      </c>
      <c r="C563" s="1" t="n">
        <v>46062</v>
      </c>
      <c r="D563" t="inlineStr">
        <is>
          <t>VÄSTERBOTTENS LÄN</t>
        </is>
      </c>
      <c r="E563" t="inlineStr">
        <is>
          <t>VILHELMINA</t>
        </is>
      </c>
      <c r="G563" t="n">
        <v>3.5</v>
      </c>
      <c r="H563" t="n">
        <v>0</v>
      </c>
      <c r="I563" t="n">
        <v>0</v>
      </c>
      <c r="J563" t="n">
        <v>0</v>
      </c>
      <c r="K563" t="n">
        <v>0</v>
      </c>
      <c r="L563" t="n">
        <v>0</v>
      </c>
      <c r="M563" t="n">
        <v>0</v>
      </c>
      <c r="N563" t="n">
        <v>0</v>
      </c>
      <c r="O563" t="n">
        <v>0</v>
      </c>
      <c r="P563" t="n">
        <v>0</v>
      </c>
      <c r="Q563" t="n">
        <v>0</v>
      </c>
      <c r="R563" s="2" t="inlineStr"/>
    </row>
    <row r="564" ht="15" customHeight="1">
      <c r="A564" t="inlineStr">
        <is>
          <t>A 38555-2024</t>
        </is>
      </c>
      <c r="B564" s="1" t="n">
        <v>45546</v>
      </c>
      <c r="C564" s="1" t="n">
        <v>46062</v>
      </c>
      <c r="D564" t="inlineStr">
        <is>
          <t>VÄSTERBOTTENS LÄN</t>
        </is>
      </c>
      <c r="E564" t="inlineStr">
        <is>
          <t>VILHELMINA</t>
        </is>
      </c>
      <c r="G564" t="n">
        <v>7.8</v>
      </c>
      <c r="H564" t="n">
        <v>0</v>
      </c>
      <c r="I564" t="n">
        <v>0</v>
      </c>
      <c r="J564" t="n">
        <v>0</v>
      </c>
      <c r="K564" t="n">
        <v>0</v>
      </c>
      <c r="L564" t="n">
        <v>0</v>
      </c>
      <c r="M564" t="n">
        <v>0</v>
      </c>
      <c r="N564" t="n">
        <v>0</v>
      </c>
      <c r="O564" t="n">
        <v>0</v>
      </c>
      <c r="P564" t="n">
        <v>0</v>
      </c>
      <c r="Q564" t="n">
        <v>0</v>
      </c>
      <c r="R564" s="2" t="inlineStr"/>
    </row>
    <row r="565" ht="15" customHeight="1">
      <c r="A565" t="inlineStr">
        <is>
          <t>A 56754-2023</t>
        </is>
      </c>
      <c r="B565" s="1" t="n">
        <v>45238</v>
      </c>
      <c r="C565" s="1" t="n">
        <v>46062</v>
      </c>
      <c r="D565" t="inlineStr">
        <is>
          <t>VÄSTERBOTTENS LÄN</t>
        </is>
      </c>
      <c r="E565" t="inlineStr">
        <is>
          <t>VILHELMINA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37368-2025</t>
        </is>
      </c>
      <c r="B566" s="1" t="n">
        <v>45877.34436342592</v>
      </c>
      <c r="C566" s="1" t="n">
        <v>46062</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37369-2025</t>
        </is>
      </c>
      <c r="B567" s="1" t="n">
        <v>45877.34444444445</v>
      </c>
      <c r="C567" s="1" t="n">
        <v>46062</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37269-2025</t>
        </is>
      </c>
      <c r="B568" s="1" t="n">
        <v>45876</v>
      </c>
      <c r="C568" s="1" t="n">
        <v>46062</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60151-2024</t>
        </is>
      </c>
      <c r="B569" s="1" t="n">
        <v>45642.61490740741</v>
      </c>
      <c r="C569" s="1" t="n">
        <v>46062</v>
      </c>
      <c r="D569" t="inlineStr">
        <is>
          <t>VÄSTERBOTTENS LÄN</t>
        </is>
      </c>
      <c r="E569" t="inlineStr">
        <is>
          <t>VILHELMINA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37376-2025</t>
        </is>
      </c>
      <c r="B570" s="1" t="n">
        <v>45877.36513888889</v>
      </c>
      <c r="C570" s="1" t="n">
        <v>46062</v>
      </c>
      <c r="D570" t="inlineStr">
        <is>
          <t>VÄSTERBOTTENS LÄN</t>
        </is>
      </c>
      <c r="E570" t="inlineStr">
        <is>
          <t>VILHELMINA</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26553-2023</t>
        </is>
      </c>
      <c r="B571" s="1" t="n">
        <v>45089</v>
      </c>
      <c r="C571" s="1" t="n">
        <v>46062</v>
      </c>
      <c r="D571" t="inlineStr">
        <is>
          <t>VÄSTERBOTTENS LÄN</t>
        </is>
      </c>
      <c r="E571" t="inlineStr">
        <is>
          <t>VILHELMINA</t>
        </is>
      </c>
      <c r="G571" t="n">
        <v>5.5</v>
      </c>
      <c r="H571" t="n">
        <v>0</v>
      </c>
      <c r="I571" t="n">
        <v>0</v>
      </c>
      <c r="J571" t="n">
        <v>0</v>
      </c>
      <c r="K571" t="n">
        <v>0</v>
      </c>
      <c r="L571" t="n">
        <v>0</v>
      </c>
      <c r="M571" t="n">
        <v>0</v>
      </c>
      <c r="N571" t="n">
        <v>0</v>
      </c>
      <c r="O571" t="n">
        <v>0</v>
      </c>
      <c r="P571" t="n">
        <v>0</v>
      </c>
      <c r="Q571" t="n">
        <v>0</v>
      </c>
      <c r="R571" s="2" t="inlineStr"/>
    </row>
    <row r="572" ht="15" customHeight="1">
      <c r="A572" t="inlineStr">
        <is>
          <t>A 30572-2024</t>
        </is>
      </c>
      <c r="B572" s="1" t="n">
        <v>45492.95777777778</v>
      </c>
      <c r="C572" s="1" t="n">
        <v>46062</v>
      </c>
      <c r="D572" t="inlineStr">
        <is>
          <t>VÄSTERBOTTENS LÄN</t>
        </is>
      </c>
      <c r="E572" t="inlineStr">
        <is>
          <t>VILHELMINA</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15062-2024</t>
        </is>
      </c>
      <c r="B573" s="1" t="n">
        <v>45399</v>
      </c>
      <c r="C573" s="1" t="n">
        <v>46062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15066-2024</t>
        </is>
      </c>
      <c r="B574" s="1" t="n">
        <v>45399</v>
      </c>
      <c r="C574" s="1" t="n">
        <v>46062</v>
      </c>
      <c r="D574" t="inlineStr">
        <is>
          <t>VÄSTERBOTTENS LÄN</t>
        </is>
      </c>
      <c r="E574" t="inlineStr">
        <is>
          <t>VILHELMINA</t>
        </is>
      </c>
      <c r="G574" t="n">
        <v>4.6</v>
      </c>
      <c r="H574" t="n">
        <v>0</v>
      </c>
      <c r="I574" t="n">
        <v>0</v>
      </c>
      <c r="J574" t="n">
        <v>0</v>
      </c>
      <c r="K574" t="n">
        <v>0</v>
      </c>
      <c r="L574" t="n">
        <v>0</v>
      </c>
      <c r="M574" t="n">
        <v>0</v>
      </c>
      <c r="N574" t="n">
        <v>0</v>
      </c>
      <c r="O574" t="n">
        <v>0</v>
      </c>
      <c r="P574" t="n">
        <v>0</v>
      </c>
      <c r="Q574" t="n">
        <v>0</v>
      </c>
      <c r="R574" s="2" t="inlineStr"/>
    </row>
    <row r="575" ht="15" customHeight="1">
      <c r="A575" t="inlineStr">
        <is>
          <t>A 40726-2024</t>
        </is>
      </c>
      <c r="B575" s="1" t="n">
        <v>45558</v>
      </c>
      <c r="C575" s="1" t="n">
        <v>46062</v>
      </c>
      <c r="D575" t="inlineStr">
        <is>
          <t>VÄSTERBOTTENS LÄN</t>
        </is>
      </c>
      <c r="E575" t="inlineStr">
        <is>
          <t>VILHELMINA</t>
        </is>
      </c>
      <c r="F575" t="inlineStr">
        <is>
          <t>Allmännings- och besparingsskogar</t>
        </is>
      </c>
      <c r="G575" t="n">
        <v>73.59999999999999</v>
      </c>
      <c r="H575" t="n">
        <v>0</v>
      </c>
      <c r="I575" t="n">
        <v>0</v>
      </c>
      <c r="J575" t="n">
        <v>0</v>
      </c>
      <c r="K575" t="n">
        <v>0</v>
      </c>
      <c r="L575" t="n">
        <v>0</v>
      </c>
      <c r="M575" t="n">
        <v>0</v>
      </c>
      <c r="N575" t="n">
        <v>0</v>
      </c>
      <c r="O575" t="n">
        <v>0</v>
      </c>
      <c r="P575" t="n">
        <v>0</v>
      </c>
      <c r="Q575" t="n">
        <v>0</v>
      </c>
      <c r="R575" s="2" t="inlineStr"/>
    </row>
    <row r="576" ht="15" customHeight="1">
      <c r="A576" t="inlineStr">
        <is>
          <t>A 22108-2024</t>
        </is>
      </c>
      <c r="B576" s="1" t="n">
        <v>45443</v>
      </c>
      <c r="C576" s="1" t="n">
        <v>46062</v>
      </c>
      <c r="D576" t="inlineStr">
        <is>
          <t>VÄSTERBOTTENS LÄN</t>
        </is>
      </c>
      <c r="E576" t="inlineStr">
        <is>
          <t>VILHELMINA</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9197-2023</t>
        </is>
      </c>
      <c r="B577" s="1" t="n">
        <v>44977</v>
      </c>
      <c r="C577" s="1" t="n">
        <v>46062</v>
      </c>
      <c r="D577" t="inlineStr">
        <is>
          <t>VÄSTERBOTTENS LÄN</t>
        </is>
      </c>
      <c r="E577" t="inlineStr">
        <is>
          <t>VILHELMINA</t>
        </is>
      </c>
      <c r="G577" t="n">
        <v>8.9</v>
      </c>
      <c r="H577" t="n">
        <v>0</v>
      </c>
      <c r="I577" t="n">
        <v>0</v>
      </c>
      <c r="J577" t="n">
        <v>0</v>
      </c>
      <c r="K577" t="n">
        <v>0</v>
      </c>
      <c r="L577" t="n">
        <v>0</v>
      </c>
      <c r="M577" t="n">
        <v>0</v>
      </c>
      <c r="N577" t="n">
        <v>0</v>
      </c>
      <c r="O577" t="n">
        <v>0</v>
      </c>
      <c r="P577" t="n">
        <v>0</v>
      </c>
      <c r="Q577" t="n">
        <v>0</v>
      </c>
      <c r="R577" s="2" t="inlineStr"/>
    </row>
    <row r="578" ht="15" customHeight="1">
      <c r="A578" t="inlineStr">
        <is>
          <t>A 31696-2024</t>
        </is>
      </c>
      <c r="B578" s="1" t="n">
        <v>45508</v>
      </c>
      <c r="C578" s="1" t="n">
        <v>46062</v>
      </c>
      <c r="D578" t="inlineStr">
        <is>
          <t>VÄSTERBOTTENS LÄN</t>
        </is>
      </c>
      <c r="E578" t="inlineStr">
        <is>
          <t>VILHELMINA</t>
        </is>
      </c>
      <c r="G578" t="n">
        <v>12.4</v>
      </c>
      <c r="H578" t="n">
        <v>0</v>
      </c>
      <c r="I578" t="n">
        <v>0</v>
      </c>
      <c r="J578" t="n">
        <v>0</v>
      </c>
      <c r="K578" t="n">
        <v>0</v>
      </c>
      <c r="L578" t="n">
        <v>0</v>
      </c>
      <c r="M578" t="n">
        <v>0</v>
      </c>
      <c r="N578" t="n">
        <v>0</v>
      </c>
      <c r="O578" t="n">
        <v>0</v>
      </c>
      <c r="P578" t="n">
        <v>0</v>
      </c>
      <c r="Q578" t="n">
        <v>0</v>
      </c>
      <c r="R578" s="2" t="inlineStr"/>
    </row>
    <row r="579" ht="15" customHeight="1">
      <c r="A579" t="inlineStr">
        <is>
          <t>A 52815-2025</t>
        </is>
      </c>
      <c r="B579" s="1" t="n">
        <v>45957</v>
      </c>
      <c r="C579" s="1" t="n">
        <v>46062</v>
      </c>
      <c r="D579" t="inlineStr">
        <is>
          <t>VÄSTERBOTTENS LÄN</t>
        </is>
      </c>
      <c r="E579" t="inlineStr">
        <is>
          <t>VILHELMINA</t>
        </is>
      </c>
      <c r="G579" t="n">
        <v>2.3</v>
      </c>
      <c r="H579" t="n">
        <v>0</v>
      </c>
      <c r="I579" t="n">
        <v>0</v>
      </c>
      <c r="J579" t="n">
        <v>0</v>
      </c>
      <c r="K579" t="n">
        <v>0</v>
      </c>
      <c r="L579" t="n">
        <v>0</v>
      </c>
      <c r="M579" t="n">
        <v>0</v>
      </c>
      <c r="N579" t="n">
        <v>0</v>
      </c>
      <c r="O579" t="n">
        <v>0</v>
      </c>
      <c r="P579" t="n">
        <v>0</v>
      </c>
      <c r="Q579" t="n">
        <v>0</v>
      </c>
      <c r="R579" s="2" t="inlineStr"/>
    </row>
    <row r="580" ht="15" customHeight="1">
      <c r="A580" t="inlineStr">
        <is>
          <t>A 52827-2025</t>
        </is>
      </c>
      <c r="B580" s="1" t="n">
        <v>45957</v>
      </c>
      <c r="C580" s="1" t="n">
        <v>46062</v>
      </c>
      <c r="D580" t="inlineStr">
        <is>
          <t>VÄSTERBOTTENS LÄN</t>
        </is>
      </c>
      <c r="E580" t="inlineStr">
        <is>
          <t>VILHELMINA</t>
        </is>
      </c>
      <c r="G580" t="n">
        <v>6.3</v>
      </c>
      <c r="H580" t="n">
        <v>0</v>
      </c>
      <c r="I580" t="n">
        <v>0</v>
      </c>
      <c r="J580" t="n">
        <v>0</v>
      </c>
      <c r="K580" t="n">
        <v>0</v>
      </c>
      <c r="L580" t="n">
        <v>0</v>
      </c>
      <c r="M580" t="n">
        <v>0</v>
      </c>
      <c r="N580" t="n">
        <v>0</v>
      </c>
      <c r="O580" t="n">
        <v>0</v>
      </c>
      <c r="P580" t="n">
        <v>0</v>
      </c>
      <c r="Q580" t="n">
        <v>0</v>
      </c>
      <c r="R580" s="2" t="inlineStr"/>
    </row>
    <row r="581" ht="15" customHeight="1">
      <c r="A581" t="inlineStr">
        <is>
          <t>A 52830-2025</t>
        </is>
      </c>
      <c r="B581" s="1" t="n">
        <v>45957</v>
      </c>
      <c r="C581" s="1" t="n">
        <v>46062</v>
      </c>
      <c r="D581" t="inlineStr">
        <is>
          <t>VÄSTERBOTTENS LÄN</t>
        </is>
      </c>
      <c r="E581" t="inlineStr">
        <is>
          <t>VILHELMINA</t>
        </is>
      </c>
      <c r="G581" t="n">
        <v>8.6</v>
      </c>
      <c r="H581" t="n">
        <v>0</v>
      </c>
      <c r="I581" t="n">
        <v>0</v>
      </c>
      <c r="J581" t="n">
        <v>0</v>
      </c>
      <c r="K581" t="n">
        <v>0</v>
      </c>
      <c r="L581" t="n">
        <v>0</v>
      </c>
      <c r="M581" t="n">
        <v>0</v>
      </c>
      <c r="N581" t="n">
        <v>0</v>
      </c>
      <c r="O581" t="n">
        <v>0</v>
      </c>
      <c r="P581" t="n">
        <v>0</v>
      </c>
      <c r="Q581" t="n">
        <v>0</v>
      </c>
      <c r="R581" s="2" t="inlineStr"/>
    </row>
    <row r="582" ht="15" customHeight="1">
      <c r="A582" t="inlineStr">
        <is>
          <t>A 52816-2025</t>
        </is>
      </c>
      <c r="B582" s="1" t="n">
        <v>45957</v>
      </c>
      <c r="C582" s="1" t="n">
        <v>46062</v>
      </c>
      <c r="D582" t="inlineStr">
        <is>
          <t>VÄSTERBOTTENS LÄN</t>
        </is>
      </c>
      <c r="E582" t="inlineStr">
        <is>
          <t>VILHELMINA</t>
        </is>
      </c>
      <c r="G582" t="n">
        <v>4.9</v>
      </c>
      <c r="H582" t="n">
        <v>0</v>
      </c>
      <c r="I582" t="n">
        <v>0</v>
      </c>
      <c r="J582" t="n">
        <v>0</v>
      </c>
      <c r="K582" t="n">
        <v>0</v>
      </c>
      <c r="L582" t="n">
        <v>0</v>
      </c>
      <c r="M582" t="n">
        <v>0</v>
      </c>
      <c r="N582" t="n">
        <v>0</v>
      </c>
      <c r="O582" t="n">
        <v>0</v>
      </c>
      <c r="P582" t="n">
        <v>0</v>
      </c>
      <c r="Q582" t="n">
        <v>0</v>
      </c>
      <c r="R582" s="2" t="inlineStr"/>
    </row>
    <row r="583" ht="15" customHeight="1">
      <c r="A583" t="inlineStr">
        <is>
          <t>A 52812-2025</t>
        </is>
      </c>
      <c r="B583" s="1" t="n">
        <v>45957</v>
      </c>
      <c r="C583" s="1" t="n">
        <v>46062</v>
      </c>
      <c r="D583" t="inlineStr">
        <is>
          <t>VÄSTERBOTTENS LÄN</t>
        </is>
      </c>
      <c r="E583" t="inlineStr">
        <is>
          <t>VILHELMINA</t>
        </is>
      </c>
      <c r="G583" t="n">
        <v>2.5</v>
      </c>
      <c r="H583" t="n">
        <v>0</v>
      </c>
      <c r="I583" t="n">
        <v>0</v>
      </c>
      <c r="J583" t="n">
        <v>0</v>
      </c>
      <c r="K583" t="n">
        <v>0</v>
      </c>
      <c r="L583" t="n">
        <v>0</v>
      </c>
      <c r="M583" t="n">
        <v>0</v>
      </c>
      <c r="N583" t="n">
        <v>0</v>
      </c>
      <c r="O583" t="n">
        <v>0</v>
      </c>
      <c r="P583" t="n">
        <v>0</v>
      </c>
      <c r="Q583" t="n">
        <v>0</v>
      </c>
      <c r="R583" s="2" t="inlineStr"/>
    </row>
    <row r="584" ht="15" customHeight="1">
      <c r="A584" t="inlineStr">
        <is>
          <t>A 52818-2025</t>
        </is>
      </c>
      <c r="B584" s="1" t="n">
        <v>45957</v>
      </c>
      <c r="C584" s="1" t="n">
        <v>46062</v>
      </c>
      <c r="D584" t="inlineStr">
        <is>
          <t>VÄSTERBOTTENS LÄN</t>
        </is>
      </c>
      <c r="E584" t="inlineStr">
        <is>
          <t>VILHELMINA</t>
        </is>
      </c>
      <c r="G584" t="n">
        <v>2.2</v>
      </c>
      <c r="H584" t="n">
        <v>0</v>
      </c>
      <c r="I584" t="n">
        <v>0</v>
      </c>
      <c r="J584" t="n">
        <v>0</v>
      </c>
      <c r="K584" t="n">
        <v>0</v>
      </c>
      <c r="L584" t="n">
        <v>0</v>
      </c>
      <c r="M584" t="n">
        <v>0</v>
      </c>
      <c r="N584" t="n">
        <v>0</v>
      </c>
      <c r="O584" t="n">
        <v>0</v>
      </c>
      <c r="P584" t="n">
        <v>0</v>
      </c>
      <c r="Q584" t="n">
        <v>0</v>
      </c>
      <c r="R584" s="2" t="inlineStr"/>
    </row>
    <row r="585" ht="15" customHeight="1">
      <c r="A585" t="inlineStr">
        <is>
          <t>A 52819-2025</t>
        </is>
      </c>
      <c r="B585" s="1" t="n">
        <v>45957</v>
      </c>
      <c r="C585" s="1" t="n">
        <v>46062</v>
      </c>
      <c r="D585" t="inlineStr">
        <is>
          <t>VÄSTERBOTTENS LÄN</t>
        </is>
      </c>
      <c r="E585" t="inlineStr">
        <is>
          <t>VILHELMINA</t>
        </is>
      </c>
      <c r="G585" t="n">
        <v>1.8</v>
      </c>
      <c r="H585" t="n">
        <v>0</v>
      </c>
      <c r="I585" t="n">
        <v>0</v>
      </c>
      <c r="J585" t="n">
        <v>0</v>
      </c>
      <c r="K585" t="n">
        <v>0</v>
      </c>
      <c r="L585" t="n">
        <v>0</v>
      </c>
      <c r="M585" t="n">
        <v>0</v>
      </c>
      <c r="N585" t="n">
        <v>0</v>
      </c>
      <c r="O585" t="n">
        <v>0</v>
      </c>
      <c r="P585" t="n">
        <v>0</v>
      </c>
      <c r="Q585" t="n">
        <v>0</v>
      </c>
      <c r="R585" s="2" t="inlineStr"/>
    </row>
    <row r="586" ht="15" customHeight="1">
      <c r="A586" t="inlineStr">
        <is>
          <t>A 52813-2025</t>
        </is>
      </c>
      <c r="B586" s="1" t="n">
        <v>45957</v>
      </c>
      <c r="C586" s="1" t="n">
        <v>46062</v>
      </c>
      <c r="D586" t="inlineStr">
        <is>
          <t>VÄSTERBOTTENS LÄN</t>
        </is>
      </c>
      <c r="E586" t="inlineStr">
        <is>
          <t>VILHELMINA</t>
        </is>
      </c>
      <c r="G586" t="n">
        <v>3.1</v>
      </c>
      <c r="H586" t="n">
        <v>0</v>
      </c>
      <c r="I586" t="n">
        <v>0</v>
      </c>
      <c r="J586" t="n">
        <v>0</v>
      </c>
      <c r="K586" t="n">
        <v>0</v>
      </c>
      <c r="L586" t="n">
        <v>0</v>
      </c>
      <c r="M586" t="n">
        <v>0</v>
      </c>
      <c r="N586" t="n">
        <v>0</v>
      </c>
      <c r="O586" t="n">
        <v>0</v>
      </c>
      <c r="P586" t="n">
        <v>0</v>
      </c>
      <c r="Q586" t="n">
        <v>0</v>
      </c>
      <c r="R586" s="2" t="inlineStr"/>
    </row>
    <row r="587" ht="15" customHeight="1">
      <c r="A587" t="inlineStr">
        <is>
          <t>A 52814-2025</t>
        </is>
      </c>
      <c r="B587" s="1" t="n">
        <v>45957</v>
      </c>
      <c r="C587" s="1" t="n">
        <v>46062</v>
      </c>
      <c r="D587" t="inlineStr">
        <is>
          <t>VÄSTERBOTTENS LÄN</t>
        </is>
      </c>
      <c r="E587" t="inlineStr">
        <is>
          <t>VILHELMINA</t>
        </is>
      </c>
      <c r="G587" t="n">
        <v>4.1</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46062</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32683-2024</t>
        </is>
      </c>
      <c r="B589" s="1" t="n">
        <v>45515</v>
      </c>
      <c r="C589" s="1" t="n">
        <v>46062</v>
      </c>
      <c r="D589" t="inlineStr">
        <is>
          <t>VÄSTERBOTTENS LÄN</t>
        </is>
      </c>
      <c r="E589" t="inlineStr">
        <is>
          <t>VILHELMINA</t>
        </is>
      </c>
      <c r="G589" t="n">
        <v>6.1</v>
      </c>
      <c r="H589" t="n">
        <v>0</v>
      </c>
      <c r="I589" t="n">
        <v>0</v>
      </c>
      <c r="J589" t="n">
        <v>0</v>
      </c>
      <c r="K589" t="n">
        <v>0</v>
      </c>
      <c r="L589" t="n">
        <v>0</v>
      </c>
      <c r="M589" t="n">
        <v>0</v>
      </c>
      <c r="N589" t="n">
        <v>0</v>
      </c>
      <c r="O589" t="n">
        <v>0</v>
      </c>
      <c r="P589" t="n">
        <v>0</v>
      </c>
      <c r="Q589" t="n">
        <v>0</v>
      </c>
      <c r="R589" s="2" t="inlineStr"/>
    </row>
    <row r="590" ht="15" customHeight="1">
      <c r="A590" t="inlineStr">
        <is>
          <t>A 52829-2025</t>
        </is>
      </c>
      <c r="B590" s="1" t="n">
        <v>45957</v>
      </c>
      <c r="C590" s="1" t="n">
        <v>46062</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59476-2025</t>
        </is>
      </c>
      <c r="B591" s="1" t="n">
        <v>45989</v>
      </c>
      <c r="C591" s="1" t="n">
        <v>46062</v>
      </c>
      <c r="D591" t="inlineStr">
        <is>
          <t>VÄSTERBOTTENS LÄN</t>
        </is>
      </c>
      <c r="E591" t="inlineStr">
        <is>
          <t>VILHELMINA</t>
        </is>
      </c>
      <c r="F591" t="inlineStr">
        <is>
          <t>Allmännings- och besparingsskogar</t>
        </is>
      </c>
      <c r="G591" t="n">
        <v>13.8</v>
      </c>
      <c r="H591" t="n">
        <v>0</v>
      </c>
      <c r="I591" t="n">
        <v>0</v>
      </c>
      <c r="J591" t="n">
        <v>0</v>
      </c>
      <c r="K591" t="n">
        <v>0</v>
      </c>
      <c r="L591" t="n">
        <v>0</v>
      </c>
      <c r="M591" t="n">
        <v>0</v>
      </c>
      <c r="N591" t="n">
        <v>0</v>
      </c>
      <c r="O591" t="n">
        <v>0</v>
      </c>
      <c r="P591" t="n">
        <v>0</v>
      </c>
      <c r="Q591" t="n">
        <v>0</v>
      </c>
      <c r="R591" s="2" t="inlineStr"/>
    </row>
    <row r="592" ht="15" customHeight="1">
      <c r="A592" t="inlineStr">
        <is>
          <t>A 59487-2025</t>
        </is>
      </c>
      <c r="B592" s="1" t="n">
        <v>45989</v>
      </c>
      <c r="C592" s="1" t="n">
        <v>46062</v>
      </c>
      <c r="D592" t="inlineStr">
        <is>
          <t>VÄSTERBOTTENS LÄN</t>
        </is>
      </c>
      <c r="E592" t="inlineStr">
        <is>
          <t>VILHELMINA</t>
        </is>
      </c>
      <c r="F592" t="inlineStr">
        <is>
          <t>Allmännings- och besparingsskogar</t>
        </is>
      </c>
      <c r="G592" t="n">
        <v>17</v>
      </c>
      <c r="H592" t="n">
        <v>0</v>
      </c>
      <c r="I592" t="n">
        <v>0</v>
      </c>
      <c r="J592" t="n">
        <v>0</v>
      </c>
      <c r="K592" t="n">
        <v>0</v>
      </c>
      <c r="L592" t="n">
        <v>0</v>
      </c>
      <c r="M592" t="n">
        <v>0</v>
      </c>
      <c r="N592" t="n">
        <v>0</v>
      </c>
      <c r="O592" t="n">
        <v>0</v>
      </c>
      <c r="P592" t="n">
        <v>0</v>
      </c>
      <c r="Q592" t="n">
        <v>0</v>
      </c>
      <c r="R592" s="2" t="inlineStr"/>
    </row>
    <row r="593" ht="15" customHeight="1">
      <c r="A593" t="inlineStr">
        <is>
          <t>A 59492-2025</t>
        </is>
      </c>
      <c r="B593" s="1" t="n">
        <v>45989</v>
      </c>
      <c r="C593" s="1" t="n">
        <v>46062</v>
      </c>
      <c r="D593" t="inlineStr">
        <is>
          <t>VÄSTERBOTTENS LÄN</t>
        </is>
      </c>
      <c r="E593" t="inlineStr">
        <is>
          <t>VILHELMINA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54738-2025</t>
        </is>
      </c>
      <c r="B594" s="1" t="n">
        <v>45966</v>
      </c>
      <c r="C594" s="1" t="n">
        <v>46062</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59486-2025</t>
        </is>
      </c>
      <c r="B595" s="1" t="n">
        <v>45989</v>
      </c>
      <c r="C595" s="1" t="n">
        <v>46062</v>
      </c>
      <c r="D595" t="inlineStr">
        <is>
          <t>VÄSTERBOTTENS LÄN</t>
        </is>
      </c>
      <c r="E595" t="inlineStr">
        <is>
          <t>VILHELMINA</t>
        </is>
      </c>
      <c r="G595" t="n">
        <v>6.8</v>
      </c>
      <c r="H595" t="n">
        <v>0</v>
      </c>
      <c r="I595" t="n">
        <v>0</v>
      </c>
      <c r="J595" t="n">
        <v>0</v>
      </c>
      <c r="K595" t="n">
        <v>0</v>
      </c>
      <c r="L595" t="n">
        <v>0</v>
      </c>
      <c r="M595" t="n">
        <v>0</v>
      </c>
      <c r="N595" t="n">
        <v>0</v>
      </c>
      <c r="O595" t="n">
        <v>0</v>
      </c>
      <c r="P595" t="n">
        <v>0</v>
      </c>
      <c r="Q595" t="n">
        <v>0</v>
      </c>
      <c r="R595" s="2" t="inlineStr"/>
    </row>
    <row r="596" ht="15" customHeight="1">
      <c r="A596" t="inlineStr">
        <is>
          <t>A 59501-2025</t>
        </is>
      </c>
      <c r="B596" s="1" t="n">
        <v>45989</v>
      </c>
      <c r="C596" s="1" t="n">
        <v>46062</v>
      </c>
      <c r="D596" t="inlineStr">
        <is>
          <t>VÄSTERBOTTENS LÄN</t>
        </is>
      </c>
      <c r="E596" t="inlineStr">
        <is>
          <t>VILHELMINA</t>
        </is>
      </c>
      <c r="F596" t="inlineStr">
        <is>
          <t>Allmännings- och besparingsskogar</t>
        </is>
      </c>
      <c r="G596" t="n">
        <v>62.2</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45883.6364699074</v>
      </c>
      <c r="C597" s="1" t="n">
        <v>46062</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59494-2025</t>
        </is>
      </c>
      <c r="B598" s="1" t="n">
        <v>45989</v>
      </c>
      <c r="C598" s="1" t="n">
        <v>46062</v>
      </c>
      <c r="D598" t="inlineStr">
        <is>
          <t>VÄSTERBOTTENS LÄN</t>
        </is>
      </c>
      <c r="E598" t="inlineStr">
        <is>
          <t>VILHELMINA</t>
        </is>
      </c>
      <c r="F598" t="inlineStr">
        <is>
          <t>Allmännings- och besparingsskogar</t>
        </is>
      </c>
      <c r="G598" t="n">
        <v>36.7</v>
      </c>
      <c r="H598" t="n">
        <v>0</v>
      </c>
      <c r="I598" t="n">
        <v>0</v>
      </c>
      <c r="J598" t="n">
        <v>0</v>
      </c>
      <c r="K598" t="n">
        <v>0</v>
      </c>
      <c r="L598" t="n">
        <v>0</v>
      </c>
      <c r="M598" t="n">
        <v>0</v>
      </c>
      <c r="N598" t="n">
        <v>0</v>
      </c>
      <c r="O598" t="n">
        <v>0</v>
      </c>
      <c r="P598" t="n">
        <v>0</v>
      </c>
      <c r="Q598" t="n">
        <v>0</v>
      </c>
      <c r="R598" s="2" t="inlineStr"/>
    </row>
    <row r="599" ht="15" customHeight="1">
      <c r="A599" t="inlineStr">
        <is>
          <t>A 38454-2025</t>
        </is>
      </c>
      <c r="B599" s="1" t="n">
        <v>45883.67839120371</v>
      </c>
      <c r="C599" s="1" t="n">
        <v>46062</v>
      </c>
      <c r="D599" t="inlineStr">
        <is>
          <t>VÄSTERBOTTENS LÄN</t>
        </is>
      </c>
      <c r="E599" t="inlineStr">
        <is>
          <t>VILHELMINA</t>
        </is>
      </c>
      <c r="G599" t="n">
        <v>4.8</v>
      </c>
      <c r="H599" t="n">
        <v>0</v>
      </c>
      <c r="I599" t="n">
        <v>0</v>
      </c>
      <c r="J599" t="n">
        <v>0</v>
      </c>
      <c r="K599" t="n">
        <v>0</v>
      </c>
      <c r="L599" t="n">
        <v>0</v>
      </c>
      <c r="M599" t="n">
        <v>0</v>
      </c>
      <c r="N599" t="n">
        <v>0</v>
      </c>
      <c r="O599" t="n">
        <v>0</v>
      </c>
      <c r="P599" t="n">
        <v>0</v>
      </c>
      <c r="Q599" t="n">
        <v>0</v>
      </c>
      <c r="R599" s="2" t="inlineStr"/>
    </row>
    <row r="600" ht="15" customHeight="1">
      <c r="A600" t="inlineStr">
        <is>
          <t>A 54920-2025</t>
        </is>
      </c>
      <c r="B600" s="1" t="n">
        <v>45967.38887731481</v>
      </c>
      <c r="C600" s="1" t="n">
        <v>46062</v>
      </c>
      <c r="D600" t="inlineStr">
        <is>
          <t>VÄSTERBOTTENS LÄN</t>
        </is>
      </c>
      <c r="E600" t="inlineStr">
        <is>
          <t>VILHELMINA</t>
        </is>
      </c>
      <c r="G600" t="n">
        <v>28.1</v>
      </c>
      <c r="H600" t="n">
        <v>0</v>
      </c>
      <c r="I600" t="n">
        <v>0</v>
      </c>
      <c r="J600" t="n">
        <v>0</v>
      </c>
      <c r="K600" t="n">
        <v>0</v>
      </c>
      <c r="L600" t="n">
        <v>0</v>
      </c>
      <c r="M600" t="n">
        <v>0</v>
      </c>
      <c r="N600" t="n">
        <v>0</v>
      </c>
      <c r="O600" t="n">
        <v>0</v>
      </c>
      <c r="P600" t="n">
        <v>0</v>
      </c>
      <c r="Q600" t="n">
        <v>0</v>
      </c>
      <c r="R600" s="2" t="inlineStr"/>
    </row>
    <row r="601" ht="15" customHeight="1">
      <c r="A601" t="inlineStr">
        <is>
          <t>A 54955-2025</t>
        </is>
      </c>
      <c r="B601" s="1" t="n">
        <v>45967</v>
      </c>
      <c r="C601" s="1" t="n">
        <v>46062</v>
      </c>
      <c r="D601" t="inlineStr">
        <is>
          <t>VÄSTERBOTTENS LÄN</t>
        </is>
      </c>
      <c r="E601" t="inlineStr">
        <is>
          <t>VILHELMINA</t>
        </is>
      </c>
      <c r="G601" t="n">
        <v>15.6</v>
      </c>
      <c r="H601" t="n">
        <v>0</v>
      </c>
      <c r="I601" t="n">
        <v>0</v>
      </c>
      <c r="J601" t="n">
        <v>0</v>
      </c>
      <c r="K601" t="n">
        <v>0</v>
      </c>
      <c r="L601" t="n">
        <v>0</v>
      </c>
      <c r="M601" t="n">
        <v>0</v>
      </c>
      <c r="N601" t="n">
        <v>0</v>
      </c>
      <c r="O601" t="n">
        <v>0</v>
      </c>
      <c r="P601" t="n">
        <v>0</v>
      </c>
      <c r="Q601" t="n">
        <v>0</v>
      </c>
      <c r="R601" s="2" t="inlineStr"/>
    </row>
    <row r="602" ht="15" customHeight="1">
      <c r="A602" t="inlineStr">
        <is>
          <t>A 55095-2025</t>
        </is>
      </c>
      <c r="B602" s="1" t="n">
        <v>45968.34498842592</v>
      </c>
      <c r="C602" s="1" t="n">
        <v>46062</v>
      </c>
      <c r="D602" t="inlineStr">
        <is>
          <t>VÄSTERBOTTENS LÄN</t>
        </is>
      </c>
      <c r="E602" t="inlineStr">
        <is>
          <t>VILHELMINA</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58999-2024</t>
        </is>
      </c>
      <c r="B603" s="1" t="n">
        <v>45636</v>
      </c>
      <c r="C603" s="1" t="n">
        <v>46062</v>
      </c>
      <c r="D603" t="inlineStr">
        <is>
          <t>VÄSTERBOTTENS LÄN</t>
        </is>
      </c>
      <c r="E603" t="inlineStr">
        <is>
          <t>VILHELMINA</t>
        </is>
      </c>
      <c r="F603" t="inlineStr">
        <is>
          <t>Allmännings- och besparingsskogar</t>
        </is>
      </c>
      <c r="G603" t="n">
        <v>12.3</v>
      </c>
      <c r="H603" t="n">
        <v>0</v>
      </c>
      <c r="I603" t="n">
        <v>0</v>
      </c>
      <c r="J603" t="n">
        <v>0</v>
      </c>
      <c r="K603" t="n">
        <v>0</v>
      </c>
      <c r="L603" t="n">
        <v>0</v>
      </c>
      <c r="M603" t="n">
        <v>0</v>
      </c>
      <c r="N603" t="n">
        <v>0</v>
      </c>
      <c r="O603" t="n">
        <v>0</v>
      </c>
      <c r="P603" t="n">
        <v>0</v>
      </c>
      <c r="Q603" t="n">
        <v>0</v>
      </c>
      <c r="R603" s="2" t="inlineStr"/>
    </row>
    <row r="604" ht="15" customHeight="1">
      <c r="A604" t="inlineStr">
        <is>
          <t>A 38297-2024</t>
        </is>
      </c>
      <c r="B604" s="1" t="n">
        <v>45545</v>
      </c>
      <c r="C604" s="1" t="n">
        <v>46062</v>
      </c>
      <c r="D604" t="inlineStr">
        <is>
          <t>VÄSTERBOTTENS LÄN</t>
        </is>
      </c>
      <c r="E604" t="inlineStr">
        <is>
          <t>VILHELMINA</t>
        </is>
      </c>
      <c r="G604" t="n">
        <v>139.8</v>
      </c>
      <c r="H604" t="n">
        <v>0</v>
      </c>
      <c r="I604" t="n">
        <v>0</v>
      </c>
      <c r="J604" t="n">
        <v>0</v>
      </c>
      <c r="K604" t="n">
        <v>0</v>
      </c>
      <c r="L604" t="n">
        <v>0</v>
      </c>
      <c r="M604" t="n">
        <v>0</v>
      </c>
      <c r="N604" t="n">
        <v>0</v>
      </c>
      <c r="O604" t="n">
        <v>0</v>
      </c>
      <c r="P604" t="n">
        <v>0</v>
      </c>
      <c r="Q604" t="n">
        <v>0</v>
      </c>
      <c r="R604" s="2" t="inlineStr"/>
    </row>
    <row r="605" ht="15" customHeight="1">
      <c r="A605" t="inlineStr">
        <is>
          <t>A 17732-2024</t>
        </is>
      </c>
      <c r="B605" s="1" t="n">
        <v>45415</v>
      </c>
      <c r="C605" s="1" t="n">
        <v>46062</v>
      </c>
      <c r="D605" t="inlineStr">
        <is>
          <t>VÄSTERBOTTENS LÄN</t>
        </is>
      </c>
      <c r="E605" t="inlineStr">
        <is>
          <t>VILHELMINA</t>
        </is>
      </c>
      <c r="G605" t="n">
        <v>0.6</v>
      </c>
      <c r="H605" t="n">
        <v>0</v>
      </c>
      <c r="I605" t="n">
        <v>0</v>
      </c>
      <c r="J605" t="n">
        <v>0</v>
      </c>
      <c r="K605" t="n">
        <v>0</v>
      </c>
      <c r="L605" t="n">
        <v>0</v>
      </c>
      <c r="M605" t="n">
        <v>0</v>
      </c>
      <c r="N605" t="n">
        <v>0</v>
      </c>
      <c r="O605" t="n">
        <v>0</v>
      </c>
      <c r="P605" t="n">
        <v>0</v>
      </c>
      <c r="Q605" t="n">
        <v>0</v>
      </c>
      <c r="R605" s="2" t="inlineStr"/>
    </row>
    <row r="606" ht="15" customHeight="1">
      <c r="A606" t="inlineStr">
        <is>
          <t>A 19464-2025</t>
        </is>
      </c>
      <c r="B606" s="1" t="n">
        <v>45770</v>
      </c>
      <c r="C606" s="1" t="n">
        <v>46062</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54931-2023</t>
        </is>
      </c>
      <c r="B607" s="1" t="n">
        <v>45229</v>
      </c>
      <c r="C607" s="1" t="n">
        <v>46062</v>
      </c>
      <c r="D607" t="inlineStr">
        <is>
          <t>VÄSTERBOTTENS LÄN</t>
        </is>
      </c>
      <c r="E607" t="inlineStr">
        <is>
          <t>VILHELMINA</t>
        </is>
      </c>
      <c r="G607" t="n">
        <v>14.5</v>
      </c>
      <c r="H607" t="n">
        <v>0</v>
      </c>
      <c r="I607" t="n">
        <v>0</v>
      </c>
      <c r="J607" t="n">
        <v>0</v>
      </c>
      <c r="K607" t="n">
        <v>0</v>
      </c>
      <c r="L607" t="n">
        <v>0</v>
      </c>
      <c r="M607" t="n">
        <v>0</v>
      </c>
      <c r="N607" t="n">
        <v>0</v>
      </c>
      <c r="O607" t="n">
        <v>0</v>
      </c>
      <c r="P607" t="n">
        <v>0</v>
      </c>
      <c r="Q607" t="n">
        <v>0</v>
      </c>
      <c r="R607" s="2" t="inlineStr"/>
    </row>
    <row r="608" ht="15" customHeight="1">
      <c r="A608" t="inlineStr">
        <is>
          <t>A 38427-2025</t>
        </is>
      </c>
      <c r="B608" s="1" t="n">
        <v>45883.63611111111</v>
      </c>
      <c r="C608" s="1" t="n">
        <v>46062</v>
      </c>
      <c r="D608" t="inlineStr">
        <is>
          <t>VÄSTERBOTTENS LÄN</t>
        </is>
      </c>
      <c r="E608" t="inlineStr">
        <is>
          <t>VILHELMINA</t>
        </is>
      </c>
      <c r="F608" t="inlineStr">
        <is>
          <t>SCA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55092-2025</t>
        </is>
      </c>
      <c r="B609" s="1" t="n">
        <v>45968.34462962963</v>
      </c>
      <c r="C609" s="1" t="n">
        <v>46062</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38387-2025</t>
        </is>
      </c>
      <c r="B610" s="1" t="n">
        <v>45883.57451388889</v>
      </c>
      <c r="C610" s="1" t="n">
        <v>46062</v>
      </c>
      <c r="D610" t="inlineStr">
        <is>
          <t>VÄSTERBOTTENS LÄN</t>
        </is>
      </c>
      <c r="E610" t="inlineStr">
        <is>
          <t>VILHELMINA</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65179-2021</t>
        </is>
      </c>
      <c r="B611" s="1" t="n">
        <v>44515</v>
      </c>
      <c r="C611" s="1" t="n">
        <v>46062</v>
      </c>
      <c r="D611" t="inlineStr">
        <is>
          <t>VÄSTERBOTTENS LÄN</t>
        </is>
      </c>
      <c r="E611" t="inlineStr">
        <is>
          <t>VILHELMINA</t>
        </is>
      </c>
      <c r="G611" t="n">
        <v>8</v>
      </c>
      <c r="H611" t="n">
        <v>0</v>
      </c>
      <c r="I611" t="n">
        <v>0</v>
      </c>
      <c r="J611" t="n">
        <v>0</v>
      </c>
      <c r="K611" t="n">
        <v>0</v>
      </c>
      <c r="L611" t="n">
        <v>0</v>
      </c>
      <c r="M611" t="n">
        <v>0</v>
      </c>
      <c r="N611" t="n">
        <v>0</v>
      </c>
      <c r="O611" t="n">
        <v>0</v>
      </c>
      <c r="P611" t="n">
        <v>0</v>
      </c>
      <c r="Q611" t="n">
        <v>0</v>
      </c>
      <c r="R611" s="2" t="inlineStr"/>
    </row>
    <row r="612" ht="15" customHeight="1">
      <c r="A612" t="inlineStr">
        <is>
          <t>A 38360-2025</t>
        </is>
      </c>
      <c r="B612" s="1" t="n">
        <v>45883.53290509259</v>
      </c>
      <c r="C612" s="1" t="n">
        <v>46062</v>
      </c>
      <c r="D612" t="inlineStr">
        <is>
          <t>VÄSTERBOTTENS LÄN</t>
        </is>
      </c>
      <c r="E612" t="inlineStr">
        <is>
          <t>VILHELMINA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38384-2025</t>
        </is>
      </c>
      <c r="B613" s="1" t="n">
        <v>45883</v>
      </c>
      <c r="C613" s="1" t="n">
        <v>46062</v>
      </c>
      <c r="D613" t="inlineStr">
        <is>
          <t>VÄSTERBOTTENS LÄN</t>
        </is>
      </c>
      <c r="E613" t="inlineStr">
        <is>
          <t>VILHELMINA</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38409-2025</t>
        </is>
      </c>
      <c r="B614" s="1" t="n">
        <v>45883.59429398148</v>
      </c>
      <c r="C614" s="1" t="n">
        <v>46062</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8585-2025</t>
        </is>
      </c>
      <c r="B615" s="1" t="n">
        <v>45709</v>
      </c>
      <c r="C615" s="1" t="n">
        <v>46062</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55456-2025</t>
        </is>
      </c>
      <c r="B616" s="1" t="n">
        <v>45971.51086805556</v>
      </c>
      <c r="C616" s="1" t="n">
        <v>46062</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38242-2025</t>
        </is>
      </c>
      <c r="B617" s="1" t="n">
        <v>45883.36547453704</v>
      </c>
      <c r="C617" s="1" t="n">
        <v>46062</v>
      </c>
      <c r="D617" t="inlineStr">
        <is>
          <t>VÄSTERBOTTENS LÄN</t>
        </is>
      </c>
      <c r="E617" t="inlineStr">
        <is>
          <t>VILHELMINA</t>
        </is>
      </c>
      <c r="G617" t="n">
        <v>1.4</v>
      </c>
      <c r="H617" t="n">
        <v>0</v>
      </c>
      <c r="I617" t="n">
        <v>0</v>
      </c>
      <c r="J617" t="n">
        <v>0</v>
      </c>
      <c r="K617" t="n">
        <v>0</v>
      </c>
      <c r="L617" t="n">
        <v>0</v>
      </c>
      <c r="M617" t="n">
        <v>0</v>
      </c>
      <c r="N617" t="n">
        <v>0</v>
      </c>
      <c r="O617" t="n">
        <v>0</v>
      </c>
      <c r="P617" t="n">
        <v>0</v>
      </c>
      <c r="Q617" t="n">
        <v>0</v>
      </c>
      <c r="R617" s="2" t="inlineStr"/>
    </row>
    <row r="618" ht="15" customHeight="1">
      <c r="A618" t="inlineStr">
        <is>
          <t>A 38243-2025</t>
        </is>
      </c>
      <c r="B618" s="1" t="n">
        <v>45883.36553240741</v>
      </c>
      <c r="C618" s="1" t="n">
        <v>46062</v>
      </c>
      <c r="D618" t="inlineStr">
        <is>
          <t>VÄSTERBOTTENS LÄN</t>
        </is>
      </c>
      <c r="E618" t="inlineStr">
        <is>
          <t>VILHELMINA</t>
        </is>
      </c>
      <c r="G618" t="n">
        <v>4.7</v>
      </c>
      <c r="H618" t="n">
        <v>0</v>
      </c>
      <c r="I618" t="n">
        <v>0</v>
      </c>
      <c r="J618" t="n">
        <v>0</v>
      </c>
      <c r="K618" t="n">
        <v>0</v>
      </c>
      <c r="L618" t="n">
        <v>0</v>
      </c>
      <c r="M618" t="n">
        <v>0</v>
      </c>
      <c r="N618" t="n">
        <v>0</v>
      </c>
      <c r="O618" t="n">
        <v>0</v>
      </c>
      <c r="P618" t="n">
        <v>0</v>
      </c>
      <c r="Q618" t="n">
        <v>0</v>
      </c>
      <c r="R618" s="2" t="inlineStr"/>
    </row>
    <row r="619" ht="15" customHeight="1">
      <c r="A619" t="inlineStr">
        <is>
          <t>A 38356-2025</t>
        </is>
      </c>
      <c r="B619" s="1" t="n">
        <v>45883.53247685185</v>
      </c>
      <c r="C619" s="1" t="n">
        <v>46062</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51947-2025</t>
        </is>
      </c>
      <c r="B620" s="1" t="n">
        <v>45952</v>
      </c>
      <c r="C620" s="1" t="n">
        <v>46062</v>
      </c>
      <c r="D620" t="inlineStr">
        <is>
          <t>VÄSTERBOTTENS LÄN</t>
        </is>
      </c>
      <c r="E620" t="inlineStr">
        <is>
          <t>VILHELMINA</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38429-2025</t>
        </is>
      </c>
      <c r="B621" s="1" t="n">
        <v>45883.63638888889</v>
      </c>
      <c r="C621" s="1" t="n">
        <v>46062</v>
      </c>
      <c r="D621" t="inlineStr">
        <is>
          <t>VÄSTERBOTTENS LÄN</t>
        </is>
      </c>
      <c r="E621" t="inlineStr">
        <is>
          <t>VILHELMINA</t>
        </is>
      </c>
      <c r="G621" t="n">
        <v>5.5</v>
      </c>
      <c r="H621" t="n">
        <v>0</v>
      </c>
      <c r="I621" t="n">
        <v>0</v>
      </c>
      <c r="J621" t="n">
        <v>0</v>
      </c>
      <c r="K621" t="n">
        <v>0</v>
      </c>
      <c r="L621" t="n">
        <v>0</v>
      </c>
      <c r="M621" t="n">
        <v>0</v>
      </c>
      <c r="N621" t="n">
        <v>0</v>
      </c>
      <c r="O621" t="n">
        <v>0</v>
      </c>
      <c r="P621" t="n">
        <v>0</v>
      </c>
      <c r="Q621" t="n">
        <v>0</v>
      </c>
      <c r="R621" s="2" t="inlineStr"/>
    </row>
    <row r="622" ht="15" customHeight="1">
      <c r="A622" t="inlineStr">
        <is>
          <t>A 38355-2025</t>
        </is>
      </c>
      <c r="B622" s="1" t="n">
        <v>45883.53228009259</v>
      </c>
      <c r="C622" s="1" t="n">
        <v>46062</v>
      </c>
      <c r="D622" t="inlineStr">
        <is>
          <t>VÄSTERBOTTENS LÄN</t>
        </is>
      </c>
      <c r="E622" t="inlineStr">
        <is>
          <t>VILHELMINA</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38357-2025</t>
        </is>
      </c>
      <c r="B623" s="1" t="n">
        <v>45883.53263888889</v>
      </c>
      <c r="C623" s="1" t="n">
        <v>46062</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38211-2025</t>
        </is>
      </c>
      <c r="B624" s="1" t="n">
        <v>45882.93524305556</v>
      </c>
      <c r="C624" s="1" t="n">
        <v>46062</v>
      </c>
      <c r="D624" t="inlineStr">
        <is>
          <t>VÄSTERBOTTENS LÄN</t>
        </is>
      </c>
      <c r="E624" t="inlineStr">
        <is>
          <t>VILHELMINA</t>
        </is>
      </c>
      <c r="G624" t="n">
        <v>13.8</v>
      </c>
      <c r="H624" t="n">
        <v>0</v>
      </c>
      <c r="I624" t="n">
        <v>0</v>
      </c>
      <c r="J624" t="n">
        <v>0</v>
      </c>
      <c r="K624" t="n">
        <v>0</v>
      </c>
      <c r="L624" t="n">
        <v>0</v>
      </c>
      <c r="M624" t="n">
        <v>0</v>
      </c>
      <c r="N624" t="n">
        <v>0</v>
      </c>
      <c r="O624" t="n">
        <v>0</v>
      </c>
      <c r="P624" t="n">
        <v>0</v>
      </c>
      <c r="Q624" t="n">
        <v>0</v>
      </c>
      <c r="R624" s="2" t="inlineStr"/>
    </row>
    <row r="625" ht="15" customHeight="1">
      <c r="A625" t="inlineStr">
        <is>
          <t>A 55634-2025</t>
        </is>
      </c>
      <c r="B625" s="1" t="n">
        <v>45972.34466435185</v>
      </c>
      <c r="C625" s="1" t="n">
        <v>46062</v>
      </c>
      <c r="D625" t="inlineStr">
        <is>
          <t>VÄSTERBOTTENS LÄN</t>
        </is>
      </c>
      <c r="E625" t="inlineStr">
        <is>
          <t>VILHELMINA</t>
        </is>
      </c>
      <c r="F625" t="inlineStr">
        <is>
          <t>SCA</t>
        </is>
      </c>
      <c r="G625" t="n">
        <v>7.2</v>
      </c>
      <c r="H625" t="n">
        <v>0</v>
      </c>
      <c r="I625" t="n">
        <v>0</v>
      </c>
      <c r="J625" t="n">
        <v>0</v>
      </c>
      <c r="K625" t="n">
        <v>0</v>
      </c>
      <c r="L625" t="n">
        <v>0</v>
      </c>
      <c r="M625" t="n">
        <v>0</v>
      </c>
      <c r="N625" t="n">
        <v>0</v>
      </c>
      <c r="O625" t="n">
        <v>0</v>
      </c>
      <c r="P625" t="n">
        <v>0</v>
      </c>
      <c r="Q625" t="n">
        <v>0</v>
      </c>
      <c r="R625" s="2" t="inlineStr"/>
    </row>
    <row r="626" ht="15" customHeight="1">
      <c r="A626" t="inlineStr">
        <is>
          <t>A 38212-2025</t>
        </is>
      </c>
      <c r="B626" s="1" t="n">
        <v>45882.95137731481</v>
      </c>
      <c r="C626" s="1" t="n">
        <v>46062</v>
      </c>
      <c r="D626" t="inlineStr">
        <is>
          <t>VÄSTERBOTTENS LÄN</t>
        </is>
      </c>
      <c r="E626" t="inlineStr">
        <is>
          <t>VILHELMINA</t>
        </is>
      </c>
      <c r="G626" t="n">
        <v>11.7</v>
      </c>
      <c r="H626" t="n">
        <v>0</v>
      </c>
      <c r="I626" t="n">
        <v>0</v>
      </c>
      <c r="J626" t="n">
        <v>0</v>
      </c>
      <c r="K626" t="n">
        <v>0</v>
      </c>
      <c r="L626" t="n">
        <v>0</v>
      </c>
      <c r="M626" t="n">
        <v>0</v>
      </c>
      <c r="N626" t="n">
        <v>0</v>
      </c>
      <c r="O626" t="n">
        <v>0</v>
      </c>
      <c r="P626" t="n">
        <v>0</v>
      </c>
      <c r="Q626" t="n">
        <v>0</v>
      </c>
      <c r="R626" s="2" t="inlineStr"/>
    </row>
    <row r="627" ht="15" customHeight="1">
      <c r="A627" t="inlineStr">
        <is>
          <t>A 36909-2024</t>
        </is>
      </c>
      <c r="B627" s="1" t="n">
        <v>45538.63577546296</v>
      </c>
      <c r="C627" s="1" t="n">
        <v>46062</v>
      </c>
      <c r="D627" t="inlineStr">
        <is>
          <t>VÄSTERBOTTENS LÄN</t>
        </is>
      </c>
      <c r="E627" t="inlineStr">
        <is>
          <t>VILHELMINA</t>
        </is>
      </c>
      <c r="F627" t="inlineStr">
        <is>
          <t>SCA</t>
        </is>
      </c>
      <c r="G627" t="n">
        <v>16.8</v>
      </c>
      <c r="H627" t="n">
        <v>0</v>
      </c>
      <c r="I627" t="n">
        <v>0</v>
      </c>
      <c r="J627" t="n">
        <v>0</v>
      </c>
      <c r="K627" t="n">
        <v>0</v>
      </c>
      <c r="L627" t="n">
        <v>0</v>
      </c>
      <c r="M627" t="n">
        <v>0</v>
      </c>
      <c r="N627" t="n">
        <v>0</v>
      </c>
      <c r="O627" t="n">
        <v>0</v>
      </c>
      <c r="P627" t="n">
        <v>0</v>
      </c>
      <c r="Q627" t="n">
        <v>0</v>
      </c>
      <c r="R627" s="2" t="inlineStr"/>
    </row>
    <row r="628" ht="15" customHeight="1">
      <c r="A628" t="inlineStr">
        <is>
          <t>A 58505-2024</t>
        </is>
      </c>
      <c r="B628" s="1" t="n">
        <v>45635</v>
      </c>
      <c r="C628" s="1" t="n">
        <v>46062</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46062</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46062</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46062</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46062</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38540-2025</t>
        </is>
      </c>
      <c r="B633" s="1" t="n">
        <v>45884.42768518518</v>
      </c>
      <c r="C633" s="1" t="n">
        <v>46062</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35006-2023</t>
        </is>
      </c>
      <c r="B634" s="1" t="n">
        <v>45142.95103009259</v>
      </c>
      <c r="C634" s="1" t="n">
        <v>46062</v>
      </c>
      <c r="D634" t="inlineStr">
        <is>
          <t>VÄSTERBOTTENS LÄN</t>
        </is>
      </c>
      <c r="E634" t="inlineStr">
        <is>
          <t>VILHELMINA</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38580-2025</t>
        </is>
      </c>
      <c r="B635" s="1" t="n">
        <v>45884.46951388889</v>
      </c>
      <c r="C635" s="1" t="n">
        <v>46062</v>
      </c>
      <c r="D635" t="inlineStr">
        <is>
          <t>VÄSTERBOTTENS LÄN</t>
        </is>
      </c>
      <c r="E635" t="inlineStr">
        <is>
          <t>VILHELMINA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56627-2024</t>
        </is>
      </c>
      <c r="B636" s="1" t="n">
        <v>45625</v>
      </c>
      <c r="C636" s="1" t="n">
        <v>46062</v>
      </c>
      <c r="D636" t="inlineStr">
        <is>
          <t>VÄSTERBOTTENS LÄN</t>
        </is>
      </c>
      <c r="E636" t="inlineStr">
        <is>
          <t>VILHELMINA</t>
        </is>
      </c>
      <c r="F636" t="inlineStr">
        <is>
          <t>Allmännings- och besparingsskogar</t>
        </is>
      </c>
      <c r="G636" t="n">
        <v>21.5</v>
      </c>
      <c r="H636" t="n">
        <v>0</v>
      </c>
      <c r="I636" t="n">
        <v>0</v>
      </c>
      <c r="J636" t="n">
        <v>0</v>
      </c>
      <c r="K636" t="n">
        <v>0</v>
      </c>
      <c r="L636" t="n">
        <v>0</v>
      </c>
      <c r="M636" t="n">
        <v>0</v>
      </c>
      <c r="N636" t="n">
        <v>0</v>
      </c>
      <c r="O636" t="n">
        <v>0</v>
      </c>
      <c r="P636" t="n">
        <v>0</v>
      </c>
      <c r="Q636" t="n">
        <v>0</v>
      </c>
      <c r="R636" s="2" t="inlineStr"/>
    </row>
    <row r="637" ht="15" customHeight="1">
      <c r="A637" t="inlineStr">
        <is>
          <t>A 20524-2024</t>
        </is>
      </c>
      <c r="B637" s="1" t="n">
        <v>45435.94567129629</v>
      </c>
      <c r="C637" s="1" t="n">
        <v>46062</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50489-2023</t>
        </is>
      </c>
      <c r="B638" s="1" t="n">
        <v>45216.95556712963</v>
      </c>
      <c r="C638" s="1" t="n">
        <v>46062</v>
      </c>
      <c r="D638" t="inlineStr">
        <is>
          <t>VÄSTERBOTTENS LÄN</t>
        </is>
      </c>
      <c r="E638" t="inlineStr">
        <is>
          <t>VILHELMINA</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57207-2025</t>
        </is>
      </c>
      <c r="B639" s="1" t="n">
        <v>45979.59443287037</v>
      </c>
      <c r="C639" s="1" t="n">
        <v>46062</v>
      </c>
      <c r="D639" t="inlineStr">
        <is>
          <t>VÄSTERBOTTENS LÄN</t>
        </is>
      </c>
      <c r="E639" t="inlineStr">
        <is>
          <t>VILHELMINA</t>
        </is>
      </c>
      <c r="G639" t="n">
        <v>2.3</v>
      </c>
      <c r="H639" t="n">
        <v>0</v>
      </c>
      <c r="I639" t="n">
        <v>0</v>
      </c>
      <c r="J639" t="n">
        <v>0</v>
      </c>
      <c r="K639" t="n">
        <v>0</v>
      </c>
      <c r="L639" t="n">
        <v>0</v>
      </c>
      <c r="M639" t="n">
        <v>0</v>
      </c>
      <c r="N639" t="n">
        <v>0</v>
      </c>
      <c r="O639" t="n">
        <v>0</v>
      </c>
      <c r="P639" t="n">
        <v>0</v>
      </c>
      <c r="Q639" t="n">
        <v>0</v>
      </c>
      <c r="R639" s="2" t="inlineStr"/>
    </row>
    <row r="640" ht="15" customHeight="1">
      <c r="A640" t="inlineStr">
        <is>
          <t>A 8555-2023</t>
        </is>
      </c>
      <c r="B640" s="1" t="n">
        <v>44972</v>
      </c>
      <c r="C640" s="1" t="n">
        <v>46062</v>
      </c>
      <c r="D640" t="inlineStr">
        <is>
          <t>VÄSTERBOTTENS LÄN</t>
        </is>
      </c>
      <c r="E640" t="inlineStr">
        <is>
          <t>VILHELMINA</t>
        </is>
      </c>
      <c r="F640" t="inlineStr">
        <is>
          <t>Allmännings- och besparingsskogar</t>
        </is>
      </c>
      <c r="G640" t="n">
        <v>39</v>
      </c>
      <c r="H640" t="n">
        <v>0</v>
      </c>
      <c r="I640" t="n">
        <v>0</v>
      </c>
      <c r="J640" t="n">
        <v>0</v>
      </c>
      <c r="K640" t="n">
        <v>0</v>
      </c>
      <c r="L640" t="n">
        <v>0</v>
      </c>
      <c r="M640" t="n">
        <v>0</v>
      </c>
      <c r="N640" t="n">
        <v>0</v>
      </c>
      <c r="O640" t="n">
        <v>0</v>
      </c>
      <c r="P640" t="n">
        <v>0</v>
      </c>
      <c r="Q640" t="n">
        <v>0</v>
      </c>
      <c r="R640" s="2" t="inlineStr"/>
    </row>
    <row r="641" ht="15" customHeight="1">
      <c r="A641" t="inlineStr">
        <is>
          <t>A 57565-2025</t>
        </is>
      </c>
      <c r="B641" s="1" t="n">
        <v>45980.71736111111</v>
      </c>
      <c r="C641" s="1" t="n">
        <v>46062</v>
      </c>
      <c r="D641" t="inlineStr">
        <is>
          <t>VÄSTERBOTTENS LÄN</t>
        </is>
      </c>
      <c r="E641" t="inlineStr">
        <is>
          <t>VILHELMINA</t>
        </is>
      </c>
      <c r="G641" t="n">
        <v>22.9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46062</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57812-2025</t>
        </is>
      </c>
      <c r="B643" s="1" t="n">
        <v>45981</v>
      </c>
      <c r="C643" s="1" t="n">
        <v>46062</v>
      </c>
      <c r="D643" t="inlineStr">
        <is>
          <t>VÄSTERBOTTENS LÄN</t>
        </is>
      </c>
      <c r="E643" t="inlineStr">
        <is>
          <t>VILHELMINA</t>
        </is>
      </c>
      <c r="G643" t="n">
        <v>5.9</v>
      </c>
      <c r="H643" t="n">
        <v>0</v>
      </c>
      <c r="I643" t="n">
        <v>0</v>
      </c>
      <c r="J643" t="n">
        <v>0</v>
      </c>
      <c r="K643" t="n">
        <v>0</v>
      </c>
      <c r="L643" t="n">
        <v>0</v>
      </c>
      <c r="M643" t="n">
        <v>0</v>
      </c>
      <c r="N643" t="n">
        <v>0</v>
      </c>
      <c r="O643" t="n">
        <v>0</v>
      </c>
      <c r="P643" t="n">
        <v>0</v>
      </c>
      <c r="Q643" t="n">
        <v>0</v>
      </c>
      <c r="R643" s="2" t="inlineStr"/>
    </row>
    <row r="644" ht="15" customHeight="1">
      <c r="A644" t="inlineStr">
        <is>
          <t>A 57792-2025</t>
        </is>
      </c>
      <c r="B644" s="1" t="n">
        <v>45981.57957175926</v>
      </c>
      <c r="C644" s="1" t="n">
        <v>46062</v>
      </c>
      <c r="D644" t="inlineStr">
        <is>
          <t>VÄSTERBOTTENS LÄN</t>
        </is>
      </c>
      <c r="E644" t="inlineStr">
        <is>
          <t>VILHELMINA</t>
        </is>
      </c>
      <c r="G644" t="n">
        <v>1.3</v>
      </c>
      <c r="H644" t="n">
        <v>0</v>
      </c>
      <c r="I644" t="n">
        <v>0</v>
      </c>
      <c r="J644" t="n">
        <v>0</v>
      </c>
      <c r="K644" t="n">
        <v>0</v>
      </c>
      <c r="L644" t="n">
        <v>0</v>
      </c>
      <c r="M644" t="n">
        <v>0</v>
      </c>
      <c r="N644" t="n">
        <v>0</v>
      </c>
      <c r="O644" t="n">
        <v>0</v>
      </c>
      <c r="P644" t="n">
        <v>0</v>
      </c>
      <c r="Q644" t="n">
        <v>0</v>
      </c>
      <c r="R644" s="2" t="inlineStr"/>
    </row>
    <row r="645" ht="15" customHeight="1">
      <c r="A645" t="inlineStr">
        <is>
          <t>A 9497-2025</t>
        </is>
      </c>
      <c r="B645" s="1" t="n">
        <v>45715.51086805556</v>
      </c>
      <c r="C645" s="1" t="n">
        <v>46062</v>
      </c>
      <c r="D645" t="inlineStr">
        <is>
          <t>VÄSTERBOTTENS LÄN</t>
        </is>
      </c>
      <c r="E645" t="inlineStr">
        <is>
          <t>VILHELMINA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15176-2022</t>
        </is>
      </c>
      <c r="B646" s="1" t="n">
        <v>44658</v>
      </c>
      <c r="C646" s="1" t="n">
        <v>46062</v>
      </c>
      <c r="D646" t="inlineStr">
        <is>
          <t>VÄSTERBOTTENS LÄN</t>
        </is>
      </c>
      <c r="E646" t="inlineStr">
        <is>
          <t>VILHELMINA</t>
        </is>
      </c>
      <c r="G646" t="n">
        <v>1.6</v>
      </c>
      <c r="H646" t="n">
        <v>0</v>
      </c>
      <c r="I646" t="n">
        <v>0</v>
      </c>
      <c r="J646" t="n">
        <v>0</v>
      </c>
      <c r="K646" t="n">
        <v>0</v>
      </c>
      <c r="L646" t="n">
        <v>0</v>
      </c>
      <c r="M646" t="n">
        <v>0</v>
      </c>
      <c r="N646" t="n">
        <v>0</v>
      </c>
      <c r="O646" t="n">
        <v>0</v>
      </c>
      <c r="P646" t="n">
        <v>0</v>
      </c>
      <c r="Q646" t="n">
        <v>0</v>
      </c>
      <c r="R646" s="2" t="inlineStr"/>
    </row>
    <row r="647" ht="15" customHeight="1">
      <c r="A647" t="inlineStr">
        <is>
          <t>A 58420-2025</t>
        </is>
      </c>
      <c r="B647" s="1" t="n">
        <v>45985.58819444444</v>
      </c>
      <c r="C647" s="1" t="n">
        <v>46062</v>
      </c>
      <c r="D647" t="inlineStr">
        <is>
          <t>VÄSTERBOTTENS LÄN</t>
        </is>
      </c>
      <c r="E647" t="inlineStr">
        <is>
          <t>VILHELMINA</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58471-2025</t>
        </is>
      </c>
      <c r="B648" s="1" t="n">
        <v>45985</v>
      </c>
      <c r="C648" s="1" t="n">
        <v>46062</v>
      </c>
      <c r="D648" t="inlineStr">
        <is>
          <t>VÄSTERBOTTENS LÄN</t>
        </is>
      </c>
      <c r="E648" t="inlineStr">
        <is>
          <t>VILHELMINA</t>
        </is>
      </c>
      <c r="G648" t="n">
        <v>4.5</v>
      </c>
      <c r="H648" t="n">
        <v>0</v>
      </c>
      <c r="I648" t="n">
        <v>0</v>
      </c>
      <c r="J648" t="n">
        <v>0</v>
      </c>
      <c r="K648" t="n">
        <v>0</v>
      </c>
      <c r="L648" t="n">
        <v>0</v>
      </c>
      <c r="M648" t="n">
        <v>0</v>
      </c>
      <c r="N648" t="n">
        <v>0</v>
      </c>
      <c r="O648" t="n">
        <v>0</v>
      </c>
      <c r="P648" t="n">
        <v>0</v>
      </c>
      <c r="Q648" t="n">
        <v>0</v>
      </c>
      <c r="R648" s="2" t="inlineStr"/>
    </row>
    <row r="649" ht="15" customHeight="1">
      <c r="A649" t="inlineStr">
        <is>
          <t>A 58074-2025</t>
        </is>
      </c>
      <c r="B649" s="1" t="n">
        <v>45982.55253472222</v>
      </c>
      <c r="C649" s="1" t="n">
        <v>46062</v>
      </c>
      <c r="D649" t="inlineStr">
        <is>
          <t>VÄSTERBOTTENS LÄN</t>
        </is>
      </c>
      <c r="E649" t="inlineStr">
        <is>
          <t>VILHELMINA</t>
        </is>
      </c>
      <c r="F649" t="inlineStr">
        <is>
          <t>SCA</t>
        </is>
      </c>
      <c r="G649" t="n">
        <v>12.4</v>
      </c>
      <c r="H649" t="n">
        <v>0</v>
      </c>
      <c r="I649" t="n">
        <v>0</v>
      </c>
      <c r="J649" t="n">
        <v>0</v>
      </c>
      <c r="K649" t="n">
        <v>0</v>
      </c>
      <c r="L649" t="n">
        <v>0</v>
      </c>
      <c r="M649" t="n">
        <v>0</v>
      </c>
      <c r="N649" t="n">
        <v>0</v>
      </c>
      <c r="O649" t="n">
        <v>0</v>
      </c>
      <c r="P649" t="n">
        <v>0</v>
      </c>
      <c r="Q649" t="n">
        <v>0</v>
      </c>
      <c r="R649" s="2" t="inlineStr"/>
    </row>
    <row r="650" ht="15" customHeight="1">
      <c r="A650" t="inlineStr">
        <is>
          <t>A 58943-2024</t>
        </is>
      </c>
      <c r="B650" s="1" t="n">
        <v>45636.5433449074</v>
      </c>
      <c r="C650" s="1" t="n">
        <v>46062</v>
      </c>
      <c r="D650" t="inlineStr">
        <is>
          <t>VÄSTERBOTTENS LÄN</t>
        </is>
      </c>
      <c r="E650" t="inlineStr">
        <is>
          <t>VILHELMINA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58300-2025</t>
        </is>
      </c>
      <c r="B651" s="1" t="n">
        <v>45985</v>
      </c>
      <c r="C651" s="1" t="n">
        <v>46062</v>
      </c>
      <c r="D651" t="inlineStr">
        <is>
          <t>VÄSTERBOTTENS LÄN</t>
        </is>
      </c>
      <c r="E651" t="inlineStr">
        <is>
          <t>VILHELMINA</t>
        </is>
      </c>
      <c r="G651" t="n">
        <v>2.4</v>
      </c>
      <c r="H651" t="n">
        <v>0</v>
      </c>
      <c r="I651" t="n">
        <v>0</v>
      </c>
      <c r="J651" t="n">
        <v>0</v>
      </c>
      <c r="K651" t="n">
        <v>0</v>
      </c>
      <c r="L651" t="n">
        <v>0</v>
      </c>
      <c r="M651" t="n">
        <v>0</v>
      </c>
      <c r="N651" t="n">
        <v>0</v>
      </c>
      <c r="O651" t="n">
        <v>0</v>
      </c>
      <c r="P651" t="n">
        <v>0</v>
      </c>
      <c r="Q651" t="n">
        <v>0</v>
      </c>
      <c r="R651" s="2" t="inlineStr"/>
    </row>
    <row r="652" ht="15" customHeight="1">
      <c r="A652" t="inlineStr">
        <is>
          <t>A 46119-2022</t>
        </is>
      </c>
      <c r="B652" s="1" t="n">
        <v>44847</v>
      </c>
      <c r="C652" s="1" t="n">
        <v>46062</v>
      </c>
      <c r="D652" t="inlineStr">
        <is>
          <t>VÄSTERBOTTENS LÄN</t>
        </is>
      </c>
      <c r="E652" t="inlineStr">
        <is>
          <t>VILHELMINA</t>
        </is>
      </c>
      <c r="G652" t="n">
        <v>12.1</v>
      </c>
      <c r="H652" t="n">
        <v>0</v>
      </c>
      <c r="I652" t="n">
        <v>0</v>
      </c>
      <c r="J652" t="n">
        <v>0</v>
      </c>
      <c r="K652" t="n">
        <v>0</v>
      </c>
      <c r="L652" t="n">
        <v>0</v>
      </c>
      <c r="M652" t="n">
        <v>0</v>
      </c>
      <c r="N652" t="n">
        <v>0</v>
      </c>
      <c r="O652" t="n">
        <v>0</v>
      </c>
      <c r="P652" t="n">
        <v>0</v>
      </c>
      <c r="Q652" t="n">
        <v>0</v>
      </c>
      <c r="R652" s="2" t="inlineStr"/>
    </row>
    <row r="653" ht="15" customHeight="1">
      <c r="A653" t="inlineStr">
        <is>
          <t>A 46121-2022</t>
        </is>
      </c>
      <c r="B653" s="1" t="n">
        <v>44847</v>
      </c>
      <c r="C653" s="1" t="n">
        <v>46062</v>
      </c>
      <c r="D653" t="inlineStr">
        <is>
          <t>VÄSTERBOTTENS LÄN</t>
        </is>
      </c>
      <c r="E653" t="inlineStr">
        <is>
          <t>VILHELMINA</t>
        </is>
      </c>
      <c r="G653" t="n">
        <v>2.6</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46062</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46062</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46062</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16720-2025</t>
        </is>
      </c>
      <c r="B657" s="1" t="n">
        <v>45754.49039351852</v>
      </c>
      <c r="C657" s="1" t="n">
        <v>46062</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46062</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62630-2022</t>
        </is>
      </c>
      <c r="B659" s="1" t="n">
        <v>44917</v>
      </c>
      <c r="C659" s="1" t="n">
        <v>46062</v>
      </c>
      <c r="D659" t="inlineStr">
        <is>
          <t>VÄSTERBOTTENS LÄN</t>
        </is>
      </c>
      <c r="E659" t="inlineStr">
        <is>
          <t>VILHELMINA</t>
        </is>
      </c>
      <c r="G659" t="n">
        <v>0.9</v>
      </c>
      <c r="H659" t="n">
        <v>0</v>
      </c>
      <c r="I659" t="n">
        <v>0</v>
      </c>
      <c r="J659" t="n">
        <v>0</v>
      </c>
      <c r="K659" t="n">
        <v>0</v>
      </c>
      <c r="L659" t="n">
        <v>0</v>
      </c>
      <c r="M659" t="n">
        <v>0</v>
      </c>
      <c r="N659" t="n">
        <v>0</v>
      </c>
      <c r="O659" t="n">
        <v>0</v>
      </c>
      <c r="P659" t="n">
        <v>0</v>
      </c>
      <c r="Q659" t="n">
        <v>0</v>
      </c>
      <c r="R659" s="2" t="inlineStr"/>
    </row>
    <row r="660" ht="15" customHeight="1">
      <c r="A660" t="inlineStr">
        <is>
          <t>A 28695-2024</t>
        </is>
      </c>
      <c r="B660" s="1" t="n">
        <v>45478</v>
      </c>
      <c r="C660" s="1" t="n">
        <v>46062</v>
      </c>
      <c r="D660" t="inlineStr">
        <is>
          <t>VÄSTERBOTTENS LÄN</t>
        </is>
      </c>
      <c r="E660" t="inlineStr">
        <is>
          <t>VILHELMINA</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40468-2021</t>
        </is>
      </c>
      <c r="B661" s="1" t="n">
        <v>44419.94174768519</v>
      </c>
      <c r="C661" s="1" t="n">
        <v>46062</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59505-2025</t>
        </is>
      </c>
      <c r="B662" s="1" t="n">
        <v>45989</v>
      </c>
      <c r="C662" s="1" t="n">
        <v>46062</v>
      </c>
      <c r="D662" t="inlineStr">
        <is>
          <t>VÄSTERBOTTENS LÄN</t>
        </is>
      </c>
      <c r="E662" t="inlineStr">
        <is>
          <t>VILHELMINA</t>
        </is>
      </c>
      <c r="G662" t="n">
        <v>5.9</v>
      </c>
      <c r="H662" t="n">
        <v>0</v>
      </c>
      <c r="I662" t="n">
        <v>0</v>
      </c>
      <c r="J662" t="n">
        <v>0</v>
      </c>
      <c r="K662" t="n">
        <v>0</v>
      </c>
      <c r="L662" t="n">
        <v>0</v>
      </c>
      <c r="M662" t="n">
        <v>0</v>
      </c>
      <c r="N662" t="n">
        <v>0</v>
      </c>
      <c r="O662" t="n">
        <v>0</v>
      </c>
      <c r="P662" t="n">
        <v>0</v>
      </c>
      <c r="Q662" t="n">
        <v>0</v>
      </c>
      <c r="R662" s="2" t="inlineStr"/>
    </row>
    <row r="663" ht="15" customHeight="1">
      <c r="A663" t="inlineStr">
        <is>
          <t>A 59506-2025</t>
        </is>
      </c>
      <c r="B663" s="1" t="n">
        <v>45989</v>
      </c>
      <c r="C663" s="1" t="n">
        <v>46062</v>
      </c>
      <c r="D663" t="inlineStr">
        <is>
          <t>VÄSTERBOTTENS LÄN</t>
        </is>
      </c>
      <c r="E663" t="inlineStr">
        <is>
          <t>VILHELMINA</t>
        </is>
      </c>
      <c r="G663" t="n">
        <v>4.9</v>
      </c>
      <c r="H663" t="n">
        <v>0</v>
      </c>
      <c r="I663" t="n">
        <v>0</v>
      </c>
      <c r="J663" t="n">
        <v>0</v>
      </c>
      <c r="K663" t="n">
        <v>0</v>
      </c>
      <c r="L663" t="n">
        <v>0</v>
      </c>
      <c r="M663" t="n">
        <v>0</v>
      </c>
      <c r="N663" t="n">
        <v>0</v>
      </c>
      <c r="O663" t="n">
        <v>0</v>
      </c>
      <c r="P663" t="n">
        <v>0</v>
      </c>
      <c r="Q663" t="n">
        <v>0</v>
      </c>
      <c r="R663" s="2" t="inlineStr"/>
    </row>
    <row r="664" ht="15" customHeight="1">
      <c r="A664" t="inlineStr">
        <is>
          <t>A 37346-2024</t>
        </is>
      </c>
      <c r="B664" s="1" t="n">
        <v>45540</v>
      </c>
      <c r="C664" s="1" t="n">
        <v>46062</v>
      </c>
      <c r="D664" t="inlineStr">
        <is>
          <t>VÄSTERBOTTENS LÄN</t>
        </is>
      </c>
      <c r="E664" t="inlineStr">
        <is>
          <t>VILHELMINA</t>
        </is>
      </c>
      <c r="G664" t="n">
        <v>96.3</v>
      </c>
      <c r="H664" t="n">
        <v>0</v>
      </c>
      <c r="I664" t="n">
        <v>0</v>
      </c>
      <c r="J664" t="n">
        <v>0</v>
      </c>
      <c r="K664" t="n">
        <v>0</v>
      </c>
      <c r="L664" t="n">
        <v>0</v>
      </c>
      <c r="M664" t="n">
        <v>0</v>
      </c>
      <c r="N664" t="n">
        <v>0</v>
      </c>
      <c r="O664" t="n">
        <v>0</v>
      </c>
      <c r="P664" t="n">
        <v>0</v>
      </c>
      <c r="Q664" t="n">
        <v>0</v>
      </c>
      <c r="R664" s="2" t="inlineStr"/>
    </row>
    <row r="665" ht="15" customHeight="1">
      <c r="A665" t="inlineStr">
        <is>
          <t>A 52746-2023</t>
        </is>
      </c>
      <c r="B665" s="1" t="n">
        <v>45225.96753472222</v>
      </c>
      <c r="C665" s="1" t="n">
        <v>46062</v>
      </c>
      <c r="D665" t="inlineStr">
        <is>
          <t>VÄSTERBOTTENS LÄN</t>
        </is>
      </c>
      <c r="E665" t="inlineStr">
        <is>
          <t>VILHELMINA</t>
        </is>
      </c>
      <c r="F665" t="inlineStr">
        <is>
          <t>SCA</t>
        </is>
      </c>
      <c r="G665" t="n">
        <v>10.4</v>
      </c>
      <c r="H665" t="n">
        <v>0</v>
      </c>
      <c r="I665" t="n">
        <v>0</v>
      </c>
      <c r="J665" t="n">
        <v>0</v>
      </c>
      <c r="K665" t="n">
        <v>0</v>
      </c>
      <c r="L665" t="n">
        <v>0</v>
      </c>
      <c r="M665" t="n">
        <v>0</v>
      </c>
      <c r="N665" t="n">
        <v>0</v>
      </c>
      <c r="O665" t="n">
        <v>0</v>
      </c>
      <c r="P665" t="n">
        <v>0</v>
      </c>
      <c r="Q665" t="n">
        <v>0</v>
      </c>
      <c r="R665" s="2" t="inlineStr"/>
    </row>
    <row r="666" ht="15" customHeight="1">
      <c r="A666" t="inlineStr">
        <is>
          <t>A 60065-2025</t>
        </is>
      </c>
      <c r="B666" s="1" t="n">
        <v>45993.65892361111</v>
      </c>
      <c r="C666" s="1" t="n">
        <v>46062</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23270-2021</t>
        </is>
      </c>
      <c r="B667" s="1" t="n">
        <v>44328</v>
      </c>
      <c r="C667" s="1" t="n">
        <v>46062</v>
      </c>
      <c r="D667" t="inlineStr">
        <is>
          <t>VÄSTERBOTTENS LÄN</t>
        </is>
      </c>
      <c r="E667" t="inlineStr">
        <is>
          <t>VILHELMINA</t>
        </is>
      </c>
      <c r="F667" t="inlineStr">
        <is>
          <t>Allmännings- och besparingsskogar</t>
        </is>
      </c>
      <c r="G667" t="n">
        <v>14.7</v>
      </c>
      <c r="H667" t="n">
        <v>0</v>
      </c>
      <c r="I667" t="n">
        <v>0</v>
      </c>
      <c r="J667" t="n">
        <v>0</v>
      </c>
      <c r="K667" t="n">
        <v>0</v>
      </c>
      <c r="L667" t="n">
        <v>0</v>
      </c>
      <c r="M667" t="n">
        <v>0</v>
      </c>
      <c r="N667" t="n">
        <v>0</v>
      </c>
      <c r="O667" t="n">
        <v>0</v>
      </c>
      <c r="P667" t="n">
        <v>0</v>
      </c>
      <c r="Q667" t="n">
        <v>0</v>
      </c>
      <c r="R667" s="2" t="inlineStr"/>
    </row>
    <row r="668" ht="15" customHeight="1">
      <c r="A668" t="inlineStr">
        <is>
          <t>A 49241-2024</t>
        </is>
      </c>
      <c r="B668" s="1" t="n">
        <v>45595</v>
      </c>
      <c r="C668" s="1" t="n">
        <v>46062</v>
      </c>
      <c r="D668" t="inlineStr">
        <is>
          <t>VÄSTERBOTTENS LÄN</t>
        </is>
      </c>
      <c r="E668" t="inlineStr">
        <is>
          <t>VILHELMINA</t>
        </is>
      </c>
      <c r="G668" t="n">
        <v>1.4</v>
      </c>
      <c r="H668" t="n">
        <v>0</v>
      </c>
      <c r="I668" t="n">
        <v>0</v>
      </c>
      <c r="J668" t="n">
        <v>0</v>
      </c>
      <c r="K668" t="n">
        <v>0</v>
      </c>
      <c r="L668" t="n">
        <v>0</v>
      </c>
      <c r="M668" t="n">
        <v>0</v>
      </c>
      <c r="N668" t="n">
        <v>0</v>
      </c>
      <c r="O668" t="n">
        <v>0</v>
      </c>
      <c r="P668" t="n">
        <v>0</v>
      </c>
      <c r="Q668" t="n">
        <v>0</v>
      </c>
      <c r="R668" s="2" t="inlineStr"/>
    </row>
    <row r="669" ht="15" customHeight="1">
      <c r="A669" t="inlineStr">
        <is>
          <t>A 10418-2023</t>
        </is>
      </c>
      <c r="B669" s="1" t="n">
        <v>44987</v>
      </c>
      <c r="C669" s="1" t="n">
        <v>46062</v>
      </c>
      <c r="D669" t="inlineStr">
        <is>
          <t>VÄSTERBOTTENS LÄN</t>
        </is>
      </c>
      <c r="E669" t="inlineStr">
        <is>
          <t>VILHELMINA</t>
        </is>
      </c>
      <c r="G669" t="n">
        <v>3.2</v>
      </c>
      <c r="H669" t="n">
        <v>0</v>
      </c>
      <c r="I669" t="n">
        <v>0</v>
      </c>
      <c r="J669" t="n">
        <v>0</v>
      </c>
      <c r="K669" t="n">
        <v>0</v>
      </c>
      <c r="L669" t="n">
        <v>0</v>
      </c>
      <c r="M669" t="n">
        <v>0</v>
      </c>
      <c r="N669" t="n">
        <v>0</v>
      </c>
      <c r="O669" t="n">
        <v>0</v>
      </c>
      <c r="P669" t="n">
        <v>0</v>
      </c>
      <c r="Q669" t="n">
        <v>0</v>
      </c>
      <c r="R669" s="2" t="inlineStr"/>
    </row>
    <row r="670" ht="15" customHeight="1">
      <c r="A670" t="inlineStr">
        <is>
          <t>A 61953-2024</t>
        </is>
      </c>
      <c r="B670" s="1" t="n">
        <v>45653.5150462963</v>
      </c>
      <c r="C670" s="1" t="n">
        <v>46062</v>
      </c>
      <c r="D670" t="inlineStr">
        <is>
          <t>VÄSTERBOTTENS LÄN</t>
        </is>
      </c>
      <c r="E670" t="inlineStr">
        <is>
          <t>VILHELMINA</t>
        </is>
      </c>
      <c r="F670" t="inlineStr">
        <is>
          <t>Kommuner</t>
        </is>
      </c>
      <c r="G670" t="n">
        <v>10.2</v>
      </c>
      <c r="H670" t="n">
        <v>0</v>
      </c>
      <c r="I670" t="n">
        <v>0</v>
      </c>
      <c r="J670" t="n">
        <v>0</v>
      </c>
      <c r="K670" t="n">
        <v>0</v>
      </c>
      <c r="L670" t="n">
        <v>0</v>
      </c>
      <c r="M670" t="n">
        <v>0</v>
      </c>
      <c r="N670" t="n">
        <v>0</v>
      </c>
      <c r="O670" t="n">
        <v>0</v>
      </c>
      <c r="P670" t="n">
        <v>0</v>
      </c>
      <c r="Q670" t="n">
        <v>0</v>
      </c>
      <c r="R670" s="2" t="inlineStr"/>
    </row>
    <row r="671" ht="15" customHeight="1">
      <c r="A671" t="inlineStr">
        <is>
          <t>A 60075-2025</t>
        </is>
      </c>
      <c r="B671" s="1" t="n">
        <v>45993.67761574074</v>
      </c>
      <c r="C671" s="1" t="n">
        <v>46062</v>
      </c>
      <c r="D671" t="inlineStr">
        <is>
          <t>VÄSTERBOTTENS LÄN</t>
        </is>
      </c>
      <c r="E671" t="inlineStr">
        <is>
          <t>VILHELMINA</t>
        </is>
      </c>
      <c r="G671" t="n">
        <v>36.9</v>
      </c>
      <c r="H671" t="n">
        <v>0</v>
      </c>
      <c r="I671" t="n">
        <v>0</v>
      </c>
      <c r="J671" t="n">
        <v>0</v>
      </c>
      <c r="K671" t="n">
        <v>0</v>
      </c>
      <c r="L671" t="n">
        <v>0</v>
      </c>
      <c r="M671" t="n">
        <v>0</v>
      </c>
      <c r="N671" t="n">
        <v>0</v>
      </c>
      <c r="O671" t="n">
        <v>0</v>
      </c>
      <c r="P671" t="n">
        <v>0</v>
      </c>
      <c r="Q671" t="n">
        <v>0</v>
      </c>
      <c r="R671" s="2" t="inlineStr"/>
    </row>
    <row r="672" ht="15" customHeight="1">
      <c r="A672" t="inlineStr">
        <is>
          <t>A 60057-2025</t>
        </is>
      </c>
      <c r="B672" s="1" t="n">
        <v>45993.65197916667</v>
      </c>
      <c r="C672" s="1" t="n">
        <v>46062</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60682-2022</t>
        </is>
      </c>
      <c r="B673" s="1" t="n">
        <v>44911.94</v>
      </c>
      <c r="C673" s="1" t="n">
        <v>46062</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60069-2025</t>
        </is>
      </c>
      <c r="B674" s="1" t="n">
        <v>45993.66409722222</v>
      </c>
      <c r="C674" s="1" t="n">
        <v>46062</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23536-2024</t>
        </is>
      </c>
      <c r="B675" s="1" t="n">
        <v>45453.95199074074</v>
      </c>
      <c r="C675" s="1" t="n">
        <v>46062</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47010-2024</t>
        </is>
      </c>
      <c r="B676" s="1" t="n">
        <v>45586</v>
      </c>
      <c r="C676" s="1" t="n">
        <v>46062</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59629-2025</t>
        </is>
      </c>
      <c r="B677" s="1" t="n">
        <v>45992.39248842592</v>
      </c>
      <c r="C677" s="1" t="n">
        <v>46062</v>
      </c>
      <c r="D677" t="inlineStr">
        <is>
          <t>VÄSTERBOTTENS LÄN</t>
        </is>
      </c>
      <c r="E677" t="inlineStr">
        <is>
          <t>VILHELMINA</t>
        </is>
      </c>
      <c r="G677" t="n">
        <v>12.6</v>
      </c>
      <c r="H677" t="n">
        <v>0</v>
      </c>
      <c r="I677" t="n">
        <v>0</v>
      </c>
      <c r="J677" t="n">
        <v>0</v>
      </c>
      <c r="K677" t="n">
        <v>0</v>
      </c>
      <c r="L677" t="n">
        <v>0</v>
      </c>
      <c r="M677" t="n">
        <v>0</v>
      </c>
      <c r="N677" t="n">
        <v>0</v>
      </c>
      <c r="O677" t="n">
        <v>0</v>
      </c>
      <c r="P677" t="n">
        <v>0</v>
      </c>
      <c r="Q677" t="n">
        <v>0</v>
      </c>
      <c r="R677" s="2" t="inlineStr"/>
    </row>
    <row r="678" ht="15" customHeight="1">
      <c r="A678" t="inlineStr">
        <is>
          <t>A 59915-2025</t>
        </is>
      </c>
      <c r="B678" s="1" t="n">
        <v>45993</v>
      </c>
      <c r="C678" s="1" t="n">
        <v>46062</v>
      </c>
      <c r="D678" t="inlineStr">
        <is>
          <t>VÄSTERBOTTENS LÄN</t>
        </is>
      </c>
      <c r="E678" t="inlineStr">
        <is>
          <t>VILHELMINA</t>
        </is>
      </c>
      <c r="G678" t="n">
        <v>27.8</v>
      </c>
      <c r="H678" t="n">
        <v>0</v>
      </c>
      <c r="I678" t="n">
        <v>0</v>
      </c>
      <c r="J678" t="n">
        <v>0</v>
      </c>
      <c r="K678" t="n">
        <v>0</v>
      </c>
      <c r="L678" t="n">
        <v>0</v>
      </c>
      <c r="M678" t="n">
        <v>0</v>
      </c>
      <c r="N678" t="n">
        <v>0</v>
      </c>
      <c r="O678" t="n">
        <v>0</v>
      </c>
      <c r="P678" t="n">
        <v>0</v>
      </c>
      <c r="Q678" t="n">
        <v>0</v>
      </c>
      <c r="R678" s="2" t="inlineStr"/>
    </row>
    <row r="679" ht="15" customHeight="1">
      <c r="A679" t="inlineStr">
        <is>
          <t>A 60518-2025</t>
        </is>
      </c>
      <c r="B679" s="1" t="n">
        <v>45994</v>
      </c>
      <c r="C679" s="1" t="n">
        <v>46062</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5403-2025</t>
        </is>
      </c>
      <c r="B680" s="1" t="n">
        <v>45692.64475694444</v>
      </c>
      <c r="C680" s="1" t="n">
        <v>46062</v>
      </c>
      <c r="D680" t="inlineStr">
        <is>
          <t>VÄSTERBOTTENS LÄN</t>
        </is>
      </c>
      <c r="E680" t="inlineStr">
        <is>
          <t>VILHELMINA</t>
        </is>
      </c>
      <c r="F680" t="inlineStr">
        <is>
          <t>Kommuner</t>
        </is>
      </c>
      <c r="G680" t="n">
        <v>14.9</v>
      </c>
      <c r="H680" t="n">
        <v>0</v>
      </c>
      <c r="I680" t="n">
        <v>0</v>
      </c>
      <c r="J680" t="n">
        <v>0</v>
      </c>
      <c r="K680" t="n">
        <v>0</v>
      </c>
      <c r="L680" t="n">
        <v>0</v>
      </c>
      <c r="M680" t="n">
        <v>0</v>
      </c>
      <c r="N680" t="n">
        <v>0</v>
      </c>
      <c r="O680" t="n">
        <v>0</v>
      </c>
      <c r="P680" t="n">
        <v>0</v>
      </c>
      <c r="Q680" t="n">
        <v>0</v>
      </c>
      <c r="R680" s="2" t="inlineStr"/>
    </row>
    <row r="681" ht="15" customHeight="1">
      <c r="A681" t="inlineStr">
        <is>
          <t>A 45965-2023</t>
        </is>
      </c>
      <c r="B681" s="1" t="n">
        <v>45195.94755787037</v>
      </c>
      <c r="C681" s="1" t="n">
        <v>46062</v>
      </c>
      <c r="D681" t="inlineStr">
        <is>
          <t>VÄSTERBOTTENS LÄN</t>
        </is>
      </c>
      <c r="E681" t="inlineStr">
        <is>
          <t>VILHELMINA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15805-2025</t>
        </is>
      </c>
      <c r="B682" s="1" t="n">
        <v>45748</v>
      </c>
      <c r="C682" s="1" t="n">
        <v>46062</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2232-2026</t>
        </is>
      </c>
      <c r="B683" s="1" t="n">
        <v>46036.53188657408</v>
      </c>
      <c r="C683" s="1" t="n">
        <v>46062</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31449-2024</t>
        </is>
      </c>
      <c r="B684" s="1" t="n">
        <v>45505.9299537037</v>
      </c>
      <c r="C684" s="1" t="n">
        <v>46062</v>
      </c>
      <c r="D684" t="inlineStr">
        <is>
          <t>VÄSTERBOTTENS LÄN</t>
        </is>
      </c>
      <c r="E684" t="inlineStr">
        <is>
          <t>VILHELMINA</t>
        </is>
      </c>
      <c r="G684" t="n">
        <v>3.5</v>
      </c>
      <c r="H684" t="n">
        <v>0</v>
      </c>
      <c r="I684" t="n">
        <v>0</v>
      </c>
      <c r="J684" t="n">
        <v>0</v>
      </c>
      <c r="K684" t="n">
        <v>0</v>
      </c>
      <c r="L684" t="n">
        <v>0</v>
      </c>
      <c r="M684" t="n">
        <v>0</v>
      </c>
      <c r="N684" t="n">
        <v>0</v>
      </c>
      <c r="O684" t="n">
        <v>0</v>
      </c>
      <c r="P684" t="n">
        <v>0</v>
      </c>
      <c r="Q684" t="n">
        <v>0</v>
      </c>
      <c r="R684" s="2" t="inlineStr"/>
    </row>
    <row r="685" ht="15" customHeight="1">
      <c r="A685" t="inlineStr">
        <is>
          <t>A 2086-2026</t>
        </is>
      </c>
      <c r="B685" s="1" t="n">
        <v>46034</v>
      </c>
      <c r="C685" s="1" t="n">
        <v>46062</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8733-2023</t>
        </is>
      </c>
      <c r="B686" s="1" t="n">
        <v>44972</v>
      </c>
      <c r="C686" s="1" t="n">
        <v>46062</v>
      </c>
      <c r="D686" t="inlineStr">
        <is>
          <t>VÄSTERBOTTENS LÄN</t>
        </is>
      </c>
      <c r="E686" t="inlineStr">
        <is>
          <t>VILHELMINA</t>
        </is>
      </c>
      <c r="F686" t="inlineStr">
        <is>
          <t>Allmännings- och besparingsskogar</t>
        </is>
      </c>
      <c r="G686" t="n">
        <v>20</v>
      </c>
      <c r="H686" t="n">
        <v>0</v>
      </c>
      <c r="I686" t="n">
        <v>0</v>
      </c>
      <c r="J686" t="n">
        <v>0</v>
      </c>
      <c r="K686" t="n">
        <v>0</v>
      </c>
      <c r="L686" t="n">
        <v>0</v>
      </c>
      <c r="M686" t="n">
        <v>0</v>
      </c>
      <c r="N686" t="n">
        <v>0</v>
      </c>
      <c r="O686" t="n">
        <v>0</v>
      </c>
      <c r="P686" t="n">
        <v>0</v>
      </c>
      <c r="Q686" t="n">
        <v>0</v>
      </c>
      <c r="R686" s="2" t="inlineStr"/>
    </row>
    <row r="687" ht="15" customHeight="1">
      <c r="A687" t="inlineStr">
        <is>
          <t>A 28869-2024</t>
        </is>
      </c>
      <c r="B687" s="1" t="n">
        <v>45478.94722222222</v>
      </c>
      <c r="C687" s="1" t="n">
        <v>46062</v>
      </c>
      <c r="D687" t="inlineStr">
        <is>
          <t>VÄSTERBOTTENS LÄN</t>
        </is>
      </c>
      <c r="E687" t="inlineStr">
        <is>
          <t>VILHELMINA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60713-2025</t>
        </is>
      </c>
      <c r="B688" s="1" t="n">
        <v>45996.63483796296</v>
      </c>
      <c r="C688" s="1" t="n">
        <v>46062</v>
      </c>
      <c r="D688" t="inlineStr">
        <is>
          <t>VÄSTERBOTTENS LÄN</t>
        </is>
      </c>
      <c r="E688" t="inlineStr">
        <is>
          <t>VILHELMINA</t>
        </is>
      </c>
      <c r="G688" t="n">
        <v>2.4</v>
      </c>
      <c r="H688" t="n">
        <v>0</v>
      </c>
      <c r="I688" t="n">
        <v>0</v>
      </c>
      <c r="J688" t="n">
        <v>0</v>
      </c>
      <c r="K688" t="n">
        <v>0</v>
      </c>
      <c r="L688" t="n">
        <v>0</v>
      </c>
      <c r="M688" t="n">
        <v>0</v>
      </c>
      <c r="N688" t="n">
        <v>0</v>
      </c>
      <c r="O688" t="n">
        <v>0</v>
      </c>
      <c r="P688" t="n">
        <v>0</v>
      </c>
      <c r="Q688" t="n">
        <v>0</v>
      </c>
      <c r="R688" s="2" t="inlineStr"/>
    </row>
    <row r="689" ht="15" customHeight="1">
      <c r="A689" t="inlineStr">
        <is>
          <t>A 32655-2021</t>
        </is>
      </c>
      <c r="B689" s="1" t="n">
        <v>44371</v>
      </c>
      <c r="C689" s="1" t="n">
        <v>46062</v>
      </c>
      <c r="D689" t="inlineStr">
        <is>
          <t>VÄSTERBOTTENS LÄN</t>
        </is>
      </c>
      <c r="E689" t="inlineStr">
        <is>
          <t>VILHELMINA</t>
        </is>
      </c>
      <c r="G689" t="n">
        <v>0.2</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46062</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55688-2023</t>
        </is>
      </c>
      <c r="B691" s="1" t="n">
        <v>45232</v>
      </c>
      <c r="C691" s="1" t="n">
        <v>46062</v>
      </c>
      <c r="D691" t="inlineStr">
        <is>
          <t>VÄSTERBOTTENS LÄN</t>
        </is>
      </c>
      <c r="E691" t="inlineStr">
        <is>
          <t>VILHELMINA</t>
        </is>
      </c>
      <c r="G691" t="n">
        <v>6.4</v>
      </c>
      <c r="H691" t="n">
        <v>0</v>
      </c>
      <c r="I691" t="n">
        <v>0</v>
      </c>
      <c r="J691" t="n">
        <v>0</v>
      </c>
      <c r="K691" t="n">
        <v>0</v>
      </c>
      <c r="L691" t="n">
        <v>0</v>
      </c>
      <c r="M691" t="n">
        <v>0</v>
      </c>
      <c r="N691" t="n">
        <v>0</v>
      </c>
      <c r="O691" t="n">
        <v>0</v>
      </c>
      <c r="P691" t="n">
        <v>0</v>
      </c>
      <c r="Q691" t="n">
        <v>0</v>
      </c>
      <c r="R691" s="2" t="inlineStr"/>
    </row>
    <row r="692" ht="15" customHeight="1">
      <c r="A692" t="inlineStr">
        <is>
          <t>A 14959-2022</t>
        </is>
      </c>
      <c r="B692" s="1" t="n">
        <v>44657</v>
      </c>
      <c r="C692" s="1" t="n">
        <v>46062</v>
      </c>
      <c r="D692" t="inlineStr">
        <is>
          <t>VÄSTERBOTTENS LÄN</t>
        </is>
      </c>
      <c r="E692" t="inlineStr">
        <is>
          <t>VILHELMINA</t>
        </is>
      </c>
      <c r="G692" t="n">
        <v>71.8</v>
      </c>
      <c r="H692" t="n">
        <v>0</v>
      </c>
      <c r="I692" t="n">
        <v>0</v>
      </c>
      <c r="J692" t="n">
        <v>0</v>
      </c>
      <c r="K692" t="n">
        <v>0</v>
      </c>
      <c r="L692" t="n">
        <v>0</v>
      </c>
      <c r="M692" t="n">
        <v>0</v>
      </c>
      <c r="N692" t="n">
        <v>0</v>
      </c>
      <c r="O692" t="n">
        <v>0</v>
      </c>
      <c r="P692" t="n">
        <v>0</v>
      </c>
      <c r="Q692" t="n">
        <v>0</v>
      </c>
      <c r="R692" s="2" t="inlineStr"/>
    </row>
    <row r="693" ht="15" customHeight="1">
      <c r="A693" t="inlineStr">
        <is>
          <t>A 20769-2024</t>
        </is>
      </c>
      <c r="B693" s="1" t="n">
        <v>45436.94604166667</v>
      </c>
      <c r="C693" s="1" t="n">
        <v>46062</v>
      </c>
      <c r="D693" t="inlineStr">
        <is>
          <t>VÄSTERBOTTENS LÄN</t>
        </is>
      </c>
      <c r="E693" t="inlineStr">
        <is>
          <t>VILHELMINA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60993-2025</t>
        </is>
      </c>
      <c r="B694" s="1" t="n">
        <v>45999.7365162037</v>
      </c>
      <c r="C694" s="1" t="n">
        <v>46062</v>
      </c>
      <c r="D694" t="inlineStr">
        <is>
          <t>VÄSTERBOTTENS LÄN</t>
        </is>
      </c>
      <c r="E694" t="inlineStr">
        <is>
          <t>VILHELMINA</t>
        </is>
      </c>
      <c r="G694" t="n">
        <v>7.9</v>
      </c>
      <c r="H694" t="n">
        <v>0</v>
      </c>
      <c r="I694" t="n">
        <v>0</v>
      </c>
      <c r="J694" t="n">
        <v>0</v>
      </c>
      <c r="K694" t="n">
        <v>0</v>
      </c>
      <c r="L694" t="n">
        <v>0</v>
      </c>
      <c r="M694" t="n">
        <v>0</v>
      </c>
      <c r="N694" t="n">
        <v>0</v>
      </c>
      <c r="O694" t="n">
        <v>0</v>
      </c>
      <c r="P694" t="n">
        <v>0</v>
      </c>
      <c r="Q694" t="n">
        <v>0</v>
      </c>
      <c r="R694" s="2" t="inlineStr"/>
    </row>
    <row r="695" ht="15" customHeight="1">
      <c r="A695" t="inlineStr">
        <is>
          <t>A 60994-2025</t>
        </is>
      </c>
      <c r="B695" s="1" t="n">
        <v>45999.74017361111</v>
      </c>
      <c r="C695" s="1" t="n">
        <v>46062</v>
      </c>
      <c r="D695" t="inlineStr">
        <is>
          <t>VÄSTERBOTTENS LÄN</t>
        </is>
      </c>
      <c r="E695" t="inlineStr">
        <is>
          <t>VILHELMINA</t>
        </is>
      </c>
      <c r="G695" t="n">
        <v>5.4</v>
      </c>
      <c r="H695" t="n">
        <v>0</v>
      </c>
      <c r="I695" t="n">
        <v>0</v>
      </c>
      <c r="J695" t="n">
        <v>0</v>
      </c>
      <c r="K695" t="n">
        <v>0</v>
      </c>
      <c r="L695" t="n">
        <v>0</v>
      </c>
      <c r="M695" t="n">
        <v>0</v>
      </c>
      <c r="N695" t="n">
        <v>0</v>
      </c>
      <c r="O695" t="n">
        <v>0</v>
      </c>
      <c r="P695" t="n">
        <v>0</v>
      </c>
      <c r="Q695" t="n">
        <v>0</v>
      </c>
      <c r="R695" s="2" t="inlineStr"/>
    </row>
    <row r="696" ht="15" customHeight="1">
      <c r="A696" t="inlineStr">
        <is>
          <t>A 60998-2025</t>
        </is>
      </c>
      <c r="B696" s="1" t="n">
        <v>45999.74972222222</v>
      </c>
      <c r="C696" s="1" t="n">
        <v>46062</v>
      </c>
      <c r="D696" t="inlineStr">
        <is>
          <t>VÄSTERBOTTENS LÄN</t>
        </is>
      </c>
      <c r="E696" t="inlineStr">
        <is>
          <t>VILHELMINA</t>
        </is>
      </c>
      <c r="G696" t="n">
        <v>2.5</v>
      </c>
      <c r="H696" t="n">
        <v>0</v>
      </c>
      <c r="I696" t="n">
        <v>0</v>
      </c>
      <c r="J696" t="n">
        <v>0</v>
      </c>
      <c r="K696" t="n">
        <v>0</v>
      </c>
      <c r="L696" t="n">
        <v>0</v>
      </c>
      <c r="M696" t="n">
        <v>0</v>
      </c>
      <c r="N696" t="n">
        <v>0</v>
      </c>
      <c r="O696" t="n">
        <v>0</v>
      </c>
      <c r="P696" t="n">
        <v>0</v>
      </c>
      <c r="Q696" t="n">
        <v>0</v>
      </c>
      <c r="R696" s="2" t="inlineStr"/>
    </row>
    <row r="697" ht="15" customHeight="1">
      <c r="A697" t="inlineStr">
        <is>
          <t>A 2946-2026</t>
        </is>
      </c>
      <c r="B697" s="1" t="n">
        <v>46038.59427083333</v>
      </c>
      <c r="C697" s="1" t="n">
        <v>46062</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60697-2025</t>
        </is>
      </c>
      <c r="B698" s="1" t="n">
        <v>45996.59995370371</v>
      </c>
      <c r="C698" s="1" t="n">
        <v>46062</v>
      </c>
      <c r="D698" t="inlineStr">
        <is>
          <t>VÄSTERBOTTENS LÄN</t>
        </is>
      </c>
      <c r="E698" t="inlineStr">
        <is>
          <t>VILHELMINA</t>
        </is>
      </c>
      <c r="G698" t="n">
        <v>2.1</v>
      </c>
      <c r="H698" t="n">
        <v>0</v>
      </c>
      <c r="I698" t="n">
        <v>0</v>
      </c>
      <c r="J698" t="n">
        <v>0</v>
      </c>
      <c r="K698" t="n">
        <v>0</v>
      </c>
      <c r="L698" t="n">
        <v>0</v>
      </c>
      <c r="M698" t="n">
        <v>0</v>
      </c>
      <c r="N698" t="n">
        <v>0</v>
      </c>
      <c r="O698" t="n">
        <v>0</v>
      </c>
      <c r="P698" t="n">
        <v>0</v>
      </c>
      <c r="Q698" t="n">
        <v>0</v>
      </c>
      <c r="R698" s="2" t="inlineStr"/>
    </row>
    <row r="699" ht="15" customHeight="1">
      <c r="A699" t="inlineStr">
        <is>
          <t>A 60701-2025</t>
        </is>
      </c>
      <c r="B699" s="1" t="n">
        <v>45996.60284722222</v>
      </c>
      <c r="C699" s="1" t="n">
        <v>46062</v>
      </c>
      <c r="D699" t="inlineStr">
        <is>
          <t>VÄSTERBOTTENS LÄN</t>
        </is>
      </c>
      <c r="E699" t="inlineStr">
        <is>
          <t>VILHELMINA</t>
        </is>
      </c>
      <c r="G699" t="n">
        <v>6.2</v>
      </c>
      <c r="H699" t="n">
        <v>0</v>
      </c>
      <c r="I699" t="n">
        <v>0</v>
      </c>
      <c r="J699" t="n">
        <v>0</v>
      </c>
      <c r="K699" t="n">
        <v>0</v>
      </c>
      <c r="L699" t="n">
        <v>0</v>
      </c>
      <c r="M699" t="n">
        <v>0</v>
      </c>
      <c r="N699" t="n">
        <v>0</v>
      </c>
      <c r="O699" t="n">
        <v>0</v>
      </c>
      <c r="P699" t="n">
        <v>0</v>
      </c>
      <c r="Q699" t="n">
        <v>0</v>
      </c>
      <c r="R699" s="2" t="inlineStr"/>
    </row>
    <row r="700" ht="15" customHeight="1">
      <c r="A700" t="inlineStr">
        <is>
          <t>A 26557-2023</t>
        </is>
      </c>
      <c r="B700" s="1" t="n">
        <v>45089</v>
      </c>
      <c r="C700" s="1" t="n">
        <v>46062</v>
      </c>
      <c r="D700" t="inlineStr">
        <is>
          <t>VÄSTERBOTTENS LÄN</t>
        </is>
      </c>
      <c r="E700" t="inlineStr">
        <is>
          <t>VILHELMINA</t>
        </is>
      </c>
      <c r="G700" t="n">
        <v>0.5</v>
      </c>
      <c r="H700" t="n">
        <v>0</v>
      </c>
      <c r="I700" t="n">
        <v>0</v>
      </c>
      <c r="J700" t="n">
        <v>0</v>
      </c>
      <c r="K700" t="n">
        <v>0</v>
      </c>
      <c r="L700" t="n">
        <v>0</v>
      </c>
      <c r="M700" t="n">
        <v>0</v>
      </c>
      <c r="N700" t="n">
        <v>0</v>
      </c>
      <c r="O700" t="n">
        <v>0</v>
      </c>
      <c r="P700" t="n">
        <v>0</v>
      </c>
      <c r="Q700" t="n">
        <v>0</v>
      </c>
      <c r="R700" s="2" t="inlineStr"/>
    </row>
    <row r="701" ht="15" customHeight="1">
      <c r="A701" t="inlineStr">
        <is>
          <t>A 60991-2025</t>
        </is>
      </c>
      <c r="B701" s="1" t="n">
        <v>45999.72875</v>
      </c>
      <c r="C701" s="1" t="n">
        <v>46062</v>
      </c>
      <c r="D701" t="inlineStr">
        <is>
          <t>VÄSTERBOTTENS LÄN</t>
        </is>
      </c>
      <c r="E701" t="inlineStr">
        <is>
          <t>VILHELMINA</t>
        </is>
      </c>
      <c r="G701" t="n">
        <v>4.6</v>
      </c>
      <c r="H701" t="n">
        <v>0</v>
      </c>
      <c r="I701" t="n">
        <v>0</v>
      </c>
      <c r="J701" t="n">
        <v>0</v>
      </c>
      <c r="K701" t="n">
        <v>0</v>
      </c>
      <c r="L701" t="n">
        <v>0</v>
      </c>
      <c r="M701" t="n">
        <v>0</v>
      </c>
      <c r="N701" t="n">
        <v>0</v>
      </c>
      <c r="O701" t="n">
        <v>0</v>
      </c>
      <c r="P701" t="n">
        <v>0</v>
      </c>
      <c r="Q701" t="n">
        <v>0</v>
      </c>
      <c r="R701" s="2" t="inlineStr"/>
    </row>
    <row r="702" ht="15" customHeight="1">
      <c r="A702" t="inlineStr">
        <is>
          <t>A 2822-2026</t>
        </is>
      </c>
      <c r="B702" s="1" t="n">
        <v>46038.43719907408</v>
      </c>
      <c r="C702" s="1" t="n">
        <v>46062</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21844-2024</t>
        </is>
      </c>
      <c r="B703" s="1" t="n">
        <v>45442</v>
      </c>
      <c r="C703" s="1" t="n">
        <v>46062</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50494-2023</t>
        </is>
      </c>
      <c r="B704" s="1" t="n">
        <v>45216.95604166666</v>
      </c>
      <c r="C704" s="1" t="n">
        <v>46062</v>
      </c>
      <c r="D704" t="inlineStr">
        <is>
          <t>VÄSTERBOTTENS LÄN</t>
        </is>
      </c>
      <c r="E704" t="inlineStr">
        <is>
          <t>VILHELMINA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33828-2024</t>
        </is>
      </c>
      <c r="B705" s="1" t="n">
        <v>45520.61695601852</v>
      </c>
      <c r="C705" s="1" t="n">
        <v>46062</v>
      </c>
      <c r="D705" t="inlineStr">
        <is>
          <t>VÄSTERBOTTENS LÄN</t>
        </is>
      </c>
      <c r="E705" t="inlineStr">
        <is>
          <t>VILHELMINA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60996-2025</t>
        </is>
      </c>
      <c r="B706" s="1" t="n">
        <v>45999.74579861111</v>
      </c>
      <c r="C706" s="1" t="n">
        <v>46062</v>
      </c>
      <c r="D706" t="inlineStr">
        <is>
          <t>VÄSTERBOTTENS LÄN</t>
        </is>
      </c>
      <c r="E706" t="inlineStr">
        <is>
          <t>VILHELMINA</t>
        </is>
      </c>
      <c r="G706" t="n">
        <v>4.6</v>
      </c>
      <c r="H706" t="n">
        <v>0</v>
      </c>
      <c r="I706" t="n">
        <v>0</v>
      </c>
      <c r="J706" t="n">
        <v>0</v>
      </c>
      <c r="K706" t="n">
        <v>0</v>
      </c>
      <c r="L706" t="n">
        <v>0</v>
      </c>
      <c r="M706" t="n">
        <v>0</v>
      </c>
      <c r="N706" t="n">
        <v>0</v>
      </c>
      <c r="O706" t="n">
        <v>0</v>
      </c>
      <c r="P706" t="n">
        <v>0</v>
      </c>
      <c r="Q706" t="n">
        <v>0</v>
      </c>
      <c r="R706" s="2" t="inlineStr"/>
    </row>
    <row r="707" ht="15" customHeight="1">
      <c r="A707" t="inlineStr">
        <is>
          <t>A 61464-2025</t>
        </is>
      </c>
      <c r="B707" s="1" t="n">
        <v>46001.60319444445</v>
      </c>
      <c r="C707" s="1" t="n">
        <v>46062</v>
      </c>
      <c r="D707" t="inlineStr">
        <is>
          <t>VÄSTERBOTTENS LÄN</t>
        </is>
      </c>
      <c r="E707" t="inlineStr">
        <is>
          <t>VILHELMINA</t>
        </is>
      </c>
      <c r="G707" t="n">
        <v>5.8</v>
      </c>
      <c r="H707" t="n">
        <v>0</v>
      </c>
      <c r="I707" t="n">
        <v>0</v>
      </c>
      <c r="J707" t="n">
        <v>0</v>
      </c>
      <c r="K707" t="n">
        <v>0</v>
      </c>
      <c r="L707" t="n">
        <v>0</v>
      </c>
      <c r="M707" t="n">
        <v>0</v>
      </c>
      <c r="N707" t="n">
        <v>0</v>
      </c>
      <c r="O707" t="n">
        <v>0</v>
      </c>
      <c r="P707" t="n">
        <v>0</v>
      </c>
      <c r="Q707" t="n">
        <v>0</v>
      </c>
      <c r="R707" s="2" t="inlineStr"/>
    </row>
    <row r="708" ht="15" customHeight="1">
      <c r="A708" t="inlineStr">
        <is>
          <t>A 60999-2025</t>
        </is>
      </c>
      <c r="B708" s="1" t="n">
        <v>45999.76028935185</v>
      </c>
      <c r="C708" s="1" t="n">
        <v>46062</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28870-2024</t>
        </is>
      </c>
      <c r="B709" s="1" t="n">
        <v>45478.94733796296</v>
      </c>
      <c r="C709" s="1" t="n">
        <v>46062</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39677-2024</t>
        </is>
      </c>
      <c r="B710" s="1" t="n">
        <v>45552</v>
      </c>
      <c r="C710" s="1" t="n">
        <v>46062</v>
      </c>
      <c r="D710" t="inlineStr">
        <is>
          <t>VÄSTERBOTTENS LÄN</t>
        </is>
      </c>
      <c r="E710" t="inlineStr">
        <is>
          <t>VILHELMINA</t>
        </is>
      </c>
      <c r="F710" t="inlineStr">
        <is>
          <t>SCA</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61426-2025</t>
        </is>
      </c>
      <c r="B711" s="1" t="n">
        <v>46001.54938657407</v>
      </c>
      <c r="C711" s="1" t="n">
        <v>46062</v>
      </c>
      <c r="D711" t="inlineStr">
        <is>
          <t>VÄSTERBOTTENS LÄN</t>
        </is>
      </c>
      <c r="E711" t="inlineStr">
        <is>
          <t>VILHELMINA</t>
        </is>
      </c>
      <c r="G711" t="n">
        <v>12.2</v>
      </c>
      <c r="H711" t="n">
        <v>0</v>
      </c>
      <c r="I711" t="n">
        <v>0</v>
      </c>
      <c r="J711" t="n">
        <v>0</v>
      </c>
      <c r="K711" t="n">
        <v>0</v>
      </c>
      <c r="L711" t="n">
        <v>0</v>
      </c>
      <c r="M711" t="n">
        <v>0</v>
      </c>
      <c r="N711" t="n">
        <v>0</v>
      </c>
      <c r="O711" t="n">
        <v>0</v>
      </c>
      <c r="P711" t="n">
        <v>0</v>
      </c>
      <c r="Q711" t="n">
        <v>0</v>
      </c>
      <c r="R711" s="2" t="inlineStr"/>
    </row>
    <row r="712" ht="15" customHeight="1">
      <c r="A712" t="inlineStr">
        <is>
          <t>A 61003-2025</t>
        </is>
      </c>
      <c r="B712" s="1" t="n">
        <v>45999.77453703704</v>
      </c>
      <c r="C712" s="1" t="n">
        <v>46062</v>
      </c>
      <c r="D712" t="inlineStr">
        <is>
          <t>VÄSTERBOTTENS LÄN</t>
        </is>
      </c>
      <c r="E712" t="inlineStr">
        <is>
          <t>VILHELMINA</t>
        </is>
      </c>
      <c r="G712" t="n">
        <v>3</v>
      </c>
      <c r="H712" t="n">
        <v>0</v>
      </c>
      <c r="I712" t="n">
        <v>0</v>
      </c>
      <c r="J712" t="n">
        <v>0</v>
      </c>
      <c r="K712" t="n">
        <v>0</v>
      </c>
      <c r="L712" t="n">
        <v>0</v>
      </c>
      <c r="M712" t="n">
        <v>0</v>
      </c>
      <c r="N712" t="n">
        <v>0</v>
      </c>
      <c r="O712" t="n">
        <v>0</v>
      </c>
      <c r="P712" t="n">
        <v>0</v>
      </c>
      <c r="Q712" t="n">
        <v>0</v>
      </c>
      <c r="R712" s="2" t="inlineStr"/>
    </row>
    <row r="713" ht="15" customHeight="1">
      <c r="A713" t="inlineStr">
        <is>
          <t>A 20523-2024</t>
        </is>
      </c>
      <c r="B713" s="1" t="n">
        <v>45435.94553240741</v>
      </c>
      <c r="C713" s="1" t="n">
        <v>46062</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15059-2024</t>
        </is>
      </c>
      <c r="B714" s="1" t="n">
        <v>45399</v>
      </c>
      <c r="C714" s="1" t="n">
        <v>46062</v>
      </c>
      <c r="D714" t="inlineStr">
        <is>
          <t>VÄSTERBOTTENS LÄN</t>
        </is>
      </c>
      <c r="E714" t="inlineStr">
        <is>
          <t>VILHELMINA</t>
        </is>
      </c>
      <c r="G714" t="n">
        <v>0.8</v>
      </c>
      <c r="H714" t="n">
        <v>0</v>
      </c>
      <c r="I714" t="n">
        <v>0</v>
      </c>
      <c r="J714" t="n">
        <v>0</v>
      </c>
      <c r="K714" t="n">
        <v>0</v>
      </c>
      <c r="L714" t="n">
        <v>0</v>
      </c>
      <c r="M714" t="n">
        <v>0</v>
      </c>
      <c r="N714" t="n">
        <v>0</v>
      </c>
      <c r="O714" t="n">
        <v>0</v>
      </c>
      <c r="P714" t="n">
        <v>0</v>
      </c>
      <c r="Q714" t="n">
        <v>0</v>
      </c>
      <c r="R714" s="2" t="inlineStr"/>
    </row>
    <row r="715" ht="15" customHeight="1">
      <c r="A715" t="inlineStr">
        <is>
          <t>A 55620-2024</t>
        </is>
      </c>
      <c r="B715" s="1" t="n">
        <v>45622</v>
      </c>
      <c r="C715" s="1" t="n">
        <v>46062</v>
      </c>
      <c r="D715" t="inlineStr">
        <is>
          <t>VÄSTERBOTTENS LÄN</t>
        </is>
      </c>
      <c r="E715" t="inlineStr">
        <is>
          <t>VILHELMINA</t>
        </is>
      </c>
      <c r="F715" t="inlineStr">
        <is>
          <t>SCA</t>
        </is>
      </c>
      <c r="G715" t="n">
        <v>21.4</v>
      </c>
      <c r="H715" t="n">
        <v>0</v>
      </c>
      <c r="I715" t="n">
        <v>0</v>
      </c>
      <c r="J715" t="n">
        <v>0</v>
      </c>
      <c r="K715" t="n">
        <v>0</v>
      </c>
      <c r="L715" t="n">
        <v>0</v>
      </c>
      <c r="M715" t="n">
        <v>0</v>
      </c>
      <c r="N715" t="n">
        <v>0</v>
      </c>
      <c r="O715" t="n">
        <v>0</v>
      </c>
      <c r="P715" t="n">
        <v>0</v>
      </c>
      <c r="Q715" t="n">
        <v>0</v>
      </c>
      <c r="R715" s="2" t="inlineStr"/>
    </row>
    <row r="716" ht="15" customHeight="1">
      <c r="A716" t="inlineStr">
        <is>
          <t>A 61517-2025</t>
        </is>
      </c>
      <c r="B716" s="1" t="n">
        <v>46001.68586805555</v>
      </c>
      <c r="C716" s="1" t="n">
        <v>46062</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30574-2024</t>
        </is>
      </c>
      <c r="B717" s="1" t="n">
        <v>45492.9580324074</v>
      </c>
      <c r="C717" s="1" t="n">
        <v>46062</v>
      </c>
      <c r="D717" t="inlineStr">
        <is>
          <t>VÄSTERBOTTENS LÄN</t>
        </is>
      </c>
      <c r="E717" t="inlineStr">
        <is>
          <t>VILHELMINA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55722-2023</t>
        </is>
      </c>
      <c r="B718" s="1" t="n">
        <v>45232</v>
      </c>
      <c r="C718" s="1" t="n">
        <v>46062</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61821-2025</t>
        </is>
      </c>
      <c r="B719" s="1" t="n">
        <v>46003.33113425926</v>
      </c>
      <c r="C719" s="1" t="n">
        <v>46062</v>
      </c>
      <c r="D719" t="inlineStr">
        <is>
          <t>VÄSTERBOTTENS LÄN</t>
        </is>
      </c>
      <c r="E719" t="inlineStr">
        <is>
          <t>VILHELMINA</t>
        </is>
      </c>
      <c r="G719" t="n">
        <v>13.3</v>
      </c>
      <c r="H719" t="n">
        <v>0</v>
      </c>
      <c r="I719" t="n">
        <v>0</v>
      </c>
      <c r="J719" t="n">
        <v>0</v>
      </c>
      <c r="K719" t="n">
        <v>0</v>
      </c>
      <c r="L719" t="n">
        <v>0</v>
      </c>
      <c r="M719" t="n">
        <v>0</v>
      </c>
      <c r="N719" t="n">
        <v>0</v>
      </c>
      <c r="O719" t="n">
        <v>0</v>
      </c>
      <c r="P719" t="n">
        <v>0</v>
      </c>
      <c r="Q719" t="n">
        <v>0</v>
      </c>
      <c r="R719" s="2" t="inlineStr"/>
    </row>
    <row r="720" ht="15" customHeight="1">
      <c r="A720" t="inlineStr">
        <is>
          <t>A 44371-2023</t>
        </is>
      </c>
      <c r="B720" s="1" t="n">
        <v>45188</v>
      </c>
      <c r="C720" s="1" t="n">
        <v>46062</v>
      </c>
      <c r="D720" t="inlineStr">
        <is>
          <t>VÄSTERBOTTENS LÄN</t>
        </is>
      </c>
      <c r="E720" t="inlineStr">
        <is>
          <t>VILHELMINA</t>
        </is>
      </c>
      <c r="G720" t="n">
        <v>11</v>
      </c>
      <c r="H720" t="n">
        <v>0</v>
      </c>
      <c r="I720" t="n">
        <v>0</v>
      </c>
      <c r="J720" t="n">
        <v>0</v>
      </c>
      <c r="K720" t="n">
        <v>0</v>
      </c>
      <c r="L720" t="n">
        <v>0</v>
      </c>
      <c r="M720" t="n">
        <v>0</v>
      </c>
      <c r="N720" t="n">
        <v>0</v>
      </c>
      <c r="O720" t="n">
        <v>0</v>
      </c>
      <c r="P720" t="n">
        <v>0</v>
      </c>
      <c r="Q720" t="n">
        <v>0</v>
      </c>
      <c r="R720" s="2" t="inlineStr"/>
    </row>
    <row r="721" ht="15" customHeight="1">
      <c r="A721" t="inlineStr">
        <is>
          <t>A 19349-2024</t>
        </is>
      </c>
      <c r="B721" s="1" t="n">
        <v>45428.97231481481</v>
      </c>
      <c r="C721" s="1" t="n">
        <v>46062</v>
      </c>
      <c r="D721" t="inlineStr">
        <is>
          <t>VÄSTERBOTTENS LÄN</t>
        </is>
      </c>
      <c r="E721" t="inlineStr">
        <is>
          <t>VILHELMINA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55695-2024</t>
        </is>
      </c>
      <c r="B722" s="1" t="n">
        <v>45622</v>
      </c>
      <c r="C722" s="1" t="n">
        <v>46062</v>
      </c>
      <c r="D722" t="inlineStr">
        <is>
          <t>VÄSTERBOTTENS LÄN</t>
        </is>
      </c>
      <c r="E722" t="inlineStr">
        <is>
          <t>VILHELMINA</t>
        </is>
      </c>
      <c r="G722" t="n">
        <v>7</v>
      </c>
      <c r="H722" t="n">
        <v>0</v>
      </c>
      <c r="I722" t="n">
        <v>0</v>
      </c>
      <c r="J722" t="n">
        <v>0</v>
      </c>
      <c r="K722" t="n">
        <v>0</v>
      </c>
      <c r="L722" t="n">
        <v>0</v>
      </c>
      <c r="M722" t="n">
        <v>0</v>
      </c>
      <c r="N722" t="n">
        <v>0</v>
      </c>
      <c r="O722" t="n">
        <v>0</v>
      </c>
      <c r="P722" t="n">
        <v>0</v>
      </c>
      <c r="Q722" t="n">
        <v>0</v>
      </c>
      <c r="R722" s="2" t="inlineStr"/>
    </row>
    <row r="723" ht="15" customHeight="1">
      <c r="A723" t="inlineStr">
        <is>
          <t>A 4334-2026</t>
        </is>
      </c>
      <c r="B723" s="1" t="n">
        <v>46045.49011574074</v>
      </c>
      <c r="C723" s="1" t="n">
        <v>46062</v>
      </c>
      <c r="D723" t="inlineStr">
        <is>
          <t>VÄSTERBOTTENS LÄN</t>
        </is>
      </c>
      <c r="E723" t="inlineStr">
        <is>
          <t>VILHELMINA</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44516-2024</t>
        </is>
      </c>
      <c r="B724" s="1" t="n">
        <v>45574</v>
      </c>
      <c r="C724" s="1" t="n">
        <v>46062</v>
      </c>
      <c r="D724" t="inlineStr">
        <is>
          <t>VÄSTERBOTTENS LÄN</t>
        </is>
      </c>
      <c r="E724" t="inlineStr">
        <is>
          <t>VILHELMINA</t>
        </is>
      </c>
      <c r="G724" t="n">
        <v>2.9</v>
      </c>
      <c r="H724" t="n">
        <v>0</v>
      </c>
      <c r="I724" t="n">
        <v>0</v>
      </c>
      <c r="J724" t="n">
        <v>0</v>
      </c>
      <c r="K724" t="n">
        <v>0</v>
      </c>
      <c r="L724" t="n">
        <v>0</v>
      </c>
      <c r="M724" t="n">
        <v>0</v>
      </c>
      <c r="N724" t="n">
        <v>0</v>
      </c>
      <c r="O724" t="n">
        <v>0</v>
      </c>
      <c r="P724" t="n">
        <v>0</v>
      </c>
      <c r="Q724" t="n">
        <v>0</v>
      </c>
      <c r="R724" s="2" t="inlineStr"/>
    </row>
    <row r="725" ht="15" customHeight="1">
      <c r="A725" t="inlineStr">
        <is>
          <t>A 24457-2024</t>
        </is>
      </c>
      <c r="B725" s="1" t="n">
        <v>45457.96708333334</v>
      </c>
      <c r="C725" s="1" t="n">
        <v>46062</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46392-2024</t>
        </is>
      </c>
      <c r="B726" s="1" t="n">
        <v>45582</v>
      </c>
      <c r="C726" s="1" t="n">
        <v>46062</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16626-2024</t>
        </is>
      </c>
      <c r="B727" s="1" t="n">
        <v>45408</v>
      </c>
      <c r="C727" s="1" t="n">
        <v>46062</v>
      </c>
      <c r="D727" t="inlineStr">
        <is>
          <t>VÄSTERBOTTENS LÄN</t>
        </is>
      </c>
      <c r="E727" t="inlineStr">
        <is>
          <t>VILHELMINA</t>
        </is>
      </c>
      <c r="G727" t="n">
        <v>15.5</v>
      </c>
      <c r="H727" t="n">
        <v>0</v>
      </c>
      <c r="I727" t="n">
        <v>0</v>
      </c>
      <c r="J727" t="n">
        <v>0</v>
      </c>
      <c r="K727" t="n">
        <v>0</v>
      </c>
      <c r="L727" t="n">
        <v>0</v>
      </c>
      <c r="M727" t="n">
        <v>0</v>
      </c>
      <c r="N727" t="n">
        <v>0</v>
      </c>
      <c r="O727" t="n">
        <v>0</v>
      </c>
      <c r="P727" t="n">
        <v>0</v>
      </c>
      <c r="Q727" t="n">
        <v>0</v>
      </c>
      <c r="R727" s="2" t="inlineStr"/>
    </row>
    <row r="728" ht="15" customHeight="1">
      <c r="A728" t="inlineStr">
        <is>
          <t>A 4689-2026</t>
        </is>
      </c>
      <c r="B728" s="1" t="n">
        <v>46048.43972222223</v>
      </c>
      <c r="C728" s="1" t="n">
        <v>46062</v>
      </c>
      <c r="D728" t="inlineStr">
        <is>
          <t>VÄSTERBOTTENS LÄN</t>
        </is>
      </c>
      <c r="E728" t="inlineStr">
        <is>
          <t>VILHELMINA</t>
        </is>
      </c>
      <c r="G728" t="n">
        <v>3.5</v>
      </c>
      <c r="H728" t="n">
        <v>0</v>
      </c>
      <c r="I728" t="n">
        <v>0</v>
      </c>
      <c r="J728" t="n">
        <v>0</v>
      </c>
      <c r="K728" t="n">
        <v>0</v>
      </c>
      <c r="L728" t="n">
        <v>0</v>
      </c>
      <c r="M728" t="n">
        <v>0</v>
      </c>
      <c r="N728" t="n">
        <v>0</v>
      </c>
      <c r="O728" t="n">
        <v>0</v>
      </c>
      <c r="P728" t="n">
        <v>0</v>
      </c>
      <c r="Q728" t="n">
        <v>0</v>
      </c>
      <c r="R728" s="2" t="inlineStr"/>
    </row>
    <row r="729" ht="15" customHeight="1">
      <c r="A729" t="inlineStr">
        <is>
          <t>A 10268-2025</t>
        </is>
      </c>
      <c r="B729" s="1" t="n">
        <v>45720</v>
      </c>
      <c r="C729" s="1" t="n">
        <v>46062</v>
      </c>
      <c r="D729" t="inlineStr">
        <is>
          <t>VÄSTERBOTTENS LÄN</t>
        </is>
      </c>
      <c r="E729" t="inlineStr">
        <is>
          <t>VILHELMINA</t>
        </is>
      </c>
      <c r="G729" t="n">
        <v>1.9</v>
      </c>
      <c r="H729" t="n">
        <v>0</v>
      </c>
      <c r="I729" t="n">
        <v>0</v>
      </c>
      <c r="J729" t="n">
        <v>0</v>
      </c>
      <c r="K729" t="n">
        <v>0</v>
      </c>
      <c r="L729" t="n">
        <v>0</v>
      </c>
      <c r="M729" t="n">
        <v>0</v>
      </c>
      <c r="N729" t="n">
        <v>0</v>
      </c>
      <c r="O729" t="n">
        <v>0</v>
      </c>
      <c r="P729" t="n">
        <v>0</v>
      </c>
      <c r="Q729" t="n">
        <v>0</v>
      </c>
      <c r="R729" s="2" t="inlineStr"/>
    </row>
    <row r="730" ht="15" customHeight="1">
      <c r="A730" t="inlineStr">
        <is>
          <t>A 23543-2024</t>
        </is>
      </c>
      <c r="B730" s="1" t="n">
        <v>45453</v>
      </c>
      <c r="C730" s="1" t="n">
        <v>46062</v>
      </c>
      <c r="D730" t="inlineStr">
        <is>
          <t>VÄSTERBOTTENS LÄN</t>
        </is>
      </c>
      <c r="E730" t="inlineStr">
        <is>
          <t>VILHELMINA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22107-2024</t>
        </is>
      </c>
      <c r="B731" s="1" t="n">
        <v>45443</v>
      </c>
      <c r="C731" s="1" t="n">
        <v>46062</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54729-2022</t>
        </is>
      </c>
      <c r="B732" s="1" t="n">
        <v>44881</v>
      </c>
      <c r="C732" s="1" t="n">
        <v>46062</v>
      </c>
      <c r="D732" t="inlineStr">
        <is>
          <t>VÄSTERBOTTENS LÄN</t>
        </is>
      </c>
      <c r="E732" t="inlineStr">
        <is>
          <t>VILHELMINA</t>
        </is>
      </c>
      <c r="G732" t="n">
        <v>19.2</v>
      </c>
      <c r="H732" t="n">
        <v>0</v>
      </c>
      <c r="I732" t="n">
        <v>0</v>
      </c>
      <c r="J732" t="n">
        <v>0</v>
      </c>
      <c r="K732" t="n">
        <v>0</v>
      </c>
      <c r="L732" t="n">
        <v>0</v>
      </c>
      <c r="M732" t="n">
        <v>0</v>
      </c>
      <c r="N732" t="n">
        <v>0</v>
      </c>
      <c r="O732" t="n">
        <v>0</v>
      </c>
      <c r="P732" t="n">
        <v>0</v>
      </c>
      <c r="Q732" t="n">
        <v>0</v>
      </c>
      <c r="R732" s="2" t="inlineStr"/>
    </row>
    <row r="733" ht="15" customHeight="1">
      <c r="A733" t="inlineStr">
        <is>
          <t>A 5006-2026</t>
        </is>
      </c>
      <c r="B733" s="1" t="n">
        <v>46049.42791666667</v>
      </c>
      <c r="C733" s="1" t="n">
        <v>46062</v>
      </c>
      <c r="D733" t="inlineStr">
        <is>
          <t>VÄSTERBOTTENS LÄN</t>
        </is>
      </c>
      <c r="E733" t="inlineStr">
        <is>
          <t>VILHELMINA</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46062</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46062</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4796-2026</t>
        </is>
      </c>
      <c r="B736" s="1" t="n">
        <v>46048.5734375</v>
      </c>
      <c r="C736" s="1" t="n">
        <v>46062</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62319-2025</t>
        </is>
      </c>
      <c r="B737" s="1" t="n">
        <v>46006.69791666666</v>
      </c>
      <c r="C737" s="1" t="n">
        <v>46062</v>
      </c>
      <c r="D737" t="inlineStr">
        <is>
          <t>VÄSTERBOTTENS LÄN</t>
        </is>
      </c>
      <c r="E737" t="inlineStr">
        <is>
          <t>VILHELMINA</t>
        </is>
      </c>
      <c r="G737" t="n">
        <v>8.5</v>
      </c>
      <c r="H737" t="n">
        <v>0</v>
      </c>
      <c r="I737" t="n">
        <v>0</v>
      </c>
      <c r="J737" t="n">
        <v>0</v>
      </c>
      <c r="K737" t="n">
        <v>0</v>
      </c>
      <c r="L737" t="n">
        <v>0</v>
      </c>
      <c r="M737" t="n">
        <v>0</v>
      </c>
      <c r="N737" t="n">
        <v>0</v>
      </c>
      <c r="O737" t="n">
        <v>0</v>
      </c>
      <c r="P737" t="n">
        <v>0</v>
      </c>
      <c r="Q737" t="n">
        <v>0</v>
      </c>
      <c r="R737" s="2" t="inlineStr"/>
    </row>
    <row r="738" ht="15" customHeight="1">
      <c r="A738" t="inlineStr">
        <is>
          <t>A 13829-2025</t>
        </is>
      </c>
      <c r="B738" s="1" t="n">
        <v>45737</v>
      </c>
      <c r="C738" s="1" t="n">
        <v>46062</v>
      </c>
      <c r="D738" t="inlineStr">
        <is>
          <t>VÄSTERBOTTENS LÄN</t>
        </is>
      </c>
      <c r="E738" t="inlineStr">
        <is>
          <t>VILHELMINA</t>
        </is>
      </c>
      <c r="F738" t="inlineStr">
        <is>
          <t>Övriga statliga verk och myndigheter</t>
        </is>
      </c>
      <c r="G738" t="n">
        <v>39.7</v>
      </c>
      <c r="H738" t="n">
        <v>0</v>
      </c>
      <c r="I738" t="n">
        <v>0</v>
      </c>
      <c r="J738" t="n">
        <v>0</v>
      </c>
      <c r="K738" t="n">
        <v>0</v>
      </c>
      <c r="L738" t="n">
        <v>0</v>
      </c>
      <c r="M738" t="n">
        <v>0</v>
      </c>
      <c r="N738" t="n">
        <v>0</v>
      </c>
      <c r="O738" t="n">
        <v>0</v>
      </c>
      <c r="P738" t="n">
        <v>0</v>
      </c>
      <c r="Q738" t="n">
        <v>0</v>
      </c>
      <c r="R738" s="2" t="inlineStr"/>
    </row>
    <row r="739" ht="15" customHeight="1">
      <c r="A739" t="inlineStr">
        <is>
          <t>A 39670-2024</t>
        </is>
      </c>
      <c r="B739" s="1" t="n">
        <v>45552.5315162037</v>
      </c>
      <c r="C739" s="1" t="n">
        <v>46062</v>
      </c>
      <c r="D739" t="inlineStr">
        <is>
          <t>VÄSTERBOTTENS LÄN</t>
        </is>
      </c>
      <c r="E739" t="inlineStr">
        <is>
          <t>VILHELMINA</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63110-2025</t>
        </is>
      </c>
      <c r="B740" s="1" t="n">
        <v>46009</v>
      </c>
      <c r="C740" s="1" t="n">
        <v>46062</v>
      </c>
      <c r="D740" t="inlineStr">
        <is>
          <t>VÄSTERBOTTENS LÄN</t>
        </is>
      </c>
      <c r="E740" t="inlineStr">
        <is>
          <t>VILHELMINA</t>
        </is>
      </c>
      <c r="G740" t="n">
        <v>6.8</v>
      </c>
      <c r="H740" t="n">
        <v>0</v>
      </c>
      <c r="I740" t="n">
        <v>0</v>
      </c>
      <c r="J740" t="n">
        <v>0</v>
      </c>
      <c r="K740" t="n">
        <v>0</v>
      </c>
      <c r="L740" t="n">
        <v>0</v>
      </c>
      <c r="M740" t="n">
        <v>0</v>
      </c>
      <c r="N740" t="n">
        <v>0</v>
      </c>
      <c r="O740" t="n">
        <v>0</v>
      </c>
      <c r="P740" t="n">
        <v>0</v>
      </c>
      <c r="Q740" t="n">
        <v>0</v>
      </c>
      <c r="R740" s="2" t="inlineStr"/>
    </row>
    <row r="741" ht="15" customHeight="1">
      <c r="A741" t="inlineStr">
        <is>
          <t>A 17186-2025</t>
        </is>
      </c>
      <c r="B741" s="1" t="n">
        <v>45756</v>
      </c>
      <c r="C741" s="1" t="n">
        <v>46062</v>
      </c>
      <c r="D741" t="inlineStr">
        <is>
          <t>VÄSTERBOTTENS LÄN</t>
        </is>
      </c>
      <c r="E741" t="inlineStr">
        <is>
          <t>VILHELMINA</t>
        </is>
      </c>
      <c r="F741" t="inlineStr">
        <is>
          <t>SCA</t>
        </is>
      </c>
      <c r="G741" t="n">
        <v>12.3</v>
      </c>
      <c r="H741" t="n">
        <v>0</v>
      </c>
      <c r="I741" t="n">
        <v>0</v>
      </c>
      <c r="J741" t="n">
        <v>0</v>
      </c>
      <c r="K741" t="n">
        <v>0</v>
      </c>
      <c r="L741" t="n">
        <v>0</v>
      </c>
      <c r="M741" t="n">
        <v>0</v>
      </c>
      <c r="N741" t="n">
        <v>0</v>
      </c>
      <c r="O741" t="n">
        <v>0</v>
      </c>
      <c r="P741" t="n">
        <v>0</v>
      </c>
      <c r="Q741" t="n">
        <v>0</v>
      </c>
      <c r="R741" s="2" t="inlineStr"/>
    </row>
    <row r="742" ht="15" customHeight="1">
      <c r="A742" t="inlineStr">
        <is>
          <t>A 48505-2023</t>
        </is>
      </c>
      <c r="B742" s="1" t="n">
        <v>45207.93900462963</v>
      </c>
      <c r="C742" s="1" t="n">
        <v>46062</v>
      </c>
      <c r="D742" t="inlineStr">
        <is>
          <t>VÄSTERBOTTENS LÄN</t>
        </is>
      </c>
      <c r="E742" t="inlineStr">
        <is>
          <t>VILHELMINA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52749-2023</t>
        </is>
      </c>
      <c r="B743" s="1" t="n">
        <v>45225.9678587963</v>
      </c>
      <c r="C743" s="1" t="n">
        <v>46062</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35984-2023</t>
        </is>
      </c>
      <c r="B744" s="1" t="n">
        <v>45148.96195601852</v>
      </c>
      <c r="C744" s="1" t="n">
        <v>46062</v>
      </c>
      <c r="D744" t="inlineStr">
        <is>
          <t>VÄSTERBOTTENS LÄN</t>
        </is>
      </c>
      <c r="E744" t="inlineStr">
        <is>
          <t>VILHELMINA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48422-2023</t>
        </is>
      </c>
      <c r="B745" s="1" t="n">
        <v>45205</v>
      </c>
      <c r="C745" s="1" t="n">
        <v>46062</v>
      </c>
      <c r="D745" t="inlineStr">
        <is>
          <t>VÄSTERBOTTENS LÄN</t>
        </is>
      </c>
      <c r="E745" t="inlineStr">
        <is>
          <t>VILHELMINA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53987-2021</t>
        </is>
      </c>
      <c r="B746" s="1" t="n">
        <v>44470.31884259259</v>
      </c>
      <c r="C746" s="1" t="n">
        <v>46062</v>
      </c>
      <c r="D746" t="inlineStr">
        <is>
          <t>VÄSTERBOTTENS LÄN</t>
        </is>
      </c>
      <c r="E746" t="inlineStr">
        <is>
          <t>VILHELMINA</t>
        </is>
      </c>
      <c r="F746" t="inlineStr">
        <is>
          <t>Kommuner</t>
        </is>
      </c>
      <c r="G746" t="n">
        <v>10</v>
      </c>
      <c r="H746" t="n">
        <v>0</v>
      </c>
      <c r="I746" t="n">
        <v>0</v>
      </c>
      <c r="J746" t="n">
        <v>0</v>
      </c>
      <c r="K746" t="n">
        <v>0</v>
      </c>
      <c r="L746" t="n">
        <v>0</v>
      </c>
      <c r="M746" t="n">
        <v>0</v>
      </c>
      <c r="N746" t="n">
        <v>0</v>
      </c>
      <c r="O746" t="n">
        <v>0</v>
      </c>
      <c r="P746" t="n">
        <v>0</v>
      </c>
      <c r="Q746" t="n">
        <v>0</v>
      </c>
      <c r="R746" s="2" t="inlineStr"/>
    </row>
    <row r="747" ht="15" customHeight="1">
      <c r="A747" t="inlineStr">
        <is>
          <t>A 61911-2025</t>
        </is>
      </c>
      <c r="B747" s="1" t="n">
        <v>46003</v>
      </c>
      <c r="C747" s="1" t="n">
        <v>46062</v>
      </c>
      <c r="D747" t="inlineStr">
        <is>
          <t>VÄSTERBOTTENS LÄN</t>
        </is>
      </c>
      <c r="E747" t="inlineStr">
        <is>
          <t>VILHELMINA</t>
        </is>
      </c>
      <c r="G747" t="n">
        <v>23.1</v>
      </c>
      <c r="H747" t="n">
        <v>0</v>
      </c>
      <c r="I747" t="n">
        <v>0</v>
      </c>
      <c r="J747" t="n">
        <v>0</v>
      </c>
      <c r="K747" t="n">
        <v>0</v>
      </c>
      <c r="L747" t="n">
        <v>0</v>
      </c>
      <c r="M747" t="n">
        <v>0</v>
      </c>
      <c r="N747" t="n">
        <v>0</v>
      </c>
      <c r="O747" t="n">
        <v>0</v>
      </c>
      <c r="P747" t="n">
        <v>0</v>
      </c>
      <c r="Q747" t="n">
        <v>0</v>
      </c>
      <c r="R747" s="2" t="inlineStr"/>
    </row>
    <row r="748" ht="15" customHeight="1">
      <c r="A748" t="inlineStr">
        <is>
          <t>A 6265-2026</t>
        </is>
      </c>
      <c r="B748" s="1" t="n">
        <v>46055.48990740741</v>
      </c>
      <c r="C748" s="1" t="n">
        <v>46062</v>
      </c>
      <c r="D748" t="inlineStr">
        <is>
          <t>VÄSTERBOTTENS LÄN</t>
        </is>
      </c>
      <c r="E748" t="inlineStr">
        <is>
          <t>VILHELMINA</t>
        </is>
      </c>
      <c r="G748" t="n">
        <v>1</v>
      </c>
      <c r="H748" t="n">
        <v>0</v>
      </c>
      <c r="I748" t="n">
        <v>0</v>
      </c>
      <c r="J748" t="n">
        <v>0</v>
      </c>
      <c r="K748" t="n">
        <v>0</v>
      </c>
      <c r="L748" t="n">
        <v>0</v>
      </c>
      <c r="M748" t="n">
        <v>0</v>
      </c>
      <c r="N748" t="n">
        <v>0</v>
      </c>
      <c r="O748" t="n">
        <v>0</v>
      </c>
      <c r="P748" t="n">
        <v>0</v>
      </c>
      <c r="Q748" t="n">
        <v>0</v>
      </c>
      <c r="R748" s="2" t="inlineStr"/>
    </row>
    <row r="749" ht="15" customHeight="1">
      <c r="A749" t="inlineStr">
        <is>
          <t>A 6201-2026</t>
        </is>
      </c>
      <c r="B749" s="1" t="n">
        <v>46055.40685185185</v>
      </c>
      <c r="C749" s="1" t="n">
        <v>46062</v>
      </c>
      <c r="D749" t="inlineStr">
        <is>
          <t>VÄSTERBOTTENS LÄN</t>
        </is>
      </c>
      <c r="E749" t="inlineStr">
        <is>
          <t>VILHELMINA</t>
        </is>
      </c>
      <c r="G749" t="n">
        <v>2.8</v>
      </c>
      <c r="H749" t="n">
        <v>0</v>
      </c>
      <c r="I749" t="n">
        <v>0</v>
      </c>
      <c r="J749" t="n">
        <v>0</v>
      </c>
      <c r="K749" t="n">
        <v>0</v>
      </c>
      <c r="L749" t="n">
        <v>0</v>
      </c>
      <c r="M749" t="n">
        <v>0</v>
      </c>
      <c r="N749" t="n">
        <v>0</v>
      </c>
      <c r="O749" t="n">
        <v>0</v>
      </c>
      <c r="P749" t="n">
        <v>0</v>
      </c>
      <c r="Q749" t="n">
        <v>0</v>
      </c>
      <c r="R749" s="2" t="inlineStr"/>
    </row>
    <row r="750" ht="15" customHeight="1">
      <c r="A750" t="inlineStr">
        <is>
          <t>A 55697-2024</t>
        </is>
      </c>
      <c r="B750" s="1" t="n">
        <v>45622</v>
      </c>
      <c r="C750" s="1" t="n">
        <v>46062</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46055.40693287037</v>
      </c>
      <c r="C751" s="1" t="n">
        <v>46062</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54985-2023</t>
        </is>
      </c>
      <c r="B752" s="1" t="n">
        <v>45236</v>
      </c>
      <c r="C752" s="1" t="n">
        <v>46062</v>
      </c>
      <c r="D752" t="inlineStr">
        <is>
          <t>VÄSTERBOTTENS LÄN</t>
        </is>
      </c>
      <c r="E752" t="inlineStr">
        <is>
          <t>VILHELMINA</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4785-2026</t>
        </is>
      </c>
      <c r="B753" s="1" t="n">
        <v>46048</v>
      </c>
      <c r="C753" s="1" t="n">
        <v>46062</v>
      </c>
      <c r="D753" t="inlineStr">
        <is>
          <t>VÄSTERBOTTENS LÄN</t>
        </is>
      </c>
      <c r="E753" t="inlineStr">
        <is>
          <t>VILHELMINA</t>
        </is>
      </c>
      <c r="G753" t="n">
        <v>9.6</v>
      </c>
      <c r="H753" t="n">
        <v>0</v>
      </c>
      <c r="I753" t="n">
        <v>0</v>
      </c>
      <c r="J753" t="n">
        <v>0</v>
      </c>
      <c r="K753" t="n">
        <v>0</v>
      </c>
      <c r="L753" t="n">
        <v>0</v>
      </c>
      <c r="M753" t="n">
        <v>0</v>
      </c>
      <c r="N753" t="n">
        <v>0</v>
      </c>
      <c r="O753" t="n">
        <v>0</v>
      </c>
      <c r="P753" t="n">
        <v>0</v>
      </c>
      <c r="Q753" t="n">
        <v>0</v>
      </c>
      <c r="R753" s="2" t="inlineStr"/>
    </row>
    <row r="754" ht="15" customHeight="1">
      <c r="A754" t="inlineStr">
        <is>
          <t>A 59030-2022</t>
        </is>
      </c>
      <c r="B754" s="1" t="n">
        <v>44903</v>
      </c>
      <c r="C754" s="1" t="n">
        <v>46062</v>
      </c>
      <c r="D754" t="inlineStr">
        <is>
          <t>VÄSTERBOTTENS LÄN</t>
        </is>
      </c>
      <c r="E754" t="inlineStr">
        <is>
          <t>VILHELMINA</t>
        </is>
      </c>
      <c r="G754" t="n">
        <v>17.8</v>
      </c>
      <c r="H754" t="n">
        <v>0</v>
      </c>
      <c r="I754" t="n">
        <v>0</v>
      </c>
      <c r="J754" t="n">
        <v>0</v>
      </c>
      <c r="K754" t="n">
        <v>0</v>
      </c>
      <c r="L754" t="n">
        <v>0</v>
      </c>
      <c r="M754" t="n">
        <v>0</v>
      </c>
      <c r="N754" t="n">
        <v>0</v>
      </c>
      <c r="O754" t="n">
        <v>0</v>
      </c>
      <c r="P754" t="n">
        <v>0</v>
      </c>
      <c r="Q754" t="n">
        <v>0</v>
      </c>
      <c r="R754" s="2" t="inlineStr"/>
    </row>
    <row r="755" ht="15" customHeight="1">
      <c r="A755" t="inlineStr">
        <is>
          <t>A 9916-2021</t>
        </is>
      </c>
      <c r="B755" s="1" t="n">
        <v>44253</v>
      </c>
      <c r="C755" s="1" t="n">
        <v>46062</v>
      </c>
      <c r="D755" t="inlineStr">
        <is>
          <t>VÄSTERBOTTENS LÄN</t>
        </is>
      </c>
      <c r="E755" t="inlineStr">
        <is>
          <t>VILHELMINA</t>
        </is>
      </c>
      <c r="G755" t="n">
        <v>1</v>
      </c>
      <c r="H755" t="n">
        <v>0</v>
      </c>
      <c r="I755" t="n">
        <v>0</v>
      </c>
      <c r="J755" t="n">
        <v>0</v>
      </c>
      <c r="K755" t="n">
        <v>0</v>
      </c>
      <c r="L755" t="n">
        <v>0</v>
      </c>
      <c r="M755" t="n">
        <v>0</v>
      </c>
      <c r="N755" t="n">
        <v>0</v>
      </c>
      <c r="O755" t="n">
        <v>0</v>
      </c>
      <c r="P755" t="n">
        <v>0</v>
      </c>
      <c r="Q755" t="n">
        <v>0</v>
      </c>
      <c r="R755" s="2" t="inlineStr"/>
    </row>
    <row r="756" ht="15" customHeight="1">
      <c r="A756" t="inlineStr">
        <is>
          <t>A 64111-2025</t>
        </is>
      </c>
      <c r="B756" s="1" t="n">
        <v>46013</v>
      </c>
      <c r="C756" s="1" t="n">
        <v>46062</v>
      </c>
      <c r="D756" t="inlineStr">
        <is>
          <t>VÄSTERBOTTENS LÄN</t>
        </is>
      </c>
      <c r="E756" t="inlineStr">
        <is>
          <t>VILHELMINA</t>
        </is>
      </c>
      <c r="G756" t="n">
        <v>23.6</v>
      </c>
      <c r="H756" t="n">
        <v>0</v>
      </c>
      <c r="I756" t="n">
        <v>0</v>
      </c>
      <c r="J756" t="n">
        <v>0</v>
      </c>
      <c r="K756" t="n">
        <v>0</v>
      </c>
      <c r="L756" t="n">
        <v>0</v>
      </c>
      <c r="M756" t="n">
        <v>0</v>
      </c>
      <c r="N756" t="n">
        <v>0</v>
      </c>
      <c r="O756" t="n">
        <v>0</v>
      </c>
      <c r="P756" t="n">
        <v>0</v>
      </c>
      <c r="Q756" t="n">
        <v>0</v>
      </c>
      <c r="R756" s="2" t="inlineStr"/>
    </row>
    <row r="757" ht="15" customHeight="1">
      <c r="A757" t="inlineStr">
        <is>
          <t>A 51825-2023</t>
        </is>
      </c>
      <c r="B757" s="1" t="n">
        <v>45222</v>
      </c>
      <c r="C757" s="1" t="n">
        <v>46062</v>
      </c>
      <c r="D757" t="inlineStr">
        <is>
          <t>VÄSTERBOTTENS LÄN</t>
        </is>
      </c>
      <c r="E757" t="inlineStr">
        <is>
          <t>VILHELMINA</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19585-2024</t>
        </is>
      </c>
      <c r="B758" s="1" t="n">
        <v>45429</v>
      </c>
      <c r="C758" s="1" t="n">
        <v>46062</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6203-2026</t>
        </is>
      </c>
      <c r="B759" s="1" t="n">
        <v>46055.40695601852</v>
      </c>
      <c r="C759" s="1" t="n">
        <v>46062</v>
      </c>
      <c r="D759" t="inlineStr">
        <is>
          <t>VÄSTERBOTTENS LÄN</t>
        </is>
      </c>
      <c r="E759" t="inlineStr">
        <is>
          <t>VILHELMINA</t>
        </is>
      </c>
      <c r="G759" t="n">
        <v>1.8</v>
      </c>
      <c r="H759" t="n">
        <v>0</v>
      </c>
      <c r="I759" t="n">
        <v>0</v>
      </c>
      <c r="J759" t="n">
        <v>0</v>
      </c>
      <c r="K759" t="n">
        <v>0</v>
      </c>
      <c r="L759" t="n">
        <v>0</v>
      </c>
      <c r="M759" t="n">
        <v>0</v>
      </c>
      <c r="N759" t="n">
        <v>0</v>
      </c>
      <c r="O759" t="n">
        <v>0</v>
      </c>
      <c r="P759" t="n">
        <v>0</v>
      </c>
      <c r="Q759" t="n">
        <v>0</v>
      </c>
      <c r="R759" s="2" t="inlineStr"/>
    </row>
    <row r="760" ht="15" customHeight="1">
      <c r="A760" t="inlineStr">
        <is>
          <t>A 6581-2026</t>
        </is>
      </c>
      <c r="B760" s="1" t="n">
        <v>46056.45396990741</v>
      </c>
      <c r="C760" s="1" t="n">
        <v>46062</v>
      </c>
      <c r="D760" t="inlineStr">
        <is>
          <t>VÄSTERBOTTENS LÄN</t>
        </is>
      </c>
      <c r="E760" t="inlineStr">
        <is>
          <t>VILHELMINA</t>
        </is>
      </c>
      <c r="G760" t="n">
        <v>10.3</v>
      </c>
      <c r="H760" t="n">
        <v>0</v>
      </c>
      <c r="I760" t="n">
        <v>0</v>
      </c>
      <c r="J760" t="n">
        <v>0</v>
      </c>
      <c r="K760" t="n">
        <v>0</v>
      </c>
      <c r="L760" t="n">
        <v>0</v>
      </c>
      <c r="M760" t="n">
        <v>0</v>
      </c>
      <c r="N760" t="n">
        <v>0</v>
      </c>
      <c r="O760" t="n">
        <v>0</v>
      </c>
      <c r="P760" t="n">
        <v>0</v>
      </c>
      <c r="Q760" t="n">
        <v>0</v>
      </c>
      <c r="R760" s="2" t="inlineStr"/>
    </row>
    <row r="761" ht="15" customHeight="1">
      <c r="A761" t="inlineStr">
        <is>
          <t>A 54459-2024</t>
        </is>
      </c>
      <c r="B761" s="1" t="n">
        <v>45617</v>
      </c>
      <c r="C761" s="1" t="n">
        <v>46062</v>
      </c>
      <c r="D761" t="inlineStr">
        <is>
          <t>VÄSTERBOTTENS LÄN</t>
        </is>
      </c>
      <c r="E761" t="inlineStr">
        <is>
          <t>VILHELMINA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12229-2022</t>
        </is>
      </c>
      <c r="B762" s="1" t="n">
        <v>44637</v>
      </c>
      <c r="C762" s="1" t="n">
        <v>46062</v>
      </c>
      <c r="D762" t="inlineStr">
        <is>
          <t>VÄSTERBOTTENS LÄN</t>
        </is>
      </c>
      <c r="E762" t="inlineStr">
        <is>
          <t>VILHELMINA</t>
        </is>
      </c>
      <c r="G762" t="n">
        <v>5</v>
      </c>
      <c r="H762" t="n">
        <v>0</v>
      </c>
      <c r="I762" t="n">
        <v>0</v>
      </c>
      <c r="J762" t="n">
        <v>0</v>
      </c>
      <c r="K762" t="n">
        <v>0</v>
      </c>
      <c r="L762" t="n">
        <v>0</v>
      </c>
      <c r="M762" t="n">
        <v>0</v>
      </c>
      <c r="N762" t="n">
        <v>0</v>
      </c>
      <c r="O762" t="n">
        <v>0</v>
      </c>
      <c r="P762" t="n">
        <v>0</v>
      </c>
      <c r="Q762" t="n">
        <v>0</v>
      </c>
      <c r="R762" s="2" t="inlineStr"/>
    </row>
    <row r="763" ht="15" customHeight="1">
      <c r="A763" t="inlineStr">
        <is>
          <t>A 27917-2024</t>
        </is>
      </c>
      <c r="B763" s="1" t="n">
        <v>45475.94844907407</v>
      </c>
      <c r="C763" s="1" t="n">
        <v>46062</v>
      </c>
      <c r="D763" t="inlineStr">
        <is>
          <t>VÄSTERBOTTENS LÄN</t>
        </is>
      </c>
      <c r="E763" t="inlineStr">
        <is>
          <t>VILHELMINA</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58934-2024</t>
        </is>
      </c>
      <c r="B764" s="1" t="n">
        <v>45636</v>
      </c>
      <c r="C764" s="1" t="n">
        <v>46062</v>
      </c>
      <c r="D764" t="inlineStr">
        <is>
          <t>VÄSTERBOTTENS LÄN</t>
        </is>
      </c>
      <c r="E764" t="inlineStr">
        <is>
          <t>VILHELMINA</t>
        </is>
      </c>
      <c r="F764" t="inlineStr">
        <is>
          <t>Allmännings- och besparingsskogar</t>
        </is>
      </c>
      <c r="G764" t="n">
        <v>47</v>
      </c>
      <c r="H764" t="n">
        <v>0</v>
      </c>
      <c r="I764" t="n">
        <v>0</v>
      </c>
      <c r="J764" t="n">
        <v>0</v>
      </c>
      <c r="K764" t="n">
        <v>0</v>
      </c>
      <c r="L764" t="n">
        <v>0</v>
      </c>
      <c r="M764" t="n">
        <v>0</v>
      </c>
      <c r="N764" t="n">
        <v>0</v>
      </c>
      <c r="O764" t="n">
        <v>0</v>
      </c>
      <c r="P764" t="n">
        <v>0</v>
      </c>
      <c r="Q764" t="n">
        <v>0</v>
      </c>
      <c r="R764" s="2" t="inlineStr"/>
    </row>
    <row r="765" ht="15" customHeight="1">
      <c r="A765" t="inlineStr">
        <is>
          <t>A 19600-2025</t>
        </is>
      </c>
      <c r="B765" s="1" t="n">
        <v>45770</v>
      </c>
      <c r="C765" s="1" t="n">
        <v>46062</v>
      </c>
      <c r="D765" t="inlineStr">
        <is>
          <t>VÄSTERBOTTENS LÄN</t>
        </is>
      </c>
      <c r="E765" t="inlineStr">
        <is>
          <t>VILHELMINA</t>
        </is>
      </c>
      <c r="G765" t="n">
        <v>3.7</v>
      </c>
      <c r="H765" t="n">
        <v>0</v>
      </c>
      <c r="I765" t="n">
        <v>0</v>
      </c>
      <c r="J765" t="n">
        <v>0</v>
      </c>
      <c r="K765" t="n">
        <v>0</v>
      </c>
      <c r="L765" t="n">
        <v>0</v>
      </c>
      <c r="M765" t="n">
        <v>0</v>
      </c>
      <c r="N765" t="n">
        <v>0</v>
      </c>
      <c r="O765" t="n">
        <v>0</v>
      </c>
      <c r="P765" t="n">
        <v>0</v>
      </c>
      <c r="Q765" t="n">
        <v>0</v>
      </c>
      <c r="R765" s="2" t="inlineStr"/>
    </row>
    <row r="766" ht="15" customHeight="1">
      <c r="A766" t="inlineStr">
        <is>
          <t>A 34819-2024</t>
        </is>
      </c>
      <c r="B766" s="1" t="n">
        <v>45526.71134259259</v>
      </c>
      <c r="C766" s="1" t="n">
        <v>46062</v>
      </c>
      <c r="D766" t="inlineStr">
        <is>
          <t>VÄSTERBOTTENS LÄN</t>
        </is>
      </c>
      <c r="E766" t="inlineStr">
        <is>
          <t>VILHELMINA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57795-2023</t>
        </is>
      </c>
      <c r="B767" s="1" t="n">
        <v>45246.96861111111</v>
      </c>
      <c r="C767" s="1" t="n">
        <v>46062</v>
      </c>
      <c r="D767" t="inlineStr">
        <is>
          <t>VÄSTERBOTTENS LÄN</t>
        </is>
      </c>
      <c r="E767" t="inlineStr">
        <is>
          <t>VILHELMINA</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36214-2023</t>
        </is>
      </c>
      <c r="B768" s="1" t="n">
        <v>45149.95256944445</v>
      </c>
      <c r="C768" s="1" t="n">
        <v>46062</v>
      </c>
      <c r="D768" t="inlineStr">
        <is>
          <t>VÄSTERBOTTENS LÄN</t>
        </is>
      </c>
      <c r="E768" t="inlineStr">
        <is>
          <t>VILHELMINA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43637-2023</t>
        </is>
      </c>
      <c r="B769" s="1" t="n">
        <v>45186.51590277778</v>
      </c>
      <c r="C769" s="1" t="n">
        <v>46062</v>
      </c>
      <c r="D769" t="inlineStr">
        <is>
          <t>VÄSTERBOTTENS LÄN</t>
        </is>
      </c>
      <c r="E769" t="inlineStr">
        <is>
          <t>VILHELMINA</t>
        </is>
      </c>
      <c r="G769" t="n">
        <v>3.3</v>
      </c>
      <c r="H769" t="n">
        <v>0</v>
      </c>
      <c r="I769" t="n">
        <v>0</v>
      </c>
      <c r="J769" t="n">
        <v>0</v>
      </c>
      <c r="K769" t="n">
        <v>0</v>
      </c>
      <c r="L769" t="n">
        <v>0</v>
      </c>
      <c r="M769" t="n">
        <v>0</v>
      </c>
      <c r="N769" t="n">
        <v>0</v>
      </c>
      <c r="O769" t="n">
        <v>0</v>
      </c>
      <c r="P769" t="n">
        <v>0</v>
      </c>
      <c r="Q769" t="n">
        <v>0</v>
      </c>
      <c r="R769" s="2" t="inlineStr"/>
    </row>
    <row r="770" ht="15" customHeight="1">
      <c r="A770" t="inlineStr">
        <is>
          <t>A 7260-2026</t>
        </is>
      </c>
      <c r="B770" s="1" t="n">
        <v>46058.59981481481</v>
      </c>
      <c r="C770" s="1" t="n">
        <v>46062</v>
      </c>
      <c r="D770" t="inlineStr">
        <is>
          <t>VÄSTERBOTTENS LÄN</t>
        </is>
      </c>
      <c r="E770" t="inlineStr">
        <is>
          <t>VILHELMINA</t>
        </is>
      </c>
      <c r="G770" t="n">
        <v>6.1</v>
      </c>
      <c r="H770" t="n">
        <v>0</v>
      </c>
      <c r="I770" t="n">
        <v>0</v>
      </c>
      <c r="J770" t="n">
        <v>0</v>
      </c>
      <c r="K770" t="n">
        <v>0</v>
      </c>
      <c r="L770" t="n">
        <v>0</v>
      </c>
      <c r="M770" t="n">
        <v>0</v>
      </c>
      <c r="N770" t="n">
        <v>0</v>
      </c>
      <c r="O770" t="n">
        <v>0</v>
      </c>
      <c r="P770" t="n">
        <v>0</v>
      </c>
      <c r="Q770" t="n">
        <v>0</v>
      </c>
      <c r="R770" s="2" t="inlineStr"/>
    </row>
    <row r="771" ht="15" customHeight="1">
      <c r="A771" t="inlineStr">
        <is>
          <t>A 36408-2023</t>
        </is>
      </c>
      <c r="B771" s="1" t="n">
        <v>45152</v>
      </c>
      <c r="C771" s="1" t="n">
        <v>46062</v>
      </c>
      <c r="D771" t="inlineStr">
        <is>
          <t>VÄSTERBOTTENS LÄN</t>
        </is>
      </c>
      <c r="E771" t="inlineStr">
        <is>
          <t>VILHELMINA</t>
        </is>
      </c>
      <c r="G771" t="n">
        <v>4.4</v>
      </c>
      <c r="H771" t="n">
        <v>0</v>
      </c>
      <c r="I771" t="n">
        <v>0</v>
      </c>
      <c r="J771" t="n">
        <v>0</v>
      </c>
      <c r="K771" t="n">
        <v>0</v>
      </c>
      <c r="L771" t="n">
        <v>0</v>
      </c>
      <c r="M771" t="n">
        <v>0</v>
      </c>
      <c r="N771" t="n">
        <v>0</v>
      </c>
      <c r="O771" t="n">
        <v>0</v>
      </c>
      <c r="P771" t="n">
        <v>0</v>
      </c>
      <c r="Q771" t="n">
        <v>0</v>
      </c>
      <c r="R771" s="2" t="inlineStr"/>
    </row>
    <row r="772" ht="15" customHeight="1">
      <c r="A772" t="inlineStr">
        <is>
          <t>A 35983-2023</t>
        </is>
      </c>
      <c r="B772" s="1" t="n">
        <v>45148.96185185185</v>
      </c>
      <c r="C772" s="1" t="n">
        <v>46062</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32253-2024</t>
        </is>
      </c>
      <c r="B773" s="1" t="n">
        <v>45511.95214120371</v>
      </c>
      <c r="C773" s="1" t="n">
        <v>46062</v>
      </c>
      <c r="D773" t="inlineStr">
        <is>
          <t>VÄSTERBOTTENS LÄN</t>
        </is>
      </c>
      <c r="E773" t="inlineStr">
        <is>
          <t>VILHELMINA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20534-2025</t>
        </is>
      </c>
      <c r="B774" s="1" t="n">
        <v>45775.61550925926</v>
      </c>
      <c r="C774" s="1" t="n">
        <v>46062</v>
      </c>
      <c r="D774" t="inlineStr">
        <is>
          <t>VÄSTERBOTTENS LÄN</t>
        </is>
      </c>
      <c r="E774" t="inlineStr">
        <is>
          <t>VILHELMINA</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34762-2024</t>
        </is>
      </c>
      <c r="B775" s="1" t="n">
        <v>45526.61637731481</v>
      </c>
      <c r="C775" s="1" t="n">
        <v>46062</v>
      </c>
      <c r="D775" t="inlineStr">
        <is>
          <t>VÄSTERBOTTENS LÄN</t>
        </is>
      </c>
      <c r="E775" t="inlineStr">
        <is>
          <t>VILHELMINA</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46062</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31896-2024</t>
        </is>
      </c>
      <c r="B777" s="1" t="n">
        <v>45509</v>
      </c>
      <c r="C777" s="1" t="n">
        <v>46062</v>
      </c>
      <c r="D777" t="inlineStr">
        <is>
          <t>VÄSTERBOTTENS LÄN</t>
        </is>
      </c>
      <c r="E777" t="inlineStr">
        <is>
          <t>VILHELMINA</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43251-2024</t>
        </is>
      </c>
      <c r="B778" s="1" t="n">
        <v>45568.34429398148</v>
      </c>
      <c r="C778" s="1" t="n">
        <v>46062</v>
      </c>
      <c r="D778" t="inlineStr">
        <is>
          <t>VÄSTERBOTTENS LÄN</t>
        </is>
      </c>
      <c r="E778" t="inlineStr">
        <is>
          <t>VILHELMINA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70849-2021</t>
        </is>
      </c>
      <c r="B779" s="1" t="n">
        <v>44532</v>
      </c>
      <c r="C779" s="1" t="n">
        <v>46062</v>
      </c>
      <c r="D779" t="inlineStr">
        <is>
          <t>VÄSTERBOTTENS LÄN</t>
        </is>
      </c>
      <c r="E779" t="inlineStr">
        <is>
          <t>VILHELMINA</t>
        </is>
      </c>
      <c r="G779" t="n">
        <v>21.4</v>
      </c>
      <c r="H779" t="n">
        <v>0</v>
      </c>
      <c r="I779" t="n">
        <v>0</v>
      </c>
      <c r="J779" t="n">
        <v>0</v>
      </c>
      <c r="K779" t="n">
        <v>0</v>
      </c>
      <c r="L779" t="n">
        <v>0</v>
      </c>
      <c r="M779" t="n">
        <v>0</v>
      </c>
      <c r="N779" t="n">
        <v>0</v>
      </c>
      <c r="O779" t="n">
        <v>0</v>
      </c>
      <c r="P779" t="n">
        <v>0</v>
      </c>
      <c r="Q779" t="n">
        <v>0</v>
      </c>
      <c r="R779" s="2" t="inlineStr"/>
    </row>
    <row r="780" ht="15" customHeight="1">
      <c r="A780" t="inlineStr">
        <is>
          <t>A 12043-2023</t>
        </is>
      </c>
      <c r="B780" s="1" t="n">
        <v>44995</v>
      </c>
      <c r="C780" s="1" t="n">
        <v>46062</v>
      </c>
      <c r="D780" t="inlineStr">
        <is>
          <t>VÄSTERBOTTENS LÄN</t>
        </is>
      </c>
      <c r="E780" t="inlineStr">
        <is>
          <t>VILHELMINA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57108-2023</t>
        </is>
      </c>
      <c r="B781" s="1" t="n">
        <v>45239</v>
      </c>
      <c r="C781" s="1" t="n">
        <v>46062</v>
      </c>
      <c r="D781" t="inlineStr">
        <is>
          <t>VÄSTERBOTTENS LÄN</t>
        </is>
      </c>
      <c r="E781" t="inlineStr">
        <is>
          <t>VILHELMINA</t>
        </is>
      </c>
      <c r="G781" t="n">
        <v>0.6</v>
      </c>
      <c r="H781" t="n">
        <v>0</v>
      </c>
      <c r="I781" t="n">
        <v>0</v>
      </c>
      <c r="J781" t="n">
        <v>0</v>
      </c>
      <c r="K781" t="n">
        <v>0</v>
      </c>
      <c r="L781" t="n">
        <v>0</v>
      </c>
      <c r="M781" t="n">
        <v>0</v>
      </c>
      <c r="N781" t="n">
        <v>0</v>
      </c>
      <c r="O781" t="n">
        <v>0</v>
      </c>
      <c r="P781" t="n">
        <v>0</v>
      </c>
      <c r="Q781" t="n">
        <v>0</v>
      </c>
      <c r="R781" s="2" t="inlineStr"/>
    </row>
    <row r="782" ht="15" customHeight="1">
      <c r="A782" t="inlineStr">
        <is>
          <t>A 54727-2022</t>
        </is>
      </c>
      <c r="B782" s="1" t="n">
        <v>44881</v>
      </c>
      <c r="C782" s="1" t="n">
        <v>46062</v>
      </c>
      <c r="D782" t="inlineStr">
        <is>
          <t>VÄSTERBOTTENS LÄN</t>
        </is>
      </c>
      <c r="E782" t="inlineStr">
        <is>
          <t>VILHELMINA</t>
        </is>
      </c>
      <c r="G782" t="n">
        <v>4.3</v>
      </c>
      <c r="H782" t="n">
        <v>0</v>
      </c>
      <c r="I782" t="n">
        <v>0</v>
      </c>
      <c r="J782" t="n">
        <v>0</v>
      </c>
      <c r="K782" t="n">
        <v>0</v>
      </c>
      <c r="L782" t="n">
        <v>0</v>
      </c>
      <c r="M782" t="n">
        <v>0</v>
      </c>
      <c r="N782" t="n">
        <v>0</v>
      </c>
      <c r="O782" t="n">
        <v>0</v>
      </c>
      <c r="P782" t="n">
        <v>0</v>
      </c>
      <c r="Q782" t="n">
        <v>0</v>
      </c>
      <c r="R782" s="2" t="inlineStr"/>
    </row>
    <row r="783" ht="15" customHeight="1">
      <c r="A783" t="inlineStr">
        <is>
          <t>A 50506-2023</t>
        </is>
      </c>
      <c r="B783" s="1" t="n">
        <v>45216.9580787037</v>
      </c>
      <c r="C783" s="1" t="n">
        <v>46062</v>
      </c>
      <c r="D783" t="inlineStr">
        <is>
          <t>VÄSTERBOTTENS LÄN</t>
        </is>
      </c>
      <c r="E783" t="inlineStr">
        <is>
          <t>VILHELMINA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29922-2024</t>
        </is>
      </c>
      <c r="B784" s="1" t="n">
        <v>45487.9563425926</v>
      </c>
      <c r="C784" s="1" t="n">
        <v>46062</v>
      </c>
      <c r="D784" t="inlineStr">
        <is>
          <t>VÄSTERBOTTENS LÄN</t>
        </is>
      </c>
      <c r="E784" t="inlineStr">
        <is>
          <t>VILHELMINA</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17302-2025</t>
        </is>
      </c>
      <c r="B785" s="1" t="n">
        <v>45756</v>
      </c>
      <c r="C785" s="1" t="n">
        <v>46062</v>
      </c>
      <c r="D785" t="inlineStr">
        <is>
          <t>VÄSTERBOTTENS LÄN</t>
        </is>
      </c>
      <c r="E785" t="inlineStr">
        <is>
          <t>VILHELMINA</t>
        </is>
      </c>
      <c r="G785" t="n">
        <v>6.6</v>
      </c>
      <c r="H785" t="n">
        <v>0</v>
      </c>
      <c r="I785" t="n">
        <v>0</v>
      </c>
      <c r="J785" t="n">
        <v>0</v>
      </c>
      <c r="K785" t="n">
        <v>0</v>
      </c>
      <c r="L785" t="n">
        <v>0</v>
      </c>
      <c r="M785" t="n">
        <v>0</v>
      </c>
      <c r="N785" t="n">
        <v>0</v>
      </c>
      <c r="O785" t="n">
        <v>0</v>
      </c>
      <c r="P785" t="n">
        <v>0</v>
      </c>
      <c r="Q785" t="n">
        <v>0</v>
      </c>
      <c r="R785" s="2" t="inlineStr"/>
    </row>
    <row r="786" ht="15" customHeight="1">
      <c r="A786" t="inlineStr">
        <is>
          <t>A 17307-2025</t>
        </is>
      </c>
      <c r="B786" s="1" t="n">
        <v>45756</v>
      </c>
      <c r="C786" s="1" t="n">
        <v>46062</v>
      </c>
      <c r="D786" t="inlineStr">
        <is>
          <t>VÄSTERBOTTENS LÄN</t>
        </is>
      </c>
      <c r="E786" t="inlineStr">
        <is>
          <t>VILHELMINA</t>
        </is>
      </c>
      <c r="G786" t="n">
        <v>11.2</v>
      </c>
      <c r="H786" t="n">
        <v>0</v>
      </c>
      <c r="I786" t="n">
        <v>0</v>
      </c>
      <c r="J786" t="n">
        <v>0</v>
      </c>
      <c r="K786" t="n">
        <v>0</v>
      </c>
      <c r="L786" t="n">
        <v>0</v>
      </c>
      <c r="M786" t="n">
        <v>0</v>
      </c>
      <c r="N786" t="n">
        <v>0</v>
      </c>
      <c r="O786" t="n">
        <v>0</v>
      </c>
      <c r="P786" t="n">
        <v>0</v>
      </c>
      <c r="Q786" t="n">
        <v>0</v>
      </c>
      <c r="R786" s="2" t="inlineStr"/>
    </row>
    <row r="787" ht="15" customHeight="1">
      <c r="A787" t="inlineStr">
        <is>
          <t>A 17314-2025</t>
        </is>
      </c>
      <c r="B787" s="1" t="n">
        <v>45756</v>
      </c>
      <c r="C787" s="1" t="n">
        <v>46062</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8745-2023</t>
        </is>
      </c>
      <c r="B788" s="1" t="n">
        <v>44972</v>
      </c>
      <c r="C788" s="1" t="n">
        <v>46062</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8229-2022</t>
        </is>
      </c>
      <c r="B789" s="1" t="n">
        <v>44609</v>
      </c>
      <c r="C789" s="1" t="n">
        <v>46062</v>
      </c>
      <c r="D789" t="inlineStr">
        <is>
          <t>VÄSTERBOTTENS LÄN</t>
        </is>
      </c>
      <c r="E789" t="inlineStr">
        <is>
          <t>VILHELMINA</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252-2025</t>
        </is>
      </c>
      <c r="B790" s="1" t="n">
        <v>45660.42734953704</v>
      </c>
      <c r="C790" s="1" t="n">
        <v>46062</v>
      </c>
      <c r="D790" t="inlineStr">
        <is>
          <t>VÄSTERBOTTENS LÄN</t>
        </is>
      </c>
      <c r="E790" t="inlineStr">
        <is>
          <t>VILHELMINA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296-2025</t>
        </is>
      </c>
      <c r="B791" s="1" t="n">
        <v>45660.53215277778</v>
      </c>
      <c r="C791" s="1" t="n">
        <v>46062</v>
      </c>
      <c r="D791" t="inlineStr">
        <is>
          <t>VÄSTERBOTTENS LÄN</t>
        </is>
      </c>
      <c r="E791" t="inlineStr">
        <is>
          <t>VILHELMINA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36219-2023</t>
        </is>
      </c>
      <c r="B792" s="1" t="n">
        <v>45149.95310185185</v>
      </c>
      <c r="C792" s="1" t="n">
        <v>46062</v>
      </c>
      <c r="D792" t="inlineStr">
        <is>
          <t>VÄSTERBOTTENS LÄN</t>
        </is>
      </c>
      <c r="E792" t="inlineStr">
        <is>
          <t>VILHELMINA</t>
        </is>
      </c>
      <c r="F792" t="inlineStr">
        <is>
          <t>SCA</t>
        </is>
      </c>
      <c r="G792" t="n">
        <v>7.3</v>
      </c>
      <c r="H792" t="n">
        <v>0</v>
      </c>
      <c r="I792" t="n">
        <v>0</v>
      </c>
      <c r="J792" t="n">
        <v>0</v>
      </c>
      <c r="K792" t="n">
        <v>0</v>
      </c>
      <c r="L792" t="n">
        <v>0</v>
      </c>
      <c r="M792" t="n">
        <v>0</v>
      </c>
      <c r="N792" t="n">
        <v>0</v>
      </c>
      <c r="O792" t="n">
        <v>0</v>
      </c>
      <c r="P792" t="n">
        <v>0</v>
      </c>
      <c r="Q792" t="n">
        <v>0</v>
      </c>
      <c r="R792" s="2" t="inlineStr"/>
    </row>
    <row r="793" ht="15" customHeight="1">
      <c r="A793" t="inlineStr">
        <is>
          <t>A 54727-2024</t>
        </is>
      </c>
      <c r="B793" s="1" t="n">
        <v>45618.43804398148</v>
      </c>
      <c r="C793" s="1" t="n">
        <v>46062</v>
      </c>
      <c r="D793" t="inlineStr">
        <is>
          <t>VÄSTERBOTTENS LÄN</t>
        </is>
      </c>
      <c r="E793" t="inlineStr">
        <is>
          <t>VILHELMINA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74-2025</t>
        </is>
      </c>
      <c r="B794" s="1" t="n">
        <v>45659</v>
      </c>
      <c r="C794" s="1" t="n">
        <v>46062</v>
      </c>
      <c r="D794" t="inlineStr">
        <is>
          <t>VÄSTERBOTTENS LÄN</t>
        </is>
      </c>
      <c r="E794" t="inlineStr">
        <is>
          <t>VILHELMINA</t>
        </is>
      </c>
      <c r="G794" t="n">
        <v>5.9</v>
      </c>
      <c r="H794" t="n">
        <v>0</v>
      </c>
      <c r="I794" t="n">
        <v>0</v>
      </c>
      <c r="J794" t="n">
        <v>0</v>
      </c>
      <c r="K794" t="n">
        <v>0</v>
      </c>
      <c r="L794" t="n">
        <v>0</v>
      </c>
      <c r="M794" t="n">
        <v>0</v>
      </c>
      <c r="N794" t="n">
        <v>0</v>
      </c>
      <c r="O794" t="n">
        <v>0</v>
      </c>
      <c r="P794" t="n">
        <v>0</v>
      </c>
      <c r="Q794" t="n">
        <v>0</v>
      </c>
      <c r="R794" s="2" t="inlineStr"/>
    </row>
    <row r="795" ht="15" customHeight="1">
      <c r="A795" t="inlineStr">
        <is>
          <t>A 78-2025</t>
        </is>
      </c>
      <c r="B795" s="1" t="n">
        <v>45659</v>
      </c>
      <c r="C795" s="1" t="n">
        <v>46062</v>
      </c>
      <c r="D795" t="inlineStr">
        <is>
          <t>VÄSTERBOTTENS LÄN</t>
        </is>
      </c>
      <c r="E795" t="inlineStr">
        <is>
          <t>VILHELMINA</t>
        </is>
      </c>
      <c r="G795" t="n">
        <v>7.3</v>
      </c>
      <c r="H795" t="n">
        <v>0</v>
      </c>
      <c r="I795" t="n">
        <v>0</v>
      </c>
      <c r="J795" t="n">
        <v>0</v>
      </c>
      <c r="K795" t="n">
        <v>0</v>
      </c>
      <c r="L795" t="n">
        <v>0</v>
      </c>
      <c r="M795" t="n">
        <v>0</v>
      </c>
      <c r="N795" t="n">
        <v>0</v>
      </c>
      <c r="O795" t="n">
        <v>0</v>
      </c>
      <c r="P795" t="n">
        <v>0</v>
      </c>
      <c r="Q795" t="n">
        <v>0</v>
      </c>
      <c r="R795" s="2" t="inlineStr"/>
    </row>
    <row r="796" ht="15" customHeight="1">
      <c r="A796" t="inlineStr">
        <is>
          <t>A 37937-2023</t>
        </is>
      </c>
      <c r="B796" s="1" t="n">
        <v>45159</v>
      </c>
      <c r="C796" s="1" t="n">
        <v>46062</v>
      </c>
      <c r="D796" t="inlineStr">
        <is>
          <t>VÄSTERBOTTENS LÄN</t>
        </is>
      </c>
      <c r="E796" t="inlineStr">
        <is>
          <t>VILHELMINA</t>
        </is>
      </c>
      <c r="G796" t="n">
        <v>2.2</v>
      </c>
      <c r="H796" t="n">
        <v>0</v>
      </c>
      <c r="I796" t="n">
        <v>0</v>
      </c>
      <c r="J796" t="n">
        <v>0</v>
      </c>
      <c r="K796" t="n">
        <v>0</v>
      </c>
      <c r="L796" t="n">
        <v>0</v>
      </c>
      <c r="M796" t="n">
        <v>0</v>
      </c>
      <c r="N796" t="n">
        <v>0</v>
      </c>
      <c r="O796" t="n">
        <v>0</v>
      </c>
      <c r="P796" t="n">
        <v>0</v>
      </c>
      <c r="Q796" t="n">
        <v>0</v>
      </c>
      <c r="R796" s="2" t="inlineStr"/>
    </row>
    <row r="797" ht="15" customHeight="1">
      <c r="A797" t="inlineStr">
        <is>
          <t>A 46177-2023</t>
        </is>
      </c>
      <c r="B797" s="1" t="n">
        <v>45190</v>
      </c>
      <c r="C797" s="1" t="n">
        <v>46062</v>
      </c>
      <c r="D797" t="inlineStr">
        <is>
          <t>VÄSTERBOTTENS LÄN</t>
        </is>
      </c>
      <c r="E797" t="inlineStr">
        <is>
          <t>VILHELMINA</t>
        </is>
      </c>
      <c r="F797" t="inlineStr">
        <is>
          <t>Övriga Aktiebolag</t>
        </is>
      </c>
      <c r="G797" t="n">
        <v>7.7</v>
      </c>
      <c r="H797" t="n">
        <v>0</v>
      </c>
      <c r="I797" t="n">
        <v>0</v>
      </c>
      <c r="J797" t="n">
        <v>0</v>
      </c>
      <c r="K797" t="n">
        <v>0</v>
      </c>
      <c r="L797" t="n">
        <v>0</v>
      </c>
      <c r="M797" t="n">
        <v>0</v>
      </c>
      <c r="N797" t="n">
        <v>0</v>
      </c>
      <c r="O797" t="n">
        <v>0</v>
      </c>
      <c r="P797" t="n">
        <v>0</v>
      </c>
      <c r="Q797" t="n">
        <v>0</v>
      </c>
      <c r="R797" s="2" t="inlineStr"/>
    </row>
    <row r="798" ht="15" customHeight="1">
      <c r="A798" t="inlineStr">
        <is>
          <t>A 468-2024</t>
        </is>
      </c>
      <c r="B798" s="1" t="n">
        <v>45297</v>
      </c>
      <c r="C798" s="1" t="n">
        <v>46062</v>
      </c>
      <c r="D798" t="inlineStr">
        <is>
          <t>VÄSTERBOTTENS LÄN</t>
        </is>
      </c>
      <c r="E798" t="inlineStr">
        <is>
          <t>VILHELMINA</t>
        </is>
      </c>
      <c r="G798" t="n">
        <v>6.7</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46062</v>
      </c>
      <c r="D799" t="inlineStr">
        <is>
          <t>VÄSTERBOTTENS LÄN</t>
        </is>
      </c>
      <c r="E799" t="inlineStr">
        <is>
          <t>VILHELMINA</t>
        </is>
      </c>
      <c r="F799" t="inlineStr">
        <is>
          <t>Allmännings- och besparingsskogar</t>
        </is>
      </c>
      <c r="G799" t="n">
        <v>220.1</v>
      </c>
      <c r="H799" t="n">
        <v>0</v>
      </c>
      <c r="I799" t="n">
        <v>0</v>
      </c>
      <c r="J799" t="n">
        <v>0</v>
      </c>
      <c r="K799" t="n">
        <v>0</v>
      </c>
      <c r="L799" t="n">
        <v>0</v>
      </c>
      <c r="M799" t="n">
        <v>0</v>
      </c>
      <c r="N799" t="n">
        <v>0</v>
      </c>
      <c r="O799" t="n">
        <v>0</v>
      </c>
      <c r="P799" t="n">
        <v>0</v>
      </c>
      <c r="Q799" t="n">
        <v>0</v>
      </c>
      <c r="R799" s="2" t="inlineStr"/>
    </row>
    <row r="800" ht="15" customHeight="1">
      <c r="A800" t="inlineStr">
        <is>
          <t>A 33412-2023</t>
        </is>
      </c>
      <c r="B800" s="1" t="n">
        <v>45117</v>
      </c>
      <c r="C800" s="1" t="n">
        <v>46062</v>
      </c>
      <c r="D800" t="inlineStr">
        <is>
          <t>VÄSTERBOTTENS LÄN</t>
        </is>
      </c>
      <c r="E800" t="inlineStr">
        <is>
          <t>VILHELMINA</t>
        </is>
      </c>
      <c r="F800" t="inlineStr">
        <is>
          <t>Övriga Aktiebolag</t>
        </is>
      </c>
      <c r="G800" t="n">
        <v>0.3</v>
      </c>
      <c r="H800" t="n">
        <v>0</v>
      </c>
      <c r="I800" t="n">
        <v>0</v>
      </c>
      <c r="J800" t="n">
        <v>0</v>
      </c>
      <c r="K800" t="n">
        <v>0</v>
      </c>
      <c r="L800" t="n">
        <v>0</v>
      </c>
      <c r="M800" t="n">
        <v>0</v>
      </c>
      <c r="N800" t="n">
        <v>0</v>
      </c>
      <c r="O800" t="n">
        <v>0</v>
      </c>
      <c r="P800" t="n">
        <v>0</v>
      </c>
      <c r="Q800" t="n">
        <v>0</v>
      </c>
      <c r="R800" s="2" t="inlineStr"/>
    </row>
    <row r="801" ht="15" customHeight="1">
      <c r="A801" t="inlineStr">
        <is>
          <t>A 11139-2022</t>
        </is>
      </c>
      <c r="B801" s="1" t="n">
        <v>44628</v>
      </c>
      <c r="C801" s="1" t="n">
        <v>46062</v>
      </c>
      <c r="D801" t="inlineStr">
        <is>
          <t>VÄSTERBOTTENS LÄN</t>
        </is>
      </c>
      <c r="E801" t="inlineStr">
        <is>
          <t>VILHELMINA</t>
        </is>
      </c>
      <c r="G801" t="n">
        <v>13.6</v>
      </c>
      <c r="H801" t="n">
        <v>0</v>
      </c>
      <c r="I801" t="n">
        <v>0</v>
      </c>
      <c r="J801" t="n">
        <v>0</v>
      </c>
      <c r="K801" t="n">
        <v>0</v>
      </c>
      <c r="L801" t="n">
        <v>0</v>
      </c>
      <c r="M801" t="n">
        <v>0</v>
      </c>
      <c r="N801" t="n">
        <v>0</v>
      </c>
      <c r="O801" t="n">
        <v>0</v>
      </c>
      <c r="P801" t="n">
        <v>0</v>
      </c>
      <c r="Q801" t="n">
        <v>0</v>
      </c>
      <c r="R801" s="2" t="inlineStr"/>
    </row>
    <row r="802" ht="15" customHeight="1">
      <c r="A802" t="inlineStr">
        <is>
          <t>A 29347-2021</t>
        </is>
      </c>
      <c r="B802" s="1" t="n">
        <v>44361</v>
      </c>
      <c r="C802" s="1" t="n">
        <v>46062</v>
      </c>
      <c r="D802" t="inlineStr">
        <is>
          <t>VÄSTERBOTTENS LÄN</t>
        </is>
      </c>
      <c r="E802" t="inlineStr">
        <is>
          <t>VILHELMINA</t>
        </is>
      </c>
      <c r="F802" t="inlineStr">
        <is>
          <t>Allmännings- och besparingsskogar</t>
        </is>
      </c>
      <c r="G802" t="n">
        <v>52</v>
      </c>
      <c r="H802" t="n">
        <v>0</v>
      </c>
      <c r="I802" t="n">
        <v>0</v>
      </c>
      <c r="J802" t="n">
        <v>0</v>
      </c>
      <c r="K802" t="n">
        <v>0</v>
      </c>
      <c r="L802" t="n">
        <v>0</v>
      </c>
      <c r="M802" t="n">
        <v>0</v>
      </c>
      <c r="N802" t="n">
        <v>0</v>
      </c>
      <c r="O802" t="n">
        <v>0</v>
      </c>
      <c r="P802" t="n">
        <v>0</v>
      </c>
      <c r="Q802" t="n">
        <v>0</v>
      </c>
      <c r="R802" s="2" t="inlineStr"/>
    </row>
    <row r="803" ht="15" customHeight="1">
      <c r="A803" t="inlineStr">
        <is>
          <t>A 29722-2024</t>
        </is>
      </c>
      <c r="B803" s="1" t="n">
        <v>45485</v>
      </c>
      <c r="C803" s="1" t="n">
        <v>46062</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33318-2024</t>
        </is>
      </c>
      <c r="B804" s="1" t="n">
        <v>45518.97211805556</v>
      </c>
      <c r="C804" s="1" t="n">
        <v>46062</v>
      </c>
      <c r="D804" t="inlineStr">
        <is>
          <t>VÄSTERBOTTENS LÄN</t>
        </is>
      </c>
      <c r="E804" t="inlineStr">
        <is>
          <t>VILHELMINA</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34807-2023</t>
        </is>
      </c>
      <c r="B805" s="1" t="n">
        <v>45140</v>
      </c>
      <c r="C805" s="1" t="n">
        <v>46062</v>
      </c>
      <c r="D805" t="inlineStr">
        <is>
          <t>VÄSTERBOTTENS LÄN</t>
        </is>
      </c>
      <c r="E805" t="inlineStr">
        <is>
          <t>VILHELMINA</t>
        </is>
      </c>
      <c r="G805" t="n">
        <v>8.1</v>
      </c>
      <c r="H805" t="n">
        <v>0</v>
      </c>
      <c r="I805" t="n">
        <v>0</v>
      </c>
      <c r="J805" t="n">
        <v>0</v>
      </c>
      <c r="K805" t="n">
        <v>0</v>
      </c>
      <c r="L805" t="n">
        <v>0</v>
      </c>
      <c r="M805" t="n">
        <v>0</v>
      </c>
      <c r="N805" t="n">
        <v>0</v>
      </c>
      <c r="O805" t="n">
        <v>0</v>
      </c>
      <c r="P805" t="n">
        <v>0</v>
      </c>
      <c r="Q805" t="n">
        <v>0</v>
      </c>
      <c r="R805" s="2" t="inlineStr"/>
    </row>
    <row r="806" ht="15" customHeight="1">
      <c r="A806" t="inlineStr">
        <is>
          <t>A 26663-2023</t>
        </is>
      </c>
      <c r="B806" s="1" t="n">
        <v>45092.94042824074</v>
      </c>
      <c r="C806" s="1" t="n">
        <v>46062</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20322-2022</t>
        </is>
      </c>
      <c r="B807" s="1" t="n">
        <v>44698</v>
      </c>
      <c r="C807" s="1" t="n">
        <v>46062</v>
      </c>
      <c r="D807" t="inlineStr">
        <is>
          <t>VÄSTERBOTTENS LÄN</t>
        </is>
      </c>
      <c r="E807" t="inlineStr">
        <is>
          <t>VILHELMINA</t>
        </is>
      </c>
      <c r="G807" t="n">
        <v>10.5</v>
      </c>
      <c r="H807" t="n">
        <v>0</v>
      </c>
      <c r="I807" t="n">
        <v>0</v>
      </c>
      <c r="J807" t="n">
        <v>0</v>
      </c>
      <c r="K807" t="n">
        <v>0</v>
      </c>
      <c r="L807" t="n">
        <v>0</v>
      </c>
      <c r="M807" t="n">
        <v>0</v>
      </c>
      <c r="N807" t="n">
        <v>0</v>
      </c>
      <c r="O807" t="n">
        <v>0</v>
      </c>
      <c r="P807" t="n">
        <v>0</v>
      </c>
      <c r="Q807" t="n">
        <v>0</v>
      </c>
      <c r="R807" s="2" t="inlineStr"/>
    </row>
    <row r="808" ht="15" customHeight="1">
      <c r="A808" t="inlineStr">
        <is>
          <t>A 38222-2024</t>
        </is>
      </c>
      <c r="B808" s="1" t="n">
        <v>45545.53619212963</v>
      </c>
      <c r="C808" s="1" t="n">
        <v>46062</v>
      </c>
      <c r="D808" t="inlineStr">
        <is>
          <t>VÄSTERBOTTENS LÄN</t>
        </is>
      </c>
      <c r="E808" t="inlineStr">
        <is>
          <t>VILHELMINA</t>
        </is>
      </c>
      <c r="F808" t="inlineStr">
        <is>
          <t>Sveaskog</t>
        </is>
      </c>
      <c r="G808" t="n">
        <v>6</v>
      </c>
      <c r="H808" t="n">
        <v>0</v>
      </c>
      <c r="I808" t="n">
        <v>0</v>
      </c>
      <c r="J808" t="n">
        <v>0</v>
      </c>
      <c r="K808" t="n">
        <v>0</v>
      </c>
      <c r="L808" t="n">
        <v>0</v>
      </c>
      <c r="M808" t="n">
        <v>0</v>
      </c>
      <c r="N808" t="n">
        <v>0</v>
      </c>
      <c r="O808" t="n">
        <v>0</v>
      </c>
      <c r="P808" t="n">
        <v>0</v>
      </c>
      <c r="Q808" t="n">
        <v>0</v>
      </c>
      <c r="R808" s="2" t="inlineStr"/>
    </row>
    <row r="809" ht="15" customHeight="1">
      <c r="A809" t="inlineStr">
        <is>
          <t>A 56747-2023</t>
        </is>
      </c>
      <c r="B809" s="1" t="n">
        <v>45238</v>
      </c>
      <c r="C809" s="1" t="n">
        <v>46062</v>
      </c>
      <c r="D809" t="inlineStr">
        <is>
          <t>VÄSTERBOTTENS LÄN</t>
        </is>
      </c>
      <c r="E809" t="inlineStr">
        <is>
          <t>VILHELMINA</t>
        </is>
      </c>
      <c r="F809" t="inlineStr">
        <is>
          <t>Allmännings- och besparingsskogar</t>
        </is>
      </c>
      <c r="G809" t="n">
        <v>16.2</v>
      </c>
      <c r="H809" t="n">
        <v>0</v>
      </c>
      <c r="I809" t="n">
        <v>0</v>
      </c>
      <c r="J809" t="n">
        <v>0</v>
      </c>
      <c r="K809" t="n">
        <v>0</v>
      </c>
      <c r="L809" t="n">
        <v>0</v>
      </c>
      <c r="M809" t="n">
        <v>0</v>
      </c>
      <c r="N809" t="n">
        <v>0</v>
      </c>
      <c r="O809" t="n">
        <v>0</v>
      </c>
      <c r="P809" t="n">
        <v>0</v>
      </c>
      <c r="Q809" t="n">
        <v>0</v>
      </c>
      <c r="R809" s="2" t="inlineStr"/>
    </row>
    <row r="810" ht="15" customHeight="1">
      <c r="A810" t="inlineStr">
        <is>
          <t>A 56758-2023</t>
        </is>
      </c>
      <c r="B810" s="1" t="n">
        <v>45238</v>
      </c>
      <c r="C810" s="1" t="n">
        <v>46062</v>
      </c>
      <c r="D810" t="inlineStr">
        <is>
          <t>VÄSTERBOTTENS LÄN</t>
        </is>
      </c>
      <c r="E810" t="inlineStr">
        <is>
          <t>VILHELMINA</t>
        </is>
      </c>
      <c r="F810" t="inlineStr">
        <is>
          <t>Allmännings- och besparingsskogar</t>
        </is>
      </c>
      <c r="G810" t="n">
        <v>371.4</v>
      </c>
      <c r="H810" t="n">
        <v>0</v>
      </c>
      <c r="I810" t="n">
        <v>0</v>
      </c>
      <c r="J810" t="n">
        <v>0</v>
      </c>
      <c r="K810" t="n">
        <v>0</v>
      </c>
      <c r="L810" t="n">
        <v>0</v>
      </c>
      <c r="M810" t="n">
        <v>0</v>
      </c>
      <c r="N810" t="n">
        <v>0</v>
      </c>
      <c r="O810" t="n">
        <v>0</v>
      </c>
      <c r="P810" t="n">
        <v>0</v>
      </c>
      <c r="Q810" t="n">
        <v>0</v>
      </c>
      <c r="R810" s="2" t="inlineStr"/>
    </row>
    <row r="811" ht="15" customHeight="1">
      <c r="A811" t="inlineStr">
        <is>
          <t>A 12118-2024</t>
        </is>
      </c>
      <c r="B811" s="1" t="n">
        <v>45376</v>
      </c>
      <c r="C811" s="1" t="n">
        <v>46062</v>
      </c>
      <c r="D811" t="inlineStr">
        <is>
          <t>VÄSTERBOTTENS LÄN</t>
        </is>
      </c>
      <c r="E811" t="inlineStr">
        <is>
          <t>VILHELMINA</t>
        </is>
      </c>
      <c r="G811" t="n">
        <v>3.6</v>
      </c>
      <c r="H811" t="n">
        <v>0</v>
      </c>
      <c r="I811" t="n">
        <v>0</v>
      </c>
      <c r="J811" t="n">
        <v>0</v>
      </c>
      <c r="K811" t="n">
        <v>0</v>
      </c>
      <c r="L811" t="n">
        <v>0</v>
      </c>
      <c r="M811" t="n">
        <v>0</v>
      </c>
      <c r="N811" t="n">
        <v>0</v>
      </c>
      <c r="O811" t="n">
        <v>0</v>
      </c>
      <c r="P811" t="n">
        <v>0</v>
      </c>
      <c r="Q811" t="n">
        <v>0</v>
      </c>
      <c r="R811" s="2" t="inlineStr"/>
    </row>
    <row r="812" ht="15" customHeight="1">
      <c r="A812" t="inlineStr">
        <is>
          <t>A 15326-2024</t>
        </is>
      </c>
      <c r="B812" s="1" t="n">
        <v>45400</v>
      </c>
      <c r="C812" s="1" t="n">
        <v>46062</v>
      </c>
      <c r="D812" t="inlineStr">
        <is>
          <t>VÄSTERBOTTENS LÄN</t>
        </is>
      </c>
      <c r="E812" t="inlineStr">
        <is>
          <t>VILHELMINA</t>
        </is>
      </c>
      <c r="G812" t="n">
        <v>4.7</v>
      </c>
      <c r="H812" t="n">
        <v>0</v>
      </c>
      <c r="I812" t="n">
        <v>0</v>
      </c>
      <c r="J812" t="n">
        <v>0</v>
      </c>
      <c r="K812" t="n">
        <v>0</v>
      </c>
      <c r="L812" t="n">
        <v>0</v>
      </c>
      <c r="M812" t="n">
        <v>0</v>
      </c>
      <c r="N812" t="n">
        <v>0</v>
      </c>
      <c r="O812" t="n">
        <v>0</v>
      </c>
      <c r="P812" t="n">
        <v>0</v>
      </c>
      <c r="Q812" t="n">
        <v>0</v>
      </c>
      <c r="R812" s="2" t="inlineStr"/>
    </row>
    <row r="813" ht="15" customHeight="1">
      <c r="A813" t="inlineStr">
        <is>
          <t>A 48472-2023</t>
        </is>
      </c>
      <c r="B813" s="1" t="n">
        <v>45206.95761574074</v>
      </c>
      <c r="C813" s="1" t="n">
        <v>46062</v>
      </c>
      <c r="D813" t="inlineStr">
        <is>
          <t>VÄSTERBOTTENS LÄN</t>
        </is>
      </c>
      <c r="E813" t="inlineStr">
        <is>
          <t>VILHELMINA</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52740-2023</t>
        </is>
      </c>
      <c r="B814" s="1" t="n">
        <v>45225</v>
      </c>
      <c r="C814" s="1" t="n">
        <v>46062</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66952-2021</t>
        </is>
      </c>
      <c r="B815" s="1" t="n">
        <v>44522</v>
      </c>
      <c r="C815" s="1" t="n">
        <v>46062</v>
      </c>
      <c r="D815" t="inlineStr">
        <is>
          <t>VÄSTERBOTTENS LÄN</t>
        </is>
      </c>
      <c r="E815" t="inlineStr">
        <is>
          <t>VILHELMINA</t>
        </is>
      </c>
      <c r="F815" t="inlineStr">
        <is>
          <t>Allmännings- och besparingsskogar</t>
        </is>
      </c>
      <c r="G815" t="n">
        <v>70</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46062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36972-2023</t>
        </is>
      </c>
      <c r="B817" s="1" t="n">
        <v>45154</v>
      </c>
      <c r="C817" s="1" t="n">
        <v>46062</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30575-2024</t>
        </is>
      </c>
      <c r="B818" s="1" t="n">
        <v>45492.95818287037</v>
      </c>
      <c r="C818" s="1" t="n">
        <v>46062</v>
      </c>
      <c r="D818" t="inlineStr">
        <is>
          <t>VÄSTERBOTTENS LÄN</t>
        </is>
      </c>
      <c r="E818" t="inlineStr">
        <is>
          <t>VILHELMINA</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30578-2024</t>
        </is>
      </c>
      <c r="B819" s="1" t="n">
        <v>45492.95939814814</v>
      </c>
      <c r="C819" s="1" t="n">
        <v>46062</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30580-2024</t>
        </is>
      </c>
      <c r="B820" s="1" t="n">
        <v>45492.95981481481</v>
      </c>
      <c r="C820" s="1" t="n">
        <v>46062</v>
      </c>
      <c r="D820" t="inlineStr">
        <is>
          <t>VÄSTERBOTTENS LÄN</t>
        </is>
      </c>
      <c r="E820" t="inlineStr">
        <is>
          <t>VILHELMINA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26381-2024</t>
        </is>
      </c>
      <c r="B821" s="1" t="n">
        <v>45469</v>
      </c>
      <c r="C821" s="1" t="n">
        <v>46062</v>
      </c>
      <c r="D821" t="inlineStr">
        <is>
          <t>VÄSTERBOTTENS LÄN</t>
        </is>
      </c>
      <c r="E821" t="inlineStr">
        <is>
          <t>VILHELMINA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36288-2021</t>
        </is>
      </c>
      <c r="B822" s="1" t="n">
        <v>44389</v>
      </c>
      <c r="C822" s="1" t="n">
        <v>46062</v>
      </c>
      <c r="D822" t="inlineStr">
        <is>
          <t>VÄSTERBOTTENS LÄN</t>
        </is>
      </c>
      <c r="E822" t="inlineStr">
        <is>
          <t>VILHELMINA</t>
        </is>
      </c>
      <c r="G822" t="n">
        <v>20.5</v>
      </c>
      <c r="H822" t="n">
        <v>0</v>
      </c>
      <c r="I822" t="n">
        <v>0</v>
      </c>
      <c r="J822" t="n">
        <v>0</v>
      </c>
      <c r="K822" t="n">
        <v>0</v>
      </c>
      <c r="L822" t="n">
        <v>0</v>
      </c>
      <c r="M822" t="n">
        <v>0</v>
      </c>
      <c r="N822" t="n">
        <v>0</v>
      </c>
      <c r="O822" t="n">
        <v>0</v>
      </c>
      <c r="P822" t="n">
        <v>0</v>
      </c>
      <c r="Q822" t="n">
        <v>0</v>
      </c>
      <c r="R822" s="2" t="inlineStr"/>
    </row>
    <row r="823" ht="15" customHeight="1">
      <c r="A823" t="inlineStr">
        <is>
          <t>A 16719-2025</t>
        </is>
      </c>
      <c r="B823" s="1" t="n">
        <v>45754.49008101852</v>
      </c>
      <c r="C823" s="1" t="n">
        <v>46062</v>
      </c>
      <c r="D823" t="inlineStr">
        <is>
          <t>VÄSTERBOTTENS LÄN</t>
        </is>
      </c>
      <c r="E823" t="inlineStr">
        <is>
          <t>VILHELMINA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54457-2024</t>
        </is>
      </c>
      <c r="B824" s="1" t="n">
        <v>45617</v>
      </c>
      <c r="C824" s="1" t="n">
        <v>46062</v>
      </c>
      <c r="D824" t="inlineStr">
        <is>
          <t>VÄSTERBOTTENS LÄN</t>
        </is>
      </c>
      <c r="E824" t="inlineStr">
        <is>
          <t>VILHELMINA</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26000-2023</t>
        </is>
      </c>
      <c r="B825" s="1" t="n">
        <v>45090</v>
      </c>
      <c r="C825" s="1" t="n">
        <v>46062</v>
      </c>
      <c r="D825" t="inlineStr">
        <is>
          <t>VÄSTERBOTTENS LÄN</t>
        </is>
      </c>
      <c r="E825" t="inlineStr">
        <is>
          <t>VILHELMINA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37716-2024</t>
        </is>
      </c>
      <c r="B826" s="1" t="n">
        <v>45541.63592592593</v>
      </c>
      <c r="C826" s="1" t="n">
        <v>46062</v>
      </c>
      <c r="D826" t="inlineStr">
        <is>
          <t>VÄSTERBOTTENS LÄN</t>
        </is>
      </c>
      <c r="E826" t="inlineStr">
        <is>
          <t>VILHELMINA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36376-2023</t>
        </is>
      </c>
      <c r="B827" s="1" t="n">
        <v>45152</v>
      </c>
      <c r="C827" s="1" t="n">
        <v>46062</v>
      </c>
      <c r="D827" t="inlineStr">
        <is>
          <t>VÄSTERBOTTENS LÄN</t>
        </is>
      </c>
      <c r="E827" t="inlineStr">
        <is>
          <t>VILHELMINA</t>
        </is>
      </c>
      <c r="G827" t="n">
        <v>12.7</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46062</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46062</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2054-2023</t>
        </is>
      </c>
      <c r="B830" s="1" t="n">
        <v>44939</v>
      </c>
      <c r="C830" s="1" t="n">
        <v>46062</v>
      </c>
      <c r="D830" t="inlineStr">
        <is>
          <t>VÄSTERBOTTENS LÄN</t>
        </is>
      </c>
      <c r="E830" t="inlineStr">
        <is>
          <t>VILHELMINA</t>
        </is>
      </c>
      <c r="F830" t="inlineStr">
        <is>
          <t>Sveaskog</t>
        </is>
      </c>
      <c r="G830" t="n">
        <v>19.2</v>
      </c>
      <c r="H830" t="n">
        <v>0</v>
      </c>
      <c r="I830" t="n">
        <v>0</v>
      </c>
      <c r="J830" t="n">
        <v>0</v>
      </c>
      <c r="K830" t="n">
        <v>0</v>
      </c>
      <c r="L830" t="n">
        <v>0</v>
      </c>
      <c r="M830" t="n">
        <v>0</v>
      </c>
      <c r="N830" t="n">
        <v>0</v>
      </c>
      <c r="O830" t="n">
        <v>0</v>
      </c>
      <c r="P830" t="n">
        <v>0</v>
      </c>
      <c r="Q830" t="n">
        <v>0</v>
      </c>
      <c r="R830" s="2" t="inlineStr"/>
    </row>
    <row r="831" ht="15" customHeight="1">
      <c r="A831" t="inlineStr">
        <is>
          <t>A 44505-2024</t>
        </is>
      </c>
      <c r="B831" s="1" t="n">
        <v>45574.40974537037</v>
      </c>
      <c r="C831" s="1" t="n">
        <v>46062</v>
      </c>
      <c r="D831" t="inlineStr">
        <is>
          <t>VÄSTERBOTTENS LÄN</t>
        </is>
      </c>
      <c r="E831" t="inlineStr">
        <is>
          <t>VILHELMINA</t>
        </is>
      </c>
      <c r="G831" t="n">
        <v>15.5</v>
      </c>
      <c r="H831" t="n">
        <v>0</v>
      </c>
      <c r="I831" t="n">
        <v>0</v>
      </c>
      <c r="J831" t="n">
        <v>0</v>
      </c>
      <c r="K831" t="n">
        <v>0</v>
      </c>
      <c r="L831" t="n">
        <v>0</v>
      </c>
      <c r="M831" t="n">
        <v>0</v>
      </c>
      <c r="N831" t="n">
        <v>0</v>
      </c>
      <c r="O831" t="n">
        <v>0</v>
      </c>
      <c r="P831" t="n">
        <v>0</v>
      </c>
      <c r="Q831" t="n">
        <v>0</v>
      </c>
      <c r="R831" s="2" t="inlineStr"/>
    </row>
    <row r="832" ht="15" customHeight="1">
      <c r="A832" t="inlineStr">
        <is>
          <t>A 23180-2024</t>
        </is>
      </c>
      <c r="B832" s="1" t="n">
        <v>45450.9444212963</v>
      </c>
      <c r="C832" s="1" t="n">
        <v>46062</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63877-2023</t>
        </is>
      </c>
      <c r="B833" s="1" t="n">
        <v>45278</v>
      </c>
      <c r="C833" s="1" t="n">
        <v>46062</v>
      </c>
      <c r="D833" t="inlineStr">
        <is>
          <t>VÄSTERBOTTENS LÄN</t>
        </is>
      </c>
      <c r="E833" t="inlineStr">
        <is>
          <t>VILHELMINA</t>
        </is>
      </c>
      <c r="G833" t="n">
        <v>1.2</v>
      </c>
      <c r="H833" t="n">
        <v>0</v>
      </c>
      <c r="I833" t="n">
        <v>0</v>
      </c>
      <c r="J833" t="n">
        <v>0</v>
      </c>
      <c r="K833" t="n">
        <v>0</v>
      </c>
      <c r="L833" t="n">
        <v>0</v>
      </c>
      <c r="M833" t="n">
        <v>0</v>
      </c>
      <c r="N833" t="n">
        <v>0</v>
      </c>
      <c r="O833" t="n">
        <v>0</v>
      </c>
      <c r="P833" t="n">
        <v>0</v>
      </c>
      <c r="Q833" t="n">
        <v>0</v>
      </c>
      <c r="R833" s="2" t="inlineStr"/>
    </row>
    <row r="834" ht="15" customHeight="1">
      <c r="A834" t="inlineStr">
        <is>
          <t>A 8003-2021</t>
        </is>
      </c>
      <c r="B834" s="1" t="n">
        <v>44243</v>
      </c>
      <c r="C834" s="1" t="n">
        <v>46062</v>
      </c>
      <c r="D834" t="inlineStr">
        <is>
          <t>VÄSTERBOTTENS LÄN</t>
        </is>
      </c>
      <c r="E834" t="inlineStr">
        <is>
          <t>VILHELMINA</t>
        </is>
      </c>
      <c r="G834" t="n">
        <v>5.1</v>
      </c>
      <c r="H834" t="n">
        <v>0</v>
      </c>
      <c r="I834" t="n">
        <v>0</v>
      </c>
      <c r="J834" t="n">
        <v>0</v>
      </c>
      <c r="K834" t="n">
        <v>0</v>
      </c>
      <c r="L834" t="n">
        <v>0</v>
      </c>
      <c r="M834" t="n">
        <v>0</v>
      </c>
      <c r="N834" t="n">
        <v>0</v>
      </c>
      <c r="O834" t="n">
        <v>0</v>
      </c>
      <c r="P834" t="n">
        <v>0</v>
      </c>
      <c r="Q834" t="n">
        <v>0</v>
      </c>
      <c r="R834" s="2" t="inlineStr"/>
    </row>
    <row r="835" ht="15" customHeight="1">
      <c r="A835" t="inlineStr">
        <is>
          <t>A 15782-2025</t>
        </is>
      </c>
      <c r="B835" s="1" t="n">
        <v>45748</v>
      </c>
      <c r="C835" s="1" t="n">
        <v>46062</v>
      </c>
      <c r="D835" t="inlineStr">
        <is>
          <t>VÄSTERBOTTENS LÄN</t>
        </is>
      </c>
      <c r="E835" t="inlineStr">
        <is>
          <t>VILHELMINA</t>
        </is>
      </c>
      <c r="G835" t="n">
        <v>2.5</v>
      </c>
      <c r="H835" t="n">
        <v>0</v>
      </c>
      <c r="I835" t="n">
        <v>0</v>
      </c>
      <c r="J835" t="n">
        <v>0</v>
      </c>
      <c r="K835" t="n">
        <v>0</v>
      </c>
      <c r="L835" t="n">
        <v>0</v>
      </c>
      <c r="M835" t="n">
        <v>0</v>
      </c>
      <c r="N835" t="n">
        <v>0</v>
      </c>
      <c r="O835" t="n">
        <v>0</v>
      </c>
      <c r="P835" t="n">
        <v>0</v>
      </c>
      <c r="Q835" t="n">
        <v>0</v>
      </c>
      <c r="R835" s="2" t="inlineStr"/>
    </row>
    <row r="836" ht="15" customHeight="1">
      <c r="A836" t="inlineStr">
        <is>
          <t>A 42478-2024</t>
        </is>
      </c>
      <c r="B836" s="1" t="n">
        <v>45565.4912962963</v>
      </c>
      <c r="C836" s="1" t="n">
        <v>46062</v>
      </c>
      <c r="D836" t="inlineStr">
        <is>
          <t>VÄSTERBOTTENS LÄN</t>
        </is>
      </c>
      <c r="E836" t="inlineStr">
        <is>
          <t>VILHELMINA</t>
        </is>
      </c>
      <c r="F836" t="inlineStr">
        <is>
          <t>SCA</t>
        </is>
      </c>
      <c r="G836" t="n">
        <v>6.6</v>
      </c>
      <c r="H836" t="n">
        <v>0</v>
      </c>
      <c r="I836" t="n">
        <v>0</v>
      </c>
      <c r="J836" t="n">
        <v>0</v>
      </c>
      <c r="K836" t="n">
        <v>0</v>
      </c>
      <c r="L836" t="n">
        <v>0</v>
      </c>
      <c r="M836" t="n">
        <v>0</v>
      </c>
      <c r="N836" t="n">
        <v>0</v>
      </c>
      <c r="O836" t="n">
        <v>0</v>
      </c>
      <c r="P836" t="n">
        <v>0</v>
      </c>
      <c r="Q836" t="n">
        <v>0</v>
      </c>
      <c r="R836" s="2" t="inlineStr"/>
    </row>
    <row r="837" ht="15" customHeight="1">
      <c r="A837" t="inlineStr">
        <is>
          <t>A 27881-2022</t>
        </is>
      </c>
      <c r="B837" s="1" t="n">
        <v>44743</v>
      </c>
      <c r="C837" s="1" t="n">
        <v>46062</v>
      </c>
      <c r="D837" t="inlineStr">
        <is>
          <t>VÄSTERBOTTENS LÄN</t>
        </is>
      </c>
      <c r="E837" t="inlineStr">
        <is>
          <t>VILHELMINA</t>
        </is>
      </c>
      <c r="F837" t="inlineStr">
        <is>
          <t>Sveaskog</t>
        </is>
      </c>
      <c r="G837" t="n">
        <v>14.3</v>
      </c>
      <c r="H837" t="n">
        <v>0</v>
      </c>
      <c r="I837" t="n">
        <v>0</v>
      </c>
      <c r="J837" t="n">
        <v>0</v>
      </c>
      <c r="K837" t="n">
        <v>0</v>
      </c>
      <c r="L837" t="n">
        <v>0</v>
      </c>
      <c r="M837" t="n">
        <v>0</v>
      </c>
      <c r="N837" t="n">
        <v>0</v>
      </c>
      <c r="O837" t="n">
        <v>0</v>
      </c>
      <c r="P837" t="n">
        <v>0</v>
      </c>
      <c r="Q837" t="n">
        <v>0</v>
      </c>
      <c r="R837" s="2" t="inlineStr"/>
    </row>
    <row r="838" ht="15" customHeight="1">
      <c r="A838" t="inlineStr">
        <is>
          <t>A 45673-2023</t>
        </is>
      </c>
      <c r="B838" s="1" t="n">
        <v>45194</v>
      </c>
      <c r="C838" s="1" t="n">
        <v>46062</v>
      </c>
      <c r="D838" t="inlineStr">
        <is>
          <t>VÄSTERBOTTENS LÄN</t>
        </is>
      </c>
      <c r="E838" t="inlineStr">
        <is>
          <t>VILHELMINA</t>
        </is>
      </c>
      <c r="G838" t="n">
        <v>13.4</v>
      </c>
      <c r="H838" t="n">
        <v>0</v>
      </c>
      <c r="I838" t="n">
        <v>0</v>
      </c>
      <c r="J838" t="n">
        <v>0</v>
      </c>
      <c r="K838" t="n">
        <v>0</v>
      </c>
      <c r="L838" t="n">
        <v>0</v>
      </c>
      <c r="M838" t="n">
        <v>0</v>
      </c>
      <c r="N838" t="n">
        <v>0</v>
      </c>
      <c r="O838" t="n">
        <v>0</v>
      </c>
      <c r="P838" t="n">
        <v>0</v>
      </c>
      <c r="Q838" t="n">
        <v>0</v>
      </c>
      <c r="R838" s="2" t="inlineStr"/>
    </row>
    <row r="839" ht="15" customHeight="1">
      <c r="A839" t="inlineStr">
        <is>
          <t>A 367-2024</t>
        </is>
      </c>
      <c r="B839" s="1" t="n">
        <v>45295</v>
      </c>
      <c r="C839" s="1" t="n">
        <v>46062</v>
      </c>
      <c r="D839" t="inlineStr">
        <is>
          <t>VÄSTERBOTTENS LÄN</t>
        </is>
      </c>
      <c r="E839" t="inlineStr">
        <is>
          <t>VILHELMINA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8726-2023</t>
        </is>
      </c>
      <c r="B840" s="1" t="n">
        <v>44972</v>
      </c>
      <c r="C840" s="1" t="n">
        <v>46062</v>
      </c>
      <c r="D840" t="inlineStr">
        <is>
          <t>VÄSTERBOTTENS LÄN</t>
        </is>
      </c>
      <c r="E840" t="inlineStr">
        <is>
          <t>VILHELMINA</t>
        </is>
      </c>
      <c r="F840" t="inlineStr">
        <is>
          <t>Allmännings- och besparingsskogar</t>
        </is>
      </c>
      <c r="G840" t="n">
        <v>50</v>
      </c>
      <c r="H840" t="n">
        <v>0</v>
      </c>
      <c r="I840" t="n">
        <v>0</v>
      </c>
      <c r="J840" t="n">
        <v>0</v>
      </c>
      <c r="K840" t="n">
        <v>0</v>
      </c>
      <c r="L840" t="n">
        <v>0</v>
      </c>
      <c r="M840" t="n">
        <v>0</v>
      </c>
      <c r="N840" t="n">
        <v>0</v>
      </c>
      <c r="O840" t="n">
        <v>0</v>
      </c>
      <c r="P840" t="n">
        <v>0</v>
      </c>
      <c r="Q840" t="n">
        <v>0</v>
      </c>
      <c r="R840" s="2" t="inlineStr"/>
    </row>
    <row r="841" ht="15" customHeight="1">
      <c r="A841" t="inlineStr">
        <is>
          <t>A 38125-2024</t>
        </is>
      </c>
      <c r="B841" s="1" t="n">
        <v>45545.40717592592</v>
      </c>
      <c r="C841" s="1" t="n">
        <v>46062</v>
      </c>
      <c r="D841" t="inlineStr">
        <is>
          <t>VÄSTERBOTTENS LÄN</t>
        </is>
      </c>
      <c r="E841" t="inlineStr">
        <is>
          <t>VILHELMINA</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38126-2024</t>
        </is>
      </c>
      <c r="B842" s="1" t="n">
        <v>45545</v>
      </c>
      <c r="C842" s="1" t="n">
        <v>46062</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38130-2024</t>
        </is>
      </c>
      <c r="B843" s="1" t="n">
        <v>45545</v>
      </c>
      <c r="C843" s="1" t="n">
        <v>46062</v>
      </c>
      <c r="D843" t="inlineStr">
        <is>
          <t>VÄSTERBOTTENS LÄN</t>
        </is>
      </c>
      <c r="E843" t="inlineStr">
        <is>
          <t>VILHELMINA</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41330-2022</t>
        </is>
      </c>
      <c r="B844" s="1" t="n">
        <v>44826</v>
      </c>
      <c r="C844" s="1" t="n">
        <v>46062</v>
      </c>
      <c r="D844" t="inlineStr">
        <is>
          <t>VÄSTERBOTTENS LÄN</t>
        </is>
      </c>
      <c r="E844" t="inlineStr">
        <is>
          <t>VILHELMINA</t>
        </is>
      </c>
      <c r="G844" t="n">
        <v>3.4</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46062</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20510-2024</t>
        </is>
      </c>
      <c r="B846" s="1" t="n">
        <v>45435.94324074074</v>
      </c>
      <c r="C846" s="1" t="n">
        <v>46062</v>
      </c>
      <c r="D846" t="inlineStr">
        <is>
          <t>VÄSTERBOTTENS LÄN</t>
        </is>
      </c>
      <c r="E846" t="inlineStr">
        <is>
          <t>VILHELMINA</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2488-2023</t>
        </is>
      </c>
      <c r="B847" s="1" t="n">
        <v>44943</v>
      </c>
      <c r="C847" s="1" t="n">
        <v>46062</v>
      </c>
      <c r="D847" t="inlineStr">
        <is>
          <t>VÄSTERBOTTENS LÄN</t>
        </is>
      </c>
      <c r="E847" t="inlineStr">
        <is>
          <t>VILHELMINA</t>
        </is>
      </c>
      <c r="G847" t="n">
        <v>69.3</v>
      </c>
      <c r="H847" t="n">
        <v>0</v>
      </c>
      <c r="I847" t="n">
        <v>0</v>
      </c>
      <c r="J847" t="n">
        <v>0</v>
      </c>
      <c r="K847" t="n">
        <v>0</v>
      </c>
      <c r="L847" t="n">
        <v>0</v>
      </c>
      <c r="M847" t="n">
        <v>0</v>
      </c>
      <c r="N847" t="n">
        <v>0</v>
      </c>
      <c r="O847" t="n">
        <v>0</v>
      </c>
      <c r="P847" t="n">
        <v>0</v>
      </c>
      <c r="Q847" t="n">
        <v>0</v>
      </c>
      <c r="R847" s="2" t="inlineStr"/>
    </row>
    <row r="848" ht="15" customHeight="1">
      <c r="A848" t="inlineStr">
        <is>
          <t>A 6653-2021</t>
        </is>
      </c>
      <c r="B848" s="1" t="n">
        <v>44235</v>
      </c>
      <c r="C848" s="1" t="n">
        <v>46062</v>
      </c>
      <c r="D848" t="inlineStr">
        <is>
          <t>VÄSTERBOTTENS LÄN</t>
        </is>
      </c>
      <c r="E848" t="inlineStr">
        <is>
          <t>VILHELMINA</t>
        </is>
      </c>
      <c r="G848" t="n">
        <v>18</v>
      </c>
      <c r="H848" t="n">
        <v>0</v>
      </c>
      <c r="I848" t="n">
        <v>0</v>
      </c>
      <c r="J848" t="n">
        <v>0</v>
      </c>
      <c r="K848" t="n">
        <v>0</v>
      </c>
      <c r="L848" t="n">
        <v>0</v>
      </c>
      <c r="M848" t="n">
        <v>0</v>
      </c>
      <c r="N848" t="n">
        <v>0</v>
      </c>
      <c r="O848" t="n">
        <v>0</v>
      </c>
      <c r="P848" t="n">
        <v>0</v>
      </c>
      <c r="Q848" t="n">
        <v>0</v>
      </c>
      <c r="R848" s="2" t="inlineStr"/>
    </row>
    <row r="849" ht="15" customHeight="1">
      <c r="A849" t="inlineStr">
        <is>
          <t>A 706-2024</t>
        </is>
      </c>
      <c r="B849" s="1" t="n">
        <v>45300</v>
      </c>
      <c r="C849" s="1" t="n">
        <v>46062</v>
      </c>
      <c r="D849" t="inlineStr">
        <is>
          <t>VÄSTERBOTTENS LÄN</t>
        </is>
      </c>
      <c r="E849" t="inlineStr">
        <is>
          <t>VILHELMINA</t>
        </is>
      </c>
      <c r="G849" t="n">
        <v>2.8</v>
      </c>
      <c r="H849" t="n">
        <v>0</v>
      </c>
      <c r="I849" t="n">
        <v>0</v>
      </c>
      <c r="J849" t="n">
        <v>0</v>
      </c>
      <c r="K849" t="n">
        <v>0</v>
      </c>
      <c r="L849" t="n">
        <v>0</v>
      </c>
      <c r="M849" t="n">
        <v>0</v>
      </c>
      <c r="N849" t="n">
        <v>0</v>
      </c>
      <c r="O849" t="n">
        <v>0</v>
      </c>
      <c r="P849" t="n">
        <v>0</v>
      </c>
      <c r="Q849" t="n">
        <v>0</v>
      </c>
      <c r="R849" s="2" t="inlineStr"/>
    </row>
    <row r="850" ht="15" customHeight="1">
      <c r="A850" t="inlineStr">
        <is>
          <t>A 11114-2022</t>
        </is>
      </c>
      <c r="B850" s="1" t="n">
        <v>44628.925625</v>
      </c>
      <c r="C850" s="1" t="n">
        <v>46062</v>
      </c>
      <c r="D850" t="inlineStr">
        <is>
          <t>VÄSTERBOTTENS LÄN</t>
        </is>
      </c>
      <c r="E850" t="inlineStr">
        <is>
          <t>VILHELMINA</t>
        </is>
      </c>
      <c r="G850" t="n">
        <v>8.6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46062</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51826-2023</t>
        </is>
      </c>
      <c r="B852" s="1" t="n">
        <v>45222.9678125</v>
      </c>
      <c r="C852" s="1" t="n">
        <v>46062</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6664-2021</t>
        </is>
      </c>
      <c r="B853" s="1" t="n">
        <v>44235</v>
      </c>
      <c r="C853" s="1" t="n">
        <v>46062</v>
      </c>
      <c r="D853" t="inlineStr">
        <is>
          <t>VÄSTERBOTTENS LÄN</t>
        </is>
      </c>
      <c r="E853" t="inlineStr">
        <is>
          <t>VILHELMINA</t>
        </is>
      </c>
      <c r="G853" t="n">
        <v>2.5</v>
      </c>
      <c r="H853" t="n">
        <v>0</v>
      </c>
      <c r="I853" t="n">
        <v>0</v>
      </c>
      <c r="J853" t="n">
        <v>0</v>
      </c>
      <c r="K853" t="n">
        <v>0</v>
      </c>
      <c r="L853" t="n">
        <v>0</v>
      </c>
      <c r="M853" t="n">
        <v>0</v>
      </c>
      <c r="N853" t="n">
        <v>0</v>
      </c>
      <c r="O853" t="n">
        <v>0</v>
      </c>
      <c r="P853" t="n">
        <v>0</v>
      </c>
      <c r="Q853" t="n">
        <v>0</v>
      </c>
      <c r="R853" s="2" t="inlineStr"/>
    </row>
    <row r="854" ht="15" customHeight="1">
      <c r="A854" t="inlineStr">
        <is>
          <t>A 62405-2022</t>
        </is>
      </c>
      <c r="B854" s="1" t="n">
        <v>44923</v>
      </c>
      <c r="C854" s="1" t="n">
        <v>46062</v>
      </c>
      <c r="D854" t="inlineStr">
        <is>
          <t>VÄSTERBOTTENS LÄN</t>
        </is>
      </c>
      <c r="E854" t="inlineStr">
        <is>
          <t>VILHELMINA</t>
        </is>
      </c>
      <c r="F854" t="inlineStr">
        <is>
          <t>SCA</t>
        </is>
      </c>
      <c r="G854" t="n">
        <v>4.3</v>
      </c>
      <c r="H854" t="n">
        <v>0</v>
      </c>
      <c r="I854" t="n">
        <v>0</v>
      </c>
      <c r="J854" t="n">
        <v>0</v>
      </c>
      <c r="K854" t="n">
        <v>0</v>
      </c>
      <c r="L854" t="n">
        <v>0</v>
      </c>
      <c r="M854" t="n">
        <v>0</v>
      </c>
      <c r="N854" t="n">
        <v>0</v>
      </c>
      <c r="O854" t="n">
        <v>0</v>
      </c>
      <c r="P854" t="n">
        <v>0</v>
      </c>
      <c r="Q854" t="n">
        <v>0</v>
      </c>
      <c r="R854" s="2" t="inlineStr"/>
    </row>
    <row r="855" ht="15" customHeight="1">
      <c r="A855" t="inlineStr">
        <is>
          <t>A 48424-2023</t>
        </is>
      </c>
      <c r="B855" s="1" t="n">
        <v>45205</v>
      </c>
      <c r="C855" s="1" t="n">
        <v>46062</v>
      </c>
      <c r="D855" t="inlineStr">
        <is>
          <t>VÄSTERBOTTENS LÄN</t>
        </is>
      </c>
      <c r="E855" t="inlineStr">
        <is>
          <t>VILHELMINA</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17996-2024</t>
        </is>
      </c>
      <c r="B856" s="1" t="n">
        <v>45419</v>
      </c>
      <c r="C856" s="1" t="n">
        <v>46062</v>
      </c>
      <c r="D856" t="inlineStr">
        <is>
          <t>VÄSTERBOTTENS LÄN</t>
        </is>
      </c>
      <c r="E856" t="inlineStr">
        <is>
          <t>VILHELMINA</t>
        </is>
      </c>
      <c r="G856" t="n">
        <v>5.3</v>
      </c>
      <c r="H856" t="n">
        <v>0</v>
      </c>
      <c r="I856" t="n">
        <v>0</v>
      </c>
      <c r="J856" t="n">
        <v>0</v>
      </c>
      <c r="K856" t="n">
        <v>0</v>
      </c>
      <c r="L856" t="n">
        <v>0</v>
      </c>
      <c r="M856" t="n">
        <v>0</v>
      </c>
      <c r="N856" t="n">
        <v>0</v>
      </c>
      <c r="O856" t="n">
        <v>0</v>
      </c>
      <c r="P856" t="n">
        <v>0</v>
      </c>
      <c r="Q856" t="n">
        <v>0</v>
      </c>
      <c r="R856" s="2" t="inlineStr"/>
    </row>
    <row r="857" ht="15" customHeight="1">
      <c r="A857" t="inlineStr">
        <is>
          <t>A 54387-2024</t>
        </is>
      </c>
      <c r="B857" s="1" t="n">
        <v>45617</v>
      </c>
      <c r="C857" s="1" t="n">
        <v>46062</v>
      </c>
      <c r="D857" t="inlineStr">
        <is>
          <t>VÄSTERBOTTENS LÄN</t>
        </is>
      </c>
      <c r="E857" t="inlineStr">
        <is>
          <t>VILHELMINA</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34135-2024</t>
        </is>
      </c>
      <c r="B858" s="1" t="n">
        <v>45524.35605324074</v>
      </c>
      <c r="C858" s="1" t="n">
        <v>46062</v>
      </c>
      <c r="D858" t="inlineStr">
        <is>
          <t>VÄSTERBOTTENS LÄN</t>
        </is>
      </c>
      <c r="E858" t="inlineStr">
        <is>
          <t>VILHELMINA</t>
        </is>
      </c>
      <c r="F858" t="inlineStr">
        <is>
          <t>Sveaskog</t>
        </is>
      </c>
      <c r="G858" t="n">
        <v>5.7</v>
      </c>
      <c r="H858" t="n">
        <v>0</v>
      </c>
      <c r="I858" t="n">
        <v>0</v>
      </c>
      <c r="J858" t="n">
        <v>0</v>
      </c>
      <c r="K858" t="n">
        <v>0</v>
      </c>
      <c r="L858" t="n">
        <v>0</v>
      </c>
      <c r="M858" t="n">
        <v>0</v>
      </c>
      <c r="N858" t="n">
        <v>0</v>
      </c>
      <c r="O858" t="n">
        <v>0</v>
      </c>
      <c r="P858" t="n">
        <v>0</v>
      </c>
      <c r="Q858" t="n">
        <v>0</v>
      </c>
      <c r="R858" s="2" t="inlineStr"/>
    </row>
    <row r="859" ht="15" customHeight="1">
      <c r="A859" t="inlineStr">
        <is>
          <t>A 210-2022</t>
        </is>
      </c>
      <c r="B859" s="1" t="n">
        <v>44564.80189814815</v>
      </c>
      <c r="C859" s="1" t="n">
        <v>46062</v>
      </c>
      <c r="D859" t="inlineStr">
        <is>
          <t>VÄSTERBOTTENS LÄN</t>
        </is>
      </c>
      <c r="E859" t="inlineStr">
        <is>
          <t>VILHELMINA</t>
        </is>
      </c>
      <c r="G859" t="n">
        <v>2</v>
      </c>
      <c r="H859" t="n">
        <v>0</v>
      </c>
      <c r="I859" t="n">
        <v>0</v>
      </c>
      <c r="J859" t="n">
        <v>0</v>
      </c>
      <c r="K859" t="n">
        <v>0</v>
      </c>
      <c r="L859" t="n">
        <v>0</v>
      </c>
      <c r="M859" t="n">
        <v>0</v>
      </c>
      <c r="N859" t="n">
        <v>0</v>
      </c>
      <c r="O859" t="n">
        <v>0</v>
      </c>
      <c r="P859" t="n">
        <v>0</v>
      </c>
      <c r="Q859" t="n">
        <v>0</v>
      </c>
      <c r="R859" s="2" t="inlineStr"/>
    </row>
    <row r="860" ht="15" customHeight="1">
      <c r="A860" t="inlineStr">
        <is>
          <t>A 44714-2021</t>
        </is>
      </c>
      <c r="B860" s="1" t="n">
        <v>44435</v>
      </c>
      <c r="C860" s="1" t="n">
        <v>46062</v>
      </c>
      <c r="D860" t="inlineStr">
        <is>
          <t>VÄSTERBOTTENS LÄN</t>
        </is>
      </c>
      <c r="E860" t="inlineStr">
        <is>
          <t>VILHELMINA</t>
        </is>
      </c>
      <c r="G860" t="n">
        <v>4.3</v>
      </c>
      <c r="H860" t="n">
        <v>0</v>
      </c>
      <c r="I860" t="n">
        <v>0</v>
      </c>
      <c r="J860" t="n">
        <v>0</v>
      </c>
      <c r="K860" t="n">
        <v>0</v>
      </c>
      <c r="L860" t="n">
        <v>0</v>
      </c>
      <c r="M860" t="n">
        <v>0</v>
      </c>
      <c r="N860" t="n">
        <v>0</v>
      </c>
      <c r="O860" t="n">
        <v>0</v>
      </c>
      <c r="P860" t="n">
        <v>0</v>
      </c>
      <c r="Q860" t="n">
        <v>0</v>
      </c>
      <c r="R860" s="2" t="inlineStr"/>
    </row>
    <row r="861" ht="15" customHeight="1">
      <c r="A861" t="inlineStr">
        <is>
          <t>A 8652-2023</t>
        </is>
      </c>
      <c r="B861" s="1" t="n">
        <v>44977.98401620371</v>
      </c>
      <c r="C861" s="1" t="n">
        <v>46062</v>
      </c>
      <c r="D861" t="inlineStr">
        <is>
          <t>VÄSTERBOTTENS LÄN</t>
        </is>
      </c>
      <c r="E861" t="inlineStr">
        <is>
          <t>VILHELMINA</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8653-2023</t>
        </is>
      </c>
      <c r="B862" s="1" t="n">
        <v>44977</v>
      </c>
      <c r="C862" s="1" t="n">
        <v>46062</v>
      </c>
      <c r="D862" t="inlineStr">
        <is>
          <t>VÄSTERBOTTENS LÄN</t>
        </is>
      </c>
      <c r="E862" t="inlineStr">
        <is>
          <t>VILHELMINA</t>
        </is>
      </c>
      <c r="F862" t="inlineStr">
        <is>
          <t>SCA</t>
        </is>
      </c>
      <c r="G862" t="n">
        <v>7.9</v>
      </c>
      <c r="H862" t="n">
        <v>0</v>
      </c>
      <c r="I862" t="n">
        <v>0</v>
      </c>
      <c r="J862" t="n">
        <v>0</v>
      </c>
      <c r="K862" t="n">
        <v>0</v>
      </c>
      <c r="L862" t="n">
        <v>0</v>
      </c>
      <c r="M862" t="n">
        <v>0</v>
      </c>
      <c r="N862" t="n">
        <v>0</v>
      </c>
      <c r="O862" t="n">
        <v>0</v>
      </c>
      <c r="P862" t="n">
        <v>0</v>
      </c>
      <c r="Q862" t="n">
        <v>0</v>
      </c>
      <c r="R862" s="2" t="inlineStr"/>
    </row>
    <row r="863" ht="15" customHeight="1">
      <c r="A863" t="inlineStr">
        <is>
          <t>A 48117-2022</t>
        </is>
      </c>
      <c r="B863" s="1" t="n">
        <v>44857</v>
      </c>
      <c r="C863" s="1" t="n">
        <v>46062</v>
      </c>
      <c r="D863" t="inlineStr">
        <is>
          <t>VÄSTERBOTTENS LÄN</t>
        </is>
      </c>
      <c r="E863" t="inlineStr">
        <is>
          <t>VILHELMINA</t>
        </is>
      </c>
      <c r="G863" t="n">
        <v>5.6</v>
      </c>
      <c r="H863" t="n">
        <v>0</v>
      </c>
      <c r="I863" t="n">
        <v>0</v>
      </c>
      <c r="J863" t="n">
        <v>0</v>
      </c>
      <c r="K863" t="n">
        <v>0</v>
      </c>
      <c r="L863" t="n">
        <v>0</v>
      </c>
      <c r="M863" t="n">
        <v>0</v>
      </c>
      <c r="N863" t="n">
        <v>0</v>
      </c>
      <c r="O863" t="n">
        <v>0</v>
      </c>
      <c r="P863" t="n">
        <v>0</v>
      </c>
      <c r="Q863" t="n">
        <v>0</v>
      </c>
      <c r="R863" s="2" t="inlineStr"/>
    </row>
    <row r="864" ht="15" customHeight="1">
      <c r="A864" t="inlineStr">
        <is>
          <t>A 7777-2024</t>
        </is>
      </c>
      <c r="B864" s="1" t="n">
        <v>45349</v>
      </c>
      <c r="C864" s="1" t="n">
        <v>46062</v>
      </c>
      <c r="D864" t="inlineStr">
        <is>
          <t>VÄSTERBOTTENS LÄN</t>
        </is>
      </c>
      <c r="E864" t="inlineStr">
        <is>
          <t>VILHELMINA</t>
        </is>
      </c>
      <c r="G864" t="n">
        <v>7</v>
      </c>
      <c r="H864" t="n">
        <v>0</v>
      </c>
      <c r="I864" t="n">
        <v>0</v>
      </c>
      <c r="J864" t="n">
        <v>0</v>
      </c>
      <c r="K864" t="n">
        <v>0</v>
      </c>
      <c r="L864" t="n">
        <v>0</v>
      </c>
      <c r="M864" t="n">
        <v>0</v>
      </c>
      <c r="N864" t="n">
        <v>0</v>
      </c>
      <c r="O864" t="n">
        <v>0</v>
      </c>
      <c r="P864" t="n">
        <v>0</v>
      </c>
      <c r="Q864" t="n">
        <v>0</v>
      </c>
      <c r="R864" s="2" t="inlineStr"/>
    </row>
    <row r="865" ht="15" customHeight="1">
      <c r="A865" t="inlineStr">
        <is>
          <t>A 9162-2022</t>
        </is>
      </c>
      <c r="B865" s="1" t="n">
        <v>44615</v>
      </c>
      <c r="C865" s="1" t="n">
        <v>46062</v>
      </c>
      <c r="D865" t="inlineStr">
        <is>
          <t>VÄSTERBOTTENS LÄN</t>
        </is>
      </c>
      <c r="E865" t="inlineStr">
        <is>
          <t>VILHELMINA</t>
        </is>
      </c>
      <c r="G865" t="n">
        <v>7.2</v>
      </c>
      <c r="H865" t="n">
        <v>0</v>
      </c>
      <c r="I865" t="n">
        <v>0</v>
      </c>
      <c r="J865" t="n">
        <v>0</v>
      </c>
      <c r="K865" t="n">
        <v>0</v>
      </c>
      <c r="L865" t="n">
        <v>0</v>
      </c>
      <c r="M865" t="n">
        <v>0</v>
      </c>
      <c r="N865" t="n">
        <v>0</v>
      </c>
      <c r="O865" t="n">
        <v>0</v>
      </c>
      <c r="P865" t="n">
        <v>0</v>
      </c>
      <c r="Q865" t="n">
        <v>0</v>
      </c>
      <c r="R865" s="2" t="inlineStr"/>
    </row>
    <row r="866" ht="15" customHeight="1">
      <c r="A866" t="inlineStr">
        <is>
          <t>A 10941-2023</t>
        </is>
      </c>
      <c r="B866" s="1" t="n">
        <v>44985</v>
      </c>
      <c r="C866" s="1" t="n">
        <v>46062</v>
      </c>
      <c r="D866" t="inlineStr">
        <is>
          <t>VÄSTERBOTTENS LÄN</t>
        </is>
      </c>
      <c r="E866" t="inlineStr">
        <is>
          <t>VILHELMINA</t>
        </is>
      </c>
      <c r="G866" t="n">
        <v>16.7</v>
      </c>
      <c r="H866" t="n">
        <v>0</v>
      </c>
      <c r="I866" t="n">
        <v>0</v>
      </c>
      <c r="J866" t="n">
        <v>0</v>
      </c>
      <c r="K866" t="n">
        <v>0</v>
      </c>
      <c r="L866" t="n">
        <v>0</v>
      </c>
      <c r="M866" t="n">
        <v>0</v>
      </c>
      <c r="N866" t="n">
        <v>0</v>
      </c>
      <c r="O866" t="n">
        <v>0</v>
      </c>
      <c r="P866" t="n">
        <v>0</v>
      </c>
      <c r="Q866" t="n">
        <v>0</v>
      </c>
      <c r="R866" s="2" t="inlineStr"/>
    </row>
    <row r="867" ht="15" customHeight="1">
      <c r="A867" t="inlineStr">
        <is>
          <t>A 26401-2022</t>
        </is>
      </c>
      <c r="B867" s="1" t="n">
        <v>44735</v>
      </c>
      <c r="C867" s="1" t="n">
        <v>46062</v>
      </c>
      <c r="D867" t="inlineStr">
        <is>
          <t>VÄSTERBOTTENS LÄN</t>
        </is>
      </c>
      <c r="E867" t="inlineStr">
        <is>
          <t>VILHELMINA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58363-2021</t>
        </is>
      </c>
      <c r="B868" s="1" t="n">
        <v>44488</v>
      </c>
      <c r="C868" s="1" t="n">
        <v>46062</v>
      </c>
      <c r="D868" t="inlineStr">
        <is>
          <t>VÄSTERBOTTENS LÄN</t>
        </is>
      </c>
      <c r="E868" t="inlineStr">
        <is>
          <t>VILHELMINA</t>
        </is>
      </c>
      <c r="G868" t="n">
        <v>7.3</v>
      </c>
      <c r="H868" t="n">
        <v>0</v>
      </c>
      <c r="I868" t="n">
        <v>0</v>
      </c>
      <c r="J868" t="n">
        <v>0</v>
      </c>
      <c r="K868" t="n">
        <v>0</v>
      </c>
      <c r="L868" t="n">
        <v>0</v>
      </c>
      <c r="M868" t="n">
        <v>0</v>
      </c>
      <c r="N868" t="n">
        <v>0</v>
      </c>
      <c r="O868" t="n">
        <v>0</v>
      </c>
      <c r="P868" t="n">
        <v>0</v>
      </c>
      <c r="Q868" t="n">
        <v>0</v>
      </c>
      <c r="R868" s="2" t="inlineStr"/>
    </row>
    <row r="869" ht="15" customHeight="1">
      <c r="A869" t="inlineStr">
        <is>
          <t>A 23544-2024</t>
        </is>
      </c>
      <c r="B869" s="1" t="n">
        <v>45453.95314814815</v>
      </c>
      <c r="C869" s="1" t="n">
        <v>46062</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23545-2024</t>
        </is>
      </c>
      <c r="B870" s="1" t="n">
        <v>45453.95326388889</v>
      </c>
      <c r="C870" s="1" t="n">
        <v>46062</v>
      </c>
      <c r="D870" t="inlineStr">
        <is>
          <t>VÄSTERBOTTENS LÄN</t>
        </is>
      </c>
      <c r="E870" t="inlineStr">
        <is>
          <t>VILHELMINA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12365-2025</t>
        </is>
      </c>
      <c r="B871" s="1" t="n">
        <v>45730.37549768519</v>
      </c>
      <c r="C871" s="1" t="n">
        <v>46062</v>
      </c>
      <c r="D871" t="inlineStr">
        <is>
          <t>VÄSTERBOTTENS LÄN</t>
        </is>
      </c>
      <c r="E871" t="inlineStr">
        <is>
          <t>VILHELMINA</t>
        </is>
      </c>
      <c r="F871" t="inlineStr">
        <is>
          <t>Övriga statliga verk och myndigheter</t>
        </is>
      </c>
      <c r="G871" t="n">
        <v>11.5</v>
      </c>
      <c r="H871" t="n">
        <v>0</v>
      </c>
      <c r="I871" t="n">
        <v>0</v>
      </c>
      <c r="J871" t="n">
        <v>0</v>
      </c>
      <c r="K871" t="n">
        <v>0</v>
      </c>
      <c r="L871" t="n">
        <v>0</v>
      </c>
      <c r="M871" t="n">
        <v>0</v>
      </c>
      <c r="N871" t="n">
        <v>0</v>
      </c>
      <c r="O871" t="n">
        <v>0</v>
      </c>
      <c r="P871" t="n">
        <v>0</v>
      </c>
      <c r="Q871" t="n">
        <v>0</v>
      </c>
      <c r="R871" s="2" t="inlineStr"/>
    </row>
    <row r="872" ht="15" customHeight="1">
      <c r="A872" t="inlineStr">
        <is>
          <t>A 12370-2025</t>
        </is>
      </c>
      <c r="B872" s="1" t="n">
        <v>45730.37681712963</v>
      </c>
      <c r="C872" s="1" t="n">
        <v>46062</v>
      </c>
      <c r="D872" t="inlineStr">
        <is>
          <t>VÄSTERBOTTENS LÄN</t>
        </is>
      </c>
      <c r="E872" t="inlineStr">
        <is>
          <t>VILHELMINA</t>
        </is>
      </c>
      <c r="F872" t="inlineStr">
        <is>
          <t>Övriga statliga verk och myndigheter</t>
        </is>
      </c>
      <c r="G872" t="n">
        <v>8.9</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46062</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34130-2024</t>
        </is>
      </c>
      <c r="B874" s="1" t="n">
        <v>45524.34668981482</v>
      </c>
      <c r="C874" s="1" t="n">
        <v>46062</v>
      </c>
      <c r="D874" t="inlineStr">
        <is>
          <t>VÄSTERBOTTENS LÄN</t>
        </is>
      </c>
      <c r="E874" t="inlineStr">
        <is>
          <t>VILHELMINA</t>
        </is>
      </c>
      <c r="F874" t="inlineStr">
        <is>
          <t>Sveaskog</t>
        </is>
      </c>
      <c r="G874" t="n">
        <v>3.7</v>
      </c>
      <c r="H874" t="n">
        <v>0</v>
      </c>
      <c r="I874" t="n">
        <v>0</v>
      </c>
      <c r="J874" t="n">
        <v>0</v>
      </c>
      <c r="K874" t="n">
        <v>0</v>
      </c>
      <c r="L874" t="n">
        <v>0</v>
      </c>
      <c r="M874" t="n">
        <v>0</v>
      </c>
      <c r="N874" t="n">
        <v>0</v>
      </c>
      <c r="O874" t="n">
        <v>0</v>
      </c>
      <c r="P874" t="n">
        <v>0</v>
      </c>
      <c r="Q874" t="n">
        <v>0</v>
      </c>
      <c r="R874" s="2" t="inlineStr"/>
    </row>
    <row r="875" ht="15" customHeight="1">
      <c r="A875" t="inlineStr">
        <is>
          <t>A 56763-2023</t>
        </is>
      </c>
      <c r="B875" s="1" t="n">
        <v>45238</v>
      </c>
      <c r="C875" s="1" t="n">
        <v>46062</v>
      </c>
      <c r="D875" t="inlineStr">
        <is>
          <t>VÄSTERBOTTENS LÄN</t>
        </is>
      </c>
      <c r="E875" t="inlineStr">
        <is>
          <t>VILHELMINA</t>
        </is>
      </c>
      <c r="F875" t="inlineStr">
        <is>
          <t>Allmännings- och besparingsskogar</t>
        </is>
      </c>
      <c r="G875" t="n">
        <v>77</v>
      </c>
      <c r="H875" t="n">
        <v>0</v>
      </c>
      <c r="I875" t="n">
        <v>0</v>
      </c>
      <c r="J875" t="n">
        <v>0</v>
      </c>
      <c r="K875" t="n">
        <v>0</v>
      </c>
      <c r="L875" t="n">
        <v>0</v>
      </c>
      <c r="M875" t="n">
        <v>0</v>
      </c>
      <c r="N875" t="n">
        <v>0</v>
      </c>
      <c r="O875" t="n">
        <v>0</v>
      </c>
      <c r="P875" t="n">
        <v>0</v>
      </c>
      <c r="Q875" t="n">
        <v>0</v>
      </c>
      <c r="R875" s="2" t="inlineStr"/>
    </row>
    <row r="876" ht="15" customHeight="1">
      <c r="A876" t="inlineStr">
        <is>
          <t>A 45007-2024</t>
        </is>
      </c>
      <c r="B876" s="1" t="n">
        <v>45575.49100694444</v>
      </c>
      <c r="C876" s="1" t="n">
        <v>46062</v>
      </c>
      <c r="D876" t="inlineStr">
        <is>
          <t>VÄSTERBOTTENS LÄN</t>
        </is>
      </c>
      <c r="E876" t="inlineStr">
        <is>
          <t>VILHELMINA</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33786-2024</t>
        </is>
      </c>
      <c r="B877" s="1" t="n">
        <v>45520.58966435185</v>
      </c>
      <c r="C877" s="1" t="n">
        <v>46062</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18781-2021</t>
        </is>
      </c>
      <c r="B878" s="1" t="n">
        <v>44307</v>
      </c>
      <c r="C878" s="1" t="n">
        <v>46062</v>
      </c>
      <c r="D878" t="inlineStr">
        <is>
          <t>VÄSTERBOTTENS LÄN</t>
        </is>
      </c>
      <c r="E878" t="inlineStr">
        <is>
          <t>VILHELMINA</t>
        </is>
      </c>
      <c r="G878" t="n">
        <v>3.5</v>
      </c>
      <c r="H878" t="n">
        <v>0</v>
      </c>
      <c r="I878" t="n">
        <v>0</v>
      </c>
      <c r="J878" t="n">
        <v>0</v>
      </c>
      <c r="K878" t="n">
        <v>0</v>
      </c>
      <c r="L878" t="n">
        <v>0</v>
      </c>
      <c r="M878" t="n">
        <v>0</v>
      </c>
      <c r="N878" t="n">
        <v>0</v>
      </c>
      <c r="O878" t="n">
        <v>0</v>
      </c>
      <c r="P878" t="n">
        <v>0</v>
      </c>
      <c r="Q878" t="n">
        <v>0</v>
      </c>
      <c r="R878" s="2" t="inlineStr"/>
    </row>
    <row r="879" ht="15" customHeight="1">
      <c r="A879" t="inlineStr">
        <is>
          <t>A 18790-2021</t>
        </is>
      </c>
      <c r="B879" s="1" t="n">
        <v>44307</v>
      </c>
      <c r="C879" s="1" t="n">
        <v>46062</v>
      </c>
      <c r="D879" t="inlineStr">
        <is>
          <t>VÄSTERBOTTENS LÄN</t>
        </is>
      </c>
      <c r="E879" t="inlineStr">
        <is>
          <t>VILHELMINA</t>
        </is>
      </c>
      <c r="G879" t="n">
        <v>1.1</v>
      </c>
      <c r="H879" t="n">
        <v>0</v>
      </c>
      <c r="I879" t="n">
        <v>0</v>
      </c>
      <c r="J879" t="n">
        <v>0</v>
      </c>
      <c r="K879" t="n">
        <v>0</v>
      </c>
      <c r="L879" t="n">
        <v>0</v>
      </c>
      <c r="M879" t="n">
        <v>0</v>
      </c>
      <c r="N879" t="n">
        <v>0</v>
      </c>
      <c r="O879" t="n">
        <v>0</v>
      </c>
      <c r="P879" t="n">
        <v>0</v>
      </c>
      <c r="Q879" t="n">
        <v>0</v>
      </c>
      <c r="R879" s="2" t="inlineStr"/>
    </row>
    <row r="880" ht="15" customHeight="1">
      <c r="A880" t="inlineStr">
        <is>
          <t>A 59671-2023</t>
        </is>
      </c>
      <c r="B880" s="1" t="n">
        <v>45254.96524305556</v>
      </c>
      <c r="C880" s="1" t="n">
        <v>46062</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14993-2025</t>
        </is>
      </c>
      <c r="B881" s="1" t="n">
        <v>45743</v>
      </c>
      <c r="C881" s="1" t="n">
        <v>46062</v>
      </c>
      <c r="D881" t="inlineStr">
        <is>
          <t>VÄSTERBOTTENS LÄN</t>
        </is>
      </c>
      <c r="E881" t="inlineStr">
        <is>
          <t>VILHELMINA</t>
        </is>
      </c>
      <c r="G881" t="n">
        <v>2.1</v>
      </c>
      <c r="H881" t="n">
        <v>0</v>
      </c>
      <c r="I881" t="n">
        <v>0</v>
      </c>
      <c r="J881" t="n">
        <v>0</v>
      </c>
      <c r="K881" t="n">
        <v>0</v>
      </c>
      <c r="L881" t="n">
        <v>0</v>
      </c>
      <c r="M881" t="n">
        <v>0</v>
      </c>
      <c r="N881" t="n">
        <v>0</v>
      </c>
      <c r="O881" t="n">
        <v>0</v>
      </c>
      <c r="P881" t="n">
        <v>0</v>
      </c>
      <c r="Q881" t="n">
        <v>0</v>
      </c>
      <c r="R881" s="2" t="inlineStr"/>
    </row>
    <row r="882" ht="15" customHeight="1">
      <c r="A882" t="inlineStr">
        <is>
          <t>A 60227-2022</t>
        </is>
      </c>
      <c r="B882" s="1" t="n">
        <v>44903</v>
      </c>
      <c r="C882" s="1" t="n">
        <v>46062</v>
      </c>
      <c r="D882" t="inlineStr">
        <is>
          <t>VÄSTERBOTTENS LÄN</t>
        </is>
      </c>
      <c r="E882" t="inlineStr">
        <is>
          <t>VILHELMINA</t>
        </is>
      </c>
      <c r="G882" t="n">
        <v>11</v>
      </c>
      <c r="H882" t="n">
        <v>0</v>
      </c>
      <c r="I882" t="n">
        <v>0</v>
      </c>
      <c r="J882" t="n">
        <v>0</v>
      </c>
      <c r="K882" t="n">
        <v>0</v>
      </c>
      <c r="L882" t="n">
        <v>0</v>
      </c>
      <c r="M882" t="n">
        <v>0</v>
      </c>
      <c r="N882" t="n">
        <v>0</v>
      </c>
      <c r="O882" t="n">
        <v>0</v>
      </c>
      <c r="P882" t="n">
        <v>0</v>
      </c>
      <c r="Q882" t="n">
        <v>0</v>
      </c>
      <c r="R882" s="2" t="inlineStr"/>
    </row>
    <row r="883" ht="15" customHeight="1">
      <c r="A883" t="inlineStr">
        <is>
          <t>A 20591-2025</t>
        </is>
      </c>
      <c r="B883" s="1" t="n">
        <v>45775</v>
      </c>
      <c r="C883" s="1" t="n">
        <v>46062</v>
      </c>
      <c r="D883" t="inlineStr">
        <is>
          <t>VÄSTERBOTTENS LÄN</t>
        </is>
      </c>
      <c r="E883" t="inlineStr">
        <is>
          <t>VILHELMINA</t>
        </is>
      </c>
      <c r="F883" t="inlineStr">
        <is>
          <t>SCA</t>
        </is>
      </c>
      <c r="G883" t="n">
        <v>27.4</v>
      </c>
      <c r="H883" t="n">
        <v>0</v>
      </c>
      <c r="I883" t="n">
        <v>0</v>
      </c>
      <c r="J883" t="n">
        <v>0</v>
      </c>
      <c r="K883" t="n">
        <v>0</v>
      </c>
      <c r="L883" t="n">
        <v>0</v>
      </c>
      <c r="M883" t="n">
        <v>0</v>
      </c>
      <c r="N883" t="n">
        <v>0</v>
      </c>
      <c r="O883" t="n">
        <v>0</v>
      </c>
      <c r="P883" t="n">
        <v>0</v>
      </c>
      <c r="Q883" t="n">
        <v>0</v>
      </c>
      <c r="R883" s="2" t="inlineStr"/>
    </row>
    <row r="884" ht="15" customHeight="1">
      <c r="A884" t="inlineStr">
        <is>
          <t>A 15786-2025</t>
        </is>
      </c>
      <c r="B884" s="1" t="n">
        <v>45748.62240740741</v>
      </c>
      <c r="C884" s="1" t="n">
        <v>46062</v>
      </c>
      <c r="D884" t="inlineStr">
        <is>
          <t>VÄSTERBOTTENS LÄN</t>
        </is>
      </c>
      <c r="E884" t="inlineStr">
        <is>
          <t>VILHELMINA</t>
        </is>
      </c>
      <c r="G884" t="n">
        <v>1.1</v>
      </c>
      <c r="H884" t="n">
        <v>0</v>
      </c>
      <c r="I884" t="n">
        <v>0</v>
      </c>
      <c r="J884" t="n">
        <v>0</v>
      </c>
      <c r="K884" t="n">
        <v>0</v>
      </c>
      <c r="L884" t="n">
        <v>0</v>
      </c>
      <c r="M884" t="n">
        <v>0</v>
      </c>
      <c r="N884" t="n">
        <v>0</v>
      </c>
      <c r="O884" t="n">
        <v>0</v>
      </c>
      <c r="P884" t="n">
        <v>0</v>
      </c>
      <c r="Q884" t="n">
        <v>0</v>
      </c>
      <c r="R884" s="2" t="inlineStr"/>
    </row>
    <row r="885" ht="15" customHeight="1">
      <c r="A885" t="inlineStr">
        <is>
          <t>A 49236-2024</t>
        </is>
      </c>
      <c r="B885" s="1" t="n">
        <v>45595</v>
      </c>
      <c r="C885" s="1" t="n">
        <v>46062</v>
      </c>
      <c r="D885" t="inlineStr">
        <is>
          <t>VÄSTERBOTTENS LÄN</t>
        </is>
      </c>
      <c r="E885" t="inlineStr">
        <is>
          <t>VILHELMINA</t>
        </is>
      </c>
      <c r="G885" t="n">
        <v>4.1</v>
      </c>
      <c r="H885" t="n">
        <v>0</v>
      </c>
      <c r="I885" t="n">
        <v>0</v>
      </c>
      <c r="J885" t="n">
        <v>0</v>
      </c>
      <c r="K885" t="n">
        <v>0</v>
      </c>
      <c r="L885" t="n">
        <v>0</v>
      </c>
      <c r="M885" t="n">
        <v>0</v>
      </c>
      <c r="N885" t="n">
        <v>0</v>
      </c>
      <c r="O885" t="n">
        <v>0</v>
      </c>
      <c r="P885" t="n">
        <v>0</v>
      </c>
      <c r="Q885" t="n">
        <v>0</v>
      </c>
      <c r="R885" s="2" t="inlineStr"/>
    </row>
    <row r="886" ht="15" customHeight="1">
      <c r="A886" t="inlineStr">
        <is>
          <t>A 49246-2024</t>
        </is>
      </c>
      <c r="B886" s="1" t="n">
        <v>45595.4618287037</v>
      </c>
      <c r="C886" s="1" t="n">
        <v>46062</v>
      </c>
      <c r="D886" t="inlineStr">
        <is>
          <t>VÄSTERBOTTENS LÄN</t>
        </is>
      </c>
      <c r="E886" t="inlineStr">
        <is>
          <t>VILHELMINA</t>
        </is>
      </c>
      <c r="G886" t="n">
        <v>0.9</v>
      </c>
      <c r="H886" t="n">
        <v>0</v>
      </c>
      <c r="I886" t="n">
        <v>0</v>
      </c>
      <c r="J886" t="n">
        <v>0</v>
      </c>
      <c r="K886" t="n">
        <v>0</v>
      </c>
      <c r="L886" t="n">
        <v>0</v>
      </c>
      <c r="M886" t="n">
        <v>0</v>
      </c>
      <c r="N886" t="n">
        <v>0</v>
      </c>
      <c r="O886" t="n">
        <v>0</v>
      </c>
      <c r="P886" t="n">
        <v>0</v>
      </c>
      <c r="Q886" t="n">
        <v>0</v>
      </c>
      <c r="R886" s="2" t="inlineStr"/>
    </row>
    <row r="887" ht="15" customHeight="1">
      <c r="A887" t="inlineStr">
        <is>
          <t>A 44368-2024</t>
        </is>
      </c>
      <c r="B887" s="1" t="n">
        <v>45573</v>
      </c>
      <c r="C887" s="1" t="n">
        <v>46062</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49599-2022</t>
        </is>
      </c>
      <c r="B888" s="1" t="n">
        <v>44859</v>
      </c>
      <c r="C888" s="1" t="n">
        <v>46062</v>
      </c>
      <c r="D888" t="inlineStr">
        <is>
          <t>VÄSTERBOTTENS LÄN</t>
        </is>
      </c>
      <c r="E888" t="inlineStr">
        <is>
          <t>VILHELMINA</t>
        </is>
      </c>
      <c r="G888" t="n">
        <v>3.6</v>
      </c>
      <c r="H888" t="n">
        <v>0</v>
      </c>
      <c r="I888" t="n">
        <v>0</v>
      </c>
      <c r="J888" t="n">
        <v>0</v>
      </c>
      <c r="K888" t="n">
        <v>0</v>
      </c>
      <c r="L888" t="n">
        <v>0</v>
      </c>
      <c r="M888" t="n">
        <v>0</v>
      </c>
      <c r="N888" t="n">
        <v>0</v>
      </c>
      <c r="O888" t="n">
        <v>0</v>
      </c>
      <c r="P888" t="n">
        <v>0</v>
      </c>
      <c r="Q888" t="n">
        <v>0</v>
      </c>
      <c r="R888" s="2" t="inlineStr"/>
    </row>
    <row r="889" ht="15" customHeight="1">
      <c r="A889" t="inlineStr">
        <is>
          <t>A 3237-2024</t>
        </is>
      </c>
      <c r="B889" s="1" t="n">
        <v>45316.9474537037</v>
      </c>
      <c r="C889" s="1" t="n">
        <v>46062</v>
      </c>
      <c r="D889" t="inlineStr">
        <is>
          <t>VÄSTERBOTTENS LÄN</t>
        </is>
      </c>
      <c r="E889" t="inlineStr">
        <is>
          <t>VILHELMINA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13768-2024</t>
        </is>
      </c>
      <c r="B890" s="1" t="n">
        <v>45390.95230324074</v>
      </c>
      <c r="C890" s="1" t="n">
        <v>46062</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46062</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12593-2022</t>
        </is>
      </c>
      <c r="B892" s="1" t="n">
        <v>44640</v>
      </c>
      <c r="C892" s="1" t="n">
        <v>46062</v>
      </c>
      <c r="D892" t="inlineStr">
        <is>
          <t>VÄSTERBOTTENS LÄN</t>
        </is>
      </c>
      <c r="E892" t="inlineStr">
        <is>
          <t>VILHELMINA</t>
        </is>
      </c>
      <c r="G892" t="n">
        <v>10.4</v>
      </c>
      <c r="H892" t="n">
        <v>0</v>
      </c>
      <c r="I892" t="n">
        <v>0</v>
      </c>
      <c r="J892" t="n">
        <v>0</v>
      </c>
      <c r="K892" t="n">
        <v>0</v>
      </c>
      <c r="L892" t="n">
        <v>0</v>
      </c>
      <c r="M892" t="n">
        <v>0</v>
      </c>
      <c r="N892" t="n">
        <v>0</v>
      </c>
      <c r="O892" t="n">
        <v>0</v>
      </c>
      <c r="P892" t="n">
        <v>0</v>
      </c>
      <c r="Q892" t="n">
        <v>0</v>
      </c>
      <c r="R892" s="2" t="inlineStr"/>
    </row>
    <row r="893" ht="15" customHeight="1">
      <c r="A893" t="inlineStr">
        <is>
          <t>A 64028-2023</t>
        </is>
      </c>
      <c r="B893" s="1" t="n">
        <v>45278.94263888889</v>
      </c>
      <c r="C893" s="1" t="n">
        <v>46062</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35758-2023</t>
        </is>
      </c>
      <c r="B894" s="1" t="n">
        <v>45147.95452546296</v>
      </c>
      <c r="C894" s="1" t="n">
        <v>46062</v>
      </c>
      <c r="D894" t="inlineStr">
        <is>
          <t>VÄSTERBOTTENS LÄN</t>
        </is>
      </c>
      <c r="E894" t="inlineStr">
        <is>
          <t>VILHELMINA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36348-2024</t>
        </is>
      </c>
      <c r="B895" s="1" t="n">
        <v>45534.64422453703</v>
      </c>
      <c r="C895" s="1" t="n">
        <v>46062</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36355-2024</t>
        </is>
      </c>
      <c r="B896" s="1" t="n">
        <v>45534.64508101852</v>
      </c>
      <c r="C896" s="1" t="n">
        <v>46062</v>
      </c>
      <c r="D896" t="inlineStr">
        <is>
          <t>VÄSTERBOTTENS LÄN</t>
        </is>
      </c>
      <c r="E896" t="inlineStr">
        <is>
          <t>VILHELMINA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6699-2021</t>
        </is>
      </c>
      <c r="B897" s="1" t="n">
        <v>44235</v>
      </c>
      <c r="C897" s="1" t="n">
        <v>46062</v>
      </c>
      <c r="D897" t="inlineStr">
        <is>
          <t>VÄSTERBOTTENS LÄN</t>
        </is>
      </c>
      <c r="E897" t="inlineStr">
        <is>
          <t>VILHELMINA</t>
        </is>
      </c>
      <c r="G897" t="n">
        <v>6.9</v>
      </c>
      <c r="H897" t="n">
        <v>0</v>
      </c>
      <c r="I897" t="n">
        <v>0</v>
      </c>
      <c r="J897" t="n">
        <v>0</v>
      </c>
      <c r="K897" t="n">
        <v>0</v>
      </c>
      <c r="L897" t="n">
        <v>0</v>
      </c>
      <c r="M897" t="n">
        <v>0</v>
      </c>
      <c r="N897" t="n">
        <v>0</v>
      </c>
      <c r="O897" t="n">
        <v>0</v>
      </c>
      <c r="P897" t="n">
        <v>0</v>
      </c>
      <c r="Q897" t="n">
        <v>0</v>
      </c>
      <c r="R897" s="2" t="inlineStr"/>
    </row>
    <row r="898" ht="15" customHeight="1">
      <c r="A898" t="inlineStr">
        <is>
          <t>A 8566-2025</t>
        </is>
      </c>
      <c r="B898" s="1" t="n">
        <v>45709</v>
      </c>
      <c r="C898" s="1" t="n">
        <v>46062</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37514-2024</t>
        </is>
      </c>
      <c r="B899" s="1" t="n">
        <v>45541.38586805556</v>
      </c>
      <c r="C899" s="1" t="n">
        <v>46062</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9815-2024</t>
        </is>
      </c>
      <c r="B900" s="1" t="n">
        <v>45362.96927083333</v>
      </c>
      <c r="C900" s="1" t="n">
        <v>46062</v>
      </c>
      <c r="D900" t="inlineStr">
        <is>
          <t>VÄSTERBOTTENS LÄN</t>
        </is>
      </c>
      <c r="E900" t="inlineStr">
        <is>
          <t>VILHELMINA</t>
        </is>
      </c>
      <c r="G900" t="n">
        <v>1.3</v>
      </c>
      <c r="H900" t="n">
        <v>0</v>
      </c>
      <c r="I900" t="n">
        <v>0</v>
      </c>
      <c r="J900" t="n">
        <v>0</v>
      </c>
      <c r="K900" t="n">
        <v>0</v>
      </c>
      <c r="L900" t="n">
        <v>0</v>
      </c>
      <c r="M900" t="n">
        <v>0</v>
      </c>
      <c r="N900" t="n">
        <v>0</v>
      </c>
      <c r="O900" t="n">
        <v>0</v>
      </c>
      <c r="P900" t="n">
        <v>0</v>
      </c>
      <c r="Q900" t="n">
        <v>0</v>
      </c>
      <c r="R900" s="2" t="inlineStr"/>
    </row>
    <row r="901" ht="15" customHeight="1">
      <c r="A901" t="inlineStr">
        <is>
          <t>A 34630-2024</t>
        </is>
      </c>
      <c r="B901" s="1" t="n">
        <v>45526.46234953704</v>
      </c>
      <c r="C901" s="1" t="n">
        <v>46062</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55720-2023</t>
        </is>
      </c>
      <c r="B902" s="1" t="n">
        <v>45232</v>
      </c>
      <c r="C902" s="1" t="n">
        <v>46062</v>
      </c>
      <c r="D902" t="inlineStr">
        <is>
          <t>VÄSTERBOTTENS LÄN</t>
        </is>
      </c>
      <c r="E902" t="inlineStr">
        <is>
          <t>VILHELMINA</t>
        </is>
      </c>
      <c r="G902" t="n">
        <v>0.8</v>
      </c>
      <c r="H902" t="n">
        <v>0</v>
      </c>
      <c r="I902" t="n">
        <v>0</v>
      </c>
      <c r="J902" t="n">
        <v>0</v>
      </c>
      <c r="K902" t="n">
        <v>0</v>
      </c>
      <c r="L902" t="n">
        <v>0</v>
      </c>
      <c r="M902" t="n">
        <v>0</v>
      </c>
      <c r="N902" t="n">
        <v>0</v>
      </c>
      <c r="O902" t="n">
        <v>0</v>
      </c>
      <c r="P902" t="n">
        <v>0</v>
      </c>
      <c r="Q902" t="n">
        <v>0</v>
      </c>
      <c r="R902" s="2" t="inlineStr"/>
    </row>
    <row r="903" ht="15" customHeight="1">
      <c r="A903" t="inlineStr">
        <is>
          <t>A 12189-2024</t>
        </is>
      </c>
      <c r="B903" s="1" t="n">
        <v>45377.94945601852</v>
      </c>
      <c r="C903" s="1" t="n">
        <v>46062</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58450-2024</t>
        </is>
      </c>
      <c r="B904" s="1" t="n">
        <v>45635.34425925926</v>
      </c>
      <c r="C904" s="1" t="n">
        <v>46062</v>
      </c>
      <c r="D904" t="inlineStr">
        <is>
          <t>VÄSTERBOTTENS LÄN</t>
        </is>
      </c>
      <c r="E904" t="inlineStr">
        <is>
          <t>VILHELMINA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8759-2023</t>
        </is>
      </c>
      <c r="B905" s="1" t="n">
        <v>44972</v>
      </c>
      <c r="C905" s="1" t="n">
        <v>46062</v>
      </c>
      <c r="D905" t="inlineStr">
        <is>
          <t>VÄSTERBOTTENS LÄN</t>
        </is>
      </c>
      <c r="E905" t="inlineStr">
        <is>
          <t>VILHELMINA</t>
        </is>
      </c>
      <c r="F905" t="inlineStr">
        <is>
          <t>Allmännings- och besparingsskogar</t>
        </is>
      </c>
      <c r="G905" t="n">
        <v>23.4</v>
      </c>
      <c r="H905" t="n">
        <v>0</v>
      </c>
      <c r="I905" t="n">
        <v>0</v>
      </c>
      <c r="J905" t="n">
        <v>0</v>
      </c>
      <c r="K905" t="n">
        <v>0</v>
      </c>
      <c r="L905" t="n">
        <v>0</v>
      </c>
      <c r="M905" t="n">
        <v>0</v>
      </c>
      <c r="N905" t="n">
        <v>0</v>
      </c>
      <c r="O905" t="n">
        <v>0</v>
      </c>
      <c r="P905" t="n">
        <v>0</v>
      </c>
      <c r="Q905" t="n">
        <v>0</v>
      </c>
      <c r="R905" s="2" t="inlineStr"/>
    </row>
    <row r="906" ht="15" customHeight="1">
      <c r="A906" t="inlineStr">
        <is>
          <t>A 32921-2024</t>
        </is>
      </c>
      <c r="B906" s="1" t="n">
        <v>45516.9525462963</v>
      </c>
      <c r="C906" s="1" t="n">
        <v>46062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237-2025</t>
        </is>
      </c>
      <c r="B907" s="1" t="n">
        <v>45660.40270833333</v>
      </c>
      <c r="C907" s="1" t="n">
        <v>46062</v>
      </c>
      <c r="D907" t="inlineStr">
        <is>
          <t>VÄSTERBOTTENS LÄN</t>
        </is>
      </c>
      <c r="E907" t="inlineStr">
        <is>
          <t>VILHELMINA</t>
        </is>
      </c>
      <c r="G907" t="n">
        <v>4.6</v>
      </c>
      <c r="H907" t="n">
        <v>0</v>
      </c>
      <c r="I907" t="n">
        <v>0</v>
      </c>
      <c r="J907" t="n">
        <v>0</v>
      </c>
      <c r="K907" t="n">
        <v>0</v>
      </c>
      <c r="L907" t="n">
        <v>0</v>
      </c>
      <c r="M907" t="n">
        <v>0</v>
      </c>
      <c r="N907" t="n">
        <v>0</v>
      </c>
      <c r="O907" t="n">
        <v>0</v>
      </c>
      <c r="P907" t="n">
        <v>0</v>
      </c>
      <c r="Q907" t="n">
        <v>0</v>
      </c>
      <c r="R907" s="2" t="inlineStr"/>
    </row>
    <row r="908" ht="15" customHeight="1">
      <c r="A908" t="inlineStr">
        <is>
          <t>A 242-2025</t>
        </is>
      </c>
      <c r="B908" s="1" t="n">
        <v>45660.41033564815</v>
      </c>
      <c r="C908" s="1" t="n">
        <v>46062</v>
      </c>
      <c r="D908" t="inlineStr">
        <is>
          <t>VÄSTERBOTTENS LÄN</t>
        </is>
      </c>
      <c r="E908" t="inlineStr">
        <is>
          <t>VILHELMINA</t>
        </is>
      </c>
      <c r="G908" t="n">
        <v>2.7</v>
      </c>
      <c r="H908" t="n">
        <v>0</v>
      </c>
      <c r="I908" t="n">
        <v>0</v>
      </c>
      <c r="J908" t="n">
        <v>0</v>
      </c>
      <c r="K908" t="n">
        <v>0</v>
      </c>
      <c r="L908" t="n">
        <v>0</v>
      </c>
      <c r="M908" t="n">
        <v>0</v>
      </c>
      <c r="N908" t="n">
        <v>0</v>
      </c>
      <c r="O908" t="n">
        <v>0</v>
      </c>
      <c r="P908" t="n">
        <v>0</v>
      </c>
      <c r="Q908" t="n">
        <v>0</v>
      </c>
      <c r="R908" s="2" t="inlineStr"/>
    </row>
    <row r="909" ht="15" customHeight="1">
      <c r="A909" t="inlineStr">
        <is>
          <t>A 55870-2022</t>
        </is>
      </c>
      <c r="B909" s="1" t="n">
        <v>44888</v>
      </c>
      <c r="C909" s="1" t="n">
        <v>46062</v>
      </c>
      <c r="D909" t="inlineStr">
        <is>
          <t>VÄSTERBOTTENS LÄN</t>
        </is>
      </c>
      <c r="E909" t="inlineStr">
        <is>
          <t>VILHELMINA</t>
        </is>
      </c>
      <c r="G909" t="n">
        <v>13.6</v>
      </c>
      <c r="H909" t="n">
        <v>0</v>
      </c>
      <c r="I909" t="n">
        <v>0</v>
      </c>
      <c r="J909" t="n">
        <v>0</v>
      </c>
      <c r="K909" t="n">
        <v>0</v>
      </c>
      <c r="L909" t="n">
        <v>0</v>
      </c>
      <c r="M909" t="n">
        <v>0</v>
      </c>
      <c r="N909" t="n">
        <v>0</v>
      </c>
      <c r="O909" t="n">
        <v>0</v>
      </c>
      <c r="P909" t="n">
        <v>0</v>
      </c>
      <c r="Q909" t="n">
        <v>0</v>
      </c>
      <c r="R909" s="2" t="inlineStr"/>
    </row>
    <row r="910" ht="15" customHeight="1">
      <c r="A910" t="inlineStr">
        <is>
          <t>A 19401-2023</t>
        </is>
      </c>
      <c r="B910" s="1" t="n">
        <v>45048</v>
      </c>
      <c r="C910" s="1" t="n">
        <v>46062</v>
      </c>
      <c r="D910" t="inlineStr">
        <is>
          <t>VÄSTERBOTTENS LÄN</t>
        </is>
      </c>
      <c r="E910" t="inlineStr">
        <is>
          <t>VILHELMINA</t>
        </is>
      </c>
      <c r="G910" t="n">
        <v>5.4</v>
      </c>
      <c r="H910" t="n">
        <v>0</v>
      </c>
      <c r="I910" t="n">
        <v>0</v>
      </c>
      <c r="J910" t="n">
        <v>0</v>
      </c>
      <c r="K910" t="n">
        <v>0</v>
      </c>
      <c r="L910" t="n">
        <v>0</v>
      </c>
      <c r="M910" t="n">
        <v>0</v>
      </c>
      <c r="N910" t="n">
        <v>0</v>
      </c>
      <c r="O910" t="n">
        <v>0</v>
      </c>
      <c r="P910" t="n">
        <v>0</v>
      </c>
      <c r="Q910" t="n">
        <v>0</v>
      </c>
      <c r="R910" s="2" t="inlineStr"/>
    </row>
    <row r="911" ht="15" customHeight="1">
      <c r="A911" t="inlineStr">
        <is>
          <t>A 16721-2025</t>
        </is>
      </c>
      <c r="B911" s="1" t="n">
        <v>45754.49045138889</v>
      </c>
      <c r="C911" s="1" t="n">
        <v>46062</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28486-2022</t>
        </is>
      </c>
      <c r="B912" s="1" t="n">
        <v>44747</v>
      </c>
      <c r="C912" s="1" t="n">
        <v>46062</v>
      </c>
      <c r="D912" t="inlineStr">
        <is>
          <t>VÄSTERBOTTENS LÄN</t>
        </is>
      </c>
      <c r="E912" t="inlineStr">
        <is>
          <t>VILHELMINA</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12763-2025</t>
        </is>
      </c>
      <c r="B913" s="1" t="n">
        <v>45733</v>
      </c>
      <c r="C913" s="1" t="n">
        <v>46062</v>
      </c>
      <c r="D913" t="inlineStr">
        <is>
          <t>VÄSTERBOTTENS LÄN</t>
        </is>
      </c>
      <c r="E913" t="inlineStr">
        <is>
          <t>VILHELMINA</t>
        </is>
      </c>
      <c r="F913" t="inlineStr">
        <is>
          <t>SCA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32925-2024</t>
        </is>
      </c>
      <c r="B914" s="1" t="n">
        <v>45516.95302083333</v>
      </c>
      <c r="C914" s="1" t="n">
        <v>46062</v>
      </c>
      <c r="D914" t="inlineStr">
        <is>
          <t>VÄSTERBOTTENS LÄN</t>
        </is>
      </c>
      <c r="E914" t="inlineStr">
        <is>
          <t>VILHELMINA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32926-2024</t>
        </is>
      </c>
      <c r="B915" s="1" t="n">
        <v>45516.95311342592</v>
      </c>
      <c r="C915" s="1" t="n">
        <v>46062</v>
      </c>
      <c r="D915" t="inlineStr">
        <is>
          <t>VÄSTERBOTTENS LÄN</t>
        </is>
      </c>
      <c r="E915" t="inlineStr">
        <is>
          <t>VILHELMINA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34719-2024</t>
        </is>
      </c>
      <c r="B916" s="1" t="n">
        <v>45526.56435185186</v>
      </c>
      <c r="C916" s="1" t="n">
        <v>46062</v>
      </c>
      <c r="D916" t="inlineStr">
        <is>
          <t>VÄSTERBOTTENS LÄN</t>
        </is>
      </c>
      <c r="E916" t="inlineStr">
        <is>
          <t>VILHELMINA</t>
        </is>
      </c>
      <c r="G916" t="n">
        <v>1.7</v>
      </c>
      <c r="H916" t="n">
        <v>0</v>
      </c>
      <c r="I916" t="n">
        <v>0</v>
      </c>
      <c r="J916" t="n">
        <v>0</v>
      </c>
      <c r="K916" t="n">
        <v>0</v>
      </c>
      <c r="L916" t="n">
        <v>0</v>
      </c>
      <c r="M916" t="n">
        <v>0</v>
      </c>
      <c r="N916" t="n">
        <v>0</v>
      </c>
      <c r="O916" t="n">
        <v>0</v>
      </c>
      <c r="P916" t="n">
        <v>0</v>
      </c>
      <c r="Q916" t="n">
        <v>0</v>
      </c>
      <c r="R916" s="2" t="inlineStr"/>
    </row>
    <row r="917" ht="15" customHeight="1">
      <c r="A917" t="inlineStr">
        <is>
          <t>A 18394-2025</t>
        </is>
      </c>
      <c r="B917" s="1" t="n">
        <v>45762</v>
      </c>
      <c r="C917" s="1" t="n">
        <v>46062</v>
      </c>
      <c r="D917" t="inlineStr">
        <is>
          <t>VÄSTERBOTTENS LÄN</t>
        </is>
      </c>
      <c r="E917" t="inlineStr">
        <is>
          <t>VILHELMINA</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35755-2023</t>
        </is>
      </c>
      <c r="B918" s="1" t="n">
        <v>45147.9540625</v>
      </c>
      <c r="C918" s="1" t="n">
        <v>46062</v>
      </c>
      <c r="D918" t="inlineStr">
        <is>
          <t>VÄSTERBOTTENS LÄN</t>
        </is>
      </c>
      <c r="E918" t="inlineStr">
        <is>
          <t>VILHELMINA</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5947-2023</t>
        </is>
      </c>
      <c r="B919" s="1" t="n">
        <v>44963.92259259259</v>
      </c>
      <c r="C919" s="1" t="n">
        <v>46062</v>
      </c>
      <c r="D919" t="inlineStr">
        <is>
          <t>VÄSTERBOTTENS LÄN</t>
        </is>
      </c>
      <c r="E919" t="inlineStr">
        <is>
          <t>VILHELMINA</t>
        </is>
      </c>
      <c r="G919" t="n">
        <v>4.3</v>
      </c>
      <c r="H919" t="n">
        <v>0</v>
      </c>
      <c r="I919" t="n">
        <v>0</v>
      </c>
      <c r="J919" t="n">
        <v>0</v>
      </c>
      <c r="K919" t="n">
        <v>0</v>
      </c>
      <c r="L919" t="n">
        <v>0</v>
      </c>
      <c r="M919" t="n">
        <v>0</v>
      </c>
      <c r="N919" t="n">
        <v>0</v>
      </c>
      <c r="O919" t="n">
        <v>0</v>
      </c>
      <c r="P919" t="n">
        <v>0</v>
      </c>
      <c r="Q919" t="n">
        <v>0</v>
      </c>
      <c r="R919" s="2" t="inlineStr"/>
    </row>
    <row r="920" ht="15" customHeight="1">
      <c r="A920" t="inlineStr">
        <is>
          <t>A 15050-2024</t>
        </is>
      </c>
      <c r="B920" s="1" t="n">
        <v>45399</v>
      </c>
      <c r="C920" s="1" t="n">
        <v>46062</v>
      </c>
      <c r="D920" t="inlineStr">
        <is>
          <t>VÄSTERBOTTENS LÄN</t>
        </is>
      </c>
      <c r="E920" t="inlineStr">
        <is>
          <t>VILHELMINA</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28380-2023</t>
        </is>
      </c>
      <c r="B921" s="1" t="n">
        <v>45099</v>
      </c>
      <c r="C921" s="1" t="n">
        <v>46062</v>
      </c>
      <c r="D921" t="inlineStr">
        <is>
          <t>VÄSTERBOTTENS LÄN</t>
        </is>
      </c>
      <c r="E921" t="inlineStr">
        <is>
          <t>VILHELMINA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36957-2023</t>
        </is>
      </c>
      <c r="B922" s="1" t="n">
        <v>45154.92628472222</v>
      </c>
      <c r="C922" s="1" t="n">
        <v>46062</v>
      </c>
      <c r="D922" t="inlineStr">
        <is>
          <t>VÄSTERBOTTENS LÄN</t>
        </is>
      </c>
      <c r="E922" t="inlineStr">
        <is>
          <t>VILHELMINA</t>
        </is>
      </c>
      <c r="G922" t="n">
        <v>0.5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45158.31186342592</v>
      </c>
      <c r="C923" s="1" t="n">
        <v>46062</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61801-2024</t>
        </is>
      </c>
      <c r="B924" s="1" t="n">
        <v>45649.56392361111</v>
      </c>
      <c r="C924" s="1" t="n">
        <v>46062</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19423-2022</t>
        </is>
      </c>
      <c r="B925" s="1" t="n">
        <v>44693.32515046297</v>
      </c>
      <c r="C925" s="1" t="n">
        <v>46062</v>
      </c>
      <c r="D925" t="inlineStr">
        <is>
          <t>VÄSTERBOTTENS LÄN</t>
        </is>
      </c>
      <c r="E925" t="inlineStr">
        <is>
          <t>VILHELMINA</t>
        </is>
      </c>
      <c r="G925" t="n">
        <v>1.9</v>
      </c>
      <c r="H925" t="n">
        <v>0</v>
      </c>
      <c r="I925" t="n">
        <v>0</v>
      </c>
      <c r="J925" t="n">
        <v>0</v>
      </c>
      <c r="K925" t="n">
        <v>0</v>
      </c>
      <c r="L925" t="n">
        <v>0</v>
      </c>
      <c r="M925" t="n">
        <v>0</v>
      </c>
      <c r="N925" t="n">
        <v>0</v>
      </c>
      <c r="O925" t="n">
        <v>0</v>
      </c>
      <c r="P925" t="n">
        <v>0</v>
      </c>
      <c r="Q925" t="n">
        <v>0</v>
      </c>
      <c r="R925" s="2" t="inlineStr"/>
    </row>
    <row r="926" ht="15" customHeight="1">
      <c r="A926" t="inlineStr">
        <is>
          <t>A 12190-2024</t>
        </is>
      </c>
      <c r="B926" s="1" t="n">
        <v>45377.94954861111</v>
      </c>
      <c r="C926" s="1" t="n">
        <v>46062</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61779-2023</t>
        </is>
      </c>
      <c r="B927" s="1" t="n">
        <v>45265.95677083333</v>
      </c>
      <c r="C927" s="1" t="n">
        <v>46062</v>
      </c>
      <c r="D927" t="inlineStr">
        <is>
          <t>VÄSTERBOTTENS LÄN</t>
        </is>
      </c>
      <c r="E927" t="inlineStr">
        <is>
          <t>VILHELMINA</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61270-2022</t>
        </is>
      </c>
      <c r="B928" s="1" t="n">
        <v>44909</v>
      </c>
      <c r="C928" s="1" t="n">
        <v>46062</v>
      </c>
      <c r="D928" t="inlineStr">
        <is>
          <t>VÄSTERBOTTENS LÄN</t>
        </is>
      </c>
      <c r="E928" t="inlineStr">
        <is>
          <t>VILHELMINA</t>
        </is>
      </c>
      <c r="G928" t="n">
        <v>8.9</v>
      </c>
      <c r="H928" t="n">
        <v>0</v>
      </c>
      <c r="I928" t="n">
        <v>0</v>
      </c>
      <c r="J928" t="n">
        <v>0</v>
      </c>
      <c r="K928" t="n">
        <v>0</v>
      </c>
      <c r="L928" t="n">
        <v>0</v>
      </c>
      <c r="M928" t="n">
        <v>0</v>
      </c>
      <c r="N928" t="n">
        <v>0</v>
      </c>
      <c r="O928" t="n">
        <v>0</v>
      </c>
      <c r="P928" t="n">
        <v>0</v>
      </c>
      <c r="Q928" t="n">
        <v>0</v>
      </c>
      <c r="R928" s="2" t="inlineStr"/>
    </row>
    <row r="929" ht="15" customHeight="1">
      <c r="A929" t="inlineStr">
        <is>
          <t>A 12373-2024</t>
        </is>
      </c>
      <c r="B929" s="1" t="n">
        <v>45378</v>
      </c>
      <c r="C929" s="1" t="n">
        <v>46062</v>
      </c>
      <c r="D929" t="inlineStr">
        <is>
          <t>VÄSTERBOTTENS LÄN</t>
        </is>
      </c>
      <c r="E929" t="inlineStr">
        <is>
          <t>VILHELMINA</t>
        </is>
      </c>
      <c r="G929" t="n">
        <v>0.7</v>
      </c>
      <c r="H929" t="n">
        <v>0</v>
      </c>
      <c r="I929" t="n">
        <v>0</v>
      </c>
      <c r="J929" t="n">
        <v>0</v>
      </c>
      <c r="K929" t="n">
        <v>0</v>
      </c>
      <c r="L929" t="n">
        <v>0</v>
      </c>
      <c r="M929" t="n">
        <v>0</v>
      </c>
      <c r="N929" t="n">
        <v>0</v>
      </c>
      <c r="O929" t="n">
        <v>0</v>
      </c>
      <c r="P929" t="n">
        <v>0</v>
      </c>
      <c r="Q929" t="n">
        <v>0</v>
      </c>
      <c r="R929" s="2" t="inlineStr"/>
    </row>
    <row r="930" ht="15" customHeight="1">
      <c r="A930" t="inlineStr">
        <is>
          <t>A 21843-2024</t>
        </is>
      </c>
      <c r="B930" s="1" t="n">
        <v>45442.96064814815</v>
      </c>
      <c r="C930" s="1" t="n">
        <v>46062</v>
      </c>
      <c r="D930" t="inlineStr">
        <is>
          <t>VÄSTERBOTTENS LÄN</t>
        </is>
      </c>
      <c r="E930" t="inlineStr">
        <is>
          <t>VILHELMINA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21069-2025</t>
        </is>
      </c>
      <c r="B931" s="1" t="n">
        <v>45777.59427083333</v>
      </c>
      <c r="C931" s="1" t="n">
        <v>46062</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21035-2025</t>
        </is>
      </c>
      <c r="B932" s="1" t="n">
        <v>45777.53157407408</v>
      </c>
      <c r="C932" s="1" t="n">
        <v>46062</v>
      </c>
      <c r="D932" t="inlineStr">
        <is>
          <t>VÄSTERBOTTENS LÄN</t>
        </is>
      </c>
      <c r="E932" t="inlineStr">
        <is>
          <t>VILHELMINA</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30583-2024</t>
        </is>
      </c>
      <c r="B933" s="1" t="n">
        <v>45492.96108796296</v>
      </c>
      <c r="C933" s="1" t="n">
        <v>46062</v>
      </c>
      <c r="D933" t="inlineStr">
        <is>
          <t>VÄSTERBOTTENS LÄN</t>
        </is>
      </c>
      <c r="E933" t="inlineStr">
        <is>
          <t>VILHELMINA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21205-2025</t>
        </is>
      </c>
      <c r="B934" s="1" t="n">
        <v>45779</v>
      </c>
      <c r="C934" s="1" t="n">
        <v>46062</v>
      </c>
      <c r="D934" t="inlineStr">
        <is>
          <t>VÄSTERBOTTENS LÄN</t>
        </is>
      </c>
      <c r="E934" t="inlineStr">
        <is>
          <t>VILHELMINA</t>
        </is>
      </c>
      <c r="F934" t="inlineStr">
        <is>
          <t>Allmännings- och besparingsskogar</t>
        </is>
      </c>
      <c r="G934" t="n">
        <v>6.2</v>
      </c>
      <c r="H934" t="n">
        <v>0</v>
      </c>
      <c r="I934" t="n">
        <v>0</v>
      </c>
      <c r="J934" t="n">
        <v>0</v>
      </c>
      <c r="K934" t="n">
        <v>0</v>
      </c>
      <c r="L934" t="n">
        <v>0</v>
      </c>
      <c r="M934" t="n">
        <v>0</v>
      </c>
      <c r="N934" t="n">
        <v>0</v>
      </c>
      <c r="O934" t="n">
        <v>0</v>
      </c>
      <c r="P934" t="n">
        <v>0</v>
      </c>
      <c r="Q934" t="n">
        <v>0</v>
      </c>
      <c r="R934" s="2" t="inlineStr"/>
    </row>
    <row r="935" ht="15" customHeight="1">
      <c r="A935" t="inlineStr">
        <is>
          <t>A 3745-2023</t>
        </is>
      </c>
      <c r="B935" s="1" t="n">
        <v>44949</v>
      </c>
      <c r="C935" s="1" t="n">
        <v>46062</v>
      </c>
      <c r="D935" t="inlineStr">
        <is>
          <t>VÄSTERBOTTENS LÄN</t>
        </is>
      </c>
      <c r="E935" t="inlineStr">
        <is>
          <t>VILHELMINA</t>
        </is>
      </c>
      <c r="G935" t="n">
        <v>36.6</v>
      </c>
      <c r="H935" t="n">
        <v>0</v>
      </c>
      <c r="I935" t="n">
        <v>0</v>
      </c>
      <c r="J935" t="n">
        <v>0</v>
      </c>
      <c r="K935" t="n">
        <v>0</v>
      </c>
      <c r="L935" t="n">
        <v>0</v>
      </c>
      <c r="M935" t="n">
        <v>0</v>
      </c>
      <c r="N935" t="n">
        <v>0</v>
      </c>
      <c r="O935" t="n">
        <v>0</v>
      </c>
      <c r="P935" t="n">
        <v>0</v>
      </c>
      <c r="Q935" t="n">
        <v>0</v>
      </c>
      <c r="R935" s="2" t="inlineStr"/>
    </row>
    <row r="936" ht="15" customHeight="1">
      <c r="A936" t="inlineStr">
        <is>
          <t>A 21204-2025</t>
        </is>
      </c>
      <c r="B936" s="1" t="n">
        <v>45779</v>
      </c>
      <c r="C936" s="1" t="n">
        <v>46062</v>
      </c>
      <c r="D936" t="inlineStr">
        <is>
          <t>VÄSTERBOTTENS LÄN</t>
        </is>
      </c>
      <c r="E936" t="inlineStr">
        <is>
          <t>VILHELMINA</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21410-2025</t>
        </is>
      </c>
      <c r="B937" s="1" t="n">
        <v>45782</v>
      </c>
      <c r="C937" s="1" t="n">
        <v>46062</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21448-2025</t>
        </is>
      </c>
      <c r="B938" s="1" t="n">
        <v>45782.55241898148</v>
      </c>
      <c r="C938" s="1" t="n">
        <v>46062</v>
      </c>
      <c r="D938" t="inlineStr">
        <is>
          <t>VÄSTERBOTTENS LÄN</t>
        </is>
      </c>
      <c r="E938" t="inlineStr">
        <is>
          <t>VILHELMINA</t>
        </is>
      </c>
      <c r="F938" t="inlineStr">
        <is>
          <t>SCA</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21623-2025</t>
        </is>
      </c>
      <c r="B939" s="1" t="n">
        <v>45783</v>
      </c>
      <c r="C939" s="1" t="n">
        <v>46062</v>
      </c>
      <c r="D939" t="inlineStr">
        <is>
          <t>VÄSTERBOTTENS LÄN</t>
        </is>
      </c>
      <c r="E939" t="inlineStr">
        <is>
          <t>VILHELMINA</t>
        </is>
      </c>
      <c r="F939" t="inlineStr">
        <is>
          <t>SCA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21670-2025</t>
        </is>
      </c>
      <c r="B940" s="1" t="n">
        <v>45783.46917824074</v>
      </c>
      <c r="C940" s="1" t="n">
        <v>46062</v>
      </c>
      <c r="D940" t="inlineStr">
        <is>
          <t>VÄSTERBOTTENS LÄN</t>
        </is>
      </c>
      <c r="E940" t="inlineStr">
        <is>
          <t>VILHELMINA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46062</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50482-2023</t>
        </is>
      </c>
      <c r="B942" s="1" t="n">
        <v>45216</v>
      </c>
      <c r="C942" s="1" t="n">
        <v>46062</v>
      </c>
      <c r="D942" t="inlineStr">
        <is>
          <t>VÄSTERBOTTENS LÄN</t>
        </is>
      </c>
      <c r="E942" t="inlineStr">
        <is>
          <t>VILHELMINA</t>
        </is>
      </c>
      <c r="G942" t="n">
        <v>3.5</v>
      </c>
      <c r="H942" t="n">
        <v>0</v>
      </c>
      <c r="I942" t="n">
        <v>0</v>
      </c>
      <c r="J942" t="n">
        <v>0</v>
      </c>
      <c r="K942" t="n">
        <v>0</v>
      </c>
      <c r="L942" t="n">
        <v>0</v>
      </c>
      <c r="M942" t="n">
        <v>0</v>
      </c>
      <c r="N942" t="n">
        <v>0</v>
      </c>
      <c r="O942" t="n">
        <v>0</v>
      </c>
      <c r="P942" t="n">
        <v>0</v>
      </c>
      <c r="Q942" t="n">
        <v>0</v>
      </c>
      <c r="R942" s="2" t="inlineStr"/>
    </row>
    <row r="943" ht="15" customHeight="1">
      <c r="A943" t="inlineStr">
        <is>
          <t>A 22048-2025</t>
        </is>
      </c>
      <c r="B943" s="1" t="n">
        <v>45785.3443287037</v>
      </c>
      <c r="C943" s="1" t="n">
        <v>46062</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46062</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46062</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21999-2025</t>
        </is>
      </c>
      <c r="B946" s="1" t="n">
        <v>45784</v>
      </c>
      <c r="C946" s="1" t="n">
        <v>46062</v>
      </c>
      <c r="D946" t="inlineStr">
        <is>
          <t>VÄSTERBOTTENS LÄN</t>
        </is>
      </c>
      <c r="E946" t="inlineStr">
        <is>
          <t>VILHELMINA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21924-2025</t>
        </is>
      </c>
      <c r="B947" s="1" t="n">
        <v>45784</v>
      </c>
      <c r="C947" s="1" t="n">
        <v>46062</v>
      </c>
      <c r="D947" t="inlineStr">
        <is>
          <t>VÄSTERBOTTENS LÄN</t>
        </is>
      </c>
      <c r="E947" t="inlineStr">
        <is>
          <t>VILHELMINA</t>
        </is>
      </c>
      <c r="G947" t="n">
        <v>10.2</v>
      </c>
      <c r="H947" t="n">
        <v>0</v>
      </c>
      <c r="I947" t="n">
        <v>0</v>
      </c>
      <c r="J947" t="n">
        <v>0</v>
      </c>
      <c r="K947" t="n">
        <v>0</v>
      </c>
      <c r="L947" t="n">
        <v>0</v>
      </c>
      <c r="M947" t="n">
        <v>0</v>
      </c>
      <c r="N947" t="n">
        <v>0</v>
      </c>
      <c r="O947" t="n">
        <v>0</v>
      </c>
      <c r="P947" t="n">
        <v>0</v>
      </c>
      <c r="Q947" t="n">
        <v>0</v>
      </c>
      <c r="R947" s="2" t="inlineStr"/>
    </row>
    <row r="948" ht="15" customHeight="1">
      <c r="A948" t="inlineStr">
        <is>
          <t>A 23281-2025</t>
        </is>
      </c>
      <c r="B948" s="1" t="n">
        <v>45791.57324074074</v>
      </c>
      <c r="C948" s="1" t="n">
        <v>46062</v>
      </c>
      <c r="D948" t="inlineStr">
        <is>
          <t>VÄSTERBOTTENS LÄN</t>
        </is>
      </c>
      <c r="E948" t="inlineStr">
        <is>
          <t>VILHELMINA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19873-2024</t>
        </is>
      </c>
      <c r="B949" s="1" t="n">
        <v>45433</v>
      </c>
      <c r="C949" s="1" t="n">
        <v>46062</v>
      </c>
      <c r="D949" t="inlineStr">
        <is>
          <t>VÄSTERBOTTENS LÄN</t>
        </is>
      </c>
      <c r="E949" t="inlineStr">
        <is>
          <t>VILHELMINA</t>
        </is>
      </c>
      <c r="G949" t="n">
        <v>8.6</v>
      </c>
      <c r="H949" t="n">
        <v>0</v>
      </c>
      <c r="I949" t="n">
        <v>0</v>
      </c>
      <c r="J949" t="n">
        <v>0</v>
      </c>
      <c r="K949" t="n">
        <v>0</v>
      </c>
      <c r="L949" t="n">
        <v>0</v>
      </c>
      <c r="M949" t="n">
        <v>0</v>
      </c>
      <c r="N949" t="n">
        <v>0</v>
      </c>
      <c r="O949" t="n">
        <v>0</v>
      </c>
      <c r="P949" t="n">
        <v>0</v>
      </c>
      <c r="Q949" t="n">
        <v>0</v>
      </c>
      <c r="R949" s="2" t="inlineStr"/>
    </row>
    <row r="950" ht="15" customHeight="1">
      <c r="A950" t="inlineStr">
        <is>
          <t>A 47242-2024</t>
        </is>
      </c>
      <c r="B950" s="1" t="n">
        <v>45586</v>
      </c>
      <c r="C950" s="1" t="n">
        <v>46062</v>
      </c>
      <c r="D950" t="inlineStr">
        <is>
          <t>VÄSTERBOTTENS LÄN</t>
        </is>
      </c>
      <c r="E950" t="inlineStr">
        <is>
          <t>VILHELMINA</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23826-2025</t>
        </is>
      </c>
      <c r="B951" s="1" t="n">
        <v>45793.59461805555</v>
      </c>
      <c r="C951" s="1" t="n">
        <v>46062</v>
      </c>
      <c r="D951" t="inlineStr">
        <is>
          <t>VÄSTERBOTTENS LÄN</t>
        </is>
      </c>
      <c r="E951" t="inlineStr">
        <is>
          <t>VILHELMINA</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23686-2025</t>
        </is>
      </c>
      <c r="B952" s="1" t="n">
        <v>45793</v>
      </c>
      <c r="C952" s="1" t="n">
        <v>46062</v>
      </c>
      <c r="D952" t="inlineStr">
        <is>
          <t>VÄSTERBOTTENS LÄN</t>
        </is>
      </c>
      <c r="E952" t="inlineStr">
        <is>
          <t>VILHELMINA</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47440-2024</t>
        </is>
      </c>
      <c r="B953" s="1" t="n">
        <v>45587</v>
      </c>
      <c r="C953" s="1" t="n">
        <v>46062</v>
      </c>
      <c r="D953" t="inlineStr">
        <is>
          <t>VÄSTERBOTTENS LÄN</t>
        </is>
      </c>
      <c r="E953" t="inlineStr">
        <is>
          <t>VILHELMINA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23764-2025</t>
        </is>
      </c>
      <c r="B954" s="1" t="n">
        <v>45793</v>
      </c>
      <c r="C954" s="1" t="n">
        <v>46062</v>
      </c>
      <c r="D954" t="inlineStr">
        <is>
          <t>VÄSTERBOTTENS LÄN</t>
        </is>
      </c>
      <c r="E954" t="inlineStr">
        <is>
          <t>VILHELMINA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146-2025</t>
        </is>
      </c>
      <c r="B955" s="1" t="n">
        <v>45659</v>
      </c>
      <c r="C955" s="1" t="n">
        <v>46062</v>
      </c>
      <c r="D955" t="inlineStr">
        <is>
          <t>VÄSTERBOTTENS LÄN</t>
        </is>
      </c>
      <c r="E955" t="inlineStr">
        <is>
          <t>VILHELMINA</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25308-2025</t>
        </is>
      </c>
      <c r="B956" s="1" t="n">
        <v>45800</v>
      </c>
      <c r="C956" s="1" t="n">
        <v>46062</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48088-2024</t>
        </is>
      </c>
      <c r="B957" s="1" t="n">
        <v>45589</v>
      </c>
      <c r="C957" s="1" t="n">
        <v>46062</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39035-2024</t>
        </is>
      </c>
      <c r="B958" s="1" t="n">
        <v>45548.46918981482</v>
      </c>
      <c r="C958" s="1" t="n">
        <v>46062</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17467-2025</t>
        </is>
      </c>
      <c r="B959" s="1" t="n">
        <v>45757</v>
      </c>
      <c r="C959" s="1" t="n">
        <v>46062</v>
      </c>
      <c r="D959" t="inlineStr">
        <is>
          <t>VÄSTERBOTTENS LÄN</t>
        </is>
      </c>
      <c r="E959" t="inlineStr">
        <is>
          <t>VILHELMINA</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23415-2025</t>
        </is>
      </c>
      <c r="B960" s="1" t="n">
        <v>45792.34643518519</v>
      </c>
      <c r="C960" s="1" t="n">
        <v>46062</v>
      </c>
      <c r="D960" t="inlineStr">
        <is>
          <t>VÄSTERBOTTENS LÄN</t>
        </is>
      </c>
      <c r="E960" t="inlineStr">
        <is>
          <t>VILHELMINA</t>
        </is>
      </c>
      <c r="F960" t="inlineStr">
        <is>
          <t>SCA</t>
        </is>
      </c>
      <c r="G960" t="n">
        <v>36.9</v>
      </c>
      <c r="H960" t="n">
        <v>0</v>
      </c>
      <c r="I960" t="n">
        <v>0</v>
      </c>
      <c r="J960" t="n">
        <v>0</v>
      </c>
      <c r="K960" t="n">
        <v>0</v>
      </c>
      <c r="L960" t="n">
        <v>0</v>
      </c>
      <c r="M960" t="n">
        <v>0</v>
      </c>
      <c r="N960" t="n">
        <v>0</v>
      </c>
      <c r="O960" t="n">
        <v>0</v>
      </c>
      <c r="P960" t="n">
        <v>0</v>
      </c>
      <c r="Q960" t="n">
        <v>0</v>
      </c>
      <c r="R960" s="2" t="inlineStr"/>
    </row>
    <row r="961" ht="15" customHeight="1">
      <c r="A961" t="inlineStr">
        <is>
          <t>A 23406-2025</t>
        </is>
      </c>
      <c r="B961" s="1" t="n">
        <v>45792.34540509259</v>
      </c>
      <c r="C961" s="1" t="n">
        <v>46062</v>
      </c>
      <c r="D961" t="inlineStr">
        <is>
          <t>VÄSTERBOTTENS LÄN</t>
        </is>
      </c>
      <c r="E961" t="inlineStr">
        <is>
          <t>VILHELMINA</t>
        </is>
      </c>
      <c r="F961" t="inlineStr">
        <is>
          <t>SCA</t>
        </is>
      </c>
      <c r="G961" t="n">
        <v>15.4</v>
      </c>
      <c r="H961" t="n">
        <v>0</v>
      </c>
      <c r="I961" t="n">
        <v>0</v>
      </c>
      <c r="J961" t="n">
        <v>0</v>
      </c>
      <c r="K961" t="n">
        <v>0</v>
      </c>
      <c r="L961" t="n">
        <v>0</v>
      </c>
      <c r="M961" t="n">
        <v>0</v>
      </c>
      <c r="N961" t="n">
        <v>0</v>
      </c>
      <c r="O961" t="n">
        <v>0</v>
      </c>
      <c r="P961" t="n">
        <v>0</v>
      </c>
      <c r="Q961" t="n">
        <v>0</v>
      </c>
      <c r="R961" s="2" t="inlineStr"/>
    </row>
    <row r="962" ht="15" customHeight="1">
      <c r="A962" t="inlineStr">
        <is>
          <t>A 23459-2025</t>
        </is>
      </c>
      <c r="B962" s="1" t="n">
        <v>45792</v>
      </c>
      <c r="C962" s="1" t="n">
        <v>46062</v>
      </c>
      <c r="D962" t="inlineStr">
        <is>
          <t>VÄSTERBOTTENS LÄN</t>
        </is>
      </c>
      <c r="E962" t="inlineStr">
        <is>
          <t>VILHELMINA</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23461-2025</t>
        </is>
      </c>
      <c r="B963" s="1" t="n">
        <v>45792</v>
      </c>
      <c r="C963" s="1" t="n">
        <v>46062</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48062-2024</t>
        </is>
      </c>
      <c r="B964" s="1" t="n">
        <v>45589</v>
      </c>
      <c r="C964" s="1" t="n">
        <v>46062</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47548-2024</t>
        </is>
      </c>
      <c r="B965" s="1" t="n">
        <v>45587</v>
      </c>
      <c r="C965" s="1" t="n">
        <v>46062</v>
      </c>
      <c r="D965" t="inlineStr">
        <is>
          <t>VÄSTERBOTTENS LÄN</t>
        </is>
      </c>
      <c r="E965" t="inlineStr">
        <is>
          <t>VILHELMINA</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10548-2022</t>
        </is>
      </c>
      <c r="B966" s="1" t="n">
        <v>44623</v>
      </c>
      <c r="C966" s="1" t="n">
        <v>46062</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24224-2025</t>
        </is>
      </c>
      <c r="B967" s="1" t="n">
        <v>45797</v>
      </c>
      <c r="C967" s="1" t="n">
        <v>46062</v>
      </c>
      <c r="D967" t="inlineStr">
        <is>
          <t>VÄSTERBOTTENS LÄN</t>
        </is>
      </c>
      <c r="E967" t="inlineStr">
        <is>
          <t>VILHELMINA</t>
        </is>
      </c>
      <c r="G967" t="n">
        <v>27.2</v>
      </c>
      <c r="H967" t="n">
        <v>0</v>
      </c>
      <c r="I967" t="n">
        <v>0</v>
      </c>
      <c r="J967" t="n">
        <v>0</v>
      </c>
      <c r="K967" t="n">
        <v>0</v>
      </c>
      <c r="L967" t="n">
        <v>0</v>
      </c>
      <c r="M967" t="n">
        <v>0</v>
      </c>
      <c r="N967" t="n">
        <v>0</v>
      </c>
      <c r="O967" t="n">
        <v>0</v>
      </c>
      <c r="P967" t="n">
        <v>0</v>
      </c>
      <c r="Q967" t="n">
        <v>0</v>
      </c>
      <c r="R967" s="2" t="inlineStr"/>
    </row>
    <row r="968" ht="15" customHeight="1">
      <c r="A968" t="inlineStr">
        <is>
          <t>A 33319-2024</t>
        </is>
      </c>
      <c r="B968" s="1" t="n">
        <v>45518</v>
      </c>
      <c r="C968" s="1" t="n">
        <v>46062</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c r="A969" t="inlineStr">
        <is>
          <t>A 35760-2023</t>
        </is>
      </c>
      <c r="B969" s="1" t="n">
        <v>45147</v>
      </c>
      <c r="C969" s="1" t="n">
        <v>46062</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2026-02-09T19:44:10Z</dcterms:created>
  <dcterms:modified xmlns:dcterms="http://purl.org/dc/terms/" xmlns:xsi="http://www.w3.org/2001/XMLSchema-instance" xsi:type="dcterms:W3CDTF">2026-02-09T19:44:11Z</dcterms:modified>
</cp:coreProperties>
</file>