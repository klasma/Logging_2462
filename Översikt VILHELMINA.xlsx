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45672</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45672</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45672</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45672</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45672</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45672</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45672</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45672</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45672</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45672</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45672</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45672</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45672</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45672</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45672</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45672</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45672</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45672</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45672</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45672</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45672</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45672</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45672</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45672</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45672</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45672</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45672</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45672</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45672</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45672</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45672</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45672</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45672</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45672</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45672</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45672</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45672</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45672</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45672</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45672</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45672</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45672</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45672</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45672</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45672</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45672</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45672</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45672</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45672</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45672</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45672</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45672</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45672</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45672</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45672</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45672</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45672</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45672</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45672</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45672</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45672</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45672</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45672</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56618-2024</t>
        </is>
      </c>
      <c r="B165" s="1" t="n">
        <v>45625</v>
      </c>
      <c r="C165" s="1" t="n">
        <v>45672</v>
      </c>
      <c r="D165" t="inlineStr">
        <is>
          <t>VÄSTERBOTTENS LÄN</t>
        </is>
      </c>
      <c r="E165" t="inlineStr">
        <is>
          <t>VILHELMINA</t>
        </is>
      </c>
      <c r="F165" t="inlineStr">
        <is>
          <t>Allmännings- och besparingsskogar</t>
        </is>
      </c>
      <c r="G165" t="n">
        <v>17.1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HYPERLINK("https://klasma.github.io/Logging_2462/artfynd/A 56618-2024 artfynd.xlsx", "A 56618-2024")</f>
        <v/>
      </c>
      <c r="T165">
        <f>HYPERLINK("https://klasma.github.io/Logging_2462/kartor/A 56618-2024 karta.png", "A 56618-2024")</f>
        <v/>
      </c>
      <c r="V165">
        <f>HYPERLINK("https://klasma.github.io/Logging_2462/klagomål/A 56618-2024 FSC-klagomål.docx", "A 56618-2024")</f>
        <v/>
      </c>
      <c r="W165">
        <f>HYPERLINK("https://klasma.github.io/Logging_2462/klagomålsmail/A 56618-2024 FSC-klagomål mail.docx", "A 56618-2024")</f>
        <v/>
      </c>
      <c r="X165">
        <f>HYPERLINK("https://klasma.github.io/Logging_2462/tillsyn/A 56618-2024 tillsynsbegäran.docx", "A 56618-2024")</f>
        <v/>
      </c>
      <c r="Y165">
        <f>HYPERLINK("https://klasma.github.io/Logging_2462/tillsynsmail/A 56618-2024 tillsynsbegäran mail.docx", "A 56618-2024")</f>
        <v/>
      </c>
      <c r="Z165">
        <f>HYPERLINK("https://klasma.github.io/Logging_2462/fåglar/A 56618-2024 prioriterade fågelarter.docx", "A 56618-2024")</f>
        <v/>
      </c>
    </row>
    <row r="166" ht="15" customHeight="1">
      <c r="A166" t="inlineStr">
        <is>
          <t>A 1224-2025</t>
        </is>
      </c>
      <c r="B166" s="1" t="n">
        <v>45667</v>
      </c>
      <c r="C166" s="1" t="n">
        <v>45672</v>
      </c>
      <c r="D166" t="inlineStr">
        <is>
          <t>VÄSTERBOTTENS LÄN</t>
        </is>
      </c>
      <c r="E166" t="inlineStr">
        <is>
          <t>VILHELMINA</t>
        </is>
      </c>
      <c r="G166" t="n">
        <v>4.9</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1224-2025 artfynd.xlsx", "A 1224-2025")</f>
        <v/>
      </c>
      <c r="T166">
        <f>HYPERLINK("https://klasma.github.io/Logging_2462/kartor/A 1224-2025 karta.png", "A 1224-2025")</f>
        <v/>
      </c>
      <c r="V166">
        <f>HYPERLINK("https://klasma.github.io/Logging_2462/klagomål/A 1224-2025 FSC-klagomål.docx", "A 1224-2025")</f>
        <v/>
      </c>
      <c r="W166">
        <f>HYPERLINK("https://klasma.github.io/Logging_2462/klagomålsmail/A 1224-2025 FSC-klagomål mail.docx", "A 1224-2025")</f>
        <v/>
      </c>
      <c r="X166">
        <f>HYPERLINK("https://klasma.github.io/Logging_2462/tillsyn/A 1224-2025 tillsynsbegäran.docx", "A 1224-2025")</f>
        <v/>
      </c>
      <c r="Y166">
        <f>HYPERLINK("https://klasma.github.io/Logging_2462/tillsynsmail/A 1224-2025 tillsynsbegäran mail.docx", "A 1224-2025")</f>
        <v/>
      </c>
    </row>
    <row r="167" ht="15" customHeight="1">
      <c r="A167" t="inlineStr">
        <is>
          <t>A 1232-2025</t>
        </is>
      </c>
      <c r="B167" s="1" t="n">
        <v>45667</v>
      </c>
      <c r="C167" s="1" t="n">
        <v>45672</v>
      </c>
      <c r="D167" t="inlineStr">
        <is>
          <t>VÄSTERBOTTENS LÄN</t>
        </is>
      </c>
      <c r="E167" t="inlineStr">
        <is>
          <t>VILHELMINA</t>
        </is>
      </c>
      <c r="G167" t="n">
        <v>4.8</v>
      </c>
      <c r="H167" t="n">
        <v>1</v>
      </c>
      <c r="I167" t="n">
        <v>0</v>
      </c>
      <c r="J167" t="n">
        <v>3</v>
      </c>
      <c r="K167" t="n">
        <v>0</v>
      </c>
      <c r="L167" t="n">
        <v>0</v>
      </c>
      <c r="M167" t="n">
        <v>0</v>
      </c>
      <c r="N167" t="n">
        <v>0</v>
      </c>
      <c r="O167" t="n">
        <v>3</v>
      </c>
      <c r="P167" t="n">
        <v>0</v>
      </c>
      <c r="Q167" t="n">
        <v>3</v>
      </c>
      <c r="R167" s="2" t="inlineStr">
        <is>
          <t>Duvhök
Garnlav
Granticka</t>
        </is>
      </c>
      <c r="S167">
        <f>HYPERLINK("https://klasma.github.io/Logging_2462/artfynd/A 1232-2025 artfynd.xlsx", "A 1232-2025")</f>
        <v/>
      </c>
      <c r="T167">
        <f>HYPERLINK("https://klasma.github.io/Logging_2462/kartor/A 1232-2025 karta.png", "A 1232-2025")</f>
        <v/>
      </c>
      <c r="V167">
        <f>HYPERLINK("https://klasma.github.io/Logging_2462/klagomål/A 1232-2025 FSC-klagomål.docx", "A 1232-2025")</f>
        <v/>
      </c>
      <c r="W167">
        <f>HYPERLINK("https://klasma.github.io/Logging_2462/klagomålsmail/A 1232-2025 FSC-klagomål mail.docx", "A 1232-2025")</f>
        <v/>
      </c>
      <c r="X167">
        <f>HYPERLINK("https://klasma.github.io/Logging_2462/tillsyn/A 1232-2025 tillsynsbegäran.docx", "A 1232-2025")</f>
        <v/>
      </c>
      <c r="Y167">
        <f>HYPERLINK("https://klasma.github.io/Logging_2462/tillsynsmail/A 1232-2025 tillsynsbegäran mail.docx", "A 1232-2025")</f>
        <v/>
      </c>
      <c r="Z167">
        <f>HYPERLINK("https://klasma.github.io/Logging_2462/fåglar/A 1232-2025 prioriterade fågelarter.docx", "A 1232-2025")</f>
        <v/>
      </c>
    </row>
    <row r="168" ht="15" customHeight="1">
      <c r="A168" t="inlineStr">
        <is>
          <t>A 34784-2019</t>
        </is>
      </c>
      <c r="B168" s="1" t="n">
        <v>43658</v>
      </c>
      <c r="C168" s="1" t="n">
        <v>45672</v>
      </c>
      <c r="D168" t="inlineStr">
        <is>
          <t>VÄSTERBOTTENS LÄN</t>
        </is>
      </c>
      <c r="E168" t="inlineStr">
        <is>
          <t>VILHELMINA</t>
        </is>
      </c>
      <c r="F168" t="inlineStr">
        <is>
          <t>Sveaskog</t>
        </is>
      </c>
      <c r="G168" t="n">
        <v>1.8</v>
      </c>
      <c r="H168" t="n">
        <v>0</v>
      </c>
      <c r="I168" t="n">
        <v>0</v>
      </c>
      <c r="J168" t="n">
        <v>2</v>
      </c>
      <c r="K168" t="n">
        <v>0</v>
      </c>
      <c r="L168" t="n">
        <v>0</v>
      </c>
      <c r="M168" t="n">
        <v>0</v>
      </c>
      <c r="N168" t="n">
        <v>0</v>
      </c>
      <c r="O168" t="n">
        <v>2</v>
      </c>
      <c r="P168" t="n">
        <v>0</v>
      </c>
      <c r="Q168" t="n">
        <v>2</v>
      </c>
      <c r="R168" s="2" t="inlineStr">
        <is>
          <t>Granticka
Tallticka</t>
        </is>
      </c>
      <c r="S168">
        <f>HYPERLINK("https://klasma.github.io/Logging_2462/artfynd/A 34784-2019 artfynd.xlsx", "A 34784-2019")</f>
        <v/>
      </c>
      <c r="T168">
        <f>HYPERLINK("https://klasma.github.io/Logging_2462/kartor/A 34784-2019 karta.png", "A 34784-2019")</f>
        <v/>
      </c>
      <c r="V168">
        <f>HYPERLINK("https://klasma.github.io/Logging_2462/klagomål/A 34784-2019 FSC-klagomål.docx", "A 34784-2019")</f>
        <v/>
      </c>
      <c r="W168">
        <f>HYPERLINK("https://klasma.github.io/Logging_2462/klagomålsmail/A 34784-2019 FSC-klagomål mail.docx", "A 34784-2019")</f>
        <v/>
      </c>
      <c r="X168">
        <f>HYPERLINK("https://klasma.github.io/Logging_2462/tillsyn/A 34784-2019 tillsynsbegäran.docx", "A 34784-2019")</f>
        <v/>
      </c>
      <c r="Y168">
        <f>HYPERLINK("https://klasma.github.io/Logging_2462/tillsynsmail/A 34784-2019 tillsynsbegäran mail.docx", "A 34784-2019")</f>
        <v/>
      </c>
    </row>
    <row r="169" ht="15" customHeight="1">
      <c r="A169" t="inlineStr">
        <is>
          <t>A 50020-2019</t>
        </is>
      </c>
      <c r="B169" s="1" t="n">
        <v>43731</v>
      </c>
      <c r="C169" s="1" t="n">
        <v>45672</v>
      </c>
      <c r="D169" t="inlineStr">
        <is>
          <t>VÄSTERBOTTENS LÄN</t>
        </is>
      </c>
      <c r="E169" t="inlineStr">
        <is>
          <t>VILHELMINA</t>
        </is>
      </c>
      <c r="F169" t="inlineStr">
        <is>
          <t>Allmännings- och besparingsskogar</t>
        </is>
      </c>
      <c r="G169" t="n">
        <v>4</v>
      </c>
      <c r="H169" t="n">
        <v>0</v>
      </c>
      <c r="I169" t="n">
        <v>0</v>
      </c>
      <c r="J169" t="n">
        <v>2</v>
      </c>
      <c r="K169" t="n">
        <v>0</v>
      </c>
      <c r="L169" t="n">
        <v>0</v>
      </c>
      <c r="M169" t="n">
        <v>0</v>
      </c>
      <c r="N169" t="n">
        <v>0</v>
      </c>
      <c r="O169" t="n">
        <v>2</v>
      </c>
      <c r="P169" t="n">
        <v>0</v>
      </c>
      <c r="Q169" t="n">
        <v>2</v>
      </c>
      <c r="R169" s="2" t="inlineStr">
        <is>
          <t>Harticka
Rödbrun blekspik</t>
        </is>
      </c>
      <c r="S169">
        <f>HYPERLINK("https://klasma.github.io/Logging_2462/artfynd/A 50020-2019 artfynd.xlsx", "A 50020-2019")</f>
        <v/>
      </c>
      <c r="T169">
        <f>HYPERLINK("https://klasma.github.io/Logging_2462/kartor/A 50020-2019 karta.png", "A 50020-2019")</f>
        <v/>
      </c>
      <c r="V169">
        <f>HYPERLINK("https://klasma.github.io/Logging_2462/klagomål/A 50020-2019 FSC-klagomål.docx", "A 50020-2019")</f>
        <v/>
      </c>
      <c r="W169">
        <f>HYPERLINK("https://klasma.github.io/Logging_2462/klagomålsmail/A 50020-2019 FSC-klagomål mail.docx", "A 50020-2019")</f>
        <v/>
      </c>
      <c r="X169">
        <f>HYPERLINK("https://klasma.github.io/Logging_2462/tillsyn/A 50020-2019 tillsynsbegäran.docx", "A 50020-2019")</f>
        <v/>
      </c>
      <c r="Y169">
        <f>HYPERLINK("https://klasma.github.io/Logging_2462/tillsynsmail/A 50020-2019 tillsynsbegäran mail.docx", "A 50020-2019")</f>
        <v/>
      </c>
    </row>
    <row r="170" ht="15" customHeight="1">
      <c r="A170" t="inlineStr">
        <is>
          <t>A 17776-2020</t>
        </is>
      </c>
      <c r="B170" s="1" t="n">
        <v>43923</v>
      </c>
      <c r="C170" s="1" t="n">
        <v>45672</v>
      </c>
      <c r="D170" t="inlineStr">
        <is>
          <t>VÄSTERBOTTENS LÄN</t>
        </is>
      </c>
      <c r="E170" t="inlineStr">
        <is>
          <t>VILHELMINA</t>
        </is>
      </c>
      <c r="F170" t="inlineStr">
        <is>
          <t>Allmännings- och besparingsskogar</t>
        </is>
      </c>
      <c r="G170" t="n">
        <v>1</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17776-2020 artfynd.xlsx", "A 17776-2020")</f>
        <v/>
      </c>
      <c r="T170">
        <f>HYPERLINK("https://klasma.github.io/Logging_2462/kartor/A 17776-2020 karta.png", "A 17776-2020")</f>
        <v/>
      </c>
      <c r="V170">
        <f>HYPERLINK("https://klasma.github.io/Logging_2462/klagomål/A 17776-2020 FSC-klagomål.docx", "A 17776-2020")</f>
        <v/>
      </c>
      <c r="W170">
        <f>HYPERLINK("https://klasma.github.io/Logging_2462/klagomålsmail/A 17776-2020 FSC-klagomål mail.docx", "A 17776-2020")</f>
        <v/>
      </c>
      <c r="X170">
        <f>HYPERLINK("https://klasma.github.io/Logging_2462/tillsyn/A 17776-2020 tillsynsbegäran.docx", "A 17776-2020")</f>
        <v/>
      </c>
      <c r="Y170">
        <f>HYPERLINK("https://klasma.github.io/Logging_2462/tillsynsmail/A 17776-2020 tillsynsbegäran mail.docx", "A 17776-2020")</f>
        <v/>
      </c>
    </row>
    <row r="171" ht="15" customHeight="1">
      <c r="A171" t="inlineStr">
        <is>
          <t>A 17910-2020</t>
        </is>
      </c>
      <c r="B171" s="1" t="n">
        <v>43924</v>
      </c>
      <c r="C171" s="1" t="n">
        <v>45672</v>
      </c>
      <c r="D171" t="inlineStr">
        <is>
          <t>VÄSTERBOTTENS LÄN</t>
        </is>
      </c>
      <c r="E171" t="inlineStr">
        <is>
          <t>VILHELMINA</t>
        </is>
      </c>
      <c r="F171" t="inlineStr">
        <is>
          <t>SCA</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HYPERLINK("https://klasma.github.io/Logging_2462/artfynd/A 17910-2020 artfynd.xlsx", "A 17910-2020")</f>
        <v/>
      </c>
      <c r="T171">
        <f>HYPERLINK("https://klasma.github.io/Logging_2462/kartor/A 17910-2020 karta.png", "A 17910-2020")</f>
        <v/>
      </c>
      <c r="V171">
        <f>HYPERLINK("https://klasma.github.io/Logging_2462/klagomål/A 17910-2020 FSC-klagomål.docx", "A 17910-2020")</f>
        <v/>
      </c>
      <c r="W171">
        <f>HYPERLINK("https://klasma.github.io/Logging_2462/klagomålsmail/A 17910-2020 FSC-klagomål mail.docx", "A 17910-2020")</f>
        <v/>
      </c>
      <c r="X171">
        <f>HYPERLINK("https://klasma.github.io/Logging_2462/tillsyn/A 17910-2020 tillsynsbegäran.docx", "A 17910-2020")</f>
        <v/>
      </c>
      <c r="Y171">
        <f>HYPERLINK("https://klasma.github.io/Logging_2462/tillsynsmail/A 17910-2020 tillsynsbegäran mail.docx", "A 17910-2020")</f>
        <v/>
      </c>
    </row>
    <row r="172" ht="15" customHeight="1">
      <c r="A172" t="inlineStr">
        <is>
          <t>A 69626-2020</t>
        </is>
      </c>
      <c r="B172" s="1" t="n">
        <v>44195</v>
      </c>
      <c r="C172" s="1" t="n">
        <v>45672</v>
      </c>
      <c r="D172" t="inlineStr">
        <is>
          <t>VÄSTERBOTTENS LÄN</t>
        </is>
      </c>
      <c r="E172" t="inlineStr">
        <is>
          <t>VILHELMINA</t>
        </is>
      </c>
      <c r="G172" t="n">
        <v>10.2</v>
      </c>
      <c r="H172" t="n">
        <v>2</v>
      </c>
      <c r="I172" t="n">
        <v>0</v>
      </c>
      <c r="J172" t="n">
        <v>2</v>
      </c>
      <c r="K172" t="n">
        <v>0</v>
      </c>
      <c r="L172" t="n">
        <v>0</v>
      </c>
      <c r="M172" t="n">
        <v>0</v>
      </c>
      <c r="N172" t="n">
        <v>0</v>
      </c>
      <c r="O172" t="n">
        <v>2</v>
      </c>
      <c r="P172" t="n">
        <v>0</v>
      </c>
      <c r="Q172" t="n">
        <v>2</v>
      </c>
      <c r="R172" s="2" t="inlineStr">
        <is>
          <t>Duvhök
Tretåig hackspett</t>
        </is>
      </c>
      <c r="S172">
        <f>HYPERLINK("https://klasma.github.io/Logging_2462/artfynd/A 69626-2020 artfynd.xlsx", "A 69626-2020")</f>
        <v/>
      </c>
      <c r="T172">
        <f>HYPERLINK("https://klasma.github.io/Logging_2462/kartor/A 69626-2020 karta.png", "A 69626-2020")</f>
        <v/>
      </c>
      <c r="V172">
        <f>HYPERLINK("https://klasma.github.io/Logging_2462/klagomål/A 69626-2020 FSC-klagomål.docx", "A 69626-2020")</f>
        <v/>
      </c>
      <c r="W172">
        <f>HYPERLINK("https://klasma.github.io/Logging_2462/klagomålsmail/A 69626-2020 FSC-klagomål mail.docx", "A 69626-2020")</f>
        <v/>
      </c>
      <c r="X172">
        <f>HYPERLINK("https://klasma.github.io/Logging_2462/tillsyn/A 69626-2020 tillsynsbegäran.docx", "A 69626-2020")</f>
        <v/>
      </c>
      <c r="Y172">
        <f>HYPERLINK("https://klasma.github.io/Logging_2462/tillsynsmail/A 69626-2020 tillsynsbegäran mail.docx", "A 69626-2020")</f>
        <v/>
      </c>
      <c r="Z172">
        <f>HYPERLINK("https://klasma.github.io/Logging_2462/fåglar/A 69626-2020 prioriterade fågelarter.docx", "A 69626-2020")</f>
        <v/>
      </c>
    </row>
    <row r="173" ht="15" customHeight="1">
      <c r="A173" t="inlineStr">
        <is>
          <t>A 6704-2021</t>
        </is>
      </c>
      <c r="B173" s="1" t="n">
        <v>44235</v>
      </c>
      <c r="C173" s="1" t="n">
        <v>45672</v>
      </c>
      <c r="D173" t="inlineStr">
        <is>
          <t>VÄSTERBOTTENS LÄN</t>
        </is>
      </c>
      <c r="E173" t="inlineStr">
        <is>
          <t>VILHELMINA</t>
        </is>
      </c>
      <c r="G173" t="n">
        <v>14.5</v>
      </c>
      <c r="H173" t="n">
        <v>1</v>
      </c>
      <c r="I173" t="n">
        <v>1</v>
      </c>
      <c r="J173" t="n">
        <v>1</v>
      </c>
      <c r="K173" t="n">
        <v>0</v>
      </c>
      <c r="L173" t="n">
        <v>0</v>
      </c>
      <c r="M173" t="n">
        <v>0</v>
      </c>
      <c r="N173" t="n">
        <v>0</v>
      </c>
      <c r="O173" t="n">
        <v>1</v>
      </c>
      <c r="P173" t="n">
        <v>0</v>
      </c>
      <c r="Q173" t="n">
        <v>2</v>
      </c>
      <c r="R173" s="2" t="inlineStr">
        <is>
          <t>Tretåig hackspett
Trådticka</t>
        </is>
      </c>
      <c r="S173">
        <f>HYPERLINK("https://klasma.github.io/Logging_2462/artfynd/A 6704-2021 artfynd.xlsx", "A 6704-2021")</f>
        <v/>
      </c>
      <c r="T173">
        <f>HYPERLINK("https://klasma.github.io/Logging_2462/kartor/A 6704-2021 karta.png", "A 6704-2021")</f>
        <v/>
      </c>
      <c r="V173">
        <f>HYPERLINK("https://klasma.github.io/Logging_2462/klagomål/A 6704-2021 FSC-klagomål.docx", "A 6704-2021")</f>
        <v/>
      </c>
      <c r="W173">
        <f>HYPERLINK("https://klasma.github.io/Logging_2462/klagomålsmail/A 6704-2021 FSC-klagomål mail.docx", "A 6704-2021")</f>
        <v/>
      </c>
      <c r="X173">
        <f>HYPERLINK("https://klasma.github.io/Logging_2462/tillsyn/A 6704-2021 tillsynsbegäran.docx", "A 6704-2021")</f>
        <v/>
      </c>
      <c r="Y173">
        <f>HYPERLINK("https://klasma.github.io/Logging_2462/tillsynsmail/A 6704-2021 tillsynsbegäran mail.docx", "A 6704-2021")</f>
        <v/>
      </c>
      <c r="Z173">
        <f>HYPERLINK("https://klasma.github.io/Logging_2462/fåglar/A 6704-2021 prioriterade fågelarter.docx", "A 6704-2021")</f>
        <v/>
      </c>
    </row>
    <row r="174" ht="15" customHeight="1">
      <c r="A174" t="inlineStr">
        <is>
          <t>A 11980-2021</t>
        </is>
      </c>
      <c r="B174" s="1" t="n">
        <v>44266</v>
      </c>
      <c r="C174" s="1" t="n">
        <v>45672</v>
      </c>
      <c r="D174" t="inlineStr">
        <is>
          <t>VÄSTERBOTTENS LÄN</t>
        </is>
      </c>
      <c r="E174" t="inlineStr">
        <is>
          <t>VILHELMINA</t>
        </is>
      </c>
      <c r="F174" t="inlineStr">
        <is>
          <t>Allmännings- och besparingsskogar</t>
        </is>
      </c>
      <c r="G174" t="n">
        <v>4.1</v>
      </c>
      <c r="H174" t="n">
        <v>0</v>
      </c>
      <c r="I174" t="n">
        <v>1</v>
      </c>
      <c r="J174" t="n">
        <v>1</v>
      </c>
      <c r="K174" t="n">
        <v>0</v>
      </c>
      <c r="L174" t="n">
        <v>0</v>
      </c>
      <c r="M174" t="n">
        <v>0</v>
      </c>
      <c r="N174" t="n">
        <v>0</v>
      </c>
      <c r="O174" t="n">
        <v>1</v>
      </c>
      <c r="P174" t="n">
        <v>0</v>
      </c>
      <c r="Q174" t="n">
        <v>2</v>
      </c>
      <c r="R174" s="2" t="inlineStr">
        <is>
          <t>Skrovellav
Stuplav</t>
        </is>
      </c>
      <c r="S174">
        <f>HYPERLINK("https://klasma.github.io/Logging_2462/artfynd/A 11980-2021 artfynd.xlsx", "A 11980-2021")</f>
        <v/>
      </c>
      <c r="T174">
        <f>HYPERLINK("https://klasma.github.io/Logging_2462/kartor/A 11980-2021 karta.png", "A 11980-2021")</f>
        <v/>
      </c>
      <c r="V174">
        <f>HYPERLINK("https://klasma.github.io/Logging_2462/klagomål/A 11980-2021 FSC-klagomål.docx", "A 11980-2021")</f>
        <v/>
      </c>
      <c r="W174">
        <f>HYPERLINK("https://klasma.github.io/Logging_2462/klagomålsmail/A 11980-2021 FSC-klagomål mail.docx", "A 11980-2021")</f>
        <v/>
      </c>
      <c r="X174">
        <f>HYPERLINK("https://klasma.github.io/Logging_2462/tillsyn/A 11980-2021 tillsynsbegäran.docx", "A 11980-2021")</f>
        <v/>
      </c>
      <c r="Y174">
        <f>HYPERLINK("https://klasma.github.io/Logging_2462/tillsynsmail/A 11980-2021 tillsynsbegäran mail.docx", "A 11980-2021")</f>
        <v/>
      </c>
    </row>
    <row r="175" ht="15" customHeight="1">
      <c r="A175" t="inlineStr">
        <is>
          <t>A 19234-2021</t>
        </is>
      </c>
      <c r="B175" s="1" t="n">
        <v>44309</v>
      </c>
      <c r="C175" s="1" t="n">
        <v>45672</v>
      </c>
      <c r="D175" t="inlineStr">
        <is>
          <t>VÄSTERBOTTENS LÄN</t>
        </is>
      </c>
      <c r="E175" t="inlineStr">
        <is>
          <t>VILHELMINA</t>
        </is>
      </c>
      <c r="F175" t="inlineStr">
        <is>
          <t>Övriga Aktiebolag</t>
        </is>
      </c>
      <c r="G175" t="n">
        <v>12</v>
      </c>
      <c r="H175" t="n">
        <v>0</v>
      </c>
      <c r="I175" t="n">
        <v>0</v>
      </c>
      <c r="J175" t="n">
        <v>2</v>
      </c>
      <c r="K175" t="n">
        <v>0</v>
      </c>
      <c r="L175" t="n">
        <v>0</v>
      </c>
      <c r="M175" t="n">
        <v>0</v>
      </c>
      <c r="N175" t="n">
        <v>0</v>
      </c>
      <c r="O175" t="n">
        <v>2</v>
      </c>
      <c r="P175" t="n">
        <v>0</v>
      </c>
      <c r="Q175" t="n">
        <v>2</v>
      </c>
      <c r="R175" s="2" t="inlineStr">
        <is>
          <t>Granticka
Harticka</t>
        </is>
      </c>
      <c r="S175">
        <f>HYPERLINK("https://klasma.github.io/Logging_2462/artfynd/A 19234-2021 artfynd.xlsx", "A 19234-2021")</f>
        <v/>
      </c>
      <c r="T175">
        <f>HYPERLINK("https://klasma.github.io/Logging_2462/kartor/A 19234-2021 karta.png", "A 19234-2021")</f>
        <v/>
      </c>
      <c r="V175">
        <f>HYPERLINK("https://klasma.github.io/Logging_2462/klagomål/A 19234-2021 FSC-klagomål.docx", "A 19234-2021")</f>
        <v/>
      </c>
      <c r="W175">
        <f>HYPERLINK("https://klasma.github.io/Logging_2462/klagomålsmail/A 19234-2021 FSC-klagomål mail.docx", "A 19234-2021")</f>
        <v/>
      </c>
      <c r="X175">
        <f>HYPERLINK("https://klasma.github.io/Logging_2462/tillsyn/A 19234-2021 tillsynsbegäran.docx", "A 19234-2021")</f>
        <v/>
      </c>
      <c r="Y175">
        <f>HYPERLINK("https://klasma.github.io/Logging_2462/tillsynsmail/A 19234-2021 tillsynsbegäran mail.docx", "A 19234-2021")</f>
        <v/>
      </c>
    </row>
    <row r="176" ht="15" customHeight="1">
      <c r="A176" t="inlineStr">
        <is>
          <t>A 37785-2021</t>
        </is>
      </c>
      <c r="B176" s="1" t="n">
        <v>44401</v>
      </c>
      <c r="C176" s="1" t="n">
        <v>45672</v>
      </c>
      <c r="D176" t="inlineStr">
        <is>
          <t>VÄSTERBOTTENS LÄN</t>
        </is>
      </c>
      <c r="E176" t="inlineStr">
        <is>
          <t>VILHELMINA</t>
        </is>
      </c>
      <c r="G176" t="n">
        <v>51.5</v>
      </c>
      <c r="H176" t="n">
        <v>1</v>
      </c>
      <c r="I176" t="n">
        <v>0</v>
      </c>
      <c r="J176" t="n">
        <v>1</v>
      </c>
      <c r="K176" t="n">
        <v>0</v>
      </c>
      <c r="L176" t="n">
        <v>0</v>
      </c>
      <c r="M176" t="n">
        <v>0</v>
      </c>
      <c r="N176" t="n">
        <v>0</v>
      </c>
      <c r="O176" t="n">
        <v>1</v>
      </c>
      <c r="P176" t="n">
        <v>0</v>
      </c>
      <c r="Q176" t="n">
        <v>2</v>
      </c>
      <c r="R176" s="2" t="inlineStr">
        <is>
          <t>Ullticka
Fläcknycklar</t>
        </is>
      </c>
      <c r="S176">
        <f>HYPERLINK("https://klasma.github.io/Logging_2462/artfynd/A 37785-2021 artfynd.xlsx", "A 37785-2021")</f>
        <v/>
      </c>
      <c r="T176">
        <f>HYPERLINK("https://klasma.github.io/Logging_2462/kartor/A 37785-2021 karta.png", "A 37785-2021")</f>
        <v/>
      </c>
      <c r="V176">
        <f>HYPERLINK("https://klasma.github.io/Logging_2462/klagomål/A 37785-2021 FSC-klagomål.docx", "A 37785-2021")</f>
        <v/>
      </c>
      <c r="W176">
        <f>HYPERLINK("https://klasma.github.io/Logging_2462/klagomålsmail/A 37785-2021 FSC-klagomål mail.docx", "A 37785-2021")</f>
        <v/>
      </c>
      <c r="X176">
        <f>HYPERLINK("https://klasma.github.io/Logging_2462/tillsyn/A 37785-2021 tillsynsbegäran.docx", "A 37785-2021")</f>
        <v/>
      </c>
      <c r="Y176">
        <f>HYPERLINK("https://klasma.github.io/Logging_2462/tillsynsmail/A 37785-2021 tillsynsbegäran mail.docx", "A 37785-2021")</f>
        <v/>
      </c>
    </row>
    <row r="177" ht="15" customHeight="1">
      <c r="A177" t="inlineStr">
        <is>
          <t>A 65586-2021</t>
        </is>
      </c>
      <c r="B177" s="1" t="n">
        <v>44518</v>
      </c>
      <c r="C177" s="1" t="n">
        <v>45672</v>
      </c>
      <c r="D177" t="inlineStr">
        <is>
          <t>VÄSTERBOTTENS LÄN</t>
        </is>
      </c>
      <c r="E177" t="inlineStr">
        <is>
          <t>VILHELMINA</t>
        </is>
      </c>
      <c r="G177" t="n">
        <v>38</v>
      </c>
      <c r="H177" t="n">
        <v>2</v>
      </c>
      <c r="I177" t="n">
        <v>0</v>
      </c>
      <c r="J177" t="n">
        <v>1</v>
      </c>
      <c r="K177" t="n">
        <v>1</v>
      </c>
      <c r="L177" t="n">
        <v>0</v>
      </c>
      <c r="M177" t="n">
        <v>0</v>
      </c>
      <c r="N177" t="n">
        <v>0</v>
      </c>
      <c r="O177" t="n">
        <v>2</v>
      </c>
      <c r="P177" t="n">
        <v>1</v>
      </c>
      <c r="Q177" t="n">
        <v>2</v>
      </c>
      <c r="R177" s="2" t="inlineStr">
        <is>
          <t>Lappuggla
Tretåig hackspett</t>
        </is>
      </c>
      <c r="S177">
        <f>HYPERLINK("https://klasma.github.io/Logging_2462/artfynd/A 65586-2021 artfynd.xlsx", "A 65586-2021")</f>
        <v/>
      </c>
      <c r="T177">
        <f>HYPERLINK("https://klasma.github.io/Logging_2462/kartor/A 65586-2021 karta.png", "A 65586-2021")</f>
        <v/>
      </c>
      <c r="V177">
        <f>HYPERLINK("https://klasma.github.io/Logging_2462/klagomål/A 65586-2021 FSC-klagomål.docx", "A 65586-2021")</f>
        <v/>
      </c>
      <c r="W177">
        <f>HYPERLINK("https://klasma.github.io/Logging_2462/klagomålsmail/A 65586-2021 FSC-klagomål mail.docx", "A 65586-2021")</f>
        <v/>
      </c>
      <c r="X177">
        <f>HYPERLINK("https://klasma.github.io/Logging_2462/tillsyn/A 65586-2021 tillsynsbegäran.docx", "A 65586-2021")</f>
        <v/>
      </c>
      <c r="Y177">
        <f>HYPERLINK("https://klasma.github.io/Logging_2462/tillsynsmail/A 65586-2021 tillsynsbegäran mail.docx", "A 65586-2021")</f>
        <v/>
      </c>
      <c r="Z177">
        <f>HYPERLINK("https://klasma.github.io/Logging_2462/fåglar/A 65586-2021 prioriterade fågelarter.docx", "A 65586-2021")</f>
        <v/>
      </c>
    </row>
    <row r="178" ht="15" customHeight="1">
      <c r="A178" t="inlineStr">
        <is>
          <t>A 69023-2021</t>
        </is>
      </c>
      <c r="B178" s="1" t="n">
        <v>44529</v>
      </c>
      <c r="C178" s="1" t="n">
        <v>45672</v>
      </c>
      <c r="D178" t="inlineStr">
        <is>
          <t>VÄSTERBOTTENS LÄN</t>
        </is>
      </c>
      <c r="E178" t="inlineStr">
        <is>
          <t>VILHELMINA</t>
        </is>
      </c>
      <c r="G178" t="n">
        <v>88</v>
      </c>
      <c r="H178" t="n">
        <v>0</v>
      </c>
      <c r="I178" t="n">
        <v>0</v>
      </c>
      <c r="J178" t="n">
        <v>2</v>
      </c>
      <c r="K178" t="n">
        <v>0</v>
      </c>
      <c r="L178" t="n">
        <v>0</v>
      </c>
      <c r="M178" t="n">
        <v>0</v>
      </c>
      <c r="N178" t="n">
        <v>0</v>
      </c>
      <c r="O178" t="n">
        <v>2</v>
      </c>
      <c r="P178" t="n">
        <v>0</v>
      </c>
      <c r="Q178" t="n">
        <v>2</v>
      </c>
      <c r="R178" s="2" t="inlineStr">
        <is>
          <t>Garnlav
Lunglav</t>
        </is>
      </c>
      <c r="S178">
        <f>HYPERLINK("https://klasma.github.io/Logging_2462/artfynd/A 69023-2021 artfynd.xlsx", "A 69023-2021")</f>
        <v/>
      </c>
      <c r="T178">
        <f>HYPERLINK("https://klasma.github.io/Logging_2462/kartor/A 69023-2021 karta.png", "A 69023-2021")</f>
        <v/>
      </c>
      <c r="V178">
        <f>HYPERLINK("https://klasma.github.io/Logging_2462/klagomål/A 69023-2021 FSC-klagomål.docx", "A 69023-2021")</f>
        <v/>
      </c>
      <c r="W178">
        <f>HYPERLINK("https://klasma.github.io/Logging_2462/klagomålsmail/A 69023-2021 FSC-klagomål mail.docx", "A 69023-2021")</f>
        <v/>
      </c>
      <c r="X178">
        <f>HYPERLINK("https://klasma.github.io/Logging_2462/tillsyn/A 69023-2021 tillsynsbegäran.docx", "A 69023-2021")</f>
        <v/>
      </c>
      <c r="Y178">
        <f>HYPERLINK("https://klasma.github.io/Logging_2462/tillsynsmail/A 69023-2021 tillsynsbegäran mail.docx", "A 69023-2021")</f>
        <v/>
      </c>
    </row>
    <row r="179" ht="15" customHeight="1">
      <c r="A179" t="inlineStr">
        <is>
          <t>A 32253-2022</t>
        </is>
      </c>
      <c r="B179" s="1" t="n">
        <v>44781</v>
      </c>
      <c r="C179" s="1" t="n">
        <v>45672</v>
      </c>
      <c r="D179" t="inlineStr">
        <is>
          <t>VÄSTERBOTTENS LÄN</t>
        </is>
      </c>
      <c r="E179" t="inlineStr">
        <is>
          <t>VILHELMINA</t>
        </is>
      </c>
      <c r="G179" t="n">
        <v>10.8</v>
      </c>
      <c r="H179" t="n">
        <v>0</v>
      </c>
      <c r="I179" t="n">
        <v>0</v>
      </c>
      <c r="J179" t="n">
        <v>1</v>
      </c>
      <c r="K179" t="n">
        <v>1</v>
      </c>
      <c r="L179" t="n">
        <v>0</v>
      </c>
      <c r="M179" t="n">
        <v>0</v>
      </c>
      <c r="N179" t="n">
        <v>0</v>
      </c>
      <c r="O179" t="n">
        <v>2</v>
      </c>
      <c r="P179" t="n">
        <v>1</v>
      </c>
      <c r="Q179" t="n">
        <v>2</v>
      </c>
      <c r="R179" s="2" t="inlineStr">
        <is>
          <t>Ostticka
Garnlav</t>
        </is>
      </c>
      <c r="S179">
        <f>HYPERLINK("https://klasma.github.io/Logging_2462/artfynd/A 32253-2022 artfynd.xlsx", "A 32253-2022")</f>
        <v/>
      </c>
      <c r="T179">
        <f>HYPERLINK("https://klasma.github.io/Logging_2462/kartor/A 32253-2022 karta.png", "A 32253-2022")</f>
        <v/>
      </c>
      <c r="V179">
        <f>HYPERLINK("https://klasma.github.io/Logging_2462/klagomål/A 32253-2022 FSC-klagomål.docx", "A 32253-2022")</f>
        <v/>
      </c>
      <c r="W179">
        <f>HYPERLINK("https://klasma.github.io/Logging_2462/klagomålsmail/A 32253-2022 FSC-klagomål mail.docx", "A 32253-2022")</f>
        <v/>
      </c>
      <c r="X179">
        <f>HYPERLINK("https://klasma.github.io/Logging_2462/tillsyn/A 32253-2022 tillsynsbegäran.docx", "A 32253-2022")</f>
        <v/>
      </c>
      <c r="Y179">
        <f>HYPERLINK("https://klasma.github.io/Logging_2462/tillsynsmail/A 32253-2022 tillsynsbegäran mail.docx", "A 32253-2022")</f>
        <v/>
      </c>
    </row>
    <row r="180" ht="15" customHeight="1">
      <c r="A180" t="inlineStr">
        <is>
          <t>A 28013-2023</t>
        </is>
      </c>
      <c r="B180" s="1" t="n">
        <v>45098</v>
      </c>
      <c r="C180" s="1" t="n">
        <v>45672</v>
      </c>
      <c r="D180" t="inlineStr">
        <is>
          <t>VÄSTERBOTTENS LÄN</t>
        </is>
      </c>
      <c r="E180" t="inlineStr">
        <is>
          <t>VILHELMINA</t>
        </is>
      </c>
      <c r="F180" t="inlineStr">
        <is>
          <t>SCA</t>
        </is>
      </c>
      <c r="G180" t="n">
        <v>7.8</v>
      </c>
      <c r="H180" t="n">
        <v>0</v>
      </c>
      <c r="I180" t="n">
        <v>0</v>
      </c>
      <c r="J180" t="n">
        <v>1</v>
      </c>
      <c r="K180" t="n">
        <v>1</v>
      </c>
      <c r="L180" t="n">
        <v>0</v>
      </c>
      <c r="M180" t="n">
        <v>0</v>
      </c>
      <c r="N180" t="n">
        <v>0</v>
      </c>
      <c r="O180" t="n">
        <v>2</v>
      </c>
      <c r="P180" t="n">
        <v>1</v>
      </c>
      <c r="Q180" t="n">
        <v>2</v>
      </c>
      <c r="R180" s="2" t="inlineStr">
        <is>
          <t>Tajgaskinn
Granticka</t>
        </is>
      </c>
      <c r="S180">
        <f>HYPERLINK("https://klasma.github.io/Logging_2462/artfynd/A 28013-2023 artfynd.xlsx", "A 28013-2023")</f>
        <v/>
      </c>
      <c r="T180">
        <f>HYPERLINK("https://klasma.github.io/Logging_2462/kartor/A 28013-2023 karta.png", "A 28013-2023")</f>
        <v/>
      </c>
      <c r="V180">
        <f>HYPERLINK("https://klasma.github.io/Logging_2462/klagomål/A 28013-2023 FSC-klagomål.docx", "A 28013-2023")</f>
        <v/>
      </c>
      <c r="W180">
        <f>HYPERLINK("https://klasma.github.io/Logging_2462/klagomålsmail/A 28013-2023 FSC-klagomål mail.docx", "A 28013-2023")</f>
        <v/>
      </c>
      <c r="X180">
        <f>HYPERLINK("https://klasma.github.io/Logging_2462/tillsyn/A 28013-2023 tillsynsbegäran.docx", "A 28013-2023")</f>
        <v/>
      </c>
      <c r="Y180">
        <f>HYPERLINK("https://klasma.github.io/Logging_2462/tillsynsmail/A 28013-2023 tillsynsbegäran mail.docx", "A 28013-2023")</f>
        <v/>
      </c>
    </row>
    <row r="181" ht="15" customHeight="1">
      <c r="A181" t="inlineStr">
        <is>
          <t>A 28012-2023</t>
        </is>
      </c>
      <c r="B181" s="1" t="n">
        <v>45098</v>
      </c>
      <c r="C181" s="1" t="n">
        <v>45672</v>
      </c>
      <c r="D181" t="inlineStr">
        <is>
          <t>VÄSTERBOTTENS LÄN</t>
        </is>
      </c>
      <c r="E181" t="inlineStr">
        <is>
          <t>VILHELMINA</t>
        </is>
      </c>
      <c r="F181" t="inlineStr">
        <is>
          <t>SCA</t>
        </is>
      </c>
      <c r="G181" t="n">
        <v>1.7</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28012-2023 artfynd.xlsx", "A 28012-2023")</f>
        <v/>
      </c>
      <c r="T181">
        <f>HYPERLINK("https://klasma.github.io/Logging_2462/kartor/A 28012-2023 karta.png", "A 28012-2023")</f>
        <v/>
      </c>
      <c r="V181">
        <f>HYPERLINK("https://klasma.github.io/Logging_2462/klagomål/A 28012-2023 FSC-klagomål.docx", "A 28012-2023")</f>
        <v/>
      </c>
      <c r="W181">
        <f>HYPERLINK("https://klasma.github.io/Logging_2462/klagomålsmail/A 28012-2023 FSC-klagomål mail.docx", "A 28012-2023")</f>
        <v/>
      </c>
      <c r="X181">
        <f>HYPERLINK("https://klasma.github.io/Logging_2462/tillsyn/A 28012-2023 tillsynsbegäran.docx", "A 28012-2023")</f>
        <v/>
      </c>
      <c r="Y181">
        <f>HYPERLINK("https://klasma.github.io/Logging_2462/tillsynsmail/A 28012-2023 tillsynsbegäran mail.docx", "A 28012-2023")</f>
        <v/>
      </c>
      <c r="Z181">
        <f>HYPERLINK("https://klasma.github.io/Logging_2462/fåglar/A 28012-2023 prioriterade fågelarter.docx", "A 28012-2023")</f>
        <v/>
      </c>
    </row>
    <row r="182" ht="15" customHeight="1">
      <c r="A182" t="inlineStr">
        <is>
          <t>A 30717-2023</t>
        </is>
      </c>
      <c r="B182" s="1" t="n">
        <v>45112</v>
      </c>
      <c r="C182" s="1" t="n">
        <v>45672</v>
      </c>
      <c r="D182" t="inlineStr">
        <is>
          <t>VÄSTERBOTTENS LÄN</t>
        </is>
      </c>
      <c r="E182" t="inlineStr">
        <is>
          <t>VILHELMINA</t>
        </is>
      </c>
      <c r="G182" t="n">
        <v>22.7</v>
      </c>
      <c r="H182" t="n">
        <v>0</v>
      </c>
      <c r="I182" t="n">
        <v>0</v>
      </c>
      <c r="J182" t="n">
        <v>2</v>
      </c>
      <c r="K182" t="n">
        <v>0</v>
      </c>
      <c r="L182" t="n">
        <v>0</v>
      </c>
      <c r="M182" t="n">
        <v>0</v>
      </c>
      <c r="N182" t="n">
        <v>0</v>
      </c>
      <c r="O182" t="n">
        <v>2</v>
      </c>
      <c r="P182" t="n">
        <v>0</v>
      </c>
      <c r="Q182" t="n">
        <v>2</v>
      </c>
      <c r="R182" s="2" t="inlineStr">
        <is>
          <t>Garnlav
Ullticka</t>
        </is>
      </c>
      <c r="S182">
        <f>HYPERLINK("https://klasma.github.io/Logging_2462/artfynd/A 30717-2023 artfynd.xlsx", "A 30717-2023")</f>
        <v/>
      </c>
      <c r="T182">
        <f>HYPERLINK("https://klasma.github.io/Logging_2462/kartor/A 30717-2023 karta.png", "A 30717-2023")</f>
        <v/>
      </c>
      <c r="V182">
        <f>HYPERLINK("https://klasma.github.io/Logging_2462/klagomål/A 30717-2023 FSC-klagomål.docx", "A 30717-2023")</f>
        <v/>
      </c>
      <c r="W182">
        <f>HYPERLINK("https://klasma.github.io/Logging_2462/klagomålsmail/A 30717-2023 FSC-klagomål mail.docx", "A 30717-2023")</f>
        <v/>
      </c>
      <c r="X182">
        <f>HYPERLINK("https://klasma.github.io/Logging_2462/tillsyn/A 30717-2023 tillsynsbegäran.docx", "A 30717-2023")</f>
        <v/>
      </c>
      <c r="Y182">
        <f>HYPERLINK("https://klasma.github.io/Logging_2462/tillsynsmail/A 30717-2023 tillsynsbegäran mail.docx", "A 30717-2023")</f>
        <v/>
      </c>
    </row>
    <row r="183" ht="15" customHeight="1">
      <c r="A183" t="inlineStr">
        <is>
          <t>A 34089-2023</t>
        </is>
      </c>
      <c r="B183" s="1" t="n">
        <v>45125</v>
      </c>
      <c r="C183" s="1" t="n">
        <v>45672</v>
      </c>
      <c r="D183" t="inlineStr">
        <is>
          <t>VÄSTERBOTTENS LÄN</t>
        </is>
      </c>
      <c r="E183" t="inlineStr">
        <is>
          <t>VILHELMINA</t>
        </is>
      </c>
      <c r="G183" t="n">
        <v>24.1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34089-2023 artfynd.xlsx", "A 34089-2023")</f>
        <v/>
      </c>
      <c r="T183">
        <f>HYPERLINK("https://klasma.github.io/Logging_2462/kartor/A 34089-2023 karta.png", "A 34089-2023")</f>
        <v/>
      </c>
      <c r="V183">
        <f>HYPERLINK("https://klasma.github.io/Logging_2462/klagomål/A 34089-2023 FSC-klagomål.docx", "A 34089-2023")</f>
        <v/>
      </c>
      <c r="W183">
        <f>HYPERLINK("https://klasma.github.io/Logging_2462/klagomålsmail/A 34089-2023 FSC-klagomål mail.docx", "A 34089-2023")</f>
        <v/>
      </c>
      <c r="X183">
        <f>HYPERLINK("https://klasma.github.io/Logging_2462/tillsyn/A 34089-2023 tillsynsbegäran.docx", "A 34089-2023")</f>
        <v/>
      </c>
      <c r="Y183">
        <f>HYPERLINK("https://klasma.github.io/Logging_2462/tillsynsmail/A 34089-2023 tillsynsbegäran mail.docx", "A 34089-2023")</f>
        <v/>
      </c>
      <c r="Z183">
        <f>HYPERLINK("https://klasma.github.io/Logging_2462/fåglar/A 34089-2023 prioriterade fågelarter.docx", "A 34089-2023")</f>
        <v/>
      </c>
    </row>
    <row r="184" ht="15" customHeight="1">
      <c r="A184" t="inlineStr">
        <is>
          <t>A 64030-2023</t>
        </is>
      </c>
      <c r="B184" s="1" t="n">
        <v>45278</v>
      </c>
      <c r="C184" s="1" t="n">
        <v>45672</v>
      </c>
      <c r="D184" t="inlineStr">
        <is>
          <t>VÄSTERBOTTENS LÄN</t>
        </is>
      </c>
      <c r="E184" t="inlineStr">
        <is>
          <t>VILHELMINA</t>
        </is>
      </c>
      <c r="F184" t="inlineStr">
        <is>
          <t>SCA</t>
        </is>
      </c>
      <c r="G184" t="n">
        <v>1.7</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HYPERLINK("https://klasma.github.io/Logging_2462/artfynd/A 64030-2023 artfynd.xlsx", "A 64030-2023")</f>
        <v/>
      </c>
      <c r="T184">
        <f>HYPERLINK("https://klasma.github.io/Logging_2462/kartor/A 64030-2023 karta.png", "A 64030-2023")</f>
        <v/>
      </c>
      <c r="V184">
        <f>HYPERLINK("https://klasma.github.io/Logging_2462/klagomål/A 64030-2023 FSC-klagomål.docx", "A 64030-2023")</f>
        <v/>
      </c>
      <c r="W184">
        <f>HYPERLINK("https://klasma.github.io/Logging_2462/klagomålsmail/A 64030-2023 FSC-klagomål mail.docx", "A 64030-2023")</f>
        <v/>
      </c>
      <c r="X184">
        <f>HYPERLINK("https://klasma.github.io/Logging_2462/tillsyn/A 64030-2023 tillsynsbegäran.docx", "A 64030-2023")</f>
        <v/>
      </c>
      <c r="Y184">
        <f>HYPERLINK("https://klasma.github.io/Logging_2462/tillsynsmail/A 64030-2023 tillsynsbegäran mail.docx", "A 64030-2023")</f>
        <v/>
      </c>
      <c r="Z184">
        <f>HYPERLINK("https://klasma.github.io/Logging_2462/fåglar/A 64030-2023 prioriterade fågelarter.docx", "A 64030-2023")</f>
        <v/>
      </c>
    </row>
    <row r="185" ht="15" customHeight="1">
      <c r="A185" t="inlineStr">
        <is>
          <t>A 14020-2024</t>
        </is>
      </c>
      <c r="B185" s="1" t="n">
        <v>45392</v>
      </c>
      <c r="C185" s="1" t="n">
        <v>45672</v>
      </c>
      <c r="D185" t="inlineStr">
        <is>
          <t>VÄSTERBOTTENS LÄN</t>
        </is>
      </c>
      <c r="E185" t="inlineStr">
        <is>
          <t>VILHELMINA</t>
        </is>
      </c>
      <c r="G185" t="n">
        <v>7.3</v>
      </c>
      <c r="H185" t="n">
        <v>0</v>
      </c>
      <c r="I185" t="n">
        <v>0</v>
      </c>
      <c r="J185" t="n">
        <v>2</v>
      </c>
      <c r="K185" t="n">
        <v>0</v>
      </c>
      <c r="L185" t="n">
        <v>0</v>
      </c>
      <c r="M185" t="n">
        <v>0</v>
      </c>
      <c r="N185" t="n">
        <v>0</v>
      </c>
      <c r="O185" t="n">
        <v>2</v>
      </c>
      <c r="P185" t="n">
        <v>0</v>
      </c>
      <c r="Q185" t="n">
        <v>2</v>
      </c>
      <c r="R185" s="2" t="inlineStr">
        <is>
          <t>Doftskinn
Garnlav</t>
        </is>
      </c>
      <c r="S185">
        <f>HYPERLINK("https://klasma.github.io/Logging_2462/artfynd/A 14020-2024 artfynd.xlsx", "A 14020-2024")</f>
        <v/>
      </c>
      <c r="T185">
        <f>HYPERLINK("https://klasma.github.io/Logging_2462/kartor/A 14020-2024 karta.png", "A 14020-2024")</f>
        <v/>
      </c>
      <c r="V185">
        <f>HYPERLINK("https://klasma.github.io/Logging_2462/klagomål/A 14020-2024 FSC-klagomål.docx", "A 14020-2024")</f>
        <v/>
      </c>
      <c r="W185">
        <f>HYPERLINK("https://klasma.github.io/Logging_2462/klagomålsmail/A 14020-2024 FSC-klagomål mail.docx", "A 14020-2024")</f>
        <v/>
      </c>
      <c r="X185">
        <f>HYPERLINK("https://klasma.github.io/Logging_2462/tillsyn/A 14020-2024 tillsynsbegäran.docx", "A 14020-2024")</f>
        <v/>
      </c>
      <c r="Y185">
        <f>HYPERLINK("https://klasma.github.io/Logging_2462/tillsynsmail/A 14020-2024 tillsynsbegäran mail.docx", "A 14020-2024")</f>
        <v/>
      </c>
    </row>
    <row r="186" ht="15" customHeight="1">
      <c r="A186" t="inlineStr">
        <is>
          <t>A 29072-2024</t>
        </is>
      </c>
      <c r="B186" s="1" t="n">
        <v>45481</v>
      </c>
      <c r="C186" s="1" t="n">
        <v>45672</v>
      </c>
      <c r="D186" t="inlineStr">
        <is>
          <t>VÄSTERBOTTENS LÄN</t>
        </is>
      </c>
      <c r="E186" t="inlineStr">
        <is>
          <t>VILHELMINA</t>
        </is>
      </c>
      <c r="G186" t="n">
        <v>17.2</v>
      </c>
      <c r="H186" t="n">
        <v>0</v>
      </c>
      <c r="I186" t="n">
        <v>0</v>
      </c>
      <c r="J186" t="n">
        <v>1</v>
      </c>
      <c r="K186" t="n">
        <v>1</v>
      </c>
      <c r="L186" t="n">
        <v>0</v>
      </c>
      <c r="M186" t="n">
        <v>0</v>
      </c>
      <c r="N186" t="n">
        <v>0</v>
      </c>
      <c r="O186" t="n">
        <v>2</v>
      </c>
      <c r="P186" t="n">
        <v>1</v>
      </c>
      <c r="Q186" t="n">
        <v>2</v>
      </c>
      <c r="R186" s="2" t="inlineStr">
        <is>
          <t>Rynkskinn
Harticka</t>
        </is>
      </c>
      <c r="S186">
        <f>HYPERLINK("https://klasma.github.io/Logging_2462/artfynd/A 29072-2024 artfynd.xlsx", "A 29072-2024")</f>
        <v/>
      </c>
      <c r="T186">
        <f>HYPERLINK("https://klasma.github.io/Logging_2462/kartor/A 29072-2024 karta.png", "A 29072-2024")</f>
        <v/>
      </c>
      <c r="V186">
        <f>HYPERLINK("https://klasma.github.io/Logging_2462/klagomål/A 29072-2024 FSC-klagomål.docx", "A 29072-2024")</f>
        <v/>
      </c>
      <c r="W186">
        <f>HYPERLINK("https://klasma.github.io/Logging_2462/klagomålsmail/A 29072-2024 FSC-klagomål mail.docx", "A 29072-2024")</f>
        <v/>
      </c>
      <c r="X186">
        <f>HYPERLINK("https://klasma.github.io/Logging_2462/tillsyn/A 29072-2024 tillsynsbegäran.docx", "A 29072-2024")</f>
        <v/>
      </c>
      <c r="Y186">
        <f>HYPERLINK("https://klasma.github.io/Logging_2462/tillsynsmail/A 29072-2024 tillsynsbegäran mail.docx", "A 29072-2024")</f>
        <v/>
      </c>
    </row>
    <row r="187" ht="15" customHeight="1">
      <c r="A187" t="inlineStr">
        <is>
          <t>A 32705-2024</t>
        </is>
      </c>
      <c r="B187" s="1" t="n">
        <v>45516</v>
      </c>
      <c r="C187" s="1" t="n">
        <v>45672</v>
      </c>
      <c r="D187" t="inlineStr">
        <is>
          <t>VÄSTERBOTTENS LÄN</t>
        </is>
      </c>
      <c r="E187" t="inlineStr">
        <is>
          <t>VILHELMINA</t>
        </is>
      </c>
      <c r="G187" t="n">
        <v>10.8</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32705-2024 artfynd.xlsx", "A 32705-2024")</f>
        <v/>
      </c>
      <c r="T187">
        <f>HYPERLINK("https://klasma.github.io/Logging_2462/kartor/A 32705-2024 karta.png", "A 32705-2024")</f>
        <v/>
      </c>
      <c r="V187">
        <f>HYPERLINK("https://klasma.github.io/Logging_2462/klagomål/A 32705-2024 FSC-klagomål.docx", "A 32705-2024")</f>
        <v/>
      </c>
      <c r="W187">
        <f>HYPERLINK("https://klasma.github.io/Logging_2462/klagomålsmail/A 32705-2024 FSC-klagomål mail.docx", "A 32705-2024")</f>
        <v/>
      </c>
      <c r="X187">
        <f>HYPERLINK("https://klasma.github.io/Logging_2462/tillsyn/A 32705-2024 tillsynsbegäran.docx", "A 32705-2024")</f>
        <v/>
      </c>
      <c r="Y187">
        <f>HYPERLINK("https://klasma.github.io/Logging_2462/tillsynsmail/A 32705-2024 tillsynsbegäran mail.docx", "A 32705-2024")</f>
        <v/>
      </c>
      <c r="Z187">
        <f>HYPERLINK("https://klasma.github.io/Logging_2462/fåglar/A 32705-2024 prioriterade fågelarter.docx", "A 32705-2024")</f>
        <v/>
      </c>
    </row>
    <row r="188" ht="15" customHeight="1">
      <c r="A188" t="inlineStr">
        <is>
          <t>A 37513-2024</t>
        </is>
      </c>
      <c r="B188" s="1" t="n">
        <v>45541</v>
      </c>
      <c r="C188" s="1" t="n">
        <v>45672</v>
      </c>
      <c r="D188" t="inlineStr">
        <is>
          <t>VÄSTERBOTTENS LÄN</t>
        </is>
      </c>
      <c r="E188" t="inlineStr">
        <is>
          <t>VILHELMINA</t>
        </is>
      </c>
      <c r="F188" t="inlineStr">
        <is>
          <t>SCA</t>
        </is>
      </c>
      <c r="G188" t="n">
        <v>3.4</v>
      </c>
      <c r="H188" t="n">
        <v>0</v>
      </c>
      <c r="I188" t="n">
        <v>0</v>
      </c>
      <c r="J188" t="n">
        <v>2</v>
      </c>
      <c r="K188" t="n">
        <v>0</v>
      </c>
      <c r="L188" t="n">
        <v>0</v>
      </c>
      <c r="M188" t="n">
        <v>0</v>
      </c>
      <c r="N188" t="n">
        <v>0</v>
      </c>
      <c r="O188" t="n">
        <v>2</v>
      </c>
      <c r="P188" t="n">
        <v>0</v>
      </c>
      <c r="Q188" t="n">
        <v>2</v>
      </c>
      <c r="R188" s="2" t="inlineStr">
        <is>
          <t>Rosenticka
Ullticka</t>
        </is>
      </c>
      <c r="S188">
        <f>HYPERLINK("https://klasma.github.io/Logging_2462/artfynd/A 37513-2024 artfynd.xlsx", "A 37513-2024")</f>
        <v/>
      </c>
      <c r="T188">
        <f>HYPERLINK("https://klasma.github.io/Logging_2462/kartor/A 37513-2024 karta.png", "A 37513-2024")</f>
        <v/>
      </c>
      <c r="V188">
        <f>HYPERLINK("https://klasma.github.io/Logging_2462/klagomål/A 37513-2024 FSC-klagomål.docx", "A 37513-2024")</f>
        <v/>
      </c>
      <c r="W188">
        <f>HYPERLINK("https://klasma.github.io/Logging_2462/klagomålsmail/A 37513-2024 FSC-klagomål mail.docx", "A 37513-2024")</f>
        <v/>
      </c>
      <c r="X188">
        <f>HYPERLINK("https://klasma.github.io/Logging_2462/tillsyn/A 37513-2024 tillsynsbegäran.docx", "A 37513-2024")</f>
        <v/>
      </c>
      <c r="Y188">
        <f>HYPERLINK("https://klasma.github.io/Logging_2462/tillsynsmail/A 37513-2024 tillsynsbegäran mail.docx", "A 37513-2024")</f>
        <v/>
      </c>
    </row>
    <row r="189" ht="15" customHeight="1">
      <c r="A189" t="inlineStr">
        <is>
          <t>A 38207-2024</t>
        </is>
      </c>
      <c r="B189" s="1" t="n">
        <v>45545</v>
      </c>
      <c r="C189" s="1" t="n">
        <v>45672</v>
      </c>
      <c r="D189" t="inlineStr">
        <is>
          <t>VÄSTERBOTTENS LÄN</t>
        </is>
      </c>
      <c r="E189" t="inlineStr">
        <is>
          <t>VILHELMINA</t>
        </is>
      </c>
      <c r="F189" t="inlineStr">
        <is>
          <t>Sveaskog</t>
        </is>
      </c>
      <c r="G189" t="n">
        <v>4</v>
      </c>
      <c r="H189" t="n">
        <v>0</v>
      </c>
      <c r="I189" t="n">
        <v>0</v>
      </c>
      <c r="J189" t="n">
        <v>2</v>
      </c>
      <c r="K189" t="n">
        <v>0</v>
      </c>
      <c r="L189" t="n">
        <v>0</v>
      </c>
      <c r="M189" t="n">
        <v>0</v>
      </c>
      <c r="N189" t="n">
        <v>0</v>
      </c>
      <c r="O189" t="n">
        <v>2</v>
      </c>
      <c r="P189" t="n">
        <v>0</v>
      </c>
      <c r="Q189" t="n">
        <v>2</v>
      </c>
      <c r="R189" s="2" t="inlineStr">
        <is>
          <t>Garnlav
Gränsticka</t>
        </is>
      </c>
      <c r="S189">
        <f>HYPERLINK("https://klasma.github.io/Logging_2462/artfynd/A 38207-2024 artfynd.xlsx", "A 38207-2024")</f>
        <v/>
      </c>
      <c r="T189">
        <f>HYPERLINK("https://klasma.github.io/Logging_2462/kartor/A 38207-2024 karta.png", "A 38207-2024")</f>
        <v/>
      </c>
      <c r="V189">
        <f>HYPERLINK("https://klasma.github.io/Logging_2462/klagomål/A 38207-2024 FSC-klagomål.docx", "A 38207-2024")</f>
        <v/>
      </c>
      <c r="W189">
        <f>HYPERLINK("https://klasma.github.io/Logging_2462/klagomålsmail/A 38207-2024 FSC-klagomål mail.docx", "A 38207-2024")</f>
        <v/>
      </c>
      <c r="X189">
        <f>HYPERLINK("https://klasma.github.io/Logging_2462/tillsyn/A 38207-2024 tillsynsbegäran.docx", "A 38207-2024")</f>
        <v/>
      </c>
      <c r="Y189">
        <f>HYPERLINK("https://klasma.github.io/Logging_2462/tillsynsmail/A 38207-2024 tillsynsbegäran mail.docx", "A 38207-2024")</f>
        <v/>
      </c>
    </row>
    <row r="190" ht="15" customHeight="1">
      <c r="A190" t="inlineStr">
        <is>
          <t>A 40718-2024</t>
        </is>
      </c>
      <c r="B190" s="1" t="n">
        <v>45558</v>
      </c>
      <c r="C190" s="1" t="n">
        <v>45672</v>
      </c>
      <c r="D190" t="inlineStr">
        <is>
          <t>VÄSTERBOTTENS LÄN</t>
        </is>
      </c>
      <c r="E190" t="inlineStr">
        <is>
          <t>VILHELMINA</t>
        </is>
      </c>
      <c r="F190" t="inlineStr">
        <is>
          <t>Allmännings- och besparingsskogar</t>
        </is>
      </c>
      <c r="G190" t="n">
        <v>2.8</v>
      </c>
      <c r="H190" t="n">
        <v>1</v>
      </c>
      <c r="I190" t="n">
        <v>0</v>
      </c>
      <c r="J190" t="n">
        <v>2</v>
      </c>
      <c r="K190" t="n">
        <v>0</v>
      </c>
      <c r="L190" t="n">
        <v>0</v>
      </c>
      <c r="M190" t="n">
        <v>0</v>
      </c>
      <c r="N190" t="n">
        <v>0</v>
      </c>
      <c r="O190" t="n">
        <v>2</v>
      </c>
      <c r="P190" t="n">
        <v>0</v>
      </c>
      <c r="Q190" t="n">
        <v>2</v>
      </c>
      <c r="R190" s="2" t="inlineStr">
        <is>
          <t>Garnlav
Järpe</t>
        </is>
      </c>
      <c r="S190">
        <f>HYPERLINK("https://klasma.github.io/Logging_2462/artfynd/A 40718-2024 artfynd.xlsx", "A 40718-2024")</f>
        <v/>
      </c>
      <c r="T190">
        <f>HYPERLINK("https://klasma.github.io/Logging_2462/kartor/A 40718-2024 karta.png", "A 40718-2024")</f>
        <v/>
      </c>
      <c r="V190">
        <f>HYPERLINK("https://klasma.github.io/Logging_2462/klagomål/A 40718-2024 FSC-klagomål.docx", "A 40718-2024")</f>
        <v/>
      </c>
      <c r="W190">
        <f>HYPERLINK("https://klasma.github.io/Logging_2462/klagomålsmail/A 40718-2024 FSC-klagomål mail.docx", "A 40718-2024")</f>
        <v/>
      </c>
      <c r="X190">
        <f>HYPERLINK("https://klasma.github.io/Logging_2462/tillsyn/A 40718-2024 tillsynsbegäran.docx", "A 40718-2024")</f>
        <v/>
      </c>
      <c r="Y190">
        <f>HYPERLINK("https://klasma.github.io/Logging_2462/tillsynsmail/A 40718-2024 tillsynsbegäran mail.docx", "A 40718-2024")</f>
        <v/>
      </c>
      <c r="Z190">
        <f>HYPERLINK("https://klasma.github.io/Logging_2462/fåglar/A 40718-2024 prioriterade fågelarter.docx", "A 40718-2024")</f>
        <v/>
      </c>
    </row>
    <row r="191" ht="15" customHeight="1">
      <c r="A191" t="inlineStr">
        <is>
          <t>A 41645-2024</t>
        </is>
      </c>
      <c r="B191" s="1" t="n">
        <v>45560</v>
      </c>
      <c r="C191" s="1" t="n">
        <v>45672</v>
      </c>
      <c r="D191" t="inlineStr">
        <is>
          <t>VÄSTERBOTTENS LÄN</t>
        </is>
      </c>
      <c r="E191" t="inlineStr">
        <is>
          <t>VILHELMINA</t>
        </is>
      </c>
      <c r="F191" t="inlineStr">
        <is>
          <t>SCA</t>
        </is>
      </c>
      <c r="G191" t="n">
        <v>10.4</v>
      </c>
      <c r="H191" t="n">
        <v>1</v>
      </c>
      <c r="I191" t="n">
        <v>1</v>
      </c>
      <c r="J191" t="n">
        <v>1</v>
      </c>
      <c r="K191" t="n">
        <v>0</v>
      </c>
      <c r="L191" t="n">
        <v>0</v>
      </c>
      <c r="M191" t="n">
        <v>0</v>
      </c>
      <c r="N191" t="n">
        <v>0</v>
      </c>
      <c r="O191" t="n">
        <v>1</v>
      </c>
      <c r="P191" t="n">
        <v>0</v>
      </c>
      <c r="Q191" t="n">
        <v>2</v>
      </c>
      <c r="R191" s="2" t="inlineStr">
        <is>
          <t>Gammelgransskål
Lappranunkel</t>
        </is>
      </c>
      <c r="S191">
        <f>HYPERLINK("https://klasma.github.io/Logging_2462/artfynd/A 41645-2024 artfynd.xlsx", "A 41645-2024")</f>
        <v/>
      </c>
      <c r="T191">
        <f>HYPERLINK("https://klasma.github.io/Logging_2462/kartor/A 41645-2024 karta.png", "A 41645-2024")</f>
        <v/>
      </c>
      <c r="V191">
        <f>HYPERLINK("https://klasma.github.io/Logging_2462/klagomål/A 41645-2024 FSC-klagomål.docx", "A 41645-2024")</f>
        <v/>
      </c>
      <c r="W191">
        <f>HYPERLINK("https://klasma.github.io/Logging_2462/klagomålsmail/A 41645-2024 FSC-klagomål mail.docx", "A 41645-2024")</f>
        <v/>
      </c>
      <c r="X191">
        <f>HYPERLINK("https://klasma.github.io/Logging_2462/tillsyn/A 41645-2024 tillsynsbegäran.docx", "A 41645-2024")</f>
        <v/>
      </c>
      <c r="Y191">
        <f>HYPERLINK("https://klasma.github.io/Logging_2462/tillsynsmail/A 41645-2024 tillsynsbegäran mail.docx", "A 41645-2024")</f>
        <v/>
      </c>
    </row>
    <row r="192" ht="15" customHeight="1">
      <c r="A192" t="inlineStr">
        <is>
          <t>A 46391-2024</t>
        </is>
      </c>
      <c r="B192" s="1" t="n">
        <v>45582</v>
      </c>
      <c r="C192" s="1" t="n">
        <v>45672</v>
      </c>
      <c r="D192" t="inlineStr">
        <is>
          <t>VÄSTERBOTTENS LÄN</t>
        </is>
      </c>
      <c r="E192" t="inlineStr">
        <is>
          <t>VILHELMINA</t>
        </is>
      </c>
      <c r="F192" t="inlineStr">
        <is>
          <t>SCA</t>
        </is>
      </c>
      <c r="G192" t="n">
        <v>23.4</v>
      </c>
      <c r="H192" t="n">
        <v>0</v>
      </c>
      <c r="I192" t="n">
        <v>0</v>
      </c>
      <c r="J192" t="n">
        <v>2</v>
      </c>
      <c r="K192" t="n">
        <v>0</v>
      </c>
      <c r="L192" t="n">
        <v>0</v>
      </c>
      <c r="M192" t="n">
        <v>0</v>
      </c>
      <c r="N192" t="n">
        <v>0</v>
      </c>
      <c r="O192" t="n">
        <v>2</v>
      </c>
      <c r="P192" t="n">
        <v>0</v>
      </c>
      <c r="Q192" t="n">
        <v>2</v>
      </c>
      <c r="R192" s="2" t="inlineStr">
        <is>
          <t>Granticka
Gränsticka</t>
        </is>
      </c>
      <c r="S192">
        <f>HYPERLINK("https://klasma.github.io/Logging_2462/artfynd/A 46391-2024 artfynd.xlsx", "A 46391-2024")</f>
        <v/>
      </c>
      <c r="T192">
        <f>HYPERLINK("https://klasma.github.io/Logging_2462/kartor/A 46391-2024 karta.png", "A 46391-2024")</f>
        <v/>
      </c>
      <c r="V192">
        <f>HYPERLINK("https://klasma.github.io/Logging_2462/klagomål/A 46391-2024 FSC-klagomål.docx", "A 46391-2024")</f>
        <v/>
      </c>
      <c r="W192">
        <f>HYPERLINK("https://klasma.github.io/Logging_2462/klagomålsmail/A 46391-2024 FSC-klagomål mail.docx", "A 46391-2024")</f>
        <v/>
      </c>
      <c r="X192">
        <f>HYPERLINK("https://klasma.github.io/Logging_2462/tillsyn/A 46391-2024 tillsynsbegäran.docx", "A 46391-2024")</f>
        <v/>
      </c>
      <c r="Y192">
        <f>HYPERLINK("https://klasma.github.io/Logging_2462/tillsynsmail/A 46391-2024 tillsynsbegäran mail.docx", "A 46391-2024")</f>
        <v/>
      </c>
    </row>
    <row r="193" ht="15" customHeight="1">
      <c r="A193" t="inlineStr">
        <is>
          <t>A 54779-2024</t>
        </is>
      </c>
      <c r="B193" s="1" t="n">
        <v>45618</v>
      </c>
      <c r="C193" s="1" t="n">
        <v>45672</v>
      </c>
      <c r="D193" t="inlineStr">
        <is>
          <t>VÄSTERBOTTENS LÄN</t>
        </is>
      </c>
      <c r="E193" t="inlineStr">
        <is>
          <t>VILHELMINA</t>
        </is>
      </c>
      <c r="F193" t="inlineStr">
        <is>
          <t>SCA</t>
        </is>
      </c>
      <c r="G193" t="n">
        <v>10.3</v>
      </c>
      <c r="H193" t="n">
        <v>0</v>
      </c>
      <c r="I193" t="n">
        <v>0</v>
      </c>
      <c r="J193" t="n">
        <v>2</v>
      </c>
      <c r="K193" t="n">
        <v>0</v>
      </c>
      <c r="L193" t="n">
        <v>0</v>
      </c>
      <c r="M193" t="n">
        <v>0</v>
      </c>
      <c r="N193" t="n">
        <v>0</v>
      </c>
      <c r="O193" t="n">
        <v>2</v>
      </c>
      <c r="P193" t="n">
        <v>0</v>
      </c>
      <c r="Q193" t="n">
        <v>2</v>
      </c>
      <c r="R193" s="2" t="inlineStr">
        <is>
          <t>Gammelgransskål
Harticka</t>
        </is>
      </c>
      <c r="S193">
        <f>HYPERLINK("https://klasma.github.io/Logging_2462/artfynd/A 54779-2024 artfynd.xlsx", "A 54779-2024")</f>
        <v/>
      </c>
      <c r="T193">
        <f>HYPERLINK("https://klasma.github.io/Logging_2462/kartor/A 54779-2024 karta.png", "A 54779-2024")</f>
        <v/>
      </c>
      <c r="V193">
        <f>HYPERLINK("https://klasma.github.io/Logging_2462/klagomål/A 54779-2024 FSC-klagomål.docx", "A 54779-2024")</f>
        <v/>
      </c>
      <c r="W193">
        <f>HYPERLINK("https://klasma.github.io/Logging_2462/klagomålsmail/A 54779-2024 FSC-klagomål mail.docx", "A 54779-2024")</f>
        <v/>
      </c>
      <c r="X193">
        <f>HYPERLINK("https://klasma.github.io/Logging_2462/tillsyn/A 54779-2024 tillsynsbegäran.docx", "A 54779-2024")</f>
        <v/>
      </c>
      <c r="Y193">
        <f>HYPERLINK("https://klasma.github.io/Logging_2462/tillsynsmail/A 54779-2024 tillsynsbegäran mail.docx", "A 54779-2024")</f>
        <v/>
      </c>
    </row>
    <row r="194" ht="15" customHeight="1">
      <c r="A194" t="inlineStr">
        <is>
          <t>A 60379-2024</t>
        </is>
      </c>
      <c r="B194" s="1" t="n">
        <v>45643</v>
      </c>
      <c r="C194" s="1" t="n">
        <v>45672</v>
      </c>
      <c r="D194" t="inlineStr">
        <is>
          <t>VÄSTERBOTTENS LÄN</t>
        </is>
      </c>
      <c r="E194" t="inlineStr">
        <is>
          <t>VILHELMINA</t>
        </is>
      </c>
      <c r="F194" t="inlineStr">
        <is>
          <t>SCA</t>
        </is>
      </c>
      <c r="G194" t="n">
        <v>12.4</v>
      </c>
      <c r="H194" t="n">
        <v>0</v>
      </c>
      <c r="I194" t="n">
        <v>0</v>
      </c>
      <c r="J194" t="n">
        <v>2</v>
      </c>
      <c r="K194" t="n">
        <v>0</v>
      </c>
      <c r="L194" t="n">
        <v>0</v>
      </c>
      <c r="M194" t="n">
        <v>0</v>
      </c>
      <c r="N194" t="n">
        <v>0</v>
      </c>
      <c r="O194" t="n">
        <v>2</v>
      </c>
      <c r="P194" t="n">
        <v>0</v>
      </c>
      <c r="Q194" t="n">
        <v>2</v>
      </c>
      <c r="R194" s="2" t="inlineStr">
        <is>
          <t>Skrovellav
Ullticka</t>
        </is>
      </c>
      <c r="S194">
        <f>HYPERLINK("https://klasma.github.io/Logging_2462/artfynd/A 60379-2024 artfynd.xlsx", "A 60379-2024")</f>
        <v/>
      </c>
      <c r="T194">
        <f>HYPERLINK("https://klasma.github.io/Logging_2462/kartor/A 60379-2024 karta.png", "A 60379-2024")</f>
        <v/>
      </c>
      <c r="V194">
        <f>HYPERLINK("https://klasma.github.io/Logging_2462/klagomål/A 60379-2024 FSC-klagomål.docx", "A 60379-2024")</f>
        <v/>
      </c>
      <c r="W194">
        <f>HYPERLINK("https://klasma.github.io/Logging_2462/klagomålsmail/A 60379-2024 FSC-klagomål mail.docx", "A 60379-2024")</f>
        <v/>
      </c>
      <c r="X194">
        <f>HYPERLINK("https://klasma.github.io/Logging_2462/tillsyn/A 60379-2024 tillsynsbegäran.docx", "A 60379-2024")</f>
        <v/>
      </c>
      <c r="Y194">
        <f>HYPERLINK("https://klasma.github.io/Logging_2462/tillsynsmail/A 60379-2024 tillsynsbegäran mail.docx", "A 60379-2024")</f>
        <v/>
      </c>
    </row>
    <row r="195" ht="15" customHeight="1">
      <c r="A195" t="inlineStr">
        <is>
          <t>A 60737-2024</t>
        </is>
      </c>
      <c r="B195" s="1" t="n">
        <v>45644</v>
      </c>
      <c r="C195" s="1" t="n">
        <v>45672</v>
      </c>
      <c r="D195" t="inlineStr">
        <is>
          <t>VÄSTERBOTTENS LÄN</t>
        </is>
      </c>
      <c r="E195" t="inlineStr">
        <is>
          <t>VILHELMINA</t>
        </is>
      </c>
      <c r="G195" t="n">
        <v>199.5</v>
      </c>
      <c r="H195" t="n">
        <v>2</v>
      </c>
      <c r="I195" t="n">
        <v>0</v>
      </c>
      <c r="J195" t="n">
        <v>1</v>
      </c>
      <c r="K195" t="n">
        <v>0</v>
      </c>
      <c r="L195" t="n">
        <v>0</v>
      </c>
      <c r="M195" t="n">
        <v>0</v>
      </c>
      <c r="N195" t="n">
        <v>0</v>
      </c>
      <c r="O195" t="n">
        <v>1</v>
      </c>
      <c r="P195" t="n">
        <v>0</v>
      </c>
      <c r="Q195" t="n">
        <v>2</v>
      </c>
      <c r="R195" s="2" t="inlineStr">
        <is>
          <t>Alfågel
Skogsrör</t>
        </is>
      </c>
      <c r="S195">
        <f>HYPERLINK("https://klasma.github.io/Logging_2462/artfynd/A 60737-2024 artfynd.xlsx", "A 60737-2024")</f>
        <v/>
      </c>
      <c r="T195">
        <f>HYPERLINK("https://klasma.github.io/Logging_2462/kartor/A 60737-2024 karta.png", "A 60737-2024")</f>
        <v/>
      </c>
      <c r="V195">
        <f>HYPERLINK("https://klasma.github.io/Logging_2462/klagomål/A 60737-2024 FSC-klagomål.docx", "A 60737-2024")</f>
        <v/>
      </c>
      <c r="W195">
        <f>HYPERLINK("https://klasma.github.io/Logging_2462/klagomålsmail/A 60737-2024 FSC-klagomål mail.docx", "A 60737-2024")</f>
        <v/>
      </c>
      <c r="X195">
        <f>HYPERLINK("https://klasma.github.io/Logging_2462/tillsyn/A 60737-2024 tillsynsbegäran.docx", "A 60737-2024")</f>
        <v/>
      </c>
      <c r="Y195">
        <f>HYPERLINK("https://klasma.github.io/Logging_2462/tillsynsmail/A 60737-2024 tillsynsbegäran mail.docx", "A 60737-2024")</f>
        <v/>
      </c>
    </row>
    <row r="196" ht="15" customHeight="1">
      <c r="A196" t="inlineStr">
        <is>
          <t>A 51774-2019</t>
        </is>
      </c>
      <c r="B196" s="1" t="n">
        <v>43741</v>
      </c>
      <c r="C196" s="1" t="n">
        <v>45672</v>
      </c>
      <c r="D196" t="inlineStr">
        <is>
          <t>VÄSTERBOTTENS LÄN</t>
        </is>
      </c>
      <c r="E196" t="inlineStr">
        <is>
          <t>VILHELMINA</t>
        </is>
      </c>
      <c r="F196" t="inlineStr">
        <is>
          <t>Allmännings- och besparingsskogar</t>
        </is>
      </c>
      <c r="G196" t="n">
        <v>19.9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51774-2019 artfynd.xlsx", "A 51774-2019")</f>
        <v/>
      </c>
      <c r="T196">
        <f>HYPERLINK("https://klasma.github.io/Logging_2462/kartor/A 51774-2019 karta.png", "A 51774-2019")</f>
        <v/>
      </c>
      <c r="V196">
        <f>HYPERLINK("https://klasma.github.io/Logging_2462/klagomål/A 51774-2019 FSC-klagomål.docx", "A 51774-2019")</f>
        <v/>
      </c>
      <c r="W196">
        <f>HYPERLINK("https://klasma.github.io/Logging_2462/klagomålsmail/A 51774-2019 FSC-klagomål mail.docx", "A 51774-2019")</f>
        <v/>
      </c>
      <c r="X196">
        <f>HYPERLINK("https://klasma.github.io/Logging_2462/tillsyn/A 51774-2019 tillsynsbegäran.docx", "A 51774-2019")</f>
        <v/>
      </c>
      <c r="Y196">
        <f>HYPERLINK("https://klasma.github.io/Logging_2462/tillsynsmail/A 51774-2019 tillsynsbegäran mail.docx", "A 51774-2019")</f>
        <v/>
      </c>
      <c r="Z196">
        <f>HYPERLINK("https://klasma.github.io/Logging_2462/fåglar/A 51774-2019 prioriterade fågelarter.docx", "A 51774-2019")</f>
        <v/>
      </c>
    </row>
    <row r="197" ht="15" customHeight="1">
      <c r="A197" t="inlineStr">
        <is>
          <t>A 59424-2019</t>
        </is>
      </c>
      <c r="B197" s="1" t="n">
        <v>43775</v>
      </c>
      <c r="C197" s="1" t="n">
        <v>45672</v>
      </c>
      <c r="D197" t="inlineStr">
        <is>
          <t>VÄSTERBOTTENS LÄN</t>
        </is>
      </c>
      <c r="E197" t="inlineStr">
        <is>
          <t>VILHELMINA</t>
        </is>
      </c>
      <c r="G197" t="n">
        <v>17.4</v>
      </c>
      <c r="H197" t="n">
        <v>0</v>
      </c>
      <c r="I197" t="n">
        <v>0</v>
      </c>
      <c r="J197" t="n">
        <v>1</v>
      </c>
      <c r="K197" t="n">
        <v>0</v>
      </c>
      <c r="L197" t="n">
        <v>0</v>
      </c>
      <c r="M197" t="n">
        <v>0</v>
      </c>
      <c r="N197" t="n">
        <v>0</v>
      </c>
      <c r="O197" t="n">
        <v>1</v>
      </c>
      <c r="P197" t="n">
        <v>0</v>
      </c>
      <c r="Q197" t="n">
        <v>1</v>
      </c>
      <c r="R197" s="2" t="inlineStr">
        <is>
          <t>Granticka</t>
        </is>
      </c>
      <c r="S197">
        <f>HYPERLINK("https://klasma.github.io/Logging_2462/artfynd/A 59424-2019 artfynd.xlsx", "A 59424-2019")</f>
        <v/>
      </c>
      <c r="T197">
        <f>HYPERLINK("https://klasma.github.io/Logging_2462/kartor/A 59424-2019 karta.png", "A 59424-2019")</f>
        <v/>
      </c>
      <c r="V197">
        <f>HYPERLINK("https://klasma.github.io/Logging_2462/klagomål/A 59424-2019 FSC-klagomål.docx", "A 59424-2019")</f>
        <v/>
      </c>
      <c r="W197">
        <f>HYPERLINK("https://klasma.github.io/Logging_2462/klagomålsmail/A 59424-2019 FSC-klagomål mail.docx", "A 59424-2019")</f>
        <v/>
      </c>
      <c r="X197">
        <f>HYPERLINK("https://klasma.github.io/Logging_2462/tillsyn/A 59424-2019 tillsynsbegäran.docx", "A 59424-2019")</f>
        <v/>
      </c>
      <c r="Y197">
        <f>HYPERLINK("https://klasma.github.io/Logging_2462/tillsynsmail/A 59424-2019 tillsynsbegäran mail.docx", "A 59424-2019")</f>
        <v/>
      </c>
    </row>
    <row r="198" ht="15" customHeight="1">
      <c r="A198" t="inlineStr">
        <is>
          <t>A 220-2020</t>
        </is>
      </c>
      <c r="B198" s="1" t="n">
        <v>43833</v>
      </c>
      <c r="C198" s="1" t="n">
        <v>45672</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Vedskivlav</t>
        </is>
      </c>
      <c r="S198">
        <f>HYPERLINK("https://klasma.github.io/Logging_2462/artfynd/A 220-2020 artfynd.xlsx", "A 220-2020")</f>
        <v/>
      </c>
      <c r="T198">
        <f>HYPERLINK("https://klasma.github.io/Logging_2462/kartor/A 220-2020 karta.png", "A 220-2020")</f>
        <v/>
      </c>
      <c r="V198">
        <f>HYPERLINK("https://klasma.github.io/Logging_2462/klagomål/A 220-2020 FSC-klagomål.docx", "A 220-2020")</f>
        <v/>
      </c>
      <c r="W198">
        <f>HYPERLINK("https://klasma.github.io/Logging_2462/klagomålsmail/A 220-2020 FSC-klagomål mail.docx", "A 220-2020")</f>
        <v/>
      </c>
      <c r="X198">
        <f>HYPERLINK("https://klasma.github.io/Logging_2462/tillsyn/A 220-2020 tillsynsbegäran.docx", "A 220-2020")</f>
        <v/>
      </c>
      <c r="Y198">
        <f>HYPERLINK("https://klasma.github.io/Logging_2462/tillsynsmail/A 220-2020 tillsynsbegäran mail.docx", "A 220-2020")</f>
        <v/>
      </c>
    </row>
    <row r="199" ht="15" customHeight="1">
      <c r="A199" t="inlineStr">
        <is>
          <t>A 546-2020</t>
        </is>
      </c>
      <c r="B199" s="1" t="n">
        <v>43837</v>
      </c>
      <c r="C199" s="1" t="n">
        <v>45672</v>
      </c>
      <c r="D199" t="inlineStr">
        <is>
          <t>VÄSTERBOTTENS LÄN</t>
        </is>
      </c>
      <c r="E199" t="inlineStr">
        <is>
          <t>VILHELMINA</t>
        </is>
      </c>
      <c r="F199" t="inlineStr">
        <is>
          <t>SCA</t>
        </is>
      </c>
      <c r="G199" t="n">
        <v>3.1</v>
      </c>
      <c r="H199" t="n">
        <v>0</v>
      </c>
      <c r="I199" t="n">
        <v>0</v>
      </c>
      <c r="J199" t="n">
        <v>1</v>
      </c>
      <c r="K199" t="n">
        <v>0</v>
      </c>
      <c r="L199" t="n">
        <v>0</v>
      </c>
      <c r="M199" t="n">
        <v>0</v>
      </c>
      <c r="N199" t="n">
        <v>0</v>
      </c>
      <c r="O199" t="n">
        <v>1</v>
      </c>
      <c r="P199" t="n">
        <v>0</v>
      </c>
      <c r="Q199" t="n">
        <v>1</v>
      </c>
      <c r="R199" s="2" t="inlineStr">
        <is>
          <t>Vedskivlav</t>
        </is>
      </c>
      <c r="S199">
        <f>HYPERLINK("https://klasma.github.io/Logging_2462/artfynd/A 546-2020 artfynd.xlsx", "A 546-2020")</f>
        <v/>
      </c>
      <c r="T199">
        <f>HYPERLINK("https://klasma.github.io/Logging_2462/kartor/A 546-2020 karta.png", "A 546-2020")</f>
        <v/>
      </c>
      <c r="V199">
        <f>HYPERLINK("https://klasma.github.io/Logging_2462/klagomål/A 546-2020 FSC-klagomål.docx", "A 546-2020")</f>
        <v/>
      </c>
      <c r="W199">
        <f>HYPERLINK("https://klasma.github.io/Logging_2462/klagomålsmail/A 546-2020 FSC-klagomål mail.docx", "A 546-2020")</f>
        <v/>
      </c>
      <c r="X199">
        <f>HYPERLINK("https://klasma.github.io/Logging_2462/tillsyn/A 546-2020 tillsynsbegäran.docx", "A 546-2020")</f>
        <v/>
      </c>
      <c r="Y199">
        <f>HYPERLINK("https://klasma.github.io/Logging_2462/tillsynsmail/A 546-2020 tillsynsbegäran mail.docx", "A 546-2020")</f>
        <v/>
      </c>
    </row>
    <row r="200" ht="15" customHeight="1">
      <c r="A200" t="inlineStr">
        <is>
          <t>A 57861-2020</t>
        </is>
      </c>
      <c r="B200" s="1" t="n">
        <v>44141</v>
      </c>
      <c r="C200" s="1" t="n">
        <v>45672</v>
      </c>
      <c r="D200" t="inlineStr">
        <is>
          <t>VÄSTERBOTTENS LÄN</t>
        </is>
      </c>
      <c r="E200" t="inlineStr">
        <is>
          <t>VILHELMINA</t>
        </is>
      </c>
      <c r="F200" t="inlineStr">
        <is>
          <t>Sveaskog</t>
        </is>
      </c>
      <c r="G200" t="n">
        <v>11.9</v>
      </c>
      <c r="H200" t="n">
        <v>0</v>
      </c>
      <c r="I200" t="n">
        <v>0</v>
      </c>
      <c r="J200" t="n">
        <v>0</v>
      </c>
      <c r="K200" t="n">
        <v>1</v>
      </c>
      <c r="L200" t="n">
        <v>0</v>
      </c>
      <c r="M200" t="n">
        <v>0</v>
      </c>
      <c r="N200" t="n">
        <v>0</v>
      </c>
      <c r="O200" t="n">
        <v>1</v>
      </c>
      <c r="P200" t="n">
        <v>1</v>
      </c>
      <c r="Q200" t="n">
        <v>1</v>
      </c>
      <c r="R200" s="2" t="inlineStr">
        <is>
          <t>Fläckporing</t>
        </is>
      </c>
      <c r="S200">
        <f>HYPERLINK("https://klasma.github.io/Logging_2462/artfynd/A 57861-2020 artfynd.xlsx", "A 57861-2020")</f>
        <v/>
      </c>
      <c r="T200">
        <f>HYPERLINK("https://klasma.github.io/Logging_2462/kartor/A 57861-2020 karta.png", "A 57861-2020")</f>
        <v/>
      </c>
      <c r="V200">
        <f>HYPERLINK("https://klasma.github.io/Logging_2462/klagomål/A 57861-2020 FSC-klagomål.docx", "A 57861-2020")</f>
        <v/>
      </c>
      <c r="W200">
        <f>HYPERLINK("https://klasma.github.io/Logging_2462/klagomålsmail/A 57861-2020 FSC-klagomål mail.docx", "A 57861-2020")</f>
        <v/>
      </c>
      <c r="X200">
        <f>HYPERLINK("https://klasma.github.io/Logging_2462/tillsyn/A 57861-2020 tillsynsbegäran.docx", "A 57861-2020")</f>
        <v/>
      </c>
      <c r="Y200">
        <f>HYPERLINK("https://klasma.github.io/Logging_2462/tillsynsmail/A 57861-2020 tillsynsbegäran mail.docx", "A 57861-2020")</f>
        <v/>
      </c>
    </row>
    <row r="201" ht="15" customHeight="1">
      <c r="A201" t="inlineStr">
        <is>
          <t>A 29376-2021</t>
        </is>
      </c>
      <c r="B201" s="1" t="n">
        <v>44361</v>
      </c>
      <c r="C201" s="1" t="n">
        <v>45672</v>
      </c>
      <c r="D201" t="inlineStr">
        <is>
          <t>VÄSTERBOTTENS LÄN</t>
        </is>
      </c>
      <c r="E201" t="inlineStr">
        <is>
          <t>VILHELMINA</t>
        </is>
      </c>
      <c r="F201" t="inlineStr">
        <is>
          <t>Allmännings- och besparingsskogar</t>
        </is>
      </c>
      <c r="G201" t="n">
        <v>110.8</v>
      </c>
      <c r="H201" t="n">
        <v>1</v>
      </c>
      <c r="I201" t="n">
        <v>0</v>
      </c>
      <c r="J201" t="n">
        <v>0</v>
      </c>
      <c r="K201" t="n">
        <v>0</v>
      </c>
      <c r="L201" t="n">
        <v>0</v>
      </c>
      <c r="M201" t="n">
        <v>0</v>
      </c>
      <c r="N201" t="n">
        <v>0</v>
      </c>
      <c r="O201" t="n">
        <v>0</v>
      </c>
      <c r="P201" t="n">
        <v>0</v>
      </c>
      <c r="Q201" t="n">
        <v>1</v>
      </c>
      <c r="R201" s="2" t="inlineStr">
        <is>
          <t>Lavskrika</t>
        </is>
      </c>
      <c r="S201">
        <f>HYPERLINK("https://klasma.github.io/Logging_2462/artfynd/A 29376-2021 artfynd.xlsx", "A 29376-2021")</f>
        <v/>
      </c>
      <c r="T201">
        <f>HYPERLINK("https://klasma.github.io/Logging_2462/kartor/A 29376-2021 karta.png", "A 29376-2021")</f>
        <v/>
      </c>
      <c r="V201">
        <f>HYPERLINK("https://klasma.github.io/Logging_2462/klagomål/A 29376-2021 FSC-klagomål.docx", "A 29376-2021")</f>
        <v/>
      </c>
      <c r="W201">
        <f>HYPERLINK("https://klasma.github.io/Logging_2462/klagomålsmail/A 29376-2021 FSC-klagomål mail.docx", "A 29376-2021")</f>
        <v/>
      </c>
      <c r="X201">
        <f>HYPERLINK("https://klasma.github.io/Logging_2462/tillsyn/A 29376-2021 tillsynsbegäran.docx", "A 29376-2021")</f>
        <v/>
      </c>
      <c r="Y201">
        <f>HYPERLINK("https://klasma.github.io/Logging_2462/tillsynsmail/A 29376-2021 tillsynsbegäran mail.docx", "A 29376-2021")</f>
        <v/>
      </c>
      <c r="Z201">
        <f>HYPERLINK("https://klasma.github.io/Logging_2462/fåglar/A 29376-2021 prioriterade fågelarter.docx", "A 29376-2021")</f>
        <v/>
      </c>
    </row>
    <row r="202" ht="15" customHeight="1">
      <c r="A202" t="inlineStr">
        <is>
          <t>A 32677-2021</t>
        </is>
      </c>
      <c r="B202" s="1" t="n">
        <v>44371</v>
      </c>
      <c r="C202" s="1" t="n">
        <v>45672</v>
      </c>
      <c r="D202" t="inlineStr">
        <is>
          <t>VÄSTERBOTTENS LÄN</t>
        </is>
      </c>
      <c r="E202" t="inlineStr">
        <is>
          <t>VILHELMINA</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32677-2021 artfynd.xlsx", "A 32677-2021")</f>
        <v/>
      </c>
      <c r="T202">
        <f>HYPERLINK("https://klasma.github.io/Logging_2462/kartor/A 32677-2021 karta.png", "A 32677-2021")</f>
        <v/>
      </c>
      <c r="V202">
        <f>HYPERLINK("https://klasma.github.io/Logging_2462/klagomål/A 32677-2021 FSC-klagomål.docx", "A 32677-2021")</f>
        <v/>
      </c>
      <c r="W202">
        <f>HYPERLINK("https://klasma.github.io/Logging_2462/klagomålsmail/A 32677-2021 FSC-klagomål mail.docx", "A 32677-2021")</f>
        <v/>
      </c>
      <c r="X202">
        <f>HYPERLINK("https://klasma.github.io/Logging_2462/tillsyn/A 32677-2021 tillsynsbegäran.docx", "A 32677-2021")</f>
        <v/>
      </c>
      <c r="Y202">
        <f>HYPERLINK("https://klasma.github.io/Logging_2462/tillsynsmail/A 32677-2021 tillsynsbegäran mail.docx", "A 32677-2021")</f>
        <v/>
      </c>
      <c r="Z202">
        <f>HYPERLINK("https://klasma.github.io/Logging_2462/fåglar/A 32677-2021 prioriterade fågelarter.docx", "A 32677-2021")</f>
        <v/>
      </c>
    </row>
    <row r="203" ht="15" customHeight="1">
      <c r="A203" t="inlineStr">
        <is>
          <t>A 55739-2021</t>
        </is>
      </c>
      <c r="B203" s="1" t="n">
        <v>44476</v>
      </c>
      <c r="C203" s="1" t="n">
        <v>45672</v>
      </c>
      <c r="D203" t="inlineStr">
        <is>
          <t>VÄSTERBOTTENS LÄN</t>
        </is>
      </c>
      <c r="E203" t="inlineStr">
        <is>
          <t>VILHELMINA</t>
        </is>
      </c>
      <c r="G203" t="n">
        <v>5.5</v>
      </c>
      <c r="H203" t="n">
        <v>0</v>
      </c>
      <c r="I203" t="n">
        <v>0</v>
      </c>
      <c r="J203" t="n">
        <v>1</v>
      </c>
      <c r="K203" t="n">
        <v>0</v>
      </c>
      <c r="L203" t="n">
        <v>0</v>
      </c>
      <c r="M203" t="n">
        <v>0</v>
      </c>
      <c r="N203" t="n">
        <v>0</v>
      </c>
      <c r="O203" t="n">
        <v>1</v>
      </c>
      <c r="P203" t="n">
        <v>0</v>
      </c>
      <c r="Q203" t="n">
        <v>1</v>
      </c>
      <c r="R203" s="2" t="inlineStr">
        <is>
          <t>Garnlav</t>
        </is>
      </c>
      <c r="S203">
        <f>HYPERLINK("https://klasma.github.io/Logging_2462/artfynd/A 55739-2021 artfynd.xlsx", "A 55739-2021")</f>
        <v/>
      </c>
      <c r="T203">
        <f>HYPERLINK("https://klasma.github.io/Logging_2462/kartor/A 55739-2021 karta.png", "A 55739-2021")</f>
        <v/>
      </c>
      <c r="V203">
        <f>HYPERLINK("https://klasma.github.io/Logging_2462/klagomål/A 55739-2021 FSC-klagomål.docx", "A 55739-2021")</f>
        <v/>
      </c>
      <c r="W203">
        <f>HYPERLINK("https://klasma.github.io/Logging_2462/klagomålsmail/A 55739-2021 FSC-klagomål mail.docx", "A 55739-2021")</f>
        <v/>
      </c>
      <c r="X203">
        <f>HYPERLINK("https://klasma.github.io/Logging_2462/tillsyn/A 55739-2021 tillsynsbegäran.docx", "A 55739-2021")</f>
        <v/>
      </c>
      <c r="Y203">
        <f>HYPERLINK("https://klasma.github.io/Logging_2462/tillsynsmail/A 55739-2021 tillsynsbegäran mail.docx", "A 55739-2021")</f>
        <v/>
      </c>
    </row>
    <row r="204" ht="15" customHeight="1">
      <c r="A204" t="inlineStr">
        <is>
          <t>A 60369-2021</t>
        </is>
      </c>
      <c r="B204" s="1" t="n">
        <v>44494</v>
      </c>
      <c r="C204" s="1" t="n">
        <v>45672</v>
      </c>
      <c r="D204" t="inlineStr">
        <is>
          <t>VÄSTERBOTTENS LÄN</t>
        </is>
      </c>
      <c r="E204" t="inlineStr">
        <is>
          <t>VILHELMINA</t>
        </is>
      </c>
      <c r="G204" t="n">
        <v>0.6</v>
      </c>
      <c r="H204" t="n">
        <v>0</v>
      </c>
      <c r="I204" t="n">
        <v>1</v>
      </c>
      <c r="J204" t="n">
        <v>0</v>
      </c>
      <c r="K204" t="n">
        <v>0</v>
      </c>
      <c r="L204" t="n">
        <v>0</v>
      </c>
      <c r="M204" t="n">
        <v>0</v>
      </c>
      <c r="N204" t="n">
        <v>0</v>
      </c>
      <c r="O204" t="n">
        <v>0</v>
      </c>
      <c r="P204" t="n">
        <v>0</v>
      </c>
      <c r="Q204" t="n">
        <v>1</v>
      </c>
      <c r="R204" s="2" t="inlineStr">
        <is>
          <t>Stuplav</t>
        </is>
      </c>
      <c r="S204">
        <f>HYPERLINK("https://klasma.github.io/Logging_2462/artfynd/A 60369-2021 artfynd.xlsx", "A 60369-2021")</f>
        <v/>
      </c>
      <c r="T204">
        <f>HYPERLINK("https://klasma.github.io/Logging_2462/kartor/A 60369-2021 karta.png", "A 60369-2021")</f>
        <v/>
      </c>
      <c r="V204">
        <f>HYPERLINK("https://klasma.github.io/Logging_2462/klagomål/A 60369-2021 FSC-klagomål.docx", "A 60369-2021")</f>
        <v/>
      </c>
      <c r="W204">
        <f>HYPERLINK("https://klasma.github.io/Logging_2462/klagomålsmail/A 60369-2021 FSC-klagomål mail.docx", "A 60369-2021")</f>
        <v/>
      </c>
      <c r="X204">
        <f>HYPERLINK("https://klasma.github.io/Logging_2462/tillsyn/A 60369-2021 tillsynsbegäran.docx", "A 60369-2021")</f>
        <v/>
      </c>
      <c r="Y204">
        <f>HYPERLINK("https://klasma.github.io/Logging_2462/tillsynsmail/A 60369-2021 tillsynsbegäran mail.docx", "A 60369-2021")</f>
        <v/>
      </c>
    </row>
    <row r="205" ht="15" customHeight="1">
      <c r="A205" t="inlineStr">
        <is>
          <t>A 66924-2021</t>
        </is>
      </c>
      <c r="B205" s="1" t="n">
        <v>44522</v>
      </c>
      <c r="C205" s="1" t="n">
        <v>45672</v>
      </c>
      <c r="D205" t="inlineStr">
        <is>
          <t>VÄSTERBOTTENS LÄN</t>
        </is>
      </c>
      <c r="E205" t="inlineStr">
        <is>
          <t>VILHELMINA</t>
        </is>
      </c>
      <c r="F205" t="inlineStr">
        <is>
          <t>Allmännings- och besparingsskogar</t>
        </is>
      </c>
      <c r="G205" t="n">
        <v>335.4</v>
      </c>
      <c r="H205" t="n">
        <v>1</v>
      </c>
      <c r="I205" t="n">
        <v>0</v>
      </c>
      <c r="J205" t="n">
        <v>1</v>
      </c>
      <c r="K205" t="n">
        <v>0</v>
      </c>
      <c r="L205" t="n">
        <v>0</v>
      </c>
      <c r="M205" t="n">
        <v>0</v>
      </c>
      <c r="N205" t="n">
        <v>0</v>
      </c>
      <c r="O205" t="n">
        <v>1</v>
      </c>
      <c r="P205" t="n">
        <v>0</v>
      </c>
      <c r="Q205" t="n">
        <v>1</v>
      </c>
      <c r="R205" s="2" t="inlineStr">
        <is>
          <t>Utter</t>
        </is>
      </c>
      <c r="S205">
        <f>HYPERLINK("https://klasma.github.io/Logging_2462/artfynd/A 66924-2021 artfynd.xlsx", "A 66924-2021")</f>
        <v/>
      </c>
      <c r="T205">
        <f>HYPERLINK("https://klasma.github.io/Logging_2462/kartor/A 66924-2021 karta.png", "A 66924-2021")</f>
        <v/>
      </c>
      <c r="V205">
        <f>HYPERLINK("https://klasma.github.io/Logging_2462/klagomål/A 66924-2021 FSC-klagomål.docx", "A 66924-2021")</f>
        <v/>
      </c>
      <c r="W205">
        <f>HYPERLINK("https://klasma.github.io/Logging_2462/klagomålsmail/A 66924-2021 FSC-klagomål mail.docx", "A 66924-2021")</f>
        <v/>
      </c>
      <c r="X205">
        <f>HYPERLINK("https://klasma.github.io/Logging_2462/tillsyn/A 66924-2021 tillsynsbegäran.docx", "A 66924-2021")</f>
        <v/>
      </c>
      <c r="Y205">
        <f>HYPERLINK("https://klasma.github.io/Logging_2462/tillsynsmail/A 66924-2021 tillsynsbegäran mail.docx", "A 66924-2021")</f>
        <v/>
      </c>
    </row>
    <row r="206" ht="15" customHeight="1">
      <c r="A206" t="inlineStr">
        <is>
          <t>A 68783-2021</t>
        </is>
      </c>
      <c r="B206" s="1" t="n">
        <v>44529</v>
      </c>
      <c r="C206" s="1" t="n">
        <v>45672</v>
      </c>
      <c r="D206" t="inlineStr">
        <is>
          <t>VÄSTERBOTTENS LÄN</t>
        </is>
      </c>
      <c r="E206" t="inlineStr">
        <is>
          <t>VILHELMINA</t>
        </is>
      </c>
      <c r="F206" t="inlineStr">
        <is>
          <t>SCA</t>
        </is>
      </c>
      <c r="G206" t="n">
        <v>7.3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68783-2021 artfynd.xlsx", "A 68783-2021")</f>
        <v/>
      </c>
      <c r="T206">
        <f>HYPERLINK("https://klasma.github.io/Logging_2462/kartor/A 68783-2021 karta.png", "A 68783-2021")</f>
        <v/>
      </c>
      <c r="V206">
        <f>HYPERLINK("https://klasma.github.io/Logging_2462/klagomål/A 68783-2021 FSC-klagomål.docx", "A 68783-2021")</f>
        <v/>
      </c>
      <c r="W206">
        <f>HYPERLINK("https://klasma.github.io/Logging_2462/klagomålsmail/A 68783-2021 FSC-klagomål mail.docx", "A 68783-2021")</f>
        <v/>
      </c>
      <c r="X206">
        <f>HYPERLINK("https://klasma.github.io/Logging_2462/tillsyn/A 68783-2021 tillsynsbegäran.docx", "A 68783-2021")</f>
        <v/>
      </c>
      <c r="Y206">
        <f>HYPERLINK("https://klasma.github.io/Logging_2462/tillsynsmail/A 68783-2021 tillsynsbegäran mail.docx", "A 68783-2021")</f>
        <v/>
      </c>
      <c r="Z206">
        <f>HYPERLINK("https://klasma.github.io/Logging_2462/fåglar/A 68783-2021 prioriterade fågelarter.docx", "A 68783-2021")</f>
        <v/>
      </c>
    </row>
    <row r="207" ht="15" customHeight="1">
      <c r="A207" t="inlineStr">
        <is>
          <t>A 69545-2021</t>
        </is>
      </c>
      <c r="B207" s="1" t="n">
        <v>44531</v>
      </c>
      <c r="C207" s="1" t="n">
        <v>45672</v>
      </c>
      <c r="D207" t="inlineStr">
        <is>
          <t>VÄSTERBOTTENS LÄN</t>
        </is>
      </c>
      <c r="E207" t="inlineStr">
        <is>
          <t>VILHELMINA</t>
        </is>
      </c>
      <c r="F207" t="inlineStr">
        <is>
          <t>SCA</t>
        </is>
      </c>
      <c r="G207" t="n">
        <v>3.8</v>
      </c>
      <c r="H207" t="n">
        <v>0</v>
      </c>
      <c r="I207" t="n">
        <v>1</v>
      </c>
      <c r="J207" t="n">
        <v>0</v>
      </c>
      <c r="K207" t="n">
        <v>0</v>
      </c>
      <c r="L207" t="n">
        <v>0</v>
      </c>
      <c r="M207" t="n">
        <v>0</v>
      </c>
      <c r="N207" t="n">
        <v>0</v>
      </c>
      <c r="O207" t="n">
        <v>0</v>
      </c>
      <c r="P207" t="n">
        <v>0</v>
      </c>
      <c r="Q207" t="n">
        <v>1</v>
      </c>
      <c r="R207" s="2" t="inlineStr">
        <is>
          <t>Norrlandslav</t>
        </is>
      </c>
      <c r="S207">
        <f>HYPERLINK("https://klasma.github.io/Logging_2462/artfynd/A 69545-2021 artfynd.xlsx", "A 69545-2021")</f>
        <v/>
      </c>
      <c r="T207">
        <f>HYPERLINK("https://klasma.github.io/Logging_2462/kartor/A 69545-2021 karta.png", "A 69545-2021")</f>
        <v/>
      </c>
      <c r="V207">
        <f>HYPERLINK("https://klasma.github.io/Logging_2462/klagomål/A 69545-2021 FSC-klagomål.docx", "A 69545-2021")</f>
        <v/>
      </c>
      <c r="W207">
        <f>HYPERLINK("https://klasma.github.io/Logging_2462/klagomålsmail/A 69545-2021 FSC-klagomål mail.docx", "A 69545-2021")</f>
        <v/>
      </c>
      <c r="X207">
        <f>HYPERLINK("https://klasma.github.io/Logging_2462/tillsyn/A 69545-2021 tillsynsbegäran.docx", "A 69545-2021")</f>
        <v/>
      </c>
      <c r="Y207">
        <f>HYPERLINK("https://klasma.github.io/Logging_2462/tillsynsmail/A 69545-2021 tillsynsbegäran mail.docx", "A 69545-2021")</f>
        <v/>
      </c>
    </row>
    <row r="208" ht="15" customHeight="1">
      <c r="A208" t="inlineStr">
        <is>
          <t>A 69915-2021</t>
        </is>
      </c>
      <c r="B208" s="1" t="n">
        <v>44532</v>
      </c>
      <c r="C208" s="1" t="n">
        <v>45672</v>
      </c>
      <c r="D208" t="inlineStr">
        <is>
          <t>VÄSTERBOTTENS LÄN</t>
        </is>
      </c>
      <c r="E208" t="inlineStr">
        <is>
          <t>VILHELMINA</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69915-2021 artfynd.xlsx", "A 69915-2021")</f>
        <v/>
      </c>
      <c r="T208">
        <f>HYPERLINK("https://klasma.github.io/Logging_2462/kartor/A 69915-2021 karta.png", "A 69915-2021")</f>
        <v/>
      </c>
      <c r="V208">
        <f>HYPERLINK("https://klasma.github.io/Logging_2462/klagomål/A 69915-2021 FSC-klagomål.docx", "A 69915-2021")</f>
        <v/>
      </c>
      <c r="W208">
        <f>HYPERLINK("https://klasma.github.io/Logging_2462/klagomålsmail/A 69915-2021 FSC-klagomål mail.docx", "A 69915-2021")</f>
        <v/>
      </c>
      <c r="X208">
        <f>HYPERLINK("https://klasma.github.io/Logging_2462/tillsyn/A 69915-2021 tillsynsbegäran.docx", "A 69915-2021")</f>
        <v/>
      </c>
      <c r="Y208">
        <f>HYPERLINK("https://klasma.github.io/Logging_2462/tillsynsmail/A 69915-2021 tillsynsbegäran mail.docx", "A 69915-2021")</f>
        <v/>
      </c>
      <c r="Z208">
        <f>HYPERLINK("https://klasma.github.io/Logging_2462/fåglar/A 69915-2021 prioriterade fågelarter.docx", "A 69915-2021")</f>
        <v/>
      </c>
    </row>
    <row r="209" ht="15" customHeight="1">
      <c r="A209" t="inlineStr">
        <is>
          <t>A 74395-2021</t>
        </is>
      </c>
      <c r="B209" s="1" t="n">
        <v>44560</v>
      </c>
      <c r="C209" s="1" t="n">
        <v>45672</v>
      </c>
      <c r="D209" t="inlineStr">
        <is>
          <t>VÄSTERBOTTENS LÄN</t>
        </is>
      </c>
      <c r="E209" t="inlineStr">
        <is>
          <t>VILHELMINA</t>
        </is>
      </c>
      <c r="G209" t="n">
        <v>37.6</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74395-2021 artfynd.xlsx", "A 74395-2021")</f>
        <v/>
      </c>
      <c r="T209">
        <f>HYPERLINK("https://klasma.github.io/Logging_2462/kartor/A 74395-2021 karta.png", "A 74395-2021")</f>
        <v/>
      </c>
      <c r="V209">
        <f>HYPERLINK("https://klasma.github.io/Logging_2462/klagomål/A 74395-2021 FSC-klagomål.docx", "A 74395-2021")</f>
        <v/>
      </c>
      <c r="W209">
        <f>HYPERLINK("https://klasma.github.io/Logging_2462/klagomålsmail/A 74395-2021 FSC-klagomål mail.docx", "A 74395-2021")</f>
        <v/>
      </c>
      <c r="X209">
        <f>HYPERLINK("https://klasma.github.io/Logging_2462/tillsyn/A 74395-2021 tillsynsbegäran.docx", "A 74395-2021")</f>
        <v/>
      </c>
      <c r="Y209">
        <f>HYPERLINK("https://klasma.github.io/Logging_2462/tillsynsmail/A 74395-2021 tillsynsbegäran mail.docx", "A 74395-2021")</f>
        <v/>
      </c>
      <c r="Z209">
        <f>HYPERLINK("https://klasma.github.io/Logging_2462/fåglar/A 74395-2021 prioriterade fågelarter.docx", "A 74395-2021")</f>
        <v/>
      </c>
    </row>
    <row r="210" ht="15" customHeight="1">
      <c r="A210" t="inlineStr">
        <is>
          <t>A 12486-2022</t>
        </is>
      </c>
      <c r="B210" s="1" t="n">
        <v>44638</v>
      </c>
      <c r="C210" s="1" t="n">
        <v>45672</v>
      </c>
      <c r="D210" t="inlineStr">
        <is>
          <t>VÄSTERBOTTENS LÄN</t>
        </is>
      </c>
      <c r="E210" t="inlineStr">
        <is>
          <t>VILHELMINA</t>
        </is>
      </c>
      <c r="G210" t="n">
        <v>19.3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12486-2022 artfynd.xlsx", "A 12486-2022")</f>
        <v/>
      </c>
      <c r="T210">
        <f>HYPERLINK("https://klasma.github.io/Logging_2462/kartor/A 12486-2022 karta.png", "A 12486-2022")</f>
        <v/>
      </c>
      <c r="V210">
        <f>HYPERLINK("https://klasma.github.io/Logging_2462/klagomål/A 12486-2022 FSC-klagomål.docx", "A 12486-2022")</f>
        <v/>
      </c>
      <c r="W210">
        <f>HYPERLINK("https://klasma.github.io/Logging_2462/klagomålsmail/A 12486-2022 FSC-klagomål mail.docx", "A 12486-2022")</f>
        <v/>
      </c>
      <c r="X210">
        <f>HYPERLINK("https://klasma.github.io/Logging_2462/tillsyn/A 12486-2022 tillsynsbegäran.docx", "A 12486-2022")</f>
        <v/>
      </c>
      <c r="Y210">
        <f>HYPERLINK("https://klasma.github.io/Logging_2462/tillsynsmail/A 12486-2022 tillsynsbegäran mail.docx", "A 12486-2022")</f>
        <v/>
      </c>
      <c r="Z210">
        <f>HYPERLINK("https://klasma.github.io/Logging_2462/fåglar/A 12486-2022 prioriterade fågelarter.docx", "A 12486-2022")</f>
        <v/>
      </c>
    </row>
    <row r="211" ht="15" customHeight="1">
      <c r="A211" t="inlineStr">
        <is>
          <t>A 38421-2022</t>
        </is>
      </c>
      <c r="B211" s="1" t="n">
        <v>44812</v>
      </c>
      <c r="C211" s="1" t="n">
        <v>45672</v>
      </c>
      <c r="D211" t="inlineStr">
        <is>
          <t>VÄSTERBOTTENS LÄN</t>
        </is>
      </c>
      <c r="E211" t="inlineStr">
        <is>
          <t>VILHELMINA</t>
        </is>
      </c>
      <c r="F211" t="inlineStr">
        <is>
          <t>SCA</t>
        </is>
      </c>
      <c r="G211" t="n">
        <v>3.2</v>
      </c>
      <c r="H211" t="n">
        <v>0</v>
      </c>
      <c r="I211" t="n">
        <v>0</v>
      </c>
      <c r="J211" t="n">
        <v>1</v>
      </c>
      <c r="K211" t="n">
        <v>0</v>
      </c>
      <c r="L211" t="n">
        <v>0</v>
      </c>
      <c r="M211" t="n">
        <v>0</v>
      </c>
      <c r="N211" t="n">
        <v>0</v>
      </c>
      <c r="O211" t="n">
        <v>1</v>
      </c>
      <c r="P211" t="n">
        <v>0</v>
      </c>
      <c r="Q211" t="n">
        <v>1</v>
      </c>
      <c r="R211" s="2" t="inlineStr">
        <is>
          <t>Ullticka</t>
        </is>
      </c>
      <c r="S211">
        <f>HYPERLINK("https://klasma.github.io/Logging_2462/artfynd/A 38421-2022 artfynd.xlsx", "A 38421-2022")</f>
        <v/>
      </c>
      <c r="T211">
        <f>HYPERLINK("https://klasma.github.io/Logging_2462/kartor/A 38421-2022 karta.png", "A 38421-2022")</f>
        <v/>
      </c>
      <c r="V211">
        <f>HYPERLINK("https://klasma.github.io/Logging_2462/klagomål/A 38421-2022 FSC-klagomål.docx", "A 38421-2022")</f>
        <v/>
      </c>
      <c r="W211">
        <f>HYPERLINK("https://klasma.github.io/Logging_2462/klagomålsmail/A 38421-2022 FSC-klagomål mail.docx", "A 38421-2022")</f>
        <v/>
      </c>
      <c r="X211">
        <f>HYPERLINK("https://klasma.github.io/Logging_2462/tillsyn/A 38421-2022 tillsynsbegäran.docx", "A 38421-2022")</f>
        <v/>
      </c>
      <c r="Y211">
        <f>HYPERLINK("https://klasma.github.io/Logging_2462/tillsynsmail/A 38421-2022 tillsynsbegäran mail.docx", "A 38421-2022")</f>
        <v/>
      </c>
    </row>
    <row r="212" ht="15" customHeight="1">
      <c r="A212" t="inlineStr">
        <is>
          <t>A 41483-2022</t>
        </is>
      </c>
      <c r="B212" s="1" t="n">
        <v>44827</v>
      </c>
      <c r="C212" s="1" t="n">
        <v>45672</v>
      </c>
      <c r="D212" t="inlineStr">
        <is>
          <t>VÄSTERBOTTENS LÄN</t>
        </is>
      </c>
      <c r="E212" t="inlineStr">
        <is>
          <t>VILHELMINA</t>
        </is>
      </c>
      <c r="F212" t="inlineStr">
        <is>
          <t>SCA</t>
        </is>
      </c>
      <c r="G212" t="n">
        <v>4.6</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41483-2022 artfynd.xlsx", "A 41483-2022")</f>
        <v/>
      </c>
      <c r="T212">
        <f>HYPERLINK("https://klasma.github.io/Logging_2462/kartor/A 41483-2022 karta.png", "A 41483-2022")</f>
        <v/>
      </c>
      <c r="V212">
        <f>HYPERLINK("https://klasma.github.io/Logging_2462/klagomål/A 41483-2022 FSC-klagomål.docx", "A 41483-2022")</f>
        <v/>
      </c>
      <c r="W212">
        <f>HYPERLINK("https://klasma.github.io/Logging_2462/klagomålsmail/A 41483-2022 FSC-klagomål mail.docx", "A 41483-2022")</f>
        <v/>
      </c>
      <c r="X212">
        <f>HYPERLINK("https://klasma.github.io/Logging_2462/tillsyn/A 41483-2022 tillsynsbegäran.docx", "A 41483-2022")</f>
        <v/>
      </c>
      <c r="Y212">
        <f>HYPERLINK("https://klasma.github.io/Logging_2462/tillsynsmail/A 41483-2022 tillsynsbegäran mail.docx", "A 41483-2022")</f>
        <v/>
      </c>
      <c r="Z212">
        <f>HYPERLINK("https://klasma.github.io/Logging_2462/fåglar/A 41483-2022 prioriterade fågelarter.docx", "A 41483-2022")</f>
        <v/>
      </c>
    </row>
    <row r="213" ht="15" customHeight="1">
      <c r="A213" t="inlineStr">
        <is>
          <t>A 47251-2022</t>
        </is>
      </c>
      <c r="B213" s="1" t="n">
        <v>44852</v>
      </c>
      <c r="C213" s="1" t="n">
        <v>45672</v>
      </c>
      <c r="D213" t="inlineStr">
        <is>
          <t>VÄSTERBOTTENS LÄN</t>
        </is>
      </c>
      <c r="E213" t="inlineStr">
        <is>
          <t>VILHELMINA</t>
        </is>
      </c>
      <c r="F213" t="inlineStr">
        <is>
          <t>SCA</t>
        </is>
      </c>
      <c r="G213" t="n">
        <v>16.4</v>
      </c>
      <c r="H213" t="n">
        <v>0</v>
      </c>
      <c r="I213" t="n">
        <v>0</v>
      </c>
      <c r="J213" t="n">
        <v>1</v>
      </c>
      <c r="K213" t="n">
        <v>0</v>
      </c>
      <c r="L213" t="n">
        <v>0</v>
      </c>
      <c r="M213" t="n">
        <v>0</v>
      </c>
      <c r="N213" t="n">
        <v>0</v>
      </c>
      <c r="O213" t="n">
        <v>1</v>
      </c>
      <c r="P213" t="n">
        <v>0</v>
      </c>
      <c r="Q213" t="n">
        <v>1</v>
      </c>
      <c r="R213" s="2" t="inlineStr">
        <is>
          <t>Rosenticka</t>
        </is>
      </c>
      <c r="S213">
        <f>HYPERLINK("https://klasma.github.io/Logging_2462/artfynd/A 47251-2022 artfynd.xlsx", "A 47251-2022")</f>
        <v/>
      </c>
      <c r="T213">
        <f>HYPERLINK("https://klasma.github.io/Logging_2462/kartor/A 47251-2022 karta.png", "A 47251-2022")</f>
        <v/>
      </c>
      <c r="V213">
        <f>HYPERLINK("https://klasma.github.io/Logging_2462/klagomål/A 47251-2022 FSC-klagomål.docx", "A 47251-2022")</f>
        <v/>
      </c>
      <c r="W213">
        <f>HYPERLINK("https://klasma.github.io/Logging_2462/klagomålsmail/A 47251-2022 FSC-klagomål mail.docx", "A 47251-2022")</f>
        <v/>
      </c>
      <c r="X213">
        <f>HYPERLINK("https://klasma.github.io/Logging_2462/tillsyn/A 47251-2022 tillsynsbegäran.docx", "A 47251-2022")</f>
        <v/>
      </c>
      <c r="Y213">
        <f>HYPERLINK("https://klasma.github.io/Logging_2462/tillsynsmail/A 47251-2022 tillsynsbegäran mail.docx", "A 47251-2022")</f>
        <v/>
      </c>
    </row>
    <row r="214" ht="15" customHeight="1">
      <c r="A214" t="inlineStr">
        <is>
          <t>A 6604-2023</t>
        </is>
      </c>
      <c r="B214" s="1" t="n">
        <v>44960</v>
      </c>
      <c r="C214" s="1" t="n">
        <v>45672</v>
      </c>
      <c r="D214" t="inlineStr">
        <is>
          <t>VÄSTERBOTTENS LÄN</t>
        </is>
      </c>
      <c r="E214" t="inlineStr">
        <is>
          <t>VILHELMINA</t>
        </is>
      </c>
      <c r="G214" t="n">
        <v>13.4</v>
      </c>
      <c r="H214" t="n">
        <v>0</v>
      </c>
      <c r="I214" t="n">
        <v>1</v>
      </c>
      <c r="J214" t="n">
        <v>0</v>
      </c>
      <c r="K214" t="n">
        <v>0</v>
      </c>
      <c r="L214" t="n">
        <v>0</v>
      </c>
      <c r="M214" t="n">
        <v>0</v>
      </c>
      <c r="N214" t="n">
        <v>0</v>
      </c>
      <c r="O214" t="n">
        <v>0</v>
      </c>
      <c r="P214" t="n">
        <v>0</v>
      </c>
      <c r="Q214" t="n">
        <v>1</v>
      </c>
      <c r="R214" s="2" t="inlineStr">
        <is>
          <t>Luddlav</t>
        </is>
      </c>
      <c r="S214">
        <f>HYPERLINK("https://klasma.github.io/Logging_2462/artfynd/A 6604-2023 artfynd.xlsx", "A 6604-2023")</f>
        <v/>
      </c>
      <c r="T214">
        <f>HYPERLINK("https://klasma.github.io/Logging_2462/kartor/A 6604-2023 karta.png", "A 6604-2023")</f>
        <v/>
      </c>
      <c r="V214">
        <f>HYPERLINK("https://klasma.github.io/Logging_2462/klagomål/A 6604-2023 FSC-klagomål.docx", "A 6604-2023")</f>
        <v/>
      </c>
      <c r="W214">
        <f>HYPERLINK("https://klasma.github.io/Logging_2462/klagomålsmail/A 6604-2023 FSC-klagomål mail.docx", "A 6604-2023")</f>
        <v/>
      </c>
      <c r="X214">
        <f>HYPERLINK("https://klasma.github.io/Logging_2462/tillsyn/A 6604-2023 tillsynsbegäran.docx", "A 6604-2023")</f>
        <v/>
      </c>
      <c r="Y214">
        <f>HYPERLINK("https://klasma.github.io/Logging_2462/tillsynsmail/A 6604-2023 tillsynsbegäran mail.docx", "A 6604-2023")</f>
        <v/>
      </c>
    </row>
    <row r="215" ht="15" customHeight="1">
      <c r="A215" t="inlineStr">
        <is>
          <t>A 9249-2023</t>
        </is>
      </c>
      <c r="B215" s="1" t="n">
        <v>44972</v>
      </c>
      <c r="C215" s="1" t="n">
        <v>45672</v>
      </c>
      <c r="D215" t="inlineStr">
        <is>
          <t>VÄSTERBOTTENS LÄN</t>
        </is>
      </c>
      <c r="E215" t="inlineStr">
        <is>
          <t>VILHELMINA</t>
        </is>
      </c>
      <c r="F215" t="inlineStr">
        <is>
          <t>Allmännings- och besparingsskogar</t>
        </is>
      </c>
      <c r="G215" t="n">
        <v>18</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9249-2023 artfynd.xlsx", "A 9249-2023")</f>
        <v/>
      </c>
      <c r="T215">
        <f>HYPERLINK("https://klasma.github.io/Logging_2462/kartor/A 9249-2023 karta.png", "A 9249-2023")</f>
        <v/>
      </c>
      <c r="V215">
        <f>HYPERLINK("https://klasma.github.io/Logging_2462/klagomål/A 9249-2023 FSC-klagomål.docx", "A 9249-2023")</f>
        <v/>
      </c>
      <c r="W215">
        <f>HYPERLINK("https://klasma.github.io/Logging_2462/klagomålsmail/A 9249-2023 FSC-klagomål mail.docx", "A 9249-2023")</f>
        <v/>
      </c>
      <c r="X215">
        <f>HYPERLINK("https://klasma.github.io/Logging_2462/tillsyn/A 9249-2023 tillsynsbegäran.docx", "A 9249-2023")</f>
        <v/>
      </c>
      <c r="Y215">
        <f>HYPERLINK("https://klasma.github.io/Logging_2462/tillsynsmail/A 9249-2023 tillsynsbegäran mail.docx", "A 9249-2023")</f>
        <v/>
      </c>
      <c r="Z215">
        <f>HYPERLINK("https://klasma.github.io/Logging_2462/fåglar/A 9249-2023 prioriterade fågelarter.docx", "A 9249-2023")</f>
        <v/>
      </c>
    </row>
    <row r="216" ht="15" customHeight="1">
      <c r="A216" t="inlineStr">
        <is>
          <t>A 11832-2023</t>
        </is>
      </c>
      <c r="B216" s="1" t="n">
        <v>44994</v>
      </c>
      <c r="C216" s="1" t="n">
        <v>45672</v>
      </c>
      <c r="D216" t="inlineStr">
        <is>
          <t>VÄSTERBOTTENS LÄN</t>
        </is>
      </c>
      <c r="E216" t="inlineStr">
        <is>
          <t>VILHELMINA</t>
        </is>
      </c>
      <c r="F216" t="inlineStr">
        <is>
          <t>SCA</t>
        </is>
      </c>
      <c r="G216" t="n">
        <v>6.7</v>
      </c>
      <c r="H216" t="n">
        <v>0</v>
      </c>
      <c r="I216" t="n">
        <v>0</v>
      </c>
      <c r="J216" t="n">
        <v>1</v>
      </c>
      <c r="K216" t="n">
        <v>0</v>
      </c>
      <c r="L216" t="n">
        <v>0</v>
      </c>
      <c r="M216" t="n">
        <v>0</v>
      </c>
      <c r="N216" t="n">
        <v>0</v>
      </c>
      <c r="O216" t="n">
        <v>1</v>
      </c>
      <c r="P216" t="n">
        <v>0</v>
      </c>
      <c r="Q216" t="n">
        <v>1</v>
      </c>
      <c r="R216" s="2" t="inlineStr">
        <is>
          <t>Granticka</t>
        </is>
      </c>
      <c r="S216">
        <f>HYPERLINK("https://klasma.github.io/Logging_2462/artfynd/A 11832-2023 artfynd.xlsx", "A 11832-2023")</f>
        <v/>
      </c>
      <c r="T216">
        <f>HYPERLINK("https://klasma.github.io/Logging_2462/kartor/A 11832-2023 karta.png", "A 11832-2023")</f>
        <v/>
      </c>
      <c r="V216">
        <f>HYPERLINK("https://klasma.github.io/Logging_2462/klagomål/A 11832-2023 FSC-klagomål.docx", "A 11832-2023")</f>
        <v/>
      </c>
      <c r="W216">
        <f>HYPERLINK("https://klasma.github.io/Logging_2462/klagomålsmail/A 11832-2023 FSC-klagomål mail.docx", "A 11832-2023")</f>
        <v/>
      </c>
      <c r="X216">
        <f>HYPERLINK("https://klasma.github.io/Logging_2462/tillsyn/A 11832-2023 tillsynsbegäran.docx", "A 11832-2023")</f>
        <v/>
      </c>
      <c r="Y216">
        <f>HYPERLINK("https://klasma.github.io/Logging_2462/tillsynsmail/A 11832-2023 tillsynsbegäran mail.docx", "A 11832-2023")</f>
        <v/>
      </c>
    </row>
    <row r="217" ht="15" customHeight="1">
      <c r="A217" t="inlineStr">
        <is>
          <t>A 29317-2023</t>
        </is>
      </c>
      <c r="B217" s="1" t="n">
        <v>45105</v>
      </c>
      <c r="C217" s="1" t="n">
        <v>45672</v>
      </c>
      <c r="D217" t="inlineStr">
        <is>
          <t>VÄSTERBOTTENS LÄN</t>
        </is>
      </c>
      <c r="E217" t="inlineStr">
        <is>
          <t>VILHELMINA</t>
        </is>
      </c>
      <c r="F217" t="inlineStr">
        <is>
          <t>SCA</t>
        </is>
      </c>
      <c r="G217" t="n">
        <v>18.8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29317-2023 artfynd.xlsx", "A 29317-2023")</f>
        <v/>
      </c>
      <c r="T217">
        <f>HYPERLINK("https://klasma.github.io/Logging_2462/kartor/A 29317-2023 karta.png", "A 29317-2023")</f>
        <v/>
      </c>
      <c r="V217">
        <f>HYPERLINK("https://klasma.github.io/Logging_2462/klagomål/A 29317-2023 FSC-klagomål.docx", "A 29317-2023")</f>
        <v/>
      </c>
      <c r="W217">
        <f>HYPERLINK("https://klasma.github.io/Logging_2462/klagomålsmail/A 29317-2023 FSC-klagomål mail.docx", "A 29317-2023")</f>
        <v/>
      </c>
      <c r="X217">
        <f>HYPERLINK("https://klasma.github.io/Logging_2462/tillsyn/A 29317-2023 tillsynsbegäran.docx", "A 29317-2023")</f>
        <v/>
      </c>
      <c r="Y217">
        <f>HYPERLINK("https://klasma.github.io/Logging_2462/tillsynsmail/A 29317-2023 tillsynsbegäran mail.docx", "A 29317-2023")</f>
        <v/>
      </c>
      <c r="Z217">
        <f>HYPERLINK("https://klasma.github.io/Logging_2462/fåglar/A 29317-2023 prioriterade fågelarter.docx", "A 29317-2023")</f>
        <v/>
      </c>
    </row>
    <row r="218" ht="15" customHeight="1">
      <c r="A218" t="inlineStr">
        <is>
          <t>A 39919-2023</t>
        </is>
      </c>
      <c r="B218" s="1" t="n">
        <v>45166</v>
      </c>
      <c r="C218" s="1" t="n">
        <v>45672</v>
      </c>
      <c r="D218" t="inlineStr">
        <is>
          <t>VÄSTERBOTTENS LÄN</t>
        </is>
      </c>
      <c r="E218" t="inlineStr">
        <is>
          <t>VILHELMINA</t>
        </is>
      </c>
      <c r="G218" t="n">
        <v>22.2</v>
      </c>
      <c r="H218" t="n">
        <v>1</v>
      </c>
      <c r="I218" t="n">
        <v>0</v>
      </c>
      <c r="J218" t="n">
        <v>1</v>
      </c>
      <c r="K218" t="n">
        <v>0</v>
      </c>
      <c r="L218" t="n">
        <v>0</v>
      </c>
      <c r="M218" t="n">
        <v>0</v>
      </c>
      <c r="N218" t="n">
        <v>0</v>
      </c>
      <c r="O218" t="n">
        <v>1</v>
      </c>
      <c r="P218" t="n">
        <v>0</v>
      </c>
      <c r="Q218" t="n">
        <v>1</v>
      </c>
      <c r="R218" s="2" t="inlineStr">
        <is>
          <t>Utter</t>
        </is>
      </c>
      <c r="S218">
        <f>HYPERLINK("https://klasma.github.io/Logging_2462/artfynd/A 39919-2023 artfynd.xlsx", "A 39919-2023")</f>
        <v/>
      </c>
      <c r="T218">
        <f>HYPERLINK("https://klasma.github.io/Logging_2462/kartor/A 39919-2023 karta.png", "A 39919-2023")</f>
        <v/>
      </c>
      <c r="V218">
        <f>HYPERLINK("https://klasma.github.io/Logging_2462/klagomål/A 39919-2023 FSC-klagomål.docx", "A 39919-2023")</f>
        <v/>
      </c>
      <c r="W218">
        <f>HYPERLINK("https://klasma.github.io/Logging_2462/klagomålsmail/A 39919-2023 FSC-klagomål mail.docx", "A 39919-2023")</f>
        <v/>
      </c>
      <c r="X218">
        <f>HYPERLINK("https://klasma.github.io/Logging_2462/tillsyn/A 39919-2023 tillsynsbegäran.docx", "A 39919-2023")</f>
        <v/>
      </c>
      <c r="Y218">
        <f>HYPERLINK("https://klasma.github.io/Logging_2462/tillsynsmail/A 39919-2023 tillsynsbegäran mail.docx", "A 39919-2023")</f>
        <v/>
      </c>
    </row>
    <row r="219" ht="15" customHeight="1">
      <c r="A219" t="inlineStr">
        <is>
          <t>A 56247-2023</t>
        </is>
      </c>
      <c r="B219" s="1" t="n">
        <v>45240</v>
      </c>
      <c r="C219" s="1" t="n">
        <v>45672</v>
      </c>
      <c r="D219" t="inlineStr">
        <is>
          <t>VÄSTERBOTTENS LÄN</t>
        </is>
      </c>
      <c r="E219" t="inlineStr">
        <is>
          <t>VILHELMINA</t>
        </is>
      </c>
      <c r="F219" t="inlineStr">
        <is>
          <t>SCA</t>
        </is>
      </c>
      <c r="G219" t="n">
        <v>1.3</v>
      </c>
      <c r="H219" t="n">
        <v>0</v>
      </c>
      <c r="I219" t="n">
        <v>0</v>
      </c>
      <c r="J219" t="n">
        <v>1</v>
      </c>
      <c r="K219" t="n">
        <v>0</v>
      </c>
      <c r="L219" t="n">
        <v>0</v>
      </c>
      <c r="M219" t="n">
        <v>0</v>
      </c>
      <c r="N219" t="n">
        <v>0</v>
      </c>
      <c r="O219" t="n">
        <v>1</v>
      </c>
      <c r="P219" t="n">
        <v>0</v>
      </c>
      <c r="Q219" t="n">
        <v>1</v>
      </c>
      <c r="R219" s="2" t="inlineStr">
        <is>
          <t>Harticka</t>
        </is>
      </c>
      <c r="S219">
        <f>HYPERLINK("https://klasma.github.io/Logging_2462/artfynd/A 56247-2023 artfynd.xlsx", "A 56247-2023")</f>
        <v/>
      </c>
      <c r="T219">
        <f>HYPERLINK("https://klasma.github.io/Logging_2462/kartor/A 56247-2023 karta.png", "A 56247-2023")</f>
        <v/>
      </c>
      <c r="V219">
        <f>HYPERLINK("https://klasma.github.io/Logging_2462/klagomål/A 56247-2023 FSC-klagomål.docx", "A 56247-2023")</f>
        <v/>
      </c>
      <c r="W219">
        <f>HYPERLINK("https://klasma.github.io/Logging_2462/klagomålsmail/A 56247-2023 FSC-klagomål mail.docx", "A 56247-2023")</f>
        <v/>
      </c>
      <c r="X219">
        <f>HYPERLINK("https://klasma.github.io/Logging_2462/tillsyn/A 56247-2023 tillsynsbegäran.docx", "A 56247-2023")</f>
        <v/>
      </c>
      <c r="Y219">
        <f>HYPERLINK("https://klasma.github.io/Logging_2462/tillsynsmail/A 56247-2023 tillsynsbegäran mail.docx", "A 56247-2023")</f>
        <v/>
      </c>
    </row>
    <row r="220" ht="15" customHeight="1">
      <c r="A220" t="inlineStr">
        <is>
          <t>A 59664-2023</t>
        </is>
      </c>
      <c r="B220" s="1" t="n">
        <v>45254</v>
      </c>
      <c r="C220" s="1" t="n">
        <v>45672</v>
      </c>
      <c r="D220" t="inlineStr">
        <is>
          <t>VÄSTERBOTTENS LÄN</t>
        </is>
      </c>
      <c r="E220" t="inlineStr">
        <is>
          <t>VILHELMINA</t>
        </is>
      </c>
      <c r="F220" t="inlineStr">
        <is>
          <t>SCA</t>
        </is>
      </c>
      <c r="G220" t="n">
        <v>3.3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59664-2023 artfynd.xlsx", "A 59664-2023")</f>
        <v/>
      </c>
      <c r="T220">
        <f>HYPERLINK("https://klasma.github.io/Logging_2462/kartor/A 59664-2023 karta.png", "A 59664-2023")</f>
        <v/>
      </c>
      <c r="V220">
        <f>HYPERLINK("https://klasma.github.io/Logging_2462/klagomål/A 59664-2023 FSC-klagomål.docx", "A 59664-2023")</f>
        <v/>
      </c>
      <c r="W220">
        <f>HYPERLINK("https://klasma.github.io/Logging_2462/klagomålsmail/A 59664-2023 FSC-klagomål mail.docx", "A 59664-2023")</f>
        <v/>
      </c>
      <c r="X220">
        <f>HYPERLINK("https://klasma.github.io/Logging_2462/tillsyn/A 59664-2023 tillsynsbegäran.docx", "A 59664-2023")</f>
        <v/>
      </c>
      <c r="Y220">
        <f>HYPERLINK("https://klasma.github.io/Logging_2462/tillsynsmail/A 59664-2023 tillsynsbegäran mail.docx", "A 59664-2023")</f>
        <v/>
      </c>
      <c r="Z220">
        <f>HYPERLINK("https://klasma.github.io/Logging_2462/fåglar/A 59664-2023 prioriterade fågelarter.docx", "A 59664-2023")</f>
        <v/>
      </c>
    </row>
    <row r="221" ht="15" customHeight="1">
      <c r="A221" t="inlineStr">
        <is>
          <t>A 22467-2024</t>
        </is>
      </c>
      <c r="B221" s="1" t="n">
        <v>45447</v>
      </c>
      <c r="C221" s="1" t="n">
        <v>45672</v>
      </c>
      <c r="D221" t="inlineStr">
        <is>
          <t>VÄSTERBOTTENS LÄN</t>
        </is>
      </c>
      <c r="E221" t="inlineStr">
        <is>
          <t>VILHELMINA</t>
        </is>
      </c>
      <c r="F221" t="inlineStr">
        <is>
          <t>SCA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22467-2024 artfynd.xlsx", "A 22467-2024")</f>
        <v/>
      </c>
      <c r="T221">
        <f>HYPERLINK("https://klasma.github.io/Logging_2462/kartor/A 22467-2024 karta.png", "A 22467-2024")</f>
        <v/>
      </c>
      <c r="V221">
        <f>HYPERLINK("https://klasma.github.io/Logging_2462/klagomål/A 22467-2024 FSC-klagomål.docx", "A 22467-2024")</f>
        <v/>
      </c>
      <c r="W221">
        <f>HYPERLINK("https://klasma.github.io/Logging_2462/klagomålsmail/A 22467-2024 FSC-klagomål mail.docx", "A 22467-2024")</f>
        <v/>
      </c>
      <c r="X221">
        <f>HYPERLINK("https://klasma.github.io/Logging_2462/tillsyn/A 22467-2024 tillsynsbegäran.docx", "A 22467-2024")</f>
        <v/>
      </c>
      <c r="Y221">
        <f>HYPERLINK("https://klasma.github.io/Logging_2462/tillsynsmail/A 22467-2024 tillsynsbegäran mail.docx", "A 22467-2024")</f>
        <v/>
      </c>
      <c r="Z221">
        <f>HYPERLINK("https://klasma.github.io/Logging_2462/fåglar/A 22467-2024 prioriterade fågelarter.docx", "A 22467-2024")</f>
        <v/>
      </c>
    </row>
    <row r="222" ht="15" customHeight="1">
      <c r="A222" t="inlineStr">
        <is>
          <t>A 22466-2024</t>
        </is>
      </c>
      <c r="B222" s="1" t="n">
        <v>45446</v>
      </c>
      <c r="C222" s="1" t="n">
        <v>45672</v>
      </c>
      <c r="D222" t="inlineStr">
        <is>
          <t>VÄSTERBOTTENS LÄN</t>
        </is>
      </c>
      <c r="E222" t="inlineStr">
        <is>
          <t>VILHELMINA</t>
        </is>
      </c>
      <c r="F222" t="inlineStr">
        <is>
          <t>SCA</t>
        </is>
      </c>
      <c r="G222" t="n">
        <v>3.9</v>
      </c>
      <c r="H222" t="n">
        <v>0</v>
      </c>
      <c r="I222" t="n">
        <v>0</v>
      </c>
      <c r="J222" t="n">
        <v>1</v>
      </c>
      <c r="K222" t="n">
        <v>0</v>
      </c>
      <c r="L222" t="n">
        <v>0</v>
      </c>
      <c r="M222" t="n">
        <v>0</v>
      </c>
      <c r="N222" t="n">
        <v>0</v>
      </c>
      <c r="O222" t="n">
        <v>1</v>
      </c>
      <c r="P222" t="n">
        <v>0</v>
      </c>
      <c r="Q222" t="n">
        <v>1</v>
      </c>
      <c r="R222" s="2" t="inlineStr">
        <is>
          <t>Ullticka</t>
        </is>
      </c>
      <c r="S222">
        <f>HYPERLINK("https://klasma.github.io/Logging_2462/artfynd/A 22466-2024 artfynd.xlsx", "A 22466-2024")</f>
        <v/>
      </c>
      <c r="T222">
        <f>HYPERLINK("https://klasma.github.io/Logging_2462/kartor/A 22466-2024 karta.png", "A 22466-2024")</f>
        <v/>
      </c>
      <c r="V222">
        <f>HYPERLINK("https://klasma.github.io/Logging_2462/klagomål/A 22466-2024 FSC-klagomål.docx", "A 22466-2024")</f>
        <v/>
      </c>
      <c r="W222">
        <f>HYPERLINK("https://klasma.github.io/Logging_2462/klagomålsmail/A 22466-2024 FSC-klagomål mail.docx", "A 22466-2024")</f>
        <v/>
      </c>
      <c r="X222">
        <f>HYPERLINK("https://klasma.github.io/Logging_2462/tillsyn/A 22466-2024 tillsynsbegäran.docx", "A 22466-2024")</f>
        <v/>
      </c>
      <c r="Y222">
        <f>HYPERLINK("https://klasma.github.io/Logging_2462/tillsynsmail/A 22466-2024 tillsynsbegäran mail.docx", "A 22466-2024")</f>
        <v/>
      </c>
    </row>
    <row r="223" ht="15" customHeight="1">
      <c r="A223" t="inlineStr">
        <is>
          <t>A 25368-2024</t>
        </is>
      </c>
      <c r="B223" s="1" t="n">
        <v>45462</v>
      </c>
      <c r="C223" s="1" t="n">
        <v>45672</v>
      </c>
      <c r="D223" t="inlineStr">
        <is>
          <t>VÄSTERBOTTENS LÄN</t>
        </is>
      </c>
      <c r="E223" t="inlineStr">
        <is>
          <t>VILHELMINA</t>
        </is>
      </c>
      <c r="F223" t="inlineStr">
        <is>
          <t>SCA</t>
        </is>
      </c>
      <c r="G223" t="n">
        <v>2.5</v>
      </c>
      <c r="H223" t="n">
        <v>1</v>
      </c>
      <c r="I223" t="n">
        <v>0</v>
      </c>
      <c r="J223" t="n">
        <v>1</v>
      </c>
      <c r="K223" t="n">
        <v>0</v>
      </c>
      <c r="L223" t="n">
        <v>0</v>
      </c>
      <c r="M223" t="n">
        <v>0</v>
      </c>
      <c r="N223" t="n">
        <v>0</v>
      </c>
      <c r="O223" t="n">
        <v>1</v>
      </c>
      <c r="P223" t="n">
        <v>0</v>
      </c>
      <c r="Q223" t="n">
        <v>1</v>
      </c>
      <c r="R223" s="2" t="inlineStr">
        <is>
          <t>Utter</t>
        </is>
      </c>
      <c r="S223">
        <f>HYPERLINK("https://klasma.github.io/Logging_2462/artfynd/A 25368-2024 artfynd.xlsx", "A 25368-2024")</f>
        <v/>
      </c>
      <c r="T223">
        <f>HYPERLINK("https://klasma.github.io/Logging_2462/kartor/A 25368-2024 karta.png", "A 25368-2024")</f>
        <v/>
      </c>
      <c r="V223">
        <f>HYPERLINK("https://klasma.github.io/Logging_2462/klagomål/A 25368-2024 FSC-klagomål.docx", "A 25368-2024")</f>
        <v/>
      </c>
      <c r="W223">
        <f>HYPERLINK("https://klasma.github.io/Logging_2462/klagomålsmail/A 25368-2024 FSC-klagomål mail.docx", "A 25368-2024")</f>
        <v/>
      </c>
      <c r="X223">
        <f>HYPERLINK("https://klasma.github.io/Logging_2462/tillsyn/A 25368-2024 tillsynsbegäran.docx", "A 25368-2024")</f>
        <v/>
      </c>
      <c r="Y223">
        <f>HYPERLINK("https://klasma.github.io/Logging_2462/tillsynsmail/A 25368-2024 tillsynsbegäran mail.docx", "A 25368-2024")</f>
        <v/>
      </c>
    </row>
    <row r="224" ht="15" customHeight="1">
      <c r="A224" t="inlineStr">
        <is>
          <t>A 25374-2024</t>
        </is>
      </c>
      <c r="B224" s="1" t="n">
        <v>45463</v>
      </c>
      <c r="C224" s="1" t="n">
        <v>45672</v>
      </c>
      <c r="D224" t="inlineStr">
        <is>
          <t>VÄSTERBOTTENS LÄN</t>
        </is>
      </c>
      <c r="E224" t="inlineStr">
        <is>
          <t>VILHELMINA</t>
        </is>
      </c>
      <c r="F224" t="inlineStr">
        <is>
          <t>SCA</t>
        </is>
      </c>
      <c r="G224" t="n">
        <v>7.7</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25374-2024 artfynd.xlsx", "A 25374-2024")</f>
        <v/>
      </c>
      <c r="T224">
        <f>HYPERLINK("https://klasma.github.io/Logging_2462/kartor/A 25374-2024 karta.png", "A 25374-2024")</f>
        <v/>
      </c>
      <c r="V224">
        <f>HYPERLINK("https://klasma.github.io/Logging_2462/klagomål/A 25374-2024 FSC-klagomål.docx", "A 25374-2024")</f>
        <v/>
      </c>
      <c r="W224">
        <f>HYPERLINK("https://klasma.github.io/Logging_2462/klagomålsmail/A 25374-2024 FSC-klagomål mail.docx", "A 25374-2024")</f>
        <v/>
      </c>
      <c r="X224">
        <f>HYPERLINK("https://klasma.github.io/Logging_2462/tillsyn/A 25374-2024 tillsynsbegäran.docx", "A 25374-2024")</f>
        <v/>
      </c>
      <c r="Y224">
        <f>HYPERLINK("https://klasma.github.io/Logging_2462/tillsynsmail/A 25374-2024 tillsynsbegäran mail.docx", "A 25374-2024")</f>
        <v/>
      </c>
      <c r="Z224">
        <f>HYPERLINK("https://klasma.github.io/Logging_2462/fåglar/A 25374-2024 prioriterade fågelarter.docx", "A 25374-2024")</f>
        <v/>
      </c>
    </row>
    <row r="225" ht="15" customHeight="1">
      <c r="A225" t="inlineStr">
        <is>
          <t>A 33913-2024</t>
        </is>
      </c>
      <c r="B225" s="1" t="n">
        <v>45523</v>
      </c>
      <c r="C225" s="1" t="n">
        <v>45672</v>
      </c>
      <c r="D225" t="inlineStr">
        <is>
          <t>VÄSTERBOTTENS LÄN</t>
        </is>
      </c>
      <c r="E225" t="inlineStr">
        <is>
          <t>VILHELMINA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HYPERLINK("https://klasma.github.io/Logging_2462/artfynd/A 33913-2024 artfynd.xlsx", "A 33913-2024")</f>
        <v/>
      </c>
      <c r="T225">
        <f>HYPERLINK("https://klasma.github.io/Logging_2462/kartor/A 33913-2024 karta.png", "A 33913-2024")</f>
        <v/>
      </c>
      <c r="V225">
        <f>HYPERLINK("https://klasma.github.io/Logging_2462/klagomål/A 33913-2024 FSC-klagomål.docx", "A 33913-2024")</f>
        <v/>
      </c>
      <c r="W225">
        <f>HYPERLINK("https://klasma.github.io/Logging_2462/klagomålsmail/A 33913-2024 FSC-klagomål mail.docx", "A 33913-2024")</f>
        <v/>
      </c>
      <c r="X225">
        <f>HYPERLINK("https://klasma.github.io/Logging_2462/tillsyn/A 33913-2024 tillsynsbegäran.docx", "A 33913-2024")</f>
        <v/>
      </c>
      <c r="Y225">
        <f>HYPERLINK("https://klasma.github.io/Logging_2462/tillsynsmail/A 33913-2024 tillsynsbegäran mail.docx", "A 33913-2024")</f>
        <v/>
      </c>
    </row>
    <row r="226" ht="15" customHeight="1">
      <c r="A226" t="inlineStr">
        <is>
          <t>A 34730-2024</t>
        </is>
      </c>
      <c r="B226" s="1" t="n">
        <v>45526</v>
      </c>
      <c r="C226" s="1" t="n">
        <v>45672</v>
      </c>
      <c r="D226" t="inlineStr">
        <is>
          <t>VÄSTERBOTTENS LÄN</t>
        </is>
      </c>
      <c r="E226" t="inlineStr">
        <is>
          <t>VILHELMINA</t>
        </is>
      </c>
      <c r="G226" t="n">
        <v>19.2</v>
      </c>
      <c r="H226" t="n">
        <v>0</v>
      </c>
      <c r="I226" t="n">
        <v>0</v>
      </c>
      <c r="J226" t="n">
        <v>1</v>
      </c>
      <c r="K226" t="n">
        <v>0</v>
      </c>
      <c r="L226" t="n">
        <v>0</v>
      </c>
      <c r="M226" t="n">
        <v>0</v>
      </c>
      <c r="N226" t="n">
        <v>0</v>
      </c>
      <c r="O226" t="n">
        <v>1</v>
      </c>
      <c r="P226" t="n">
        <v>0</v>
      </c>
      <c r="Q226" t="n">
        <v>1</v>
      </c>
      <c r="R226" s="2" t="inlineStr">
        <is>
          <t>Ullticka</t>
        </is>
      </c>
      <c r="S226">
        <f>HYPERLINK("https://klasma.github.io/Logging_2462/artfynd/A 34730-2024 artfynd.xlsx", "A 34730-2024")</f>
        <v/>
      </c>
      <c r="T226">
        <f>HYPERLINK("https://klasma.github.io/Logging_2462/kartor/A 34730-2024 karta.png", "A 34730-2024")</f>
        <v/>
      </c>
      <c r="V226">
        <f>HYPERLINK("https://klasma.github.io/Logging_2462/klagomål/A 34730-2024 FSC-klagomål.docx", "A 34730-2024")</f>
        <v/>
      </c>
      <c r="W226">
        <f>HYPERLINK("https://klasma.github.io/Logging_2462/klagomålsmail/A 34730-2024 FSC-klagomål mail.docx", "A 34730-2024")</f>
        <v/>
      </c>
      <c r="X226">
        <f>HYPERLINK("https://klasma.github.io/Logging_2462/tillsyn/A 34730-2024 tillsynsbegäran.docx", "A 34730-2024")</f>
        <v/>
      </c>
      <c r="Y226">
        <f>HYPERLINK("https://klasma.github.io/Logging_2462/tillsynsmail/A 34730-2024 tillsynsbegäran mail.docx", "A 34730-2024")</f>
        <v/>
      </c>
    </row>
    <row r="227" ht="15" customHeight="1">
      <c r="A227" t="inlineStr">
        <is>
          <t>A 34769-2024</t>
        </is>
      </c>
      <c r="B227" s="1" t="n">
        <v>45526</v>
      </c>
      <c r="C227" s="1" t="n">
        <v>45672</v>
      </c>
      <c r="D227" t="inlineStr">
        <is>
          <t>VÄSTERBOTTENS LÄN</t>
        </is>
      </c>
      <c r="E227" t="inlineStr">
        <is>
          <t>VILHELMINA</t>
        </is>
      </c>
      <c r="F227" t="inlineStr">
        <is>
          <t>SCA</t>
        </is>
      </c>
      <c r="G227" t="n">
        <v>6.7</v>
      </c>
      <c r="H227" t="n">
        <v>0</v>
      </c>
      <c r="I227" t="n">
        <v>0</v>
      </c>
      <c r="J227" t="n">
        <v>0</v>
      </c>
      <c r="K227" t="n">
        <v>1</v>
      </c>
      <c r="L227" t="n">
        <v>0</v>
      </c>
      <c r="M227" t="n">
        <v>0</v>
      </c>
      <c r="N227" t="n">
        <v>0</v>
      </c>
      <c r="O227" t="n">
        <v>1</v>
      </c>
      <c r="P227" t="n">
        <v>1</v>
      </c>
      <c r="Q227" t="n">
        <v>1</v>
      </c>
      <c r="R227" s="2" t="inlineStr">
        <is>
          <t>Rynkskinn</t>
        </is>
      </c>
      <c r="S227">
        <f>HYPERLINK("https://klasma.github.io/Logging_2462/artfynd/A 34769-2024 artfynd.xlsx", "A 34769-2024")</f>
        <v/>
      </c>
      <c r="T227">
        <f>HYPERLINK("https://klasma.github.io/Logging_2462/kartor/A 34769-2024 karta.png", "A 34769-2024")</f>
        <v/>
      </c>
      <c r="V227">
        <f>HYPERLINK("https://klasma.github.io/Logging_2462/klagomål/A 34769-2024 FSC-klagomål.docx", "A 34769-2024")</f>
        <v/>
      </c>
      <c r="W227">
        <f>HYPERLINK("https://klasma.github.io/Logging_2462/klagomålsmail/A 34769-2024 FSC-klagomål mail.docx", "A 34769-2024")</f>
        <v/>
      </c>
      <c r="X227">
        <f>HYPERLINK("https://klasma.github.io/Logging_2462/tillsyn/A 34769-2024 tillsynsbegäran.docx", "A 34769-2024")</f>
        <v/>
      </c>
      <c r="Y227">
        <f>HYPERLINK("https://klasma.github.io/Logging_2462/tillsynsmail/A 34769-2024 tillsynsbegäran mail.docx", "A 34769-2024")</f>
        <v/>
      </c>
    </row>
    <row r="228" ht="15" customHeight="1">
      <c r="A228" t="inlineStr">
        <is>
          <t>A 38131-2024</t>
        </is>
      </c>
      <c r="B228" s="1" t="n">
        <v>45545</v>
      </c>
      <c r="C228" s="1" t="n">
        <v>45672</v>
      </c>
      <c r="D228" t="inlineStr">
        <is>
          <t>VÄSTERBOTTENS LÄN</t>
        </is>
      </c>
      <c r="E228" t="inlineStr">
        <is>
          <t>VILHELMINA</t>
        </is>
      </c>
      <c r="F228" t="inlineStr">
        <is>
          <t>SCA</t>
        </is>
      </c>
      <c r="G228" t="n">
        <v>1.5</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38131-2024 artfynd.xlsx", "A 38131-2024")</f>
        <v/>
      </c>
      <c r="T228">
        <f>HYPERLINK("https://klasma.github.io/Logging_2462/kartor/A 38131-2024 karta.png", "A 38131-2024")</f>
        <v/>
      </c>
      <c r="V228">
        <f>HYPERLINK("https://klasma.github.io/Logging_2462/klagomål/A 38131-2024 FSC-klagomål.docx", "A 38131-2024")</f>
        <v/>
      </c>
      <c r="W228">
        <f>HYPERLINK("https://klasma.github.io/Logging_2462/klagomålsmail/A 38131-2024 FSC-klagomål mail.docx", "A 38131-2024")</f>
        <v/>
      </c>
      <c r="X228">
        <f>HYPERLINK("https://klasma.github.io/Logging_2462/tillsyn/A 38131-2024 tillsynsbegäran.docx", "A 38131-2024")</f>
        <v/>
      </c>
      <c r="Y228">
        <f>HYPERLINK("https://klasma.github.io/Logging_2462/tillsynsmail/A 38131-2024 tillsynsbegäran mail.docx", "A 38131-2024")</f>
        <v/>
      </c>
      <c r="Z228">
        <f>HYPERLINK("https://klasma.github.io/Logging_2462/fåglar/A 38131-2024 prioriterade fågelarter.docx", "A 38131-2024")</f>
        <v/>
      </c>
    </row>
    <row r="229" ht="15" customHeight="1">
      <c r="A229" t="inlineStr">
        <is>
          <t>A 38282-2024</t>
        </is>
      </c>
      <c r="B229" s="1" t="n">
        <v>45545</v>
      </c>
      <c r="C229" s="1" t="n">
        <v>45672</v>
      </c>
      <c r="D229" t="inlineStr">
        <is>
          <t>VÄSTERBOTTENS LÄN</t>
        </is>
      </c>
      <c r="E229" t="inlineStr">
        <is>
          <t>VILHELMINA</t>
        </is>
      </c>
      <c r="F229" t="inlineStr">
        <is>
          <t>SCA</t>
        </is>
      </c>
      <c r="G229" t="n">
        <v>3.4</v>
      </c>
      <c r="H229" t="n">
        <v>0</v>
      </c>
      <c r="I229" t="n">
        <v>0</v>
      </c>
      <c r="J229" t="n">
        <v>1</v>
      </c>
      <c r="K229" t="n">
        <v>0</v>
      </c>
      <c r="L229" t="n">
        <v>0</v>
      </c>
      <c r="M229" t="n">
        <v>0</v>
      </c>
      <c r="N229" t="n">
        <v>0</v>
      </c>
      <c r="O229" t="n">
        <v>1</v>
      </c>
      <c r="P229" t="n">
        <v>0</v>
      </c>
      <c r="Q229" t="n">
        <v>1</v>
      </c>
      <c r="R229" s="2" t="inlineStr">
        <is>
          <t>Gränsticka</t>
        </is>
      </c>
      <c r="S229">
        <f>HYPERLINK("https://klasma.github.io/Logging_2462/artfynd/A 38282-2024 artfynd.xlsx", "A 38282-2024")</f>
        <v/>
      </c>
      <c r="T229">
        <f>HYPERLINK("https://klasma.github.io/Logging_2462/kartor/A 38282-2024 karta.png", "A 38282-2024")</f>
        <v/>
      </c>
      <c r="V229">
        <f>HYPERLINK("https://klasma.github.io/Logging_2462/klagomål/A 38282-2024 FSC-klagomål.docx", "A 38282-2024")</f>
        <v/>
      </c>
      <c r="W229">
        <f>HYPERLINK("https://klasma.github.io/Logging_2462/klagomålsmail/A 38282-2024 FSC-klagomål mail.docx", "A 38282-2024")</f>
        <v/>
      </c>
      <c r="X229">
        <f>HYPERLINK("https://klasma.github.io/Logging_2462/tillsyn/A 38282-2024 tillsynsbegäran.docx", "A 38282-2024")</f>
        <v/>
      </c>
      <c r="Y229">
        <f>HYPERLINK("https://klasma.github.io/Logging_2462/tillsynsmail/A 38282-2024 tillsynsbegäran mail.docx", "A 38282-2024")</f>
        <v/>
      </c>
    </row>
    <row r="230" ht="15" customHeight="1">
      <c r="A230" t="inlineStr">
        <is>
          <t>A 42489-2024</t>
        </is>
      </c>
      <c r="B230" s="1" t="n">
        <v>45565</v>
      </c>
      <c r="C230" s="1" t="n">
        <v>45672</v>
      </c>
      <c r="D230" t="inlineStr">
        <is>
          <t>VÄSTERBOTTENS LÄN</t>
        </is>
      </c>
      <c r="E230" t="inlineStr">
        <is>
          <t>VILHELMINA</t>
        </is>
      </c>
      <c r="F230" t="inlineStr">
        <is>
          <t>SCA</t>
        </is>
      </c>
      <c r="G230" t="n">
        <v>1.9</v>
      </c>
      <c r="H230" t="n">
        <v>0</v>
      </c>
      <c r="I230" t="n">
        <v>0</v>
      </c>
      <c r="J230" t="n">
        <v>1</v>
      </c>
      <c r="K230" t="n">
        <v>0</v>
      </c>
      <c r="L230" t="n">
        <v>0</v>
      </c>
      <c r="M230" t="n">
        <v>0</v>
      </c>
      <c r="N230" t="n">
        <v>0</v>
      </c>
      <c r="O230" t="n">
        <v>1</v>
      </c>
      <c r="P230" t="n">
        <v>0</v>
      </c>
      <c r="Q230" t="n">
        <v>1</v>
      </c>
      <c r="R230" s="2" t="inlineStr">
        <is>
          <t>Granticka</t>
        </is>
      </c>
      <c r="S230">
        <f>HYPERLINK("https://klasma.github.io/Logging_2462/artfynd/A 42489-2024 artfynd.xlsx", "A 42489-2024")</f>
        <v/>
      </c>
      <c r="T230">
        <f>HYPERLINK("https://klasma.github.io/Logging_2462/kartor/A 42489-2024 karta.png", "A 42489-2024")</f>
        <v/>
      </c>
      <c r="V230">
        <f>HYPERLINK("https://klasma.github.io/Logging_2462/klagomål/A 42489-2024 FSC-klagomål.docx", "A 42489-2024")</f>
        <v/>
      </c>
      <c r="W230">
        <f>HYPERLINK("https://klasma.github.io/Logging_2462/klagomålsmail/A 42489-2024 FSC-klagomål mail.docx", "A 42489-2024")</f>
        <v/>
      </c>
      <c r="X230">
        <f>HYPERLINK("https://klasma.github.io/Logging_2462/tillsyn/A 42489-2024 tillsynsbegäran.docx", "A 42489-2024")</f>
        <v/>
      </c>
      <c r="Y230">
        <f>HYPERLINK("https://klasma.github.io/Logging_2462/tillsynsmail/A 42489-2024 tillsynsbegäran mail.docx", "A 42489-2024")</f>
        <v/>
      </c>
    </row>
    <row r="231" ht="15" customHeight="1">
      <c r="A231" t="inlineStr">
        <is>
          <t>A 44286-2024</t>
        </is>
      </c>
      <c r="B231" s="1" t="n">
        <v>45573</v>
      </c>
      <c r="C231" s="1" t="n">
        <v>45672</v>
      </c>
      <c r="D231" t="inlineStr">
        <is>
          <t>VÄSTERBOTTENS LÄN</t>
        </is>
      </c>
      <c r="E231" t="inlineStr">
        <is>
          <t>VILHELMINA</t>
        </is>
      </c>
      <c r="G231" t="n">
        <v>29.2</v>
      </c>
      <c r="H231" t="n">
        <v>1</v>
      </c>
      <c r="I231" t="n">
        <v>0</v>
      </c>
      <c r="J231" t="n">
        <v>1</v>
      </c>
      <c r="K231" t="n">
        <v>0</v>
      </c>
      <c r="L231" t="n">
        <v>0</v>
      </c>
      <c r="M231" t="n">
        <v>0</v>
      </c>
      <c r="N231" t="n">
        <v>0</v>
      </c>
      <c r="O231" t="n">
        <v>1</v>
      </c>
      <c r="P231" t="n">
        <v>0</v>
      </c>
      <c r="Q231" t="n">
        <v>1</v>
      </c>
      <c r="R231" s="2" t="inlineStr">
        <is>
          <t>Videsparv</t>
        </is>
      </c>
      <c r="S231">
        <f>HYPERLINK("https://klasma.github.io/Logging_2462/artfynd/A 44286-2024 artfynd.xlsx", "A 44286-2024")</f>
        <v/>
      </c>
      <c r="T231">
        <f>HYPERLINK("https://klasma.github.io/Logging_2462/kartor/A 44286-2024 karta.png", "A 44286-2024")</f>
        <v/>
      </c>
      <c r="V231">
        <f>HYPERLINK("https://klasma.github.io/Logging_2462/klagomål/A 44286-2024 FSC-klagomål.docx", "A 44286-2024")</f>
        <v/>
      </c>
      <c r="W231">
        <f>HYPERLINK("https://klasma.github.io/Logging_2462/klagomålsmail/A 44286-2024 FSC-klagomål mail.docx", "A 44286-2024")</f>
        <v/>
      </c>
      <c r="X231">
        <f>HYPERLINK("https://klasma.github.io/Logging_2462/tillsyn/A 44286-2024 tillsynsbegäran.docx", "A 44286-2024")</f>
        <v/>
      </c>
      <c r="Y231">
        <f>HYPERLINK("https://klasma.github.io/Logging_2462/tillsynsmail/A 44286-2024 tillsynsbegäran mail.docx", "A 44286-2024")</f>
        <v/>
      </c>
      <c r="Z231">
        <f>HYPERLINK("https://klasma.github.io/Logging_2462/fåglar/A 44286-2024 prioriterade fågelarter.docx", "A 44286-2024")</f>
        <v/>
      </c>
    </row>
    <row r="232" ht="15" customHeight="1">
      <c r="A232" t="inlineStr">
        <is>
          <t>A 47248-2024</t>
        </is>
      </c>
      <c r="B232" s="1" t="n">
        <v>45586</v>
      </c>
      <c r="C232" s="1" t="n">
        <v>45672</v>
      </c>
      <c r="D232" t="inlineStr">
        <is>
          <t>VÄSTERBOTTENS LÄN</t>
        </is>
      </c>
      <c r="E232" t="inlineStr">
        <is>
          <t>VILHELMINA</t>
        </is>
      </c>
      <c r="F232" t="inlineStr">
        <is>
          <t>SCA</t>
        </is>
      </c>
      <c r="G232" t="n">
        <v>4</v>
      </c>
      <c r="H232" t="n">
        <v>0</v>
      </c>
      <c r="I232" t="n">
        <v>0</v>
      </c>
      <c r="J232" t="n">
        <v>1</v>
      </c>
      <c r="K232" t="n">
        <v>0</v>
      </c>
      <c r="L232" t="n">
        <v>0</v>
      </c>
      <c r="M232" t="n">
        <v>0</v>
      </c>
      <c r="N232" t="n">
        <v>0</v>
      </c>
      <c r="O232" t="n">
        <v>1</v>
      </c>
      <c r="P232" t="n">
        <v>0</v>
      </c>
      <c r="Q232" t="n">
        <v>1</v>
      </c>
      <c r="R232" s="2" t="inlineStr">
        <is>
          <t>Granticka</t>
        </is>
      </c>
      <c r="S232">
        <f>HYPERLINK("https://klasma.github.io/Logging_2462/artfynd/A 47248-2024 artfynd.xlsx", "A 47248-2024")</f>
        <v/>
      </c>
      <c r="T232">
        <f>HYPERLINK("https://klasma.github.io/Logging_2462/kartor/A 47248-2024 karta.png", "A 47248-2024")</f>
        <v/>
      </c>
      <c r="V232">
        <f>HYPERLINK("https://klasma.github.io/Logging_2462/klagomål/A 47248-2024 FSC-klagomål.docx", "A 47248-2024")</f>
        <v/>
      </c>
      <c r="W232">
        <f>HYPERLINK("https://klasma.github.io/Logging_2462/klagomålsmail/A 47248-2024 FSC-klagomål mail.docx", "A 47248-2024")</f>
        <v/>
      </c>
      <c r="X232">
        <f>HYPERLINK("https://klasma.github.io/Logging_2462/tillsyn/A 47248-2024 tillsynsbegäran.docx", "A 47248-2024")</f>
        <v/>
      </c>
      <c r="Y232">
        <f>HYPERLINK("https://klasma.github.io/Logging_2462/tillsynsmail/A 47248-2024 tillsynsbegäran mail.docx", "A 47248-2024")</f>
        <v/>
      </c>
    </row>
    <row r="233" ht="15" customHeight="1">
      <c r="A233" t="inlineStr">
        <is>
          <t>A 59001-2024</t>
        </is>
      </c>
      <c r="B233" s="1" t="n">
        <v>45636</v>
      </c>
      <c r="C233" s="1" t="n">
        <v>45672</v>
      </c>
      <c r="D233" t="inlineStr">
        <is>
          <t>VÄSTERBOTTENS LÄN</t>
        </is>
      </c>
      <c r="E233" t="inlineStr">
        <is>
          <t>VILHELMINA</t>
        </is>
      </c>
      <c r="F233" t="inlineStr">
        <is>
          <t>Allmännings- och besparingsskogar</t>
        </is>
      </c>
      <c r="G233" t="n">
        <v>32.5</v>
      </c>
      <c r="H233" t="n">
        <v>0</v>
      </c>
      <c r="I233" t="n">
        <v>0</v>
      </c>
      <c r="J233" t="n">
        <v>1</v>
      </c>
      <c r="K233" t="n">
        <v>0</v>
      </c>
      <c r="L233" t="n">
        <v>0</v>
      </c>
      <c r="M233" t="n">
        <v>0</v>
      </c>
      <c r="N233" t="n">
        <v>0</v>
      </c>
      <c r="O233" t="n">
        <v>1</v>
      </c>
      <c r="P233" t="n">
        <v>0</v>
      </c>
      <c r="Q233" t="n">
        <v>1</v>
      </c>
      <c r="R233" s="2" t="inlineStr">
        <is>
          <t>Gammelgransskål</t>
        </is>
      </c>
      <c r="S233">
        <f>HYPERLINK("https://klasma.github.io/Logging_2462/artfynd/A 59001-2024 artfynd.xlsx", "A 59001-2024")</f>
        <v/>
      </c>
      <c r="T233">
        <f>HYPERLINK("https://klasma.github.io/Logging_2462/kartor/A 59001-2024 karta.png", "A 59001-2024")</f>
        <v/>
      </c>
      <c r="V233">
        <f>HYPERLINK("https://klasma.github.io/Logging_2462/klagomål/A 59001-2024 FSC-klagomål.docx", "A 59001-2024")</f>
        <v/>
      </c>
      <c r="W233">
        <f>HYPERLINK("https://klasma.github.io/Logging_2462/klagomålsmail/A 59001-2024 FSC-klagomål mail.docx", "A 59001-2024")</f>
        <v/>
      </c>
      <c r="X233">
        <f>HYPERLINK("https://klasma.github.io/Logging_2462/tillsyn/A 59001-2024 tillsynsbegäran.docx", "A 59001-2024")</f>
        <v/>
      </c>
      <c r="Y233">
        <f>HYPERLINK("https://klasma.github.io/Logging_2462/tillsynsmail/A 59001-2024 tillsynsbegäran mail.docx", "A 59001-2024")</f>
        <v/>
      </c>
    </row>
    <row r="234" ht="15" customHeight="1">
      <c r="A234" t="inlineStr">
        <is>
          <t>A 1327-2025</t>
        </is>
      </c>
      <c r="B234" s="1" t="n">
        <v>45667</v>
      </c>
      <c r="C234" s="1" t="n">
        <v>45672</v>
      </c>
      <c r="D234" t="inlineStr">
        <is>
          <t>VÄSTERBOTTENS LÄN</t>
        </is>
      </c>
      <c r="E234" t="inlineStr">
        <is>
          <t>VILHELMINA</t>
        </is>
      </c>
      <c r="G234" t="n">
        <v>7.9</v>
      </c>
      <c r="H234" t="n">
        <v>0</v>
      </c>
      <c r="I234" t="n">
        <v>0</v>
      </c>
      <c r="J234" t="n">
        <v>0</v>
      </c>
      <c r="K234" t="n">
        <v>1</v>
      </c>
      <c r="L234" t="n">
        <v>0</v>
      </c>
      <c r="M234" t="n">
        <v>0</v>
      </c>
      <c r="N234" t="n">
        <v>0</v>
      </c>
      <c r="O234" t="n">
        <v>1</v>
      </c>
      <c r="P234" t="n">
        <v>1</v>
      </c>
      <c r="Q234" t="n">
        <v>1</v>
      </c>
      <c r="R234" s="2" t="inlineStr">
        <is>
          <t>Rynkskinn</t>
        </is>
      </c>
      <c r="S234">
        <f>HYPERLINK("https://klasma.github.io/Logging_2462/artfynd/A 1327-2025 artfynd.xlsx", "A 1327-2025")</f>
        <v/>
      </c>
      <c r="T234">
        <f>HYPERLINK("https://klasma.github.io/Logging_2462/kartor/A 1327-2025 karta.png", "A 1327-2025")</f>
        <v/>
      </c>
      <c r="V234">
        <f>HYPERLINK("https://klasma.github.io/Logging_2462/klagomål/A 1327-2025 FSC-klagomål.docx", "A 1327-2025")</f>
        <v/>
      </c>
      <c r="W234">
        <f>HYPERLINK("https://klasma.github.io/Logging_2462/klagomålsmail/A 1327-2025 FSC-klagomål mail.docx", "A 1327-2025")</f>
        <v/>
      </c>
      <c r="X234">
        <f>HYPERLINK("https://klasma.github.io/Logging_2462/tillsyn/A 1327-2025 tillsynsbegäran.docx", "A 1327-2025")</f>
        <v/>
      </c>
      <c r="Y234">
        <f>HYPERLINK("https://klasma.github.io/Logging_2462/tillsynsmail/A 1327-2025 tillsynsbegäran mail.docx", "A 1327-2025")</f>
        <v/>
      </c>
    </row>
    <row r="235" ht="15" customHeight="1">
      <c r="A235" t="inlineStr">
        <is>
          <t>A 18521-2019</t>
        </is>
      </c>
      <c r="B235" s="1" t="n">
        <v>43558</v>
      </c>
      <c r="C235" s="1" t="n">
        <v>45672</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18529-2019</t>
        </is>
      </c>
      <c r="B236" s="1" t="n">
        <v>43559</v>
      </c>
      <c r="C236" s="1" t="n">
        <v>45672</v>
      </c>
      <c r="D236" t="inlineStr">
        <is>
          <t>VÄSTERBOTTENS LÄN</t>
        </is>
      </c>
      <c r="E236" t="inlineStr">
        <is>
          <t>VILHELMINA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18449-2019</t>
        </is>
      </c>
      <c r="B237" s="1" t="n">
        <v>43559</v>
      </c>
      <c r="C237" s="1" t="n">
        <v>45672</v>
      </c>
      <c r="D237" t="inlineStr">
        <is>
          <t>VÄSTERBOTTENS LÄN</t>
        </is>
      </c>
      <c r="E237" t="inlineStr">
        <is>
          <t>VILHELMINA</t>
        </is>
      </c>
      <c r="F237" t="inlineStr">
        <is>
          <t>Kommuner</t>
        </is>
      </c>
      <c r="G237" t="n">
        <v>20.8</v>
      </c>
      <c r="H237" t="n">
        <v>0</v>
      </c>
      <c r="I237" t="n">
        <v>0</v>
      </c>
      <c r="J237" t="n">
        <v>0</v>
      </c>
      <c r="K237" t="n">
        <v>0</v>
      </c>
      <c r="L237" t="n">
        <v>0</v>
      </c>
      <c r="M237" t="n">
        <v>0</v>
      </c>
      <c r="N237" t="n">
        <v>0</v>
      </c>
      <c r="O237" t="n">
        <v>0</v>
      </c>
      <c r="P237" t="n">
        <v>0</v>
      </c>
      <c r="Q237" t="n">
        <v>0</v>
      </c>
      <c r="R237" s="2" t="inlineStr"/>
    </row>
    <row r="238" ht="15" customHeight="1">
      <c r="A238" t="inlineStr">
        <is>
          <t>A 19130-2019</t>
        </is>
      </c>
      <c r="B238" s="1" t="n">
        <v>43564</v>
      </c>
      <c r="C238" s="1" t="n">
        <v>45672</v>
      </c>
      <c r="D238" t="inlineStr">
        <is>
          <t>VÄSTERBOTTENS LÄN</t>
        </is>
      </c>
      <c r="E238" t="inlineStr">
        <is>
          <t>VILHELMINA</t>
        </is>
      </c>
      <c r="G238" t="n">
        <v>5.6</v>
      </c>
      <c r="H238" t="n">
        <v>0</v>
      </c>
      <c r="I238" t="n">
        <v>0</v>
      </c>
      <c r="J238" t="n">
        <v>0</v>
      </c>
      <c r="K238" t="n">
        <v>0</v>
      </c>
      <c r="L238" t="n">
        <v>0</v>
      </c>
      <c r="M238" t="n">
        <v>0</v>
      </c>
      <c r="N238" t="n">
        <v>0</v>
      </c>
      <c r="O238" t="n">
        <v>0</v>
      </c>
      <c r="P238" t="n">
        <v>0</v>
      </c>
      <c r="Q238" t="n">
        <v>0</v>
      </c>
      <c r="R238" s="2" t="inlineStr"/>
    </row>
    <row r="239" ht="15" customHeight="1">
      <c r="A239" t="inlineStr">
        <is>
          <t>A 23278-2019</t>
        </is>
      </c>
      <c r="B239" s="1" t="n">
        <v>43592</v>
      </c>
      <c r="C239" s="1" t="n">
        <v>45672</v>
      </c>
      <c r="D239" t="inlineStr">
        <is>
          <t>VÄSTERBOTTENS LÄN</t>
        </is>
      </c>
      <c r="E239" t="inlineStr">
        <is>
          <t>VILHELMINA</t>
        </is>
      </c>
      <c r="F239" t="inlineStr">
        <is>
          <t>SCA</t>
        </is>
      </c>
      <c r="G239" t="n">
        <v>6.6</v>
      </c>
      <c r="H239" t="n">
        <v>0</v>
      </c>
      <c r="I239" t="n">
        <v>0</v>
      </c>
      <c r="J239" t="n">
        <v>0</v>
      </c>
      <c r="K239" t="n">
        <v>0</v>
      </c>
      <c r="L239" t="n">
        <v>0</v>
      </c>
      <c r="M239" t="n">
        <v>0</v>
      </c>
      <c r="N239" t="n">
        <v>0</v>
      </c>
      <c r="O239" t="n">
        <v>0</v>
      </c>
      <c r="P239" t="n">
        <v>0</v>
      </c>
      <c r="Q239" t="n">
        <v>0</v>
      </c>
      <c r="R239" s="2" t="inlineStr"/>
    </row>
    <row r="240" ht="15" customHeight="1">
      <c r="A240" t="inlineStr">
        <is>
          <t>A 23277-2019</t>
        </is>
      </c>
      <c r="B240" s="1" t="n">
        <v>43592</v>
      </c>
      <c r="C240" s="1" t="n">
        <v>45672</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23724-2019</t>
        </is>
      </c>
      <c r="B241" s="1" t="n">
        <v>43594</v>
      </c>
      <c r="C241" s="1" t="n">
        <v>45672</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23723-2019</t>
        </is>
      </c>
      <c r="B242" s="1" t="n">
        <v>43594</v>
      </c>
      <c r="C242" s="1" t="n">
        <v>45672</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26852-2019</t>
        </is>
      </c>
      <c r="B243" s="1" t="n">
        <v>43608</v>
      </c>
      <c r="C243" s="1" t="n">
        <v>45672</v>
      </c>
      <c r="D243" t="inlineStr">
        <is>
          <t>VÄSTERBOTTENS LÄN</t>
        </is>
      </c>
      <c r="E243" t="inlineStr">
        <is>
          <t>VILHELMINA</t>
        </is>
      </c>
      <c r="G243" t="n">
        <v>0.6</v>
      </c>
      <c r="H243" t="n">
        <v>0</v>
      </c>
      <c r="I243" t="n">
        <v>0</v>
      </c>
      <c r="J243" t="n">
        <v>0</v>
      </c>
      <c r="K243" t="n">
        <v>0</v>
      </c>
      <c r="L243" t="n">
        <v>0</v>
      </c>
      <c r="M243" t="n">
        <v>0</v>
      </c>
      <c r="N243" t="n">
        <v>0</v>
      </c>
      <c r="O243" t="n">
        <v>0</v>
      </c>
      <c r="P243" t="n">
        <v>0</v>
      </c>
      <c r="Q243" t="n">
        <v>0</v>
      </c>
      <c r="R243" s="2" t="inlineStr"/>
    </row>
    <row r="244" ht="15" customHeight="1">
      <c r="A244" t="inlineStr">
        <is>
          <t>A 26896-2019</t>
        </is>
      </c>
      <c r="B244" s="1" t="n">
        <v>43608</v>
      </c>
      <c r="C244" s="1" t="n">
        <v>45672</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27075-2019</t>
        </is>
      </c>
      <c r="B245" s="1" t="n">
        <v>43612</v>
      </c>
      <c r="C245" s="1" t="n">
        <v>45672</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26763-2019</t>
        </is>
      </c>
      <c r="B246" s="1" t="n">
        <v>43613</v>
      </c>
      <c r="C246" s="1" t="n">
        <v>45672</v>
      </c>
      <c r="D246" t="inlineStr">
        <is>
          <t>VÄSTERBOTTENS LÄN</t>
        </is>
      </c>
      <c r="E246" t="inlineStr">
        <is>
          <t>VILHELMINA</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27254-2019</t>
        </is>
      </c>
      <c r="B247" s="1" t="n">
        <v>43614</v>
      </c>
      <c r="C247" s="1" t="n">
        <v>45672</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27253-2019</t>
        </is>
      </c>
      <c r="B248" s="1" t="n">
        <v>43614</v>
      </c>
      <c r="C248" s="1" t="n">
        <v>45672</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31612-2019</t>
        </is>
      </c>
      <c r="B249" s="1" t="n">
        <v>43640</v>
      </c>
      <c r="C249" s="1" t="n">
        <v>45672</v>
      </c>
      <c r="D249" t="inlineStr">
        <is>
          <t>VÄSTERBOTTENS LÄN</t>
        </is>
      </c>
      <c r="E249" t="inlineStr">
        <is>
          <t>VILHELMINA</t>
        </is>
      </c>
      <c r="G249" t="n">
        <v>1.3</v>
      </c>
      <c r="H249" t="n">
        <v>0</v>
      </c>
      <c r="I249" t="n">
        <v>0</v>
      </c>
      <c r="J249" t="n">
        <v>0</v>
      </c>
      <c r="K249" t="n">
        <v>0</v>
      </c>
      <c r="L249" t="n">
        <v>0</v>
      </c>
      <c r="M249" t="n">
        <v>0</v>
      </c>
      <c r="N249" t="n">
        <v>0</v>
      </c>
      <c r="O249" t="n">
        <v>0</v>
      </c>
      <c r="P249" t="n">
        <v>0</v>
      </c>
      <c r="Q249" t="n">
        <v>0</v>
      </c>
      <c r="R249" s="2" t="inlineStr"/>
    </row>
    <row r="250" ht="15" customHeight="1">
      <c r="A250" t="inlineStr">
        <is>
          <t>A 31615-2019</t>
        </is>
      </c>
      <c r="B250" s="1" t="n">
        <v>43640</v>
      </c>
      <c r="C250" s="1" t="n">
        <v>45672</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31610-2019</t>
        </is>
      </c>
      <c r="B251" s="1" t="n">
        <v>43640</v>
      </c>
      <c r="C251" s="1" t="n">
        <v>45672</v>
      </c>
      <c r="D251" t="inlineStr">
        <is>
          <t>VÄSTERBOTTENS LÄN</t>
        </is>
      </c>
      <c r="E251" t="inlineStr">
        <is>
          <t>VILHELMINA</t>
        </is>
      </c>
      <c r="G251" t="n">
        <v>1</v>
      </c>
      <c r="H251" t="n">
        <v>0</v>
      </c>
      <c r="I251" t="n">
        <v>0</v>
      </c>
      <c r="J251" t="n">
        <v>0</v>
      </c>
      <c r="K251" t="n">
        <v>0</v>
      </c>
      <c r="L251" t="n">
        <v>0</v>
      </c>
      <c r="M251" t="n">
        <v>0</v>
      </c>
      <c r="N251" t="n">
        <v>0</v>
      </c>
      <c r="O251" t="n">
        <v>0</v>
      </c>
      <c r="P251" t="n">
        <v>0</v>
      </c>
      <c r="Q251" t="n">
        <v>0</v>
      </c>
      <c r="R251" s="2" t="inlineStr"/>
    </row>
    <row r="252" ht="15" customHeight="1">
      <c r="A252" t="inlineStr">
        <is>
          <t>A 31607-2019</t>
        </is>
      </c>
      <c r="B252" s="1" t="n">
        <v>43640</v>
      </c>
      <c r="C252" s="1" t="n">
        <v>45672</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31845-2019</t>
        </is>
      </c>
      <c r="B253" s="1" t="n">
        <v>43640</v>
      </c>
      <c r="C253" s="1" t="n">
        <v>45672</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31511-2019</t>
        </is>
      </c>
      <c r="B254" s="1" t="n">
        <v>43641</v>
      </c>
      <c r="C254" s="1" t="n">
        <v>45672</v>
      </c>
      <c r="D254" t="inlineStr">
        <is>
          <t>VÄSTERBOTTENS LÄN</t>
        </is>
      </c>
      <c r="E254" t="inlineStr">
        <is>
          <t>VILHELMINA</t>
        </is>
      </c>
      <c r="G254" t="n">
        <v>21.8</v>
      </c>
      <c r="H254" t="n">
        <v>0</v>
      </c>
      <c r="I254" t="n">
        <v>0</v>
      </c>
      <c r="J254" t="n">
        <v>0</v>
      </c>
      <c r="K254" t="n">
        <v>0</v>
      </c>
      <c r="L254" t="n">
        <v>0</v>
      </c>
      <c r="M254" t="n">
        <v>0</v>
      </c>
      <c r="N254" t="n">
        <v>0</v>
      </c>
      <c r="O254" t="n">
        <v>0</v>
      </c>
      <c r="P254" t="n">
        <v>0</v>
      </c>
      <c r="Q254" t="n">
        <v>0</v>
      </c>
      <c r="R254" s="2" t="inlineStr"/>
    </row>
    <row r="255" ht="15" customHeight="1">
      <c r="A255" t="inlineStr">
        <is>
          <t>A 32731-2019</t>
        </is>
      </c>
      <c r="B255" s="1" t="n">
        <v>43648</v>
      </c>
      <c r="C255" s="1" t="n">
        <v>45672</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32787-2019</t>
        </is>
      </c>
      <c r="B256" s="1" t="n">
        <v>43648</v>
      </c>
      <c r="C256" s="1" t="n">
        <v>45672</v>
      </c>
      <c r="D256" t="inlineStr">
        <is>
          <t>VÄSTERBOTTENS LÄN</t>
        </is>
      </c>
      <c r="E256" t="inlineStr">
        <is>
          <t>VILHELMINA</t>
        </is>
      </c>
      <c r="G256" t="n">
        <v>9.4</v>
      </c>
      <c r="H256" t="n">
        <v>0</v>
      </c>
      <c r="I256" t="n">
        <v>0</v>
      </c>
      <c r="J256" t="n">
        <v>0</v>
      </c>
      <c r="K256" t="n">
        <v>0</v>
      </c>
      <c r="L256" t="n">
        <v>0</v>
      </c>
      <c r="M256" t="n">
        <v>0</v>
      </c>
      <c r="N256" t="n">
        <v>0</v>
      </c>
      <c r="O256" t="n">
        <v>0</v>
      </c>
      <c r="P256" t="n">
        <v>0</v>
      </c>
      <c r="Q256" t="n">
        <v>0</v>
      </c>
      <c r="R256" s="2" t="inlineStr"/>
    </row>
    <row r="257" ht="15" customHeight="1">
      <c r="A257" t="inlineStr">
        <is>
          <t>A 34370-2019</t>
        </is>
      </c>
      <c r="B257" s="1" t="n">
        <v>43656</v>
      </c>
      <c r="C257" s="1" t="n">
        <v>45672</v>
      </c>
      <c r="D257" t="inlineStr">
        <is>
          <t>VÄSTERBOTTENS LÄN</t>
        </is>
      </c>
      <c r="E257" t="inlineStr">
        <is>
          <t>VILHELMINA</t>
        </is>
      </c>
      <c r="G257" t="n">
        <v>20.7</v>
      </c>
      <c r="H257" t="n">
        <v>0</v>
      </c>
      <c r="I257" t="n">
        <v>0</v>
      </c>
      <c r="J257" t="n">
        <v>0</v>
      </c>
      <c r="K257" t="n">
        <v>0</v>
      </c>
      <c r="L257" t="n">
        <v>0</v>
      </c>
      <c r="M257" t="n">
        <v>0</v>
      </c>
      <c r="N257" t="n">
        <v>0</v>
      </c>
      <c r="O257" t="n">
        <v>0</v>
      </c>
      <c r="P257" t="n">
        <v>0</v>
      </c>
      <c r="Q257" t="n">
        <v>0</v>
      </c>
      <c r="R257" s="2" t="inlineStr"/>
    </row>
    <row r="258" ht="15" customHeight="1">
      <c r="A258" t="inlineStr">
        <is>
          <t>A 35051-2019</t>
        </is>
      </c>
      <c r="B258" s="1" t="n">
        <v>43661</v>
      </c>
      <c r="C258" s="1" t="n">
        <v>45672</v>
      </c>
      <c r="D258" t="inlineStr">
        <is>
          <t>VÄSTERBOTTENS LÄN</t>
        </is>
      </c>
      <c r="E258" t="inlineStr">
        <is>
          <t>VILHELMINA</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35054-2019</t>
        </is>
      </c>
      <c r="B259" s="1" t="n">
        <v>43661</v>
      </c>
      <c r="C259" s="1" t="n">
        <v>45672</v>
      </c>
      <c r="D259" t="inlineStr">
        <is>
          <t>VÄSTERBOTTENS LÄN</t>
        </is>
      </c>
      <c r="E259" t="inlineStr">
        <is>
          <t>VILHELMINA</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35723-2019</t>
        </is>
      </c>
      <c r="B260" s="1" t="n">
        <v>43664</v>
      </c>
      <c r="C260" s="1" t="n">
        <v>45672</v>
      </c>
      <c r="D260" t="inlineStr">
        <is>
          <t>VÄSTERBOTTENS LÄN</t>
        </is>
      </c>
      <c r="E260" t="inlineStr">
        <is>
          <t>VILHELMINA</t>
        </is>
      </c>
      <c r="G260" t="n">
        <v>16.8</v>
      </c>
      <c r="H260" t="n">
        <v>0</v>
      </c>
      <c r="I260" t="n">
        <v>0</v>
      </c>
      <c r="J260" t="n">
        <v>0</v>
      </c>
      <c r="K260" t="n">
        <v>0</v>
      </c>
      <c r="L260" t="n">
        <v>0</v>
      </c>
      <c r="M260" t="n">
        <v>0</v>
      </c>
      <c r="N260" t="n">
        <v>0</v>
      </c>
      <c r="O260" t="n">
        <v>0</v>
      </c>
      <c r="P260" t="n">
        <v>0</v>
      </c>
      <c r="Q260" t="n">
        <v>0</v>
      </c>
      <c r="R260" s="2" t="inlineStr"/>
    </row>
    <row r="261" ht="15" customHeight="1">
      <c r="A261" t="inlineStr">
        <is>
          <t>A 35737-2019</t>
        </is>
      </c>
      <c r="B261" s="1" t="n">
        <v>43664</v>
      </c>
      <c r="C261" s="1" t="n">
        <v>45672</v>
      </c>
      <c r="D261" t="inlineStr">
        <is>
          <t>VÄSTERBOTTENS LÄN</t>
        </is>
      </c>
      <c r="E261" t="inlineStr">
        <is>
          <t>VILHELMINA</t>
        </is>
      </c>
      <c r="G261" t="n">
        <v>22.4</v>
      </c>
      <c r="H261" t="n">
        <v>0</v>
      </c>
      <c r="I261" t="n">
        <v>0</v>
      </c>
      <c r="J261" t="n">
        <v>0</v>
      </c>
      <c r="K261" t="n">
        <v>0</v>
      </c>
      <c r="L261" t="n">
        <v>0</v>
      </c>
      <c r="M261" t="n">
        <v>0</v>
      </c>
      <c r="N261" t="n">
        <v>0</v>
      </c>
      <c r="O261" t="n">
        <v>0</v>
      </c>
      <c r="P261" t="n">
        <v>0</v>
      </c>
      <c r="Q261" t="n">
        <v>0</v>
      </c>
      <c r="R261" s="2" t="inlineStr"/>
    </row>
    <row r="262" ht="15" customHeight="1">
      <c r="A262" t="inlineStr">
        <is>
          <t>A 35726-2019</t>
        </is>
      </c>
      <c r="B262" s="1" t="n">
        <v>43664</v>
      </c>
      <c r="C262" s="1" t="n">
        <v>45672</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35731-2019</t>
        </is>
      </c>
      <c r="B263" s="1" t="n">
        <v>43665</v>
      </c>
      <c r="C263" s="1" t="n">
        <v>45672</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37824-2019</t>
        </is>
      </c>
      <c r="B264" s="1" t="n">
        <v>43682</v>
      </c>
      <c r="C264" s="1" t="n">
        <v>45672</v>
      </c>
      <c r="D264" t="inlineStr">
        <is>
          <t>VÄSTERBOTTENS LÄN</t>
        </is>
      </c>
      <c r="E264" t="inlineStr">
        <is>
          <t>VILHELMINA</t>
        </is>
      </c>
      <c r="G264" t="n">
        <v>14.2</v>
      </c>
      <c r="H264" t="n">
        <v>0</v>
      </c>
      <c r="I264" t="n">
        <v>0</v>
      </c>
      <c r="J264" t="n">
        <v>0</v>
      </c>
      <c r="K264" t="n">
        <v>0</v>
      </c>
      <c r="L264" t="n">
        <v>0</v>
      </c>
      <c r="M264" t="n">
        <v>0</v>
      </c>
      <c r="N264" t="n">
        <v>0</v>
      </c>
      <c r="O264" t="n">
        <v>0</v>
      </c>
      <c r="P264" t="n">
        <v>0</v>
      </c>
      <c r="Q264" t="n">
        <v>0</v>
      </c>
      <c r="R264" s="2" t="inlineStr"/>
    </row>
    <row r="265" ht="15" customHeight="1">
      <c r="A265" t="inlineStr">
        <is>
          <t>A 40282-2019</t>
        </is>
      </c>
      <c r="B265" s="1" t="n">
        <v>43690</v>
      </c>
      <c r="C265" s="1" t="n">
        <v>45672</v>
      </c>
      <c r="D265" t="inlineStr">
        <is>
          <t>VÄSTERBOTTENS LÄN</t>
        </is>
      </c>
      <c r="E265" t="inlineStr">
        <is>
          <t>VILHELMINA</t>
        </is>
      </c>
      <c r="G265" t="n">
        <v>13.2</v>
      </c>
      <c r="H265" t="n">
        <v>0</v>
      </c>
      <c r="I265" t="n">
        <v>0</v>
      </c>
      <c r="J265" t="n">
        <v>0</v>
      </c>
      <c r="K265" t="n">
        <v>0</v>
      </c>
      <c r="L265" t="n">
        <v>0</v>
      </c>
      <c r="M265" t="n">
        <v>0</v>
      </c>
      <c r="N265" t="n">
        <v>0</v>
      </c>
      <c r="O265" t="n">
        <v>0</v>
      </c>
      <c r="P265" t="n">
        <v>0</v>
      </c>
      <c r="Q265" t="n">
        <v>0</v>
      </c>
      <c r="R265" s="2" t="inlineStr"/>
    </row>
    <row r="266" ht="15" customHeight="1">
      <c r="A266" t="inlineStr">
        <is>
          <t>A 41782-2019</t>
        </is>
      </c>
      <c r="B266" s="1" t="n">
        <v>43699</v>
      </c>
      <c r="C266" s="1" t="n">
        <v>45672</v>
      </c>
      <c r="D266" t="inlineStr">
        <is>
          <t>VÄSTERBOTTENS LÄN</t>
        </is>
      </c>
      <c r="E266" t="inlineStr">
        <is>
          <t>VILHELMINA</t>
        </is>
      </c>
      <c r="F266" t="inlineStr">
        <is>
          <t>SCA</t>
        </is>
      </c>
      <c r="G266" t="n">
        <v>30.8</v>
      </c>
      <c r="H266" t="n">
        <v>0</v>
      </c>
      <c r="I266" t="n">
        <v>0</v>
      </c>
      <c r="J266" t="n">
        <v>0</v>
      </c>
      <c r="K266" t="n">
        <v>0</v>
      </c>
      <c r="L266" t="n">
        <v>0</v>
      </c>
      <c r="M266" t="n">
        <v>0</v>
      </c>
      <c r="N266" t="n">
        <v>0</v>
      </c>
      <c r="O266" t="n">
        <v>0</v>
      </c>
      <c r="P266" t="n">
        <v>0</v>
      </c>
      <c r="Q266" t="n">
        <v>0</v>
      </c>
      <c r="R266" s="2" t="inlineStr"/>
    </row>
    <row r="267" ht="15" customHeight="1">
      <c r="A267" t="inlineStr">
        <is>
          <t>A 42068-2019</t>
        </is>
      </c>
      <c r="B267" s="1" t="n">
        <v>43700</v>
      </c>
      <c r="C267" s="1" t="n">
        <v>45672</v>
      </c>
      <c r="D267" t="inlineStr">
        <is>
          <t>VÄSTERBOTTENS LÄN</t>
        </is>
      </c>
      <c r="E267" t="inlineStr">
        <is>
          <t>VILHELMINA</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42362-2019</t>
        </is>
      </c>
      <c r="B268" s="1" t="n">
        <v>43703</v>
      </c>
      <c r="C268" s="1" t="n">
        <v>45672</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44388-2019</t>
        </is>
      </c>
      <c r="B269" s="1" t="n">
        <v>43705</v>
      </c>
      <c r="C269" s="1" t="n">
        <v>45672</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44649-2019</t>
        </is>
      </c>
      <c r="B270" s="1" t="n">
        <v>43712</v>
      </c>
      <c r="C270" s="1" t="n">
        <v>45672</v>
      </c>
      <c r="D270" t="inlineStr">
        <is>
          <t>VÄSTERBOTTENS LÄN</t>
        </is>
      </c>
      <c r="E270" t="inlineStr">
        <is>
          <t>VILHELMINA</t>
        </is>
      </c>
      <c r="G270" t="n">
        <v>7.8</v>
      </c>
      <c r="H270" t="n">
        <v>0</v>
      </c>
      <c r="I270" t="n">
        <v>0</v>
      </c>
      <c r="J270" t="n">
        <v>0</v>
      </c>
      <c r="K270" t="n">
        <v>0</v>
      </c>
      <c r="L270" t="n">
        <v>0</v>
      </c>
      <c r="M270" t="n">
        <v>0</v>
      </c>
      <c r="N270" t="n">
        <v>0</v>
      </c>
      <c r="O270" t="n">
        <v>0</v>
      </c>
      <c r="P270" t="n">
        <v>0</v>
      </c>
      <c r="Q270" t="n">
        <v>0</v>
      </c>
      <c r="R270" s="2" t="inlineStr"/>
    </row>
    <row r="271" ht="15" customHeight="1">
      <c r="A271" t="inlineStr">
        <is>
          <t>A 45275-2019</t>
        </is>
      </c>
      <c r="B271" s="1" t="n">
        <v>43714</v>
      </c>
      <c r="C271" s="1" t="n">
        <v>45672</v>
      </c>
      <c r="D271" t="inlineStr">
        <is>
          <t>VÄSTERBOTTENS LÄN</t>
        </is>
      </c>
      <c r="E271" t="inlineStr">
        <is>
          <t>VILHELMINA</t>
        </is>
      </c>
      <c r="F271" t="inlineStr">
        <is>
          <t>SCA</t>
        </is>
      </c>
      <c r="G271" t="n">
        <v>10.3</v>
      </c>
      <c r="H271" t="n">
        <v>0</v>
      </c>
      <c r="I271" t="n">
        <v>0</v>
      </c>
      <c r="J271" t="n">
        <v>0</v>
      </c>
      <c r="K271" t="n">
        <v>0</v>
      </c>
      <c r="L271" t="n">
        <v>0</v>
      </c>
      <c r="M271" t="n">
        <v>0</v>
      </c>
      <c r="N271" t="n">
        <v>0</v>
      </c>
      <c r="O271" t="n">
        <v>0</v>
      </c>
      <c r="P271" t="n">
        <v>0</v>
      </c>
      <c r="Q271" t="n">
        <v>0</v>
      </c>
      <c r="R271" s="2" t="inlineStr"/>
    </row>
    <row r="272" ht="15" customHeight="1">
      <c r="A272" t="inlineStr">
        <is>
          <t>A 48259-2019</t>
        </is>
      </c>
      <c r="B272" s="1" t="n">
        <v>43726</v>
      </c>
      <c r="C272" s="1" t="n">
        <v>45672</v>
      </c>
      <c r="D272" t="inlineStr">
        <is>
          <t>VÄSTERBOTTENS LÄN</t>
        </is>
      </c>
      <c r="E272" t="inlineStr">
        <is>
          <t>VILHELMINA</t>
        </is>
      </c>
      <c r="G272" t="n">
        <v>5.2</v>
      </c>
      <c r="H272" t="n">
        <v>0</v>
      </c>
      <c r="I272" t="n">
        <v>0</v>
      </c>
      <c r="J272" t="n">
        <v>0</v>
      </c>
      <c r="K272" t="n">
        <v>0</v>
      </c>
      <c r="L272" t="n">
        <v>0</v>
      </c>
      <c r="M272" t="n">
        <v>0</v>
      </c>
      <c r="N272" t="n">
        <v>0</v>
      </c>
      <c r="O272" t="n">
        <v>0</v>
      </c>
      <c r="P272" t="n">
        <v>0</v>
      </c>
      <c r="Q272" t="n">
        <v>0</v>
      </c>
      <c r="R272" s="2" t="inlineStr"/>
    </row>
    <row r="273" ht="15" customHeight="1">
      <c r="A273" t="inlineStr">
        <is>
          <t>A 49615-2019</t>
        </is>
      </c>
      <c r="B273" s="1" t="n">
        <v>43728</v>
      </c>
      <c r="C273" s="1" t="n">
        <v>45672</v>
      </c>
      <c r="D273" t="inlineStr">
        <is>
          <t>VÄSTERBOTTENS LÄN</t>
        </is>
      </c>
      <c r="E273" t="inlineStr">
        <is>
          <t>VILHELMINA</t>
        </is>
      </c>
      <c r="G273" t="n">
        <v>0.6</v>
      </c>
      <c r="H273" t="n">
        <v>0</v>
      </c>
      <c r="I273" t="n">
        <v>0</v>
      </c>
      <c r="J273" t="n">
        <v>0</v>
      </c>
      <c r="K273" t="n">
        <v>0</v>
      </c>
      <c r="L273" t="n">
        <v>0</v>
      </c>
      <c r="M273" t="n">
        <v>0</v>
      </c>
      <c r="N273" t="n">
        <v>0</v>
      </c>
      <c r="O273" t="n">
        <v>0</v>
      </c>
      <c r="P273" t="n">
        <v>0</v>
      </c>
      <c r="Q273" t="n">
        <v>0</v>
      </c>
      <c r="R273" s="2" t="inlineStr"/>
    </row>
    <row r="274" ht="15" customHeight="1">
      <c r="A274" t="inlineStr">
        <is>
          <t>A 49254-2019</t>
        </is>
      </c>
      <c r="B274" s="1" t="n">
        <v>43731</v>
      </c>
      <c r="C274" s="1" t="n">
        <v>45672</v>
      </c>
      <c r="D274" t="inlineStr">
        <is>
          <t>VÄSTERBOTTENS LÄN</t>
        </is>
      </c>
      <c r="E274" t="inlineStr">
        <is>
          <t>VILHELMINA</t>
        </is>
      </c>
      <c r="G274" t="n">
        <v>10.9</v>
      </c>
      <c r="H274" t="n">
        <v>0</v>
      </c>
      <c r="I274" t="n">
        <v>0</v>
      </c>
      <c r="J274" t="n">
        <v>0</v>
      </c>
      <c r="K274" t="n">
        <v>0</v>
      </c>
      <c r="L274" t="n">
        <v>0</v>
      </c>
      <c r="M274" t="n">
        <v>0</v>
      </c>
      <c r="N274" t="n">
        <v>0</v>
      </c>
      <c r="O274" t="n">
        <v>0</v>
      </c>
      <c r="P274" t="n">
        <v>0</v>
      </c>
      <c r="Q274" t="n">
        <v>0</v>
      </c>
      <c r="R274" s="2" t="inlineStr"/>
    </row>
    <row r="275" ht="15" customHeight="1">
      <c r="A275" t="inlineStr">
        <is>
          <t>A 50006-2019</t>
        </is>
      </c>
      <c r="B275" s="1" t="n">
        <v>43733</v>
      </c>
      <c r="C275" s="1" t="n">
        <v>45672</v>
      </c>
      <c r="D275" t="inlineStr">
        <is>
          <t>VÄSTERBOTTENS LÄN</t>
        </is>
      </c>
      <c r="E275" t="inlineStr">
        <is>
          <t>VILHELMINA</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50009-2019</t>
        </is>
      </c>
      <c r="B276" s="1" t="n">
        <v>43733</v>
      </c>
      <c r="C276" s="1" t="n">
        <v>45672</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50008-2019</t>
        </is>
      </c>
      <c r="B277" s="1" t="n">
        <v>43733</v>
      </c>
      <c r="C277" s="1" t="n">
        <v>45672</v>
      </c>
      <c r="D277" t="inlineStr">
        <is>
          <t>VÄSTERBOTTENS LÄN</t>
        </is>
      </c>
      <c r="E277" t="inlineStr">
        <is>
          <t>VILHELMINA</t>
        </is>
      </c>
      <c r="F277" t="inlineStr">
        <is>
          <t>SCA</t>
        </is>
      </c>
      <c r="G277" t="n">
        <v>14.8</v>
      </c>
      <c r="H277" t="n">
        <v>0</v>
      </c>
      <c r="I277" t="n">
        <v>0</v>
      </c>
      <c r="J277" t="n">
        <v>0</v>
      </c>
      <c r="K277" t="n">
        <v>0</v>
      </c>
      <c r="L277" t="n">
        <v>0</v>
      </c>
      <c r="M277" t="n">
        <v>0</v>
      </c>
      <c r="N277" t="n">
        <v>0</v>
      </c>
      <c r="O277" t="n">
        <v>0</v>
      </c>
      <c r="P277" t="n">
        <v>0</v>
      </c>
      <c r="Q277" t="n">
        <v>0</v>
      </c>
      <c r="R277" s="2" t="inlineStr"/>
    </row>
    <row r="278" ht="15" customHeight="1">
      <c r="A278" t="inlineStr">
        <is>
          <t>A 51094-2019</t>
        </is>
      </c>
      <c r="B278" s="1" t="n">
        <v>43739</v>
      </c>
      <c r="C278" s="1" t="n">
        <v>45672</v>
      </c>
      <c r="D278" t="inlineStr">
        <is>
          <t>VÄSTERBOTTENS LÄN</t>
        </is>
      </c>
      <c r="E278" t="inlineStr">
        <is>
          <t>VILHELMINA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51895-2019</t>
        </is>
      </c>
      <c r="B279" s="1" t="n">
        <v>43741</v>
      </c>
      <c r="C279" s="1" t="n">
        <v>45672</v>
      </c>
      <c r="D279" t="inlineStr">
        <is>
          <t>VÄSTERBOTTENS LÄN</t>
        </is>
      </c>
      <c r="E279" t="inlineStr">
        <is>
          <t>VILHELMINA</t>
        </is>
      </c>
      <c r="F279" t="inlineStr">
        <is>
          <t>Allmännings- och besparingsskogar</t>
        </is>
      </c>
      <c r="G279" t="n">
        <v>10.5</v>
      </c>
      <c r="H279" t="n">
        <v>0</v>
      </c>
      <c r="I279" t="n">
        <v>0</v>
      </c>
      <c r="J279" t="n">
        <v>0</v>
      </c>
      <c r="K279" t="n">
        <v>0</v>
      </c>
      <c r="L279" t="n">
        <v>0</v>
      </c>
      <c r="M279" t="n">
        <v>0</v>
      </c>
      <c r="N279" t="n">
        <v>0</v>
      </c>
      <c r="O279" t="n">
        <v>0</v>
      </c>
      <c r="P279" t="n">
        <v>0</v>
      </c>
      <c r="Q279" t="n">
        <v>0</v>
      </c>
      <c r="R279" s="2" t="inlineStr"/>
    </row>
    <row r="280" ht="15" customHeight="1">
      <c r="A280" t="inlineStr">
        <is>
          <t>A 54070-2019</t>
        </is>
      </c>
      <c r="B280" s="1" t="n">
        <v>43746</v>
      </c>
      <c r="C280" s="1" t="n">
        <v>45672</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53750-2019</t>
        </is>
      </c>
      <c r="B281" s="1" t="n">
        <v>43749</v>
      </c>
      <c r="C281" s="1" t="n">
        <v>45672</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53757-2019</t>
        </is>
      </c>
      <c r="B282" s="1" t="n">
        <v>43749</v>
      </c>
      <c r="C282" s="1" t="n">
        <v>45672</v>
      </c>
      <c r="D282" t="inlineStr">
        <is>
          <t>VÄSTERBOTTENS LÄN</t>
        </is>
      </c>
      <c r="E282" t="inlineStr">
        <is>
          <t>VILHELMINA</t>
        </is>
      </c>
      <c r="F282" t="inlineStr">
        <is>
          <t>SCA</t>
        </is>
      </c>
      <c r="G282" t="n">
        <v>12.4</v>
      </c>
      <c r="H282" t="n">
        <v>0</v>
      </c>
      <c r="I282" t="n">
        <v>0</v>
      </c>
      <c r="J282" t="n">
        <v>0</v>
      </c>
      <c r="K282" t="n">
        <v>0</v>
      </c>
      <c r="L282" t="n">
        <v>0</v>
      </c>
      <c r="M282" t="n">
        <v>0</v>
      </c>
      <c r="N282" t="n">
        <v>0</v>
      </c>
      <c r="O282" t="n">
        <v>0</v>
      </c>
      <c r="P282" t="n">
        <v>0</v>
      </c>
      <c r="Q282" t="n">
        <v>0</v>
      </c>
      <c r="R282" s="2" t="inlineStr"/>
    </row>
    <row r="283" ht="15" customHeight="1">
      <c r="A283" t="inlineStr">
        <is>
          <t>A 54184-2019</t>
        </is>
      </c>
      <c r="B283" s="1" t="n">
        <v>43753</v>
      </c>
      <c r="C283" s="1" t="n">
        <v>45672</v>
      </c>
      <c r="D283" t="inlineStr">
        <is>
          <t>VÄSTERBOTTENS LÄN</t>
        </is>
      </c>
      <c r="E283" t="inlineStr">
        <is>
          <t>VILHELMINA</t>
        </is>
      </c>
      <c r="F283" t="inlineStr">
        <is>
          <t>Kommuner</t>
        </is>
      </c>
      <c r="G283" t="n">
        <v>10.6</v>
      </c>
      <c r="H283" t="n">
        <v>0</v>
      </c>
      <c r="I283" t="n">
        <v>0</v>
      </c>
      <c r="J283" t="n">
        <v>0</v>
      </c>
      <c r="K283" t="n">
        <v>0</v>
      </c>
      <c r="L283" t="n">
        <v>0</v>
      </c>
      <c r="M283" t="n">
        <v>0</v>
      </c>
      <c r="N283" t="n">
        <v>0</v>
      </c>
      <c r="O283" t="n">
        <v>0</v>
      </c>
      <c r="P283" t="n">
        <v>0</v>
      </c>
      <c r="Q283" t="n">
        <v>0</v>
      </c>
      <c r="R283" s="2" t="inlineStr"/>
    </row>
    <row r="284" ht="15" customHeight="1">
      <c r="A284" t="inlineStr">
        <is>
          <t>A 54985-2019</t>
        </is>
      </c>
      <c r="B284" s="1" t="n">
        <v>43755</v>
      </c>
      <c r="C284" s="1" t="n">
        <v>45672</v>
      </c>
      <c r="D284" t="inlineStr">
        <is>
          <t>VÄSTERBOTTENS LÄN</t>
        </is>
      </c>
      <c r="E284" t="inlineStr">
        <is>
          <t>VILHELMINA</t>
        </is>
      </c>
      <c r="G284" t="n">
        <v>12.2</v>
      </c>
      <c r="H284" t="n">
        <v>0</v>
      </c>
      <c r="I284" t="n">
        <v>0</v>
      </c>
      <c r="J284" t="n">
        <v>0</v>
      </c>
      <c r="K284" t="n">
        <v>0</v>
      </c>
      <c r="L284" t="n">
        <v>0</v>
      </c>
      <c r="M284" t="n">
        <v>0</v>
      </c>
      <c r="N284" t="n">
        <v>0</v>
      </c>
      <c r="O284" t="n">
        <v>0</v>
      </c>
      <c r="P284" t="n">
        <v>0</v>
      </c>
      <c r="Q284" t="n">
        <v>0</v>
      </c>
      <c r="R284" s="2" t="inlineStr"/>
    </row>
    <row r="285" ht="15" customHeight="1">
      <c r="A285" t="inlineStr">
        <is>
          <t>A 57906-2019</t>
        </is>
      </c>
      <c r="B285" s="1" t="n">
        <v>43762</v>
      </c>
      <c r="C285" s="1" t="n">
        <v>45672</v>
      </c>
      <c r="D285" t="inlineStr">
        <is>
          <t>VÄSTERBOTTENS LÄN</t>
        </is>
      </c>
      <c r="E285" t="inlineStr">
        <is>
          <t>VILHELMINA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57940-2019</t>
        </is>
      </c>
      <c r="B286" s="1" t="n">
        <v>43762</v>
      </c>
      <c r="C286" s="1" t="n">
        <v>45672</v>
      </c>
      <c r="D286" t="inlineStr">
        <is>
          <t>VÄSTERBOTTENS LÄN</t>
        </is>
      </c>
      <c r="E286" t="inlineStr">
        <is>
          <t>VILHELMINA</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56833-2019</t>
        </is>
      </c>
      <c r="B287" s="1" t="n">
        <v>43765</v>
      </c>
      <c r="C287" s="1" t="n">
        <v>45672</v>
      </c>
      <c r="D287" t="inlineStr">
        <is>
          <t>VÄSTERBOTTENS LÄN</t>
        </is>
      </c>
      <c r="E287" t="inlineStr">
        <is>
          <t>VILHELMINA</t>
        </is>
      </c>
      <c r="G287" t="n">
        <v>1.5</v>
      </c>
      <c r="H287" t="n">
        <v>0</v>
      </c>
      <c r="I287" t="n">
        <v>0</v>
      </c>
      <c r="J287" t="n">
        <v>0</v>
      </c>
      <c r="K287" t="n">
        <v>0</v>
      </c>
      <c r="L287" t="n">
        <v>0</v>
      </c>
      <c r="M287" t="n">
        <v>0</v>
      </c>
      <c r="N287" t="n">
        <v>0</v>
      </c>
      <c r="O287" t="n">
        <v>0</v>
      </c>
      <c r="P287" t="n">
        <v>0</v>
      </c>
      <c r="Q287" t="n">
        <v>0</v>
      </c>
      <c r="R287" s="2" t="inlineStr"/>
    </row>
    <row r="288" ht="15" customHeight="1">
      <c r="A288" t="inlineStr">
        <is>
          <t>A 59021-2019</t>
        </is>
      </c>
      <c r="B288" s="1" t="n">
        <v>43774</v>
      </c>
      <c r="C288" s="1" t="n">
        <v>45672</v>
      </c>
      <c r="D288" t="inlineStr">
        <is>
          <t>VÄSTERBOTTENS LÄN</t>
        </is>
      </c>
      <c r="E288" t="inlineStr">
        <is>
          <t>VILHELMINA</t>
        </is>
      </c>
      <c r="G288" t="n">
        <v>6.8</v>
      </c>
      <c r="H288" t="n">
        <v>0</v>
      </c>
      <c r="I288" t="n">
        <v>0</v>
      </c>
      <c r="J288" t="n">
        <v>0</v>
      </c>
      <c r="K288" t="n">
        <v>0</v>
      </c>
      <c r="L288" t="n">
        <v>0</v>
      </c>
      <c r="M288" t="n">
        <v>0</v>
      </c>
      <c r="N288" t="n">
        <v>0</v>
      </c>
      <c r="O288" t="n">
        <v>0</v>
      </c>
      <c r="P288" t="n">
        <v>0</v>
      </c>
      <c r="Q288" t="n">
        <v>0</v>
      </c>
      <c r="R288" s="2" t="inlineStr"/>
    </row>
    <row r="289" ht="15" customHeight="1">
      <c r="A289" t="inlineStr">
        <is>
          <t>A 58962-2019</t>
        </is>
      </c>
      <c r="B289" s="1" t="n">
        <v>43774</v>
      </c>
      <c r="C289" s="1" t="n">
        <v>45672</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59052-2019</t>
        </is>
      </c>
      <c r="B290" s="1" t="n">
        <v>43774</v>
      </c>
      <c r="C290" s="1" t="n">
        <v>45672</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59165-2019</t>
        </is>
      </c>
      <c r="B291" s="1" t="n">
        <v>43775</v>
      </c>
      <c r="C291" s="1" t="n">
        <v>45672</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63027-2019</t>
        </is>
      </c>
      <c r="B292" s="1" t="n">
        <v>43791</v>
      </c>
      <c r="C292" s="1" t="n">
        <v>45672</v>
      </c>
      <c r="D292" t="inlineStr">
        <is>
          <t>VÄSTERBOTTENS LÄN</t>
        </is>
      </c>
      <c r="E292" t="inlineStr">
        <is>
          <t>VILHELMINA</t>
        </is>
      </c>
      <c r="G292" t="n">
        <v>0.5</v>
      </c>
      <c r="H292" t="n">
        <v>0</v>
      </c>
      <c r="I292" t="n">
        <v>0</v>
      </c>
      <c r="J292" t="n">
        <v>0</v>
      </c>
      <c r="K292" t="n">
        <v>0</v>
      </c>
      <c r="L292" t="n">
        <v>0</v>
      </c>
      <c r="M292" t="n">
        <v>0</v>
      </c>
      <c r="N292" t="n">
        <v>0</v>
      </c>
      <c r="O292" t="n">
        <v>0</v>
      </c>
      <c r="P292" t="n">
        <v>0</v>
      </c>
      <c r="Q292" t="n">
        <v>0</v>
      </c>
      <c r="R292" s="2" t="inlineStr"/>
    </row>
    <row r="293" ht="15" customHeight="1">
      <c r="A293" t="inlineStr">
        <is>
          <t>A 66570-2019</t>
        </is>
      </c>
      <c r="B293" s="1" t="n">
        <v>43803</v>
      </c>
      <c r="C293" s="1" t="n">
        <v>45672</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65885-2019</t>
        </is>
      </c>
      <c r="B294" s="1" t="n">
        <v>43805</v>
      </c>
      <c r="C294" s="1" t="n">
        <v>45672</v>
      </c>
      <c r="D294" t="inlineStr">
        <is>
          <t>VÄSTERBOTTENS LÄN</t>
        </is>
      </c>
      <c r="E294" t="inlineStr">
        <is>
          <t>VILHELMINA</t>
        </is>
      </c>
      <c r="G294" t="n">
        <v>3.1</v>
      </c>
      <c r="H294" t="n">
        <v>0</v>
      </c>
      <c r="I294" t="n">
        <v>0</v>
      </c>
      <c r="J294" t="n">
        <v>0</v>
      </c>
      <c r="K294" t="n">
        <v>0</v>
      </c>
      <c r="L294" t="n">
        <v>0</v>
      </c>
      <c r="M294" t="n">
        <v>0</v>
      </c>
      <c r="N294" t="n">
        <v>0</v>
      </c>
      <c r="O294" t="n">
        <v>0</v>
      </c>
      <c r="P294" t="n">
        <v>0</v>
      </c>
      <c r="Q294" t="n">
        <v>0</v>
      </c>
      <c r="R294" s="2" t="inlineStr"/>
    </row>
    <row r="295" ht="15" customHeight="1">
      <c r="A295" t="inlineStr">
        <is>
          <t>A 66311-2019</t>
        </is>
      </c>
      <c r="B295" s="1" t="n">
        <v>43808</v>
      </c>
      <c r="C295" s="1" t="n">
        <v>45672</v>
      </c>
      <c r="D295" t="inlineStr">
        <is>
          <t>VÄSTERBOTTENS LÄN</t>
        </is>
      </c>
      <c r="E295" t="inlineStr">
        <is>
          <t>VILHELMINA</t>
        </is>
      </c>
      <c r="G295" t="n">
        <v>72.90000000000001</v>
      </c>
      <c r="H295" t="n">
        <v>0</v>
      </c>
      <c r="I295" t="n">
        <v>0</v>
      </c>
      <c r="J295" t="n">
        <v>0</v>
      </c>
      <c r="K295" t="n">
        <v>0</v>
      </c>
      <c r="L295" t="n">
        <v>0</v>
      </c>
      <c r="M295" t="n">
        <v>0</v>
      </c>
      <c r="N295" t="n">
        <v>0</v>
      </c>
      <c r="O295" t="n">
        <v>0</v>
      </c>
      <c r="P295" t="n">
        <v>0</v>
      </c>
      <c r="Q295" t="n">
        <v>0</v>
      </c>
      <c r="R295" s="2" t="inlineStr"/>
    </row>
    <row r="296" ht="15" customHeight="1">
      <c r="A296" t="inlineStr">
        <is>
          <t>A 66720-2019</t>
        </is>
      </c>
      <c r="B296" s="1" t="n">
        <v>43810</v>
      </c>
      <c r="C296" s="1" t="n">
        <v>45672</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67814-2019</t>
        </is>
      </c>
      <c r="B297" s="1" t="n">
        <v>43815</v>
      </c>
      <c r="C297" s="1" t="n">
        <v>45672</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219-2020</t>
        </is>
      </c>
      <c r="B298" s="1" t="n">
        <v>43833</v>
      </c>
      <c r="C298" s="1" t="n">
        <v>45672</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217-2020</t>
        </is>
      </c>
      <c r="B299" s="1" t="n">
        <v>43833</v>
      </c>
      <c r="C299" s="1" t="n">
        <v>45672</v>
      </c>
      <c r="D299" t="inlineStr">
        <is>
          <t>VÄSTERBOTTENS LÄN</t>
        </is>
      </c>
      <c r="E299" t="inlineStr">
        <is>
          <t>VILHELMINA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226-2020</t>
        </is>
      </c>
      <c r="B300" s="1" t="n">
        <v>43833</v>
      </c>
      <c r="C300" s="1" t="n">
        <v>45672</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300-2020</t>
        </is>
      </c>
      <c r="B301" s="1" t="n">
        <v>43837</v>
      </c>
      <c r="C301" s="1" t="n">
        <v>45672</v>
      </c>
      <c r="D301" t="inlineStr">
        <is>
          <t>VÄSTERBOTTENS LÄN</t>
        </is>
      </c>
      <c r="E301" t="inlineStr">
        <is>
          <t>VILHELMINA</t>
        </is>
      </c>
      <c r="G301" t="n">
        <v>7.6</v>
      </c>
      <c r="H301" t="n">
        <v>0</v>
      </c>
      <c r="I301" t="n">
        <v>0</v>
      </c>
      <c r="J301" t="n">
        <v>0</v>
      </c>
      <c r="K301" t="n">
        <v>0</v>
      </c>
      <c r="L301" t="n">
        <v>0</v>
      </c>
      <c r="M301" t="n">
        <v>0</v>
      </c>
      <c r="N301" t="n">
        <v>0</v>
      </c>
      <c r="O301" t="n">
        <v>0</v>
      </c>
      <c r="P301" t="n">
        <v>0</v>
      </c>
      <c r="Q301" t="n">
        <v>0</v>
      </c>
      <c r="R301" s="2" t="inlineStr"/>
    </row>
    <row r="302" ht="15" customHeight="1">
      <c r="A302" t="inlineStr">
        <is>
          <t>A 1235-2020</t>
        </is>
      </c>
      <c r="B302" s="1" t="n">
        <v>43837</v>
      </c>
      <c r="C302" s="1" t="n">
        <v>45672</v>
      </c>
      <c r="D302" t="inlineStr">
        <is>
          <t>VÄSTERBOTTENS LÄN</t>
        </is>
      </c>
      <c r="E302" t="inlineStr">
        <is>
          <t>VILHELMINA</t>
        </is>
      </c>
      <c r="G302" t="n">
        <v>5</v>
      </c>
      <c r="H302" t="n">
        <v>0</v>
      </c>
      <c r="I302" t="n">
        <v>0</v>
      </c>
      <c r="J302" t="n">
        <v>0</v>
      </c>
      <c r="K302" t="n">
        <v>0</v>
      </c>
      <c r="L302" t="n">
        <v>0</v>
      </c>
      <c r="M302" t="n">
        <v>0</v>
      </c>
      <c r="N302" t="n">
        <v>0</v>
      </c>
      <c r="O302" t="n">
        <v>0</v>
      </c>
      <c r="P302" t="n">
        <v>0</v>
      </c>
      <c r="Q302" t="n">
        <v>0</v>
      </c>
      <c r="R302" s="2" t="inlineStr"/>
    </row>
    <row r="303" ht="15" customHeight="1">
      <c r="A303" t="inlineStr">
        <is>
          <t>A 802-2020</t>
        </is>
      </c>
      <c r="B303" s="1" t="n">
        <v>43838</v>
      </c>
      <c r="C303" s="1" t="n">
        <v>45672</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1992-2020</t>
        </is>
      </c>
      <c r="B304" s="1" t="n">
        <v>43838</v>
      </c>
      <c r="C304" s="1" t="n">
        <v>45672</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3074-2020</t>
        </is>
      </c>
      <c r="B305" s="1" t="n">
        <v>43851</v>
      </c>
      <c r="C305" s="1" t="n">
        <v>45672</v>
      </c>
      <c r="D305" t="inlineStr">
        <is>
          <t>VÄSTERBOTTENS LÄN</t>
        </is>
      </c>
      <c r="E305" t="inlineStr">
        <is>
          <t>VILHELMINA</t>
        </is>
      </c>
      <c r="G305" t="n">
        <v>2.3</v>
      </c>
      <c r="H305" t="n">
        <v>0</v>
      </c>
      <c r="I305" t="n">
        <v>0</v>
      </c>
      <c r="J305" t="n">
        <v>0</v>
      </c>
      <c r="K305" t="n">
        <v>0</v>
      </c>
      <c r="L305" t="n">
        <v>0</v>
      </c>
      <c r="M305" t="n">
        <v>0</v>
      </c>
      <c r="N305" t="n">
        <v>0</v>
      </c>
      <c r="O305" t="n">
        <v>0</v>
      </c>
      <c r="P305" t="n">
        <v>0</v>
      </c>
      <c r="Q305" t="n">
        <v>0</v>
      </c>
      <c r="R305" s="2" t="inlineStr"/>
    </row>
    <row r="306" ht="15" customHeight="1">
      <c r="A306" t="inlineStr">
        <is>
          <t>A 3343-2020</t>
        </is>
      </c>
      <c r="B306" s="1" t="n">
        <v>43852</v>
      </c>
      <c r="C306" s="1" t="n">
        <v>45672</v>
      </c>
      <c r="D306" t="inlineStr">
        <is>
          <t>VÄSTERBOTTENS LÄN</t>
        </is>
      </c>
      <c r="E306" t="inlineStr">
        <is>
          <t>VILHELMINA</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5236-2020</t>
        </is>
      </c>
      <c r="B307" s="1" t="n">
        <v>43854</v>
      </c>
      <c r="C307" s="1" t="n">
        <v>45672</v>
      </c>
      <c r="D307" t="inlineStr">
        <is>
          <t>VÄSTERBOTTENS LÄN</t>
        </is>
      </c>
      <c r="E307" t="inlineStr">
        <is>
          <t>VILHELMINA</t>
        </is>
      </c>
      <c r="G307" t="n">
        <v>25</v>
      </c>
      <c r="H307" t="n">
        <v>0</v>
      </c>
      <c r="I307" t="n">
        <v>0</v>
      </c>
      <c r="J307" t="n">
        <v>0</v>
      </c>
      <c r="K307" t="n">
        <v>0</v>
      </c>
      <c r="L307" t="n">
        <v>0</v>
      </c>
      <c r="M307" t="n">
        <v>0</v>
      </c>
      <c r="N307" t="n">
        <v>0</v>
      </c>
      <c r="O307" t="n">
        <v>0</v>
      </c>
      <c r="P307" t="n">
        <v>0</v>
      </c>
      <c r="Q307" t="n">
        <v>0</v>
      </c>
      <c r="R307" s="2" t="inlineStr"/>
    </row>
    <row r="308" ht="15" customHeight="1">
      <c r="A308" t="inlineStr">
        <is>
          <t>A 4586-2020</t>
        </is>
      </c>
      <c r="B308" s="1" t="n">
        <v>43858</v>
      </c>
      <c r="C308" s="1" t="n">
        <v>45672</v>
      </c>
      <c r="D308" t="inlineStr">
        <is>
          <t>VÄSTERBOTTENS LÄN</t>
        </is>
      </c>
      <c r="E308" t="inlineStr">
        <is>
          <t>VILHELMINA</t>
        </is>
      </c>
      <c r="G308" t="n">
        <v>3.4</v>
      </c>
      <c r="H308" t="n">
        <v>0</v>
      </c>
      <c r="I308" t="n">
        <v>0</v>
      </c>
      <c r="J308" t="n">
        <v>0</v>
      </c>
      <c r="K308" t="n">
        <v>0</v>
      </c>
      <c r="L308" t="n">
        <v>0</v>
      </c>
      <c r="M308" t="n">
        <v>0</v>
      </c>
      <c r="N308" t="n">
        <v>0</v>
      </c>
      <c r="O308" t="n">
        <v>0</v>
      </c>
      <c r="P308" t="n">
        <v>0</v>
      </c>
      <c r="Q308" t="n">
        <v>0</v>
      </c>
      <c r="R308" s="2" t="inlineStr"/>
    </row>
    <row r="309" ht="15" customHeight="1">
      <c r="A309" t="inlineStr">
        <is>
          <t>A 5432-2020</t>
        </is>
      </c>
      <c r="B309" s="1" t="n">
        <v>43858</v>
      </c>
      <c r="C309" s="1" t="n">
        <v>45672</v>
      </c>
      <c r="D309" t="inlineStr">
        <is>
          <t>VÄSTERBOTTENS LÄN</t>
        </is>
      </c>
      <c r="E309" t="inlineStr">
        <is>
          <t>VILHELMINA</t>
        </is>
      </c>
      <c r="G309" t="n">
        <v>6.2</v>
      </c>
      <c r="H309" t="n">
        <v>0</v>
      </c>
      <c r="I309" t="n">
        <v>0</v>
      </c>
      <c r="J309" t="n">
        <v>0</v>
      </c>
      <c r="K309" t="n">
        <v>0</v>
      </c>
      <c r="L309" t="n">
        <v>0</v>
      </c>
      <c r="M309" t="n">
        <v>0</v>
      </c>
      <c r="N309" t="n">
        <v>0</v>
      </c>
      <c r="O309" t="n">
        <v>0</v>
      </c>
      <c r="P309" t="n">
        <v>0</v>
      </c>
      <c r="Q309" t="n">
        <v>0</v>
      </c>
      <c r="R309" s="2" t="inlineStr"/>
    </row>
    <row r="310" ht="15" customHeight="1">
      <c r="A310" t="inlineStr">
        <is>
          <t>A 12419-2020</t>
        </is>
      </c>
      <c r="B310" s="1" t="n">
        <v>43896</v>
      </c>
      <c r="C310" s="1" t="n">
        <v>45672</v>
      </c>
      <c r="D310" t="inlineStr">
        <is>
          <t>VÄSTERBOTTENS LÄN</t>
        </is>
      </c>
      <c r="E310" t="inlineStr">
        <is>
          <t>VILHELMINA</t>
        </is>
      </c>
      <c r="F310" t="inlineStr">
        <is>
          <t>Kommuner</t>
        </is>
      </c>
      <c r="G310" t="n">
        <v>4.6</v>
      </c>
      <c r="H310" t="n">
        <v>0</v>
      </c>
      <c r="I310" t="n">
        <v>0</v>
      </c>
      <c r="J310" t="n">
        <v>0</v>
      </c>
      <c r="K310" t="n">
        <v>0</v>
      </c>
      <c r="L310" t="n">
        <v>0</v>
      </c>
      <c r="M310" t="n">
        <v>0</v>
      </c>
      <c r="N310" t="n">
        <v>0</v>
      </c>
      <c r="O310" t="n">
        <v>0</v>
      </c>
      <c r="P310" t="n">
        <v>0</v>
      </c>
      <c r="Q310" t="n">
        <v>0</v>
      </c>
      <c r="R310" s="2" t="inlineStr"/>
    </row>
    <row r="311" ht="15" customHeight="1">
      <c r="A311" t="inlineStr">
        <is>
          <t>A 12424-2020</t>
        </is>
      </c>
      <c r="B311" s="1" t="n">
        <v>43896</v>
      </c>
      <c r="C311" s="1" t="n">
        <v>45672</v>
      </c>
      <c r="D311" t="inlineStr">
        <is>
          <t>VÄSTERBOTTENS LÄN</t>
        </is>
      </c>
      <c r="E311" t="inlineStr">
        <is>
          <t>VILHELMINA</t>
        </is>
      </c>
      <c r="F311" t="inlineStr">
        <is>
          <t>Kommuner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12423-2020</t>
        </is>
      </c>
      <c r="B312" s="1" t="n">
        <v>43896</v>
      </c>
      <c r="C312" s="1" t="n">
        <v>45672</v>
      </c>
      <c r="D312" t="inlineStr">
        <is>
          <t>VÄSTERBOTTENS LÄN</t>
        </is>
      </c>
      <c r="E312" t="inlineStr">
        <is>
          <t>VILHELMINA</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12451-2020</t>
        </is>
      </c>
      <c r="B313" s="1" t="n">
        <v>43896</v>
      </c>
      <c r="C313" s="1" t="n">
        <v>45672</v>
      </c>
      <c r="D313" t="inlineStr">
        <is>
          <t>VÄSTERBOTTENS LÄN</t>
        </is>
      </c>
      <c r="E313" t="inlineStr">
        <is>
          <t>VILHELMINA</t>
        </is>
      </c>
      <c r="F313" t="inlineStr">
        <is>
          <t>Kommuner</t>
        </is>
      </c>
      <c r="G313" t="n">
        <v>5.5</v>
      </c>
      <c r="H313" t="n">
        <v>0</v>
      </c>
      <c r="I313" t="n">
        <v>0</v>
      </c>
      <c r="J313" t="n">
        <v>0</v>
      </c>
      <c r="K313" t="n">
        <v>0</v>
      </c>
      <c r="L313" t="n">
        <v>0</v>
      </c>
      <c r="M313" t="n">
        <v>0</v>
      </c>
      <c r="N313" t="n">
        <v>0</v>
      </c>
      <c r="O313" t="n">
        <v>0</v>
      </c>
      <c r="P313" t="n">
        <v>0</v>
      </c>
      <c r="Q313" t="n">
        <v>0</v>
      </c>
      <c r="R313" s="2" t="inlineStr"/>
    </row>
    <row r="314" ht="15" customHeight="1">
      <c r="A314" t="inlineStr">
        <is>
          <t>A 14738-2020</t>
        </is>
      </c>
      <c r="B314" s="1" t="n">
        <v>43909</v>
      </c>
      <c r="C314" s="1" t="n">
        <v>45672</v>
      </c>
      <c r="D314" t="inlineStr">
        <is>
          <t>VÄSTERBOTTENS LÄN</t>
        </is>
      </c>
      <c r="E314" t="inlineStr">
        <is>
          <t>VILHELMINA</t>
        </is>
      </c>
      <c r="G314" t="n">
        <v>3.9</v>
      </c>
      <c r="H314" t="n">
        <v>0</v>
      </c>
      <c r="I314" t="n">
        <v>0</v>
      </c>
      <c r="J314" t="n">
        <v>0</v>
      </c>
      <c r="K314" t="n">
        <v>0</v>
      </c>
      <c r="L314" t="n">
        <v>0</v>
      </c>
      <c r="M314" t="n">
        <v>0</v>
      </c>
      <c r="N314" t="n">
        <v>0</v>
      </c>
      <c r="O314" t="n">
        <v>0</v>
      </c>
      <c r="P314" t="n">
        <v>0</v>
      </c>
      <c r="Q314" t="n">
        <v>0</v>
      </c>
      <c r="R314" s="2" t="inlineStr"/>
    </row>
    <row r="315" ht="15" customHeight="1">
      <c r="A315" t="inlineStr">
        <is>
          <t>A 15113-2020</t>
        </is>
      </c>
      <c r="B315" s="1" t="n">
        <v>43910</v>
      </c>
      <c r="C315" s="1" t="n">
        <v>45672</v>
      </c>
      <c r="D315" t="inlineStr">
        <is>
          <t>VÄSTERBOTTENS LÄN</t>
        </is>
      </c>
      <c r="E315" t="inlineStr">
        <is>
          <t>VILHELMINA</t>
        </is>
      </c>
      <c r="G315" t="n">
        <v>9.5</v>
      </c>
      <c r="H315" t="n">
        <v>0</v>
      </c>
      <c r="I315" t="n">
        <v>0</v>
      </c>
      <c r="J315" t="n">
        <v>0</v>
      </c>
      <c r="K315" t="n">
        <v>0</v>
      </c>
      <c r="L315" t="n">
        <v>0</v>
      </c>
      <c r="M315" t="n">
        <v>0</v>
      </c>
      <c r="N315" t="n">
        <v>0</v>
      </c>
      <c r="O315" t="n">
        <v>0</v>
      </c>
      <c r="P315" t="n">
        <v>0</v>
      </c>
      <c r="Q315" t="n">
        <v>0</v>
      </c>
      <c r="R315" s="2" t="inlineStr"/>
    </row>
    <row r="316" ht="15" customHeight="1">
      <c r="A316" t="inlineStr">
        <is>
          <t>A 15400-2020</t>
        </is>
      </c>
      <c r="B316" s="1" t="n">
        <v>43913</v>
      </c>
      <c r="C316" s="1" t="n">
        <v>45672</v>
      </c>
      <c r="D316" t="inlineStr">
        <is>
          <t>VÄSTERBOTTENS LÄN</t>
        </is>
      </c>
      <c r="E316" t="inlineStr">
        <is>
          <t>VILHELMINA</t>
        </is>
      </c>
      <c r="F316" t="inlineStr">
        <is>
          <t>SCA</t>
        </is>
      </c>
      <c r="G316" t="n">
        <v>11.7</v>
      </c>
      <c r="H316" t="n">
        <v>0</v>
      </c>
      <c r="I316" t="n">
        <v>0</v>
      </c>
      <c r="J316" t="n">
        <v>0</v>
      </c>
      <c r="K316" t="n">
        <v>0</v>
      </c>
      <c r="L316" t="n">
        <v>0</v>
      </c>
      <c r="M316" t="n">
        <v>0</v>
      </c>
      <c r="N316" t="n">
        <v>0</v>
      </c>
      <c r="O316" t="n">
        <v>0</v>
      </c>
      <c r="P316" t="n">
        <v>0</v>
      </c>
      <c r="Q316" t="n">
        <v>0</v>
      </c>
      <c r="R316" s="2" t="inlineStr"/>
    </row>
    <row r="317" ht="15" customHeight="1">
      <c r="A317" t="inlineStr">
        <is>
          <t>A 15410-2020</t>
        </is>
      </c>
      <c r="B317" s="1" t="n">
        <v>43913</v>
      </c>
      <c r="C317" s="1" t="n">
        <v>45672</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15399-2020</t>
        </is>
      </c>
      <c r="B318" s="1" t="n">
        <v>43913</v>
      </c>
      <c r="C318" s="1" t="n">
        <v>45672</v>
      </c>
      <c r="D318" t="inlineStr">
        <is>
          <t>VÄSTERBOTTENS LÄN</t>
        </is>
      </c>
      <c r="E318" t="inlineStr">
        <is>
          <t>VILHELMINA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15407-2020</t>
        </is>
      </c>
      <c r="B319" s="1" t="n">
        <v>43913</v>
      </c>
      <c r="C319" s="1" t="n">
        <v>45672</v>
      </c>
      <c r="D319" t="inlineStr">
        <is>
          <t>VÄSTERBOTTENS LÄN</t>
        </is>
      </c>
      <c r="E319" t="inlineStr">
        <is>
          <t>VILHELMINA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15413-2020</t>
        </is>
      </c>
      <c r="B320" s="1" t="n">
        <v>43913</v>
      </c>
      <c r="C320" s="1" t="n">
        <v>45672</v>
      </c>
      <c r="D320" t="inlineStr">
        <is>
          <t>VÄSTERBOTTENS LÄN</t>
        </is>
      </c>
      <c r="E320" t="inlineStr">
        <is>
          <t>VILHELMINA</t>
        </is>
      </c>
      <c r="F320" t="inlineStr">
        <is>
          <t>SCA</t>
        </is>
      </c>
      <c r="G320" t="n">
        <v>12.1</v>
      </c>
      <c r="H320" t="n">
        <v>0</v>
      </c>
      <c r="I320" t="n">
        <v>0</v>
      </c>
      <c r="J320" t="n">
        <v>0</v>
      </c>
      <c r="K320" t="n">
        <v>0</v>
      </c>
      <c r="L320" t="n">
        <v>0</v>
      </c>
      <c r="M320" t="n">
        <v>0</v>
      </c>
      <c r="N320" t="n">
        <v>0</v>
      </c>
      <c r="O320" t="n">
        <v>0</v>
      </c>
      <c r="P320" t="n">
        <v>0</v>
      </c>
      <c r="Q320" t="n">
        <v>0</v>
      </c>
      <c r="R320" s="2" t="inlineStr"/>
    </row>
    <row r="321" ht="15" customHeight="1">
      <c r="A321" t="inlineStr">
        <is>
          <t>A 15409-2020</t>
        </is>
      </c>
      <c r="B321" s="1" t="n">
        <v>43913</v>
      </c>
      <c r="C321" s="1" t="n">
        <v>45672</v>
      </c>
      <c r="D321" t="inlineStr">
        <is>
          <t>VÄSTERBOTTENS LÄN</t>
        </is>
      </c>
      <c r="E321" t="inlineStr">
        <is>
          <t>VILHELMINA</t>
        </is>
      </c>
      <c r="F321" t="inlineStr">
        <is>
          <t>SCA</t>
        </is>
      </c>
      <c r="G321" t="n">
        <v>11.1</v>
      </c>
      <c r="H321" t="n">
        <v>0</v>
      </c>
      <c r="I321" t="n">
        <v>0</v>
      </c>
      <c r="J321" t="n">
        <v>0</v>
      </c>
      <c r="K321" t="n">
        <v>0</v>
      </c>
      <c r="L321" t="n">
        <v>0</v>
      </c>
      <c r="M321" t="n">
        <v>0</v>
      </c>
      <c r="N321" t="n">
        <v>0</v>
      </c>
      <c r="O321" t="n">
        <v>0</v>
      </c>
      <c r="P321" t="n">
        <v>0</v>
      </c>
      <c r="Q321" t="n">
        <v>0</v>
      </c>
      <c r="R321" s="2" t="inlineStr"/>
    </row>
    <row r="322" ht="15" customHeight="1">
      <c r="A322" t="inlineStr">
        <is>
          <t>A 15411-2020</t>
        </is>
      </c>
      <c r="B322" s="1" t="n">
        <v>43913</v>
      </c>
      <c r="C322" s="1" t="n">
        <v>45672</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17110-2020</t>
        </is>
      </c>
      <c r="B323" s="1" t="n">
        <v>43913</v>
      </c>
      <c r="C323" s="1" t="n">
        <v>45672</v>
      </c>
      <c r="D323" t="inlineStr">
        <is>
          <t>VÄSTERBOTTENS LÄN</t>
        </is>
      </c>
      <c r="E323" t="inlineStr">
        <is>
          <t>VILHELMINA</t>
        </is>
      </c>
      <c r="G323" t="n">
        <v>15.1</v>
      </c>
      <c r="H323" t="n">
        <v>0</v>
      </c>
      <c r="I323" t="n">
        <v>0</v>
      </c>
      <c r="J323" t="n">
        <v>0</v>
      </c>
      <c r="K323" t="n">
        <v>0</v>
      </c>
      <c r="L323" t="n">
        <v>0</v>
      </c>
      <c r="M323" t="n">
        <v>0</v>
      </c>
      <c r="N323" t="n">
        <v>0</v>
      </c>
      <c r="O323" t="n">
        <v>0</v>
      </c>
      <c r="P323" t="n">
        <v>0</v>
      </c>
      <c r="Q323" t="n">
        <v>0</v>
      </c>
      <c r="R323" s="2" t="inlineStr"/>
    </row>
    <row r="324" ht="15" customHeight="1">
      <c r="A324" t="inlineStr">
        <is>
          <t>A 17115-2020</t>
        </is>
      </c>
      <c r="B324" s="1" t="n">
        <v>43913</v>
      </c>
      <c r="C324" s="1" t="n">
        <v>45672</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15489-2020</t>
        </is>
      </c>
      <c r="B325" s="1" t="n">
        <v>43914</v>
      </c>
      <c r="C325" s="1" t="n">
        <v>45672</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15897-2020</t>
        </is>
      </c>
      <c r="B326" s="1" t="n">
        <v>43915</v>
      </c>
      <c r="C326" s="1" t="n">
        <v>45672</v>
      </c>
      <c r="D326" t="inlineStr">
        <is>
          <t>VÄSTERBOTTENS LÄN</t>
        </is>
      </c>
      <c r="E326" t="inlineStr">
        <is>
          <t>VILHELMINA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15692-2020</t>
        </is>
      </c>
      <c r="B327" s="1" t="n">
        <v>43915</v>
      </c>
      <c r="C327" s="1" t="n">
        <v>45672</v>
      </c>
      <c r="D327" t="inlineStr">
        <is>
          <t>VÄSTERBOTTENS LÄN</t>
        </is>
      </c>
      <c r="E327" t="inlineStr">
        <is>
          <t>VILHELMINA</t>
        </is>
      </c>
      <c r="G327" t="n">
        <v>4.5</v>
      </c>
      <c r="H327" t="n">
        <v>0</v>
      </c>
      <c r="I327" t="n">
        <v>0</v>
      </c>
      <c r="J327" t="n">
        <v>0</v>
      </c>
      <c r="K327" t="n">
        <v>0</v>
      </c>
      <c r="L327" t="n">
        <v>0</v>
      </c>
      <c r="M327" t="n">
        <v>0</v>
      </c>
      <c r="N327" t="n">
        <v>0</v>
      </c>
      <c r="O327" t="n">
        <v>0</v>
      </c>
      <c r="P327" t="n">
        <v>0</v>
      </c>
      <c r="Q327" t="n">
        <v>0</v>
      </c>
      <c r="R327" s="2" t="inlineStr"/>
    </row>
    <row r="328" ht="15" customHeight="1">
      <c r="A328" t="inlineStr">
        <is>
          <t>A 15750-2020</t>
        </is>
      </c>
      <c r="B328" s="1" t="n">
        <v>43915</v>
      </c>
      <c r="C328" s="1" t="n">
        <v>45672</v>
      </c>
      <c r="D328" t="inlineStr">
        <is>
          <t>VÄSTERBOTTENS LÄN</t>
        </is>
      </c>
      <c r="E328" t="inlineStr">
        <is>
          <t>VILHELMINA</t>
        </is>
      </c>
      <c r="G328" t="n">
        <v>4.8</v>
      </c>
      <c r="H328" t="n">
        <v>0</v>
      </c>
      <c r="I328" t="n">
        <v>0</v>
      </c>
      <c r="J328" t="n">
        <v>0</v>
      </c>
      <c r="K328" t="n">
        <v>0</v>
      </c>
      <c r="L328" t="n">
        <v>0</v>
      </c>
      <c r="M328" t="n">
        <v>0</v>
      </c>
      <c r="N328" t="n">
        <v>0</v>
      </c>
      <c r="O328" t="n">
        <v>0</v>
      </c>
      <c r="P328" t="n">
        <v>0</v>
      </c>
      <c r="Q328" t="n">
        <v>0</v>
      </c>
      <c r="R328" s="2" t="inlineStr"/>
    </row>
    <row r="329" ht="15" customHeight="1">
      <c r="A329" t="inlineStr">
        <is>
          <t>A 15695-2020</t>
        </is>
      </c>
      <c r="B329" s="1" t="n">
        <v>43915</v>
      </c>
      <c r="C329" s="1" t="n">
        <v>45672</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17522-2020</t>
        </is>
      </c>
      <c r="B330" s="1" t="n">
        <v>43923</v>
      </c>
      <c r="C330" s="1" t="n">
        <v>45672</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17619-2020</t>
        </is>
      </c>
      <c r="B331" s="1" t="n">
        <v>43923</v>
      </c>
      <c r="C331" s="1" t="n">
        <v>45672</v>
      </c>
      <c r="D331" t="inlineStr">
        <is>
          <t>VÄSTERBOTTENS LÄN</t>
        </is>
      </c>
      <c r="E331" t="inlineStr">
        <is>
          <t>VILHELMINA</t>
        </is>
      </c>
      <c r="G331" t="n">
        <v>5.5</v>
      </c>
      <c r="H331" t="n">
        <v>0</v>
      </c>
      <c r="I331" t="n">
        <v>0</v>
      </c>
      <c r="J331" t="n">
        <v>0</v>
      </c>
      <c r="K331" t="n">
        <v>0</v>
      </c>
      <c r="L331" t="n">
        <v>0</v>
      </c>
      <c r="M331" t="n">
        <v>0</v>
      </c>
      <c r="N331" t="n">
        <v>0</v>
      </c>
      <c r="O331" t="n">
        <v>0</v>
      </c>
      <c r="P331" t="n">
        <v>0</v>
      </c>
      <c r="Q331" t="n">
        <v>0</v>
      </c>
      <c r="R331" s="2" t="inlineStr"/>
    </row>
    <row r="332" ht="15" customHeight="1">
      <c r="A332" t="inlineStr">
        <is>
          <t>A 17789-2020</t>
        </is>
      </c>
      <c r="B332" s="1" t="n">
        <v>43923</v>
      </c>
      <c r="C332" s="1" t="n">
        <v>45672</v>
      </c>
      <c r="D332" t="inlineStr">
        <is>
          <t>VÄSTERBOTTENS LÄN</t>
        </is>
      </c>
      <c r="E332" t="inlineStr">
        <is>
          <t>VILHELMINA</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18165-2020</t>
        </is>
      </c>
      <c r="B333" s="1" t="n">
        <v>43927</v>
      </c>
      <c r="C333" s="1" t="n">
        <v>45672</v>
      </c>
      <c r="D333" t="inlineStr">
        <is>
          <t>VÄSTERBOTTENS LÄN</t>
        </is>
      </c>
      <c r="E333" t="inlineStr">
        <is>
          <t>VILHELMINA</t>
        </is>
      </c>
      <c r="F333" t="inlineStr">
        <is>
          <t>Kommuner</t>
        </is>
      </c>
      <c r="G333" t="n">
        <v>3.6</v>
      </c>
      <c r="H333" t="n">
        <v>0</v>
      </c>
      <c r="I333" t="n">
        <v>0</v>
      </c>
      <c r="J333" t="n">
        <v>0</v>
      </c>
      <c r="K333" t="n">
        <v>0</v>
      </c>
      <c r="L333" t="n">
        <v>0</v>
      </c>
      <c r="M333" t="n">
        <v>0</v>
      </c>
      <c r="N333" t="n">
        <v>0</v>
      </c>
      <c r="O333" t="n">
        <v>0</v>
      </c>
      <c r="P333" t="n">
        <v>0</v>
      </c>
      <c r="Q333" t="n">
        <v>0</v>
      </c>
      <c r="R333" s="2" t="inlineStr"/>
    </row>
    <row r="334" ht="15" customHeight="1">
      <c r="A334" t="inlineStr">
        <is>
          <t>A 19009-2020</t>
        </is>
      </c>
      <c r="B334" s="1" t="n">
        <v>43935</v>
      </c>
      <c r="C334" s="1" t="n">
        <v>45672</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20187-2020</t>
        </is>
      </c>
      <c r="B335" s="1" t="n">
        <v>43944</v>
      </c>
      <c r="C335" s="1" t="n">
        <v>45672</v>
      </c>
      <c r="D335" t="inlineStr">
        <is>
          <t>VÄSTERBOTTENS LÄN</t>
        </is>
      </c>
      <c r="E335" t="inlineStr">
        <is>
          <t>VILHELMINA</t>
        </is>
      </c>
      <c r="G335" t="n">
        <v>0.7</v>
      </c>
      <c r="H335" t="n">
        <v>0</v>
      </c>
      <c r="I335" t="n">
        <v>0</v>
      </c>
      <c r="J335" t="n">
        <v>0</v>
      </c>
      <c r="K335" t="n">
        <v>0</v>
      </c>
      <c r="L335" t="n">
        <v>0</v>
      </c>
      <c r="M335" t="n">
        <v>0</v>
      </c>
      <c r="N335" t="n">
        <v>0</v>
      </c>
      <c r="O335" t="n">
        <v>0</v>
      </c>
      <c r="P335" t="n">
        <v>0</v>
      </c>
      <c r="Q335" t="n">
        <v>0</v>
      </c>
      <c r="R335" s="2" t="inlineStr"/>
    </row>
    <row r="336" ht="15" customHeight="1">
      <c r="A336" t="inlineStr">
        <is>
          <t>A 20420-2020</t>
        </is>
      </c>
      <c r="B336" s="1" t="n">
        <v>43945</v>
      </c>
      <c r="C336" s="1" t="n">
        <v>45672</v>
      </c>
      <c r="D336" t="inlineStr">
        <is>
          <t>VÄSTERBOTTENS LÄN</t>
        </is>
      </c>
      <c r="E336" t="inlineStr">
        <is>
          <t>VILHELMINA</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22789-2020</t>
        </is>
      </c>
      <c r="B337" s="1" t="n">
        <v>43964</v>
      </c>
      <c r="C337" s="1" t="n">
        <v>45672</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22791-2020</t>
        </is>
      </c>
      <c r="B338" s="1" t="n">
        <v>43964</v>
      </c>
      <c r="C338" s="1" t="n">
        <v>45672</v>
      </c>
      <c r="D338" t="inlineStr">
        <is>
          <t>VÄSTERBOTTENS LÄN</t>
        </is>
      </c>
      <c r="E338" t="inlineStr">
        <is>
          <t>VILHELMINA</t>
        </is>
      </c>
      <c r="G338" t="n">
        <v>1.3</v>
      </c>
      <c r="H338" t="n">
        <v>0</v>
      </c>
      <c r="I338" t="n">
        <v>0</v>
      </c>
      <c r="J338" t="n">
        <v>0</v>
      </c>
      <c r="K338" t="n">
        <v>0</v>
      </c>
      <c r="L338" t="n">
        <v>0</v>
      </c>
      <c r="M338" t="n">
        <v>0</v>
      </c>
      <c r="N338" t="n">
        <v>0</v>
      </c>
      <c r="O338" t="n">
        <v>0</v>
      </c>
      <c r="P338" t="n">
        <v>0</v>
      </c>
      <c r="Q338" t="n">
        <v>0</v>
      </c>
      <c r="R338" s="2" t="inlineStr"/>
    </row>
    <row r="339" ht="15" customHeight="1">
      <c r="A339" t="inlineStr">
        <is>
          <t>A 23168-2020</t>
        </is>
      </c>
      <c r="B339" s="1" t="n">
        <v>43966</v>
      </c>
      <c r="C339" s="1" t="n">
        <v>45672</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23175-2020</t>
        </is>
      </c>
      <c r="B340" s="1" t="n">
        <v>43966</v>
      </c>
      <c r="C340" s="1" t="n">
        <v>45672</v>
      </c>
      <c r="D340" t="inlineStr">
        <is>
          <t>VÄSTERBOTTENS LÄN</t>
        </is>
      </c>
      <c r="E340" t="inlineStr">
        <is>
          <t>VILHELMINA</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24985-2020</t>
        </is>
      </c>
      <c r="B341" s="1" t="n">
        <v>43977</v>
      </c>
      <c r="C341" s="1" t="n">
        <v>45672</v>
      </c>
      <c r="D341" t="inlineStr">
        <is>
          <t>VÄSTERBOTTENS LÄN</t>
        </is>
      </c>
      <c r="E341" t="inlineStr">
        <is>
          <t>VILHELMINA</t>
        </is>
      </c>
      <c r="F341" t="inlineStr">
        <is>
          <t>Övriga statliga verk och myndigheter</t>
        </is>
      </c>
      <c r="G341" t="n">
        <v>16</v>
      </c>
      <c r="H341" t="n">
        <v>0</v>
      </c>
      <c r="I341" t="n">
        <v>0</v>
      </c>
      <c r="J341" t="n">
        <v>0</v>
      </c>
      <c r="K341" t="n">
        <v>0</v>
      </c>
      <c r="L341" t="n">
        <v>0</v>
      </c>
      <c r="M341" t="n">
        <v>0</v>
      </c>
      <c r="N341" t="n">
        <v>0</v>
      </c>
      <c r="O341" t="n">
        <v>0</v>
      </c>
      <c r="P341" t="n">
        <v>0</v>
      </c>
      <c r="Q341" t="n">
        <v>0</v>
      </c>
      <c r="R341" s="2" t="inlineStr"/>
    </row>
    <row r="342" ht="15" customHeight="1">
      <c r="A342" t="inlineStr">
        <is>
          <t>A 25491-2020</t>
        </is>
      </c>
      <c r="B342" s="1" t="n">
        <v>43983</v>
      </c>
      <c r="C342" s="1" t="n">
        <v>45672</v>
      </c>
      <c r="D342" t="inlineStr">
        <is>
          <t>VÄSTERBOTTENS LÄN</t>
        </is>
      </c>
      <c r="E342" t="inlineStr">
        <is>
          <t>VILHELMINA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25498-2020</t>
        </is>
      </c>
      <c r="B343" s="1" t="n">
        <v>43983</v>
      </c>
      <c r="C343" s="1" t="n">
        <v>45672</v>
      </c>
      <c r="D343" t="inlineStr">
        <is>
          <t>VÄSTERBOTTENS LÄN</t>
        </is>
      </c>
      <c r="E343" t="inlineStr">
        <is>
          <t>VILHELMINA</t>
        </is>
      </c>
      <c r="F343" t="inlineStr">
        <is>
          <t>Allmännings- och besparingsskogar</t>
        </is>
      </c>
      <c r="G343" t="n">
        <v>22.6</v>
      </c>
      <c r="H343" t="n">
        <v>0</v>
      </c>
      <c r="I343" t="n">
        <v>0</v>
      </c>
      <c r="J343" t="n">
        <v>0</v>
      </c>
      <c r="K343" t="n">
        <v>0</v>
      </c>
      <c r="L343" t="n">
        <v>0</v>
      </c>
      <c r="M343" t="n">
        <v>0</v>
      </c>
      <c r="N343" t="n">
        <v>0</v>
      </c>
      <c r="O343" t="n">
        <v>0</v>
      </c>
      <c r="P343" t="n">
        <v>0</v>
      </c>
      <c r="Q343" t="n">
        <v>0</v>
      </c>
      <c r="R343" s="2" t="inlineStr"/>
    </row>
    <row r="344" ht="15" customHeight="1">
      <c r="A344" t="inlineStr">
        <is>
          <t>A 26382-2020</t>
        </is>
      </c>
      <c r="B344" s="1" t="n">
        <v>43986</v>
      </c>
      <c r="C344" s="1" t="n">
        <v>45672</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26308-2020</t>
        </is>
      </c>
      <c r="B345" s="1" t="n">
        <v>43986</v>
      </c>
      <c r="C345" s="1" t="n">
        <v>45672</v>
      </c>
      <c r="D345" t="inlineStr">
        <is>
          <t>VÄSTERBOTTENS LÄN</t>
        </is>
      </c>
      <c r="E345" t="inlineStr">
        <is>
          <t>VILHELMINA</t>
        </is>
      </c>
      <c r="G345" t="n">
        <v>12.1</v>
      </c>
      <c r="H345" t="n">
        <v>0</v>
      </c>
      <c r="I345" t="n">
        <v>0</v>
      </c>
      <c r="J345" t="n">
        <v>0</v>
      </c>
      <c r="K345" t="n">
        <v>0</v>
      </c>
      <c r="L345" t="n">
        <v>0</v>
      </c>
      <c r="M345" t="n">
        <v>0</v>
      </c>
      <c r="N345" t="n">
        <v>0</v>
      </c>
      <c r="O345" t="n">
        <v>0</v>
      </c>
      <c r="P345" t="n">
        <v>0</v>
      </c>
      <c r="Q345" t="n">
        <v>0</v>
      </c>
      <c r="R345" s="2" t="inlineStr"/>
    </row>
    <row r="346" ht="15" customHeight="1">
      <c r="A346" t="inlineStr">
        <is>
          <t>A 28871-2020</t>
        </is>
      </c>
      <c r="B346" s="1" t="n">
        <v>44000</v>
      </c>
      <c r="C346" s="1" t="n">
        <v>45672</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28864-2020</t>
        </is>
      </c>
      <c r="B347" s="1" t="n">
        <v>44000</v>
      </c>
      <c r="C347" s="1" t="n">
        <v>45672</v>
      </c>
      <c r="D347" t="inlineStr">
        <is>
          <t>VÄSTERBOTTENS LÄN</t>
        </is>
      </c>
      <c r="E347" t="inlineStr">
        <is>
          <t>VILHELMINA</t>
        </is>
      </c>
      <c r="F347" t="inlineStr">
        <is>
          <t>Kommuner</t>
        </is>
      </c>
      <c r="G347" t="n">
        <v>0.2</v>
      </c>
      <c r="H347" t="n">
        <v>0</v>
      </c>
      <c r="I347" t="n">
        <v>0</v>
      </c>
      <c r="J347" t="n">
        <v>0</v>
      </c>
      <c r="K347" t="n">
        <v>0</v>
      </c>
      <c r="L347" t="n">
        <v>0</v>
      </c>
      <c r="M347" t="n">
        <v>0</v>
      </c>
      <c r="N347" t="n">
        <v>0</v>
      </c>
      <c r="O347" t="n">
        <v>0</v>
      </c>
      <c r="P347" t="n">
        <v>0</v>
      </c>
      <c r="Q347" t="n">
        <v>0</v>
      </c>
      <c r="R347" s="2" t="inlineStr"/>
    </row>
    <row r="348" ht="15" customHeight="1">
      <c r="A348" t="inlineStr">
        <is>
          <t>A 30210-2020</t>
        </is>
      </c>
      <c r="B348" s="1" t="n">
        <v>44007</v>
      </c>
      <c r="C348" s="1" t="n">
        <v>45672</v>
      </c>
      <c r="D348" t="inlineStr">
        <is>
          <t>VÄSTERBOTTENS LÄN</t>
        </is>
      </c>
      <c r="E348" t="inlineStr">
        <is>
          <t>VILHELMINA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30373-2020</t>
        </is>
      </c>
      <c r="B349" s="1" t="n">
        <v>44007</v>
      </c>
      <c r="C349" s="1" t="n">
        <v>45672</v>
      </c>
      <c r="D349" t="inlineStr">
        <is>
          <t>VÄSTERBOTTENS LÄN</t>
        </is>
      </c>
      <c r="E349" t="inlineStr">
        <is>
          <t>VILHELMINA</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33370-2020</t>
        </is>
      </c>
      <c r="B350" s="1" t="n">
        <v>44022</v>
      </c>
      <c r="C350" s="1" t="n">
        <v>45672</v>
      </c>
      <c r="D350" t="inlineStr">
        <is>
          <t>VÄSTERBOTTENS LÄN</t>
        </is>
      </c>
      <c r="E350" t="inlineStr">
        <is>
          <t>VILHELMINA</t>
        </is>
      </c>
      <c r="G350" t="n">
        <v>2.7</v>
      </c>
      <c r="H350" t="n">
        <v>0</v>
      </c>
      <c r="I350" t="n">
        <v>0</v>
      </c>
      <c r="J350" t="n">
        <v>0</v>
      </c>
      <c r="K350" t="n">
        <v>0</v>
      </c>
      <c r="L350" t="n">
        <v>0</v>
      </c>
      <c r="M350" t="n">
        <v>0</v>
      </c>
      <c r="N350" t="n">
        <v>0</v>
      </c>
      <c r="O350" t="n">
        <v>0</v>
      </c>
      <c r="P350" t="n">
        <v>0</v>
      </c>
      <c r="Q350" t="n">
        <v>0</v>
      </c>
      <c r="R350" s="2" t="inlineStr"/>
    </row>
    <row r="351" ht="15" customHeight="1">
      <c r="A351" t="inlineStr">
        <is>
          <t>A 34368-2020</t>
        </is>
      </c>
      <c r="B351" s="1" t="n">
        <v>44032</v>
      </c>
      <c r="C351" s="1" t="n">
        <v>45672</v>
      </c>
      <c r="D351" t="inlineStr">
        <is>
          <t>VÄSTERBOTTENS LÄN</t>
        </is>
      </c>
      <c r="E351" t="inlineStr">
        <is>
          <t>VILHELMINA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34909-2020</t>
        </is>
      </c>
      <c r="B352" s="1" t="n">
        <v>44036</v>
      </c>
      <c r="C352" s="1" t="n">
        <v>45672</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34987-2020</t>
        </is>
      </c>
      <c r="B353" s="1" t="n">
        <v>44039</v>
      </c>
      <c r="C353" s="1" t="n">
        <v>45672</v>
      </c>
      <c r="D353" t="inlineStr">
        <is>
          <t>VÄSTERBOTTENS LÄN</t>
        </is>
      </c>
      <c r="E353" t="inlineStr">
        <is>
          <t>VILHELMINA</t>
        </is>
      </c>
      <c r="G353" t="n">
        <v>16.6</v>
      </c>
      <c r="H353" t="n">
        <v>0</v>
      </c>
      <c r="I353" t="n">
        <v>0</v>
      </c>
      <c r="J353" t="n">
        <v>0</v>
      </c>
      <c r="K353" t="n">
        <v>0</v>
      </c>
      <c r="L353" t="n">
        <v>0</v>
      </c>
      <c r="M353" t="n">
        <v>0</v>
      </c>
      <c r="N353" t="n">
        <v>0</v>
      </c>
      <c r="O353" t="n">
        <v>0</v>
      </c>
      <c r="P353" t="n">
        <v>0</v>
      </c>
      <c r="Q353" t="n">
        <v>0</v>
      </c>
      <c r="R353" s="2" t="inlineStr"/>
    </row>
    <row r="354" ht="15" customHeight="1">
      <c r="A354" t="inlineStr">
        <is>
          <t>A 36875-2020</t>
        </is>
      </c>
      <c r="B354" s="1" t="n">
        <v>44053</v>
      </c>
      <c r="C354" s="1" t="n">
        <v>45672</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38349-2020</t>
        </is>
      </c>
      <c r="B355" s="1" t="n">
        <v>44060</v>
      </c>
      <c r="C355" s="1" t="n">
        <v>45672</v>
      </c>
      <c r="D355" t="inlineStr">
        <is>
          <t>VÄSTERBOTTENS LÄN</t>
        </is>
      </c>
      <c r="E355" t="inlineStr">
        <is>
          <t>VILHELMINA</t>
        </is>
      </c>
      <c r="F355" t="inlineStr">
        <is>
          <t>SCA</t>
        </is>
      </c>
      <c r="G355" t="n">
        <v>26.8</v>
      </c>
      <c r="H355" t="n">
        <v>0</v>
      </c>
      <c r="I355" t="n">
        <v>0</v>
      </c>
      <c r="J355" t="n">
        <v>0</v>
      </c>
      <c r="K355" t="n">
        <v>0</v>
      </c>
      <c r="L355" t="n">
        <v>0</v>
      </c>
      <c r="M355" t="n">
        <v>0</v>
      </c>
      <c r="N355" t="n">
        <v>0</v>
      </c>
      <c r="O355" t="n">
        <v>0</v>
      </c>
      <c r="P355" t="n">
        <v>0</v>
      </c>
      <c r="Q355" t="n">
        <v>0</v>
      </c>
      <c r="R355" s="2" t="inlineStr"/>
    </row>
    <row r="356" ht="15" customHeight="1">
      <c r="A356" t="inlineStr">
        <is>
          <t>A 40116-2020</t>
        </is>
      </c>
      <c r="B356" s="1" t="n">
        <v>44064</v>
      </c>
      <c r="C356" s="1" t="n">
        <v>45672</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40100-2020</t>
        </is>
      </c>
      <c r="B357" s="1" t="n">
        <v>44064</v>
      </c>
      <c r="C357" s="1" t="n">
        <v>45672</v>
      </c>
      <c r="D357" t="inlineStr">
        <is>
          <t>VÄSTERBOTTENS LÄN</t>
        </is>
      </c>
      <c r="E357" t="inlineStr">
        <is>
          <t>VILHELMINA</t>
        </is>
      </c>
      <c r="G357" t="n">
        <v>22.5</v>
      </c>
      <c r="H357" t="n">
        <v>0</v>
      </c>
      <c r="I357" t="n">
        <v>0</v>
      </c>
      <c r="J357" t="n">
        <v>0</v>
      </c>
      <c r="K357" t="n">
        <v>0</v>
      </c>
      <c r="L357" t="n">
        <v>0</v>
      </c>
      <c r="M357" t="n">
        <v>0</v>
      </c>
      <c r="N357" t="n">
        <v>0</v>
      </c>
      <c r="O357" t="n">
        <v>0</v>
      </c>
      <c r="P357" t="n">
        <v>0</v>
      </c>
      <c r="Q357" t="n">
        <v>0</v>
      </c>
      <c r="R357" s="2" t="inlineStr"/>
    </row>
    <row r="358" ht="15" customHeight="1">
      <c r="A358" t="inlineStr">
        <is>
          <t>A 40842-2020</t>
        </is>
      </c>
      <c r="B358" s="1" t="n">
        <v>44069</v>
      </c>
      <c r="C358" s="1" t="n">
        <v>45672</v>
      </c>
      <c r="D358" t="inlineStr">
        <is>
          <t>VÄSTERBOTTENS LÄN</t>
        </is>
      </c>
      <c r="E358" t="inlineStr">
        <is>
          <t>VILHELMINA</t>
        </is>
      </c>
      <c r="G358" t="n">
        <v>20.4</v>
      </c>
      <c r="H358" t="n">
        <v>0</v>
      </c>
      <c r="I358" t="n">
        <v>0</v>
      </c>
      <c r="J358" t="n">
        <v>0</v>
      </c>
      <c r="K358" t="n">
        <v>0</v>
      </c>
      <c r="L358" t="n">
        <v>0</v>
      </c>
      <c r="M358" t="n">
        <v>0</v>
      </c>
      <c r="N358" t="n">
        <v>0</v>
      </c>
      <c r="O358" t="n">
        <v>0</v>
      </c>
      <c r="P358" t="n">
        <v>0</v>
      </c>
      <c r="Q358" t="n">
        <v>0</v>
      </c>
      <c r="R358" s="2" t="inlineStr"/>
    </row>
    <row r="359" ht="15" customHeight="1">
      <c r="A359" t="inlineStr">
        <is>
          <t>A 41267-2020</t>
        </is>
      </c>
      <c r="B359" s="1" t="n">
        <v>44071</v>
      </c>
      <c r="C359" s="1" t="n">
        <v>45672</v>
      </c>
      <c r="D359" t="inlineStr">
        <is>
          <t>VÄSTERBOTTENS LÄN</t>
        </is>
      </c>
      <c r="E359" t="inlineStr">
        <is>
          <t>VILHELMINA</t>
        </is>
      </c>
      <c r="G359" t="n">
        <v>1.9</v>
      </c>
      <c r="H359" t="n">
        <v>0</v>
      </c>
      <c r="I359" t="n">
        <v>0</v>
      </c>
      <c r="J359" t="n">
        <v>0</v>
      </c>
      <c r="K359" t="n">
        <v>0</v>
      </c>
      <c r="L359" t="n">
        <v>0</v>
      </c>
      <c r="M359" t="n">
        <v>0</v>
      </c>
      <c r="N359" t="n">
        <v>0</v>
      </c>
      <c r="O359" t="n">
        <v>0</v>
      </c>
      <c r="P359" t="n">
        <v>0</v>
      </c>
      <c r="Q359" t="n">
        <v>0</v>
      </c>
      <c r="R359" s="2" t="inlineStr"/>
    </row>
    <row r="360" ht="15" customHeight="1">
      <c r="A360" t="inlineStr">
        <is>
          <t>A 42205-2020</t>
        </is>
      </c>
      <c r="B360" s="1" t="n">
        <v>44075</v>
      </c>
      <c r="C360" s="1" t="n">
        <v>45672</v>
      </c>
      <c r="D360" t="inlineStr">
        <is>
          <t>VÄSTERBOTTENS LÄN</t>
        </is>
      </c>
      <c r="E360" t="inlineStr">
        <is>
          <t>VILHELMINA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43080-2020</t>
        </is>
      </c>
      <c r="B361" s="1" t="n">
        <v>44078</v>
      </c>
      <c r="C361" s="1" t="n">
        <v>45672</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44507-2020</t>
        </is>
      </c>
      <c r="B362" s="1" t="n">
        <v>44084</v>
      </c>
      <c r="C362" s="1" t="n">
        <v>45672</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46509-2020</t>
        </is>
      </c>
      <c r="B363" s="1" t="n">
        <v>44088</v>
      </c>
      <c r="C363" s="1" t="n">
        <v>45672</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46378-2020</t>
        </is>
      </c>
      <c r="B364" s="1" t="n">
        <v>44092</v>
      </c>
      <c r="C364" s="1" t="n">
        <v>45672</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46373-2020</t>
        </is>
      </c>
      <c r="B365" s="1" t="n">
        <v>44092</v>
      </c>
      <c r="C365" s="1" t="n">
        <v>45672</v>
      </c>
      <c r="D365" t="inlineStr">
        <is>
          <t>VÄSTERBOTTENS LÄN</t>
        </is>
      </c>
      <c r="E365" t="inlineStr">
        <is>
          <t>VILHELMINA</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47308-2020</t>
        </is>
      </c>
      <c r="B366" s="1" t="n">
        <v>44092</v>
      </c>
      <c r="C366" s="1" t="n">
        <v>45672</v>
      </c>
      <c r="D366" t="inlineStr">
        <is>
          <t>VÄSTERBOTTENS LÄN</t>
        </is>
      </c>
      <c r="E366" t="inlineStr">
        <is>
          <t>VILHELMINA</t>
        </is>
      </c>
      <c r="F366" t="inlineStr">
        <is>
          <t>Övriga statliga verk och myndigheter</t>
        </is>
      </c>
      <c r="G366" t="n">
        <v>35.3</v>
      </c>
      <c r="H366" t="n">
        <v>0</v>
      </c>
      <c r="I366" t="n">
        <v>0</v>
      </c>
      <c r="J366" t="n">
        <v>0</v>
      </c>
      <c r="K366" t="n">
        <v>0</v>
      </c>
      <c r="L366" t="n">
        <v>0</v>
      </c>
      <c r="M366" t="n">
        <v>0</v>
      </c>
      <c r="N366" t="n">
        <v>0</v>
      </c>
      <c r="O366" t="n">
        <v>0</v>
      </c>
      <c r="P366" t="n">
        <v>0</v>
      </c>
      <c r="Q366" t="n">
        <v>0</v>
      </c>
      <c r="R366" s="2" t="inlineStr"/>
    </row>
    <row r="367" ht="15" customHeight="1">
      <c r="A367" t="inlineStr">
        <is>
          <t>A 48256-2020</t>
        </is>
      </c>
      <c r="B367" s="1" t="n">
        <v>44092</v>
      </c>
      <c r="C367" s="1" t="n">
        <v>45672</v>
      </c>
      <c r="D367" t="inlineStr">
        <is>
          <t>VÄSTERBOTTENS LÄN</t>
        </is>
      </c>
      <c r="E367" t="inlineStr">
        <is>
          <t>VILHELMINA</t>
        </is>
      </c>
      <c r="F367" t="inlineStr">
        <is>
          <t>Övriga statliga verk och myndigheter</t>
        </is>
      </c>
      <c r="G367" t="n">
        <v>13.4</v>
      </c>
      <c r="H367" t="n">
        <v>0</v>
      </c>
      <c r="I367" t="n">
        <v>0</v>
      </c>
      <c r="J367" t="n">
        <v>0</v>
      </c>
      <c r="K367" t="n">
        <v>0</v>
      </c>
      <c r="L367" t="n">
        <v>0</v>
      </c>
      <c r="M367" t="n">
        <v>0</v>
      </c>
      <c r="N367" t="n">
        <v>0</v>
      </c>
      <c r="O367" t="n">
        <v>0</v>
      </c>
      <c r="P367" t="n">
        <v>0</v>
      </c>
      <c r="Q367" t="n">
        <v>0</v>
      </c>
      <c r="R367" s="2" t="inlineStr"/>
    </row>
    <row r="368" ht="15" customHeight="1">
      <c r="A368" t="inlineStr">
        <is>
          <t>A 48019-2020</t>
        </is>
      </c>
      <c r="B368" s="1" t="n">
        <v>44092</v>
      </c>
      <c r="C368" s="1" t="n">
        <v>45672</v>
      </c>
      <c r="D368" t="inlineStr">
        <is>
          <t>VÄSTERBOTTENS LÄN</t>
        </is>
      </c>
      <c r="E368" t="inlineStr">
        <is>
          <t>VILHELMINA</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47193-2020</t>
        </is>
      </c>
      <c r="B369" s="1" t="n">
        <v>44097</v>
      </c>
      <c r="C369" s="1" t="n">
        <v>45672</v>
      </c>
      <c r="D369" t="inlineStr">
        <is>
          <t>VÄSTERBOTTENS LÄN</t>
        </is>
      </c>
      <c r="E369" t="inlineStr">
        <is>
          <t>VILHELMINA</t>
        </is>
      </c>
      <c r="G369" t="n">
        <v>6.8</v>
      </c>
      <c r="H369" t="n">
        <v>0</v>
      </c>
      <c r="I369" t="n">
        <v>0</v>
      </c>
      <c r="J369" t="n">
        <v>0</v>
      </c>
      <c r="K369" t="n">
        <v>0</v>
      </c>
      <c r="L369" t="n">
        <v>0</v>
      </c>
      <c r="M369" t="n">
        <v>0</v>
      </c>
      <c r="N369" t="n">
        <v>0</v>
      </c>
      <c r="O369" t="n">
        <v>0</v>
      </c>
      <c r="P369" t="n">
        <v>0</v>
      </c>
      <c r="Q369" t="n">
        <v>0</v>
      </c>
      <c r="R369" s="2" t="inlineStr"/>
    </row>
    <row r="370" ht="15" customHeight="1">
      <c r="A370" t="inlineStr">
        <is>
          <t>A 52165-2020</t>
        </is>
      </c>
      <c r="B370" s="1" t="n">
        <v>44105</v>
      </c>
      <c r="C370" s="1" t="n">
        <v>45672</v>
      </c>
      <c r="D370" t="inlineStr">
        <is>
          <t>VÄSTERBOTTENS LÄN</t>
        </is>
      </c>
      <c r="E370" t="inlineStr">
        <is>
          <t>VILHELMINA</t>
        </is>
      </c>
      <c r="G370" t="n">
        <v>16.1</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45672</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50139-2020</t>
        </is>
      </c>
      <c r="B372" s="1" t="n">
        <v>44109</v>
      </c>
      <c r="C372" s="1" t="n">
        <v>45672</v>
      </c>
      <c r="D372" t="inlineStr">
        <is>
          <t>VÄSTERBOTTENS LÄN</t>
        </is>
      </c>
      <c r="E372" t="inlineStr">
        <is>
          <t>VILHELMINA</t>
        </is>
      </c>
      <c r="G372" t="n">
        <v>1.2</v>
      </c>
      <c r="H372" t="n">
        <v>0</v>
      </c>
      <c r="I372" t="n">
        <v>0</v>
      </c>
      <c r="J372" t="n">
        <v>0</v>
      </c>
      <c r="K372" t="n">
        <v>0</v>
      </c>
      <c r="L372" t="n">
        <v>0</v>
      </c>
      <c r="M372" t="n">
        <v>0</v>
      </c>
      <c r="N372" t="n">
        <v>0</v>
      </c>
      <c r="O372" t="n">
        <v>0</v>
      </c>
      <c r="P372" t="n">
        <v>0</v>
      </c>
      <c r="Q372" t="n">
        <v>0</v>
      </c>
      <c r="R372" s="2" t="inlineStr"/>
    </row>
    <row r="373" ht="15" customHeight="1">
      <c r="A373" t="inlineStr">
        <is>
          <t>A 52669-2020</t>
        </is>
      </c>
      <c r="B373" s="1" t="n">
        <v>44118</v>
      </c>
      <c r="C373" s="1" t="n">
        <v>45672</v>
      </c>
      <c r="D373" t="inlineStr">
        <is>
          <t>VÄSTERBOTTENS LÄN</t>
        </is>
      </c>
      <c r="E373" t="inlineStr">
        <is>
          <t>VILHELMINA</t>
        </is>
      </c>
      <c r="F373" t="inlineStr">
        <is>
          <t>Allmännings- och besparingsskogar</t>
        </is>
      </c>
      <c r="G373" t="n">
        <v>22.6</v>
      </c>
      <c r="H373" t="n">
        <v>0</v>
      </c>
      <c r="I373" t="n">
        <v>0</v>
      </c>
      <c r="J373" t="n">
        <v>0</v>
      </c>
      <c r="K373" t="n">
        <v>0</v>
      </c>
      <c r="L373" t="n">
        <v>0</v>
      </c>
      <c r="M373" t="n">
        <v>0</v>
      </c>
      <c r="N373" t="n">
        <v>0</v>
      </c>
      <c r="O373" t="n">
        <v>0</v>
      </c>
      <c r="P373" t="n">
        <v>0</v>
      </c>
      <c r="Q373" t="n">
        <v>0</v>
      </c>
      <c r="R373" s="2" t="inlineStr"/>
    </row>
    <row r="374" ht="15" customHeight="1">
      <c r="A374" t="inlineStr">
        <is>
          <t>A 54947-2020</t>
        </is>
      </c>
      <c r="B374" s="1" t="n">
        <v>44129</v>
      </c>
      <c r="C374" s="1" t="n">
        <v>45672</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55440-2020</t>
        </is>
      </c>
      <c r="B375" s="1" t="n">
        <v>44131</v>
      </c>
      <c r="C375" s="1" t="n">
        <v>45672</v>
      </c>
      <c r="D375" t="inlineStr">
        <is>
          <t>VÄSTERBOTTENS LÄN</t>
        </is>
      </c>
      <c r="E375" t="inlineStr">
        <is>
          <t>VILHELMINA</t>
        </is>
      </c>
      <c r="G375" t="n">
        <v>18.3</v>
      </c>
      <c r="H375" t="n">
        <v>0</v>
      </c>
      <c r="I375" t="n">
        <v>0</v>
      </c>
      <c r="J375" t="n">
        <v>0</v>
      </c>
      <c r="K375" t="n">
        <v>0</v>
      </c>
      <c r="L375" t="n">
        <v>0</v>
      </c>
      <c r="M375" t="n">
        <v>0</v>
      </c>
      <c r="N375" t="n">
        <v>0</v>
      </c>
      <c r="O375" t="n">
        <v>0</v>
      </c>
      <c r="P375" t="n">
        <v>0</v>
      </c>
      <c r="Q375" t="n">
        <v>0</v>
      </c>
      <c r="R375" s="2" t="inlineStr"/>
    </row>
    <row r="376" ht="15" customHeight="1">
      <c r="A376" t="inlineStr">
        <is>
          <t>A 58584-2020</t>
        </is>
      </c>
      <c r="B376" s="1" t="n">
        <v>44144</v>
      </c>
      <c r="C376" s="1" t="n">
        <v>45672</v>
      </c>
      <c r="D376" t="inlineStr">
        <is>
          <t>VÄSTERBOTTENS LÄN</t>
        </is>
      </c>
      <c r="E376" t="inlineStr">
        <is>
          <t>VILHELMINA</t>
        </is>
      </c>
      <c r="F376" t="inlineStr">
        <is>
          <t>Övriga statliga verk och myndigheter</t>
        </is>
      </c>
      <c r="G376" t="n">
        <v>20.8</v>
      </c>
      <c r="H376" t="n">
        <v>0</v>
      </c>
      <c r="I376" t="n">
        <v>0</v>
      </c>
      <c r="J376" t="n">
        <v>0</v>
      </c>
      <c r="K376" t="n">
        <v>0</v>
      </c>
      <c r="L376" t="n">
        <v>0</v>
      </c>
      <c r="M376" t="n">
        <v>0</v>
      </c>
      <c r="N376" t="n">
        <v>0</v>
      </c>
      <c r="O376" t="n">
        <v>0</v>
      </c>
      <c r="P376" t="n">
        <v>0</v>
      </c>
      <c r="Q376" t="n">
        <v>0</v>
      </c>
      <c r="R376" s="2" t="inlineStr"/>
    </row>
    <row r="377" ht="15" customHeight="1">
      <c r="A377" t="inlineStr">
        <is>
          <t>A 59587-2020</t>
        </is>
      </c>
      <c r="B377" s="1" t="n">
        <v>44148</v>
      </c>
      <c r="C377" s="1" t="n">
        <v>45672</v>
      </c>
      <c r="D377" t="inlineStr">
        <is>
          <t>VÄSTERBOTTENS LÄN</t>
        </is>
      </c>
      <c r="E377" t="inlineStr">
        <is>
          <t>VILHELMINA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60090-2020</t>
        </is>
      </c>
      <c r="B378" s="1" t="n">
        <v>44151</v>
      </c>
      <c r="C378" s="1" t="n">
        <v>45672</v>
      </c>
      <c r="D378" t="inlineStr">
        <is>
          <t>VÄSTERBOTTENS LÄN</t>
        </is>
      </c>
      <c r="E378" t="inlineStr">
        <is>
          <t>VILHELMINA</t>
        </is>
      </c>
      <c r="G378" t="n">
        <v>9</v>
      </c>
      <c r="H378" t="n">
        <v>0</v>
      </c>
      <c r="I378" t="n">
        <v>0</v>
      </c>
      <c r="J378" t="n">
        <v>0</v>
      </c>
      <c r="K378" t="n">
        <v>0</v>
      </c>
      <c r="L378" t="n">
        <v>0</v>
      </c>
      <c r="M378" t="n">
        <v>0</v>
      </c>
      <c r="N378" t="n">
        <v>0</v>
      </c>
      <c r="O378" t="n">
        <v>0</v>
      </c>
      <c r="P378" t="n">
        <v>0</v>
      </c>
      <c r="Q378" t="n">
        <v>0</v>
      </c>
      <c r="R378" s="2" t="inlineStr"/>
    </row>
    <row r="379" ht="15" customHeight="1">
      <c r="A379" t="inlineStr">
        <is>
          <t>A 60812-2020</t>
        </is>
      </c>
      <c r="B379" s="1" t="n">
        <v>44153</v>
      </c>
      <c r="C379" s="1" t="n">
        <v>45672</v>
      </c>
      <c r="D379" t="inlineStr">
        <is>
          <t>VÄSTERBOTTENS LÄN</t>
        </is>
      </c>
      <c r="E379" t="inlineStr">
        <is>
          <t>VILHELMINA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61129-2020</t>
        </is>
      </c>
      <c r="B380" s="1" t="n">
        <v>44154</v>
      </c>
      <c r="C380" s="1" t="n">
        <v>45672</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61920-2020</t>
        </is>
      </c>
      <c r="B381" s="1" t="n">
        <v>44155</v>
      </c>
      <c r="C381" s="1" t="n">
        <v>45672</v>
      </c>
      <c r="D381" t="inlineStr">
        <is>
          <t>VÄSTERBOTTENS LÄN</t>
        </is>
      </c>
      <c r="E381" t="inlineStr">
        <is>
          <t>VILHELMINA</t>
        </is>
      </c>
      <c r="G381" t="n">
        <v>7.7</v>
      </c>
      <c r="H381" t="n">
        <v>0</v>
      </c>
      <c r="I381" t="n">
        <v>0</v>
      </c>
      <c r="J381" t="n">
        <v>0</v>
      </c>
      <c r="K381" t="n">
        <v>0</v>
      </c>
      <c r="L381" t="n">
        <v>0</v>
      </c>
      <c r="M381" t="n">
        <v>0</v>
      </c>
      <c r="N381" t="n">
        <v>0</v>
      </c>
      <c r="O381" t="n">
        <v>0</v>
      </c>
      <c r="P381" t="n">
        <v>0</v>
      </c>
      <c r="Q381" t="n">
        <v>0</v>
      </c>
      <c r="R381" s="2" t="inlineStr"/>
    </row>
    <row r="382" ht="15" customHeight="1">
      <c r="A382" t="inlineStr">
        <is>
          <t>A 62874-2020</t>
        </is>
      </c>
      <c r="B382" s="1" t="n">
        <v>44161</v>
      </c>
      <c r="C382" s="1" t="n">
        <v>45672</v>
      </c>
      <c r="D382" t="inlineStr">
        <is>
          <t>VÄSTERBOTTENS LÄN</t>
        </is>
      </c>
      <c r="E382" t="inlineStr">
        <is>
          <t>VILHELMINA</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64065-2020</t>
        </is>
      </c>
      <c r="B383" s="1" t="n">
        <v>44165</v>
      </c>
      <c r="C383" s="1" t="n">
        <v>45672</v>
      </c>
      <c r="D383" t="inlineStr">
        <is>
          <t>VÄSTERBOTTENS LÄN</t>
        </is>
      </c>
      <c r="E383" t="inlineStr">
        <is>
          <t>VILHELMINA</t>
        </is>
      </c>
      <c r="G383" t="n">
        <v>4.6</v>
      </c>
      <c r="H383" t="n">
        <v>0</v>
      </c>
      <c r="I383" t="n">
        <v>0</v>
      </c>
      <c r="J383" t="n">
        <v>0</v>
      </c>
      <c r="K383" t="n">
        <v>0</v>
      </c>
      <c r="L383" t="n">
        <v>0</v>
      </c>
      <c r="M383" t="n">
        <v>0</v>
      </c>
      <c r="N383" t="n">
        <v>0</v>
      </c>
      <c r="O383" t="n">
        <v>0</v>
      </c>
      <c r="P383" t="n">
        <v>0</v>
      </c>
      <c r="Q383" t="n">
        <v>0</v>
      </c>
      <c r="R383" s="2" t="inlineStr"/>
    </row>
    <row r="384" ht="15" customHeight="1">
      <c r="A384" t="inlineStr">
        <is>
          <t>A 64254-2020</t>
        </is>
      </c>
      <c r="B384" s="1" t="n">
        <v>44168</v>
      </c>
      <c r="C384" s="1" t="n">
        <v>45672</v>
      </c>
      <c r="D384" t="inlineStr">
        <is>
          <t>VÄSTERBOTTENS LÄN</t>
        </is>
      </c>
      <c r="E384" t="inlineStr">
        <is>
          <t>VILHELMINA</t>
        </is>
      </c>
      <c r="G384" t="n">
        <v>17.6</v>
      </c>
      <c r="H384" t="n">
        <v>0</v>
      </c>
      <c r="I384" t="n">
        <v>0</v>
      </c>
      <c r="J384" t="n">
        <v>0</v>
      </c>
      <c r="K384" t="n">
        <v>0</v>
      </c>
      <c r="L384" t="n">
        <v>0</v>
      </c>
      <c r="M384" t="n">
        <v>0</v>
      </c>
      <c r="N384" t="n">
        <v>0</v>
      </c>
      <c r="O384" t="n">
        <v>0</v>
      </c>
      <c r="P384" t="n">
        <v>0</v>
      </c>
      <c r="Q384" t="n">
        <v>0</v>
      </c>
      <c r="R384" s="2" t="inlineStr"/>
    </row>
    <row r="385" ht="15" customHeight="1">
      <c r="A385" t="inlineStr">
        <is>
          <t>A 64759-2020</t>
        </is>
      </c>
      <c r="B385" s="1" t="n">
        <v>44169</v>
      </c>
      <c r="C385" s="1" t="n">
        <v>45672</v>
      </c>
      <c r="D385" t="inlineStr">
        <is>
          <t>VÄSTERBOTTENS LÄN</t>
        </is>
      </c>
      <c r="E385" t="inlineStr">
        <is>
          <t>VILHELMINA</t>
        </is>
      </c>
      <c r="G385" t="n">
        <v>24.6</v>
      </c>
      <c r="H385" t="n">
        <v>0</v>
      </c>
      <c r="I385" t="n">
        <v>0</v>
      </c>
      <c r="J385" t="n">
        <v>0</v>
      </c>
      <c r="K385" t="n">
        <v>0</v>
      </c>
      <c r="L385" t="n">
        <v>0</v>
      </c>
      <c r="M385" t="n">
        <v>0</v>
      </c>
      <c r="N385" t="n">
        <v>0</v>
      </c>
      <c r="O385" t="n">
        <v>0</v>
      </c>
      <c r="P385" t="n">
        <v>0</v>
      </c>
      <c r="Q385" t="n">
        <v>0</v>
      </c>
      <c r="R385" s="2" t="inlineStr"/>
    </row>
    <row r="386" ht="15" customHeight="1">
      <c r="A386" t="inlineStr">
        <is>
          <t>A 65663-2020</t>
        </is>
      </c>
      <c r="B386" s="1" t="n">
        <v>44172</v>
      </c>
      <c r="C386" s="1" t="n">
        <v>45672</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68641-2020</t>
        </is>
      </c>
      <c r="B387" s="1" t="n">
        <v>44186</v>
      </c>
      <c r="C387" s="1" t="n">
        <v>45672</v>
      </c>
      <c r="D387" t="inlineStr">
        <is>
          <t>VÄSTERBOTTENS LÄN</t>
        </is>
      </c>
      <c r="E387" t="inlineStr">
        <is>
          <t>VILHELMINA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68640-2020</t>
        </is>
      </c>
      <c r="B388" s="1" t="n">
        <v>44186</v>
      </c>
      <c r="C388" s="1" t="n">
        <v>45672</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69502-2020</t>
        </is>
      </c>
      <c r="B389" s="1" t="n">
        <v>44193</v>
      </c>
      <c r="C389" s="1" t="n">
        <v>45672</v>
      </c>
      <c r="D389" t="inlineStr">
        <is>
          <t>VÄSTERBOTTENS LÄN</t>
        </is>
      </c>
      <c r="E389" t="inlineStr">
        <is>
          <t>VILHELMINA</t>
        </is>
      </c>
      <c r="G389" t="n">
        <v>19</v>
      </c>
      <c r="H389" t="n">
        <v>0</v>
      </c>
      <c r="I389" t="n">
        <v>0</v>
      </c>
      <c r="J389" t="n">
        <v>0</v>
      </c>
      <c r="K389" t="n">
        <v>0</v>
      </c>
      <c r="L389" t="n">
        <v>0</v>
      </c>
      <c r="M389" t="n">
        <v>0</v>
      </c>
      <c r="N389" t="n">
        <v>0</v>
      </c>
      <c r="O389" t="n">
        <v>0</v>
      </c>
      <c r="P389" t="n">
        <v>0</v>
      </c>
      <c r="Q389" t="n">
        <v>0</v>
      </c>
      <c r="R389" s="2" t="inlineStr"/>
    </row>
    <row r="390" ht="15" customHeight="1">
      <c r="A390" t="inlineStr">
        <is>
          <t>A 69621-2020</t>
        </is>
      </c>
      <c r="B390" s="1" t="n">
        <v>44195</v>
      </c>
      <c r="C390" s="1" t="n">
        <v>45672</v>
      </c>
      <c r="D390" t="inlineStr">
        <is>
          <t>VÄSTERBOTTENS LÄN</t>
        </is>
      </c>
      <c r="E390" t="inlineStr">
        <is>
          <t>VILHELMINA</t>
        </is>
      </c>
      <c r="G390" t="n">
        <v>2.9</v>
      </c>
      <c r="H390" t="n">
        <v>0</v>
      </c>
      <c r="I390" t="n">
        <v>0</v>
      </c>
      <c r="J390" t="n">
        <v>0</v>
      </c>
      <c r="K390" t="n">
        <v>0</v>
      </c>
      <c r="L390" t="n">
        <v>0</v>
      </c>
      <c r="M390" t="n">
        <v>0</v>
      </c>
      <c r="N390" t="n">
        <v>0</v>
      </c>
      <c r="O390" t="n">
        <v>0</v>
      </c>
      <c r="P390" t="n">
        <v>0</v>
      </c>
      <c r="Q390" t="n">
        <v>0</v>
      </c>
      <c r="R390" s="2" t="inlineStr"/>
    </row>
    <row r="391" ht="15" customHeight="1">
      <c r="A391" t="inlineStr">
        <is>
          <t>A 1471-2021</t>
        </is>
      </c>
      <c r="B391" s="1" t="n">
        <v>44208</v>
      </c>
      <c r="C391" s="1" t="n">
        <v>45672</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1470-2021</t>
        </is>
      </c>
      <c r="B392" s="1" t="n">
        <v>44208</v>
      </c>
      <c r="C392" s="1" t="n">
        <v>45672</v>
      </c>
      <c r="D392" t="inlineStr">
        <is>
          <t>VÄSTERBOTTENS LÄN</t>
        </is>
      </c>
      <c r="E392" t="inlineStr">
        <is>
          <t>VILHELMINA</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2187-2021</t>
        </is>
      </c>
      <c r="B393" s="1" t="n">
        <v>44211</v>
      </c>
      <c r="C393" s="1" t="n">
        <v>45672</v>
      </c>
      <c r="D393" t="inlineStr">
        <is>
          <t>VÄSTERBOTTENS LÄN</t>
        </is>
      </c>
      <c r="E393" t="inlineStr">
        <is>
          <t>VILHELMINA</t>
        </is>
      </c>
      <c r="F393" t="inlineStr">
        <is>
          <t>Allmännings- och besparingsskogar</t>
        </is>
      </c>
      <c r="G393" t="n">
        <v>21.3</v>
      </c>
      <c r="H393" t="n">
        <v>0</v>
      </c>
      <c r="I393" t="n">
        <v>0</v>
      </c>
      <c r="J393" t="n">
        <v>0</v>
      </c>
      <c r="K393" t="n">
        <v>0</v>
      </c>
      <c r="L393" t="n">
        <v>0</v>
      </c>
      <c r="M393" t="n">
        <v>0</v>
      </c>
      <c r="N393" t="n">
        <v>0</v>
      </c>
      <c r="O393" t="n">
        <v>0</v>
      </c>
      <c r="P393" t="n">
        <v>0</v>
      </c>
      <c r="Q393" t="n">
        <v>0</v>
      </c>
      <c r="R393" s="2" t="inlineStr"/>
    </row>
    <row r="394" ht="15" customHeight="1">
      <c r="A394" t="inlineStr">
        <is>
          <t>A 2189-2021</t>
        </is>
      </c>
      <c r="B394" s="1" t="n">
        <v>44211</v>
      </c>
      <c r="C394" s="1" t="n">
        <v>45672</v>
      </c>
      <c r="D394" t="inlineStr">
        <is>
          <t>VÄSTERBOTTENS LÄN</t>
        </is>
      </c>
      <c r="E394" t="inlineStr">
        <is>
          <t>VILHELMINA</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2193-2021</t>
        </is>
      </c>
      <c r="B395" s="1" t="n">
        <v>44211</v>
      </c>
      <c r="C395" s="1" t="n">
        <v>45672</v>
      </c>
      <c r="D395" t="inlineStr">
        <is>
          <t>VÄSTERBOTTENS LÄN</t>
        </is>
      </c>
      <c r="E395" t="inlineStr">
        <is>
          <t>VILHELMINA</t>
        </is>
      </c>
      <c r="F395" t="inlineStr">
        <is>
          <t>Allmännings- och besparingsskogar</t>
        </is>
      </c>
      <c r="G395" t="n">
        <v>157.8</v>
      </c>
      <c r="H395" t="n">
        <v>0</v>
      </c>
      <c r="I395" t="n">
        <v>0</v>
      </c>
      <c r="J395" t="n">
        <v>0</v>
      </c>
      <c r="K395" t="n">
        <v>0</v>
      </c>
      <c r="L395" t="n">
        <v>0</v>
      </c>
      <c r="M395" t="n">
        <v>0</v>
      </c>
      <c r="N395" t="n">
        <v>0</v>
      </c>
      <c r="O395" t="n">
        <v>0</v>
      </c>
      <c r="P395" t="n">
        <v>0</v>
      </c>
      <c r="Q395" t="n">
        <v>0</v>
      </c>
      <c r="R395" s="2" t="inlineStr"/>
    </row>
    <row r="396" ht="15" customHeight="1">
      <c r="A396" t="inlineStr">
        <is>
          <t>A 3096-2021</t>
        </is>
      </c>
      <c r="B396" s="1" t="n">
        <v>44216</v>
      </c>
      <c r="C396" s="1" t="n">
        <v>45672</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3435-2021</t>
        </is>
      </c>
      <c r="B397" s="1" t="n">
        <v>44216</v>
      </c>
      <c r="C397" s="1" t="n">
        <v>45672</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6699-2021</t>
        </is>
      </c>
      <c r="B398" s="1" t="n">
        <v>44235</v>
      </c>
      <c r="C398" s="1" t="n">
        <v>45672</v>
      </c>
      <c r="D398" t="inlineStr">
        <is>
          <t>VÄSTERBOTTENS LÄN</t>
        </is>
      </c>
      <c r="E398" t="inlineStr">
        <is>
          <t>VILHELMINA</t>
        </is>
      </c>
      <c r="G398" t="n">
        <v>6.9</v>
      </c>
      <c r="H398" t="n">
        <v>0</v>
      </c>
      <c r="I398" t="n">
        <v>0</v>
      </c>
      <c r="J398" t="n">
        <v>0</v>
      </c>
      <c r="K398" t="n">
        <v>0</v>
      </c>
      <c r="L398" t="n">
        <v>0</v>
      </c>
      <c r="M398" t="n">
        <v>0</v>
      </c>
      <c r="N398" t="n">
        <v>0</v>
      </c>
      <c r="O398" t="n">
        <v>0</v>
      </c>
      <c r="P398" t="n">
        <v>0</v>
      </c>
      <c r="Q398" t="n">
        <v>0</v>
      </c>
      <c r="R398" s="2" t="inlineStr"/>
    </row>
    <row r="399" ht="15" customHeight="1">
      <c r="A399" t="inlineStr">
        <is>
          <t>A 6664-2021</t>
        </is>
      </c>
      <c r="B399" s="1" t="n">
        <v>44235</v>
      </c>
      <c r="C399" s="1" t="n">
        <v>45672</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6653-2021</t>
        </is>
      </c>
      <c r="B400" s="1" t="n">
        <v>44235</v>
      </c>
      <c r="C400" s="1" t="n">
        <v>45672</v>
      </c>
      <c r="D400" t="inlineStr">
        <is>
          <t>VÄSTERBOTTENS LÄN</t>
        </is>
      </c>
      <c r="E400" t="inlineStr">
        <is>
          <t>VILHELMINA</t>
        </is>
      </c>
      <c r="G400" t="n">
        <v>18</v>
      </c>
      <c r="H400" t="n">
        <v>0</v>
      </c>
      <c r="I400" t="n">
        <v>0</v>
      </c>
      <c r="J400" t="n">
        <v>0</v>
      </c>
      <c r="K400" t="n">
        <v>0</v>
      </c>
      <c r="L400" t="n">
        <v>0</v>
      </c>
      <c r="M400" t="n">
        <v>0</v>
      </c>
      <c r="N400" t="n">
        <v>0</v>
      </c>
      <c r="O400" t="n">
        <v>0</v>
      </c>
      <c r="P400" t="n">
        <v>0</v>
      </c>
      <c r="Q400" t="n">
        <v>0</v>
      </c>
      <c r="R400" s="2" t="inlineStr"/>
    </row>
    <row r="401" ht="15" customHeight="1">
      <c r="A401" t="inlineStr">
        <is>
          <t>A 6669-2021</t>
        </is>
      </c>
      <c r="B401" s="1" t="n">
        <v>44235</v>
      </c>
      <c r="C401" s="1" t="n">
        <v>45672</v>
      </c>
      <c r="D401" t="inlineStr">
        <is>
          <t>VÄSTERBOTTENS LÄN</t>
        </is>
      </c>
      <c r="E401" t="inlineStr">
        <is>
          <t>VILHELMINA</t>
        </is>
      </c>
      <c r="G401" t="n">
        <v>19.8</v>
      </c>
      <c r="H401" t="n">
        <v>0</v>
      </c>
      <c r="I401" t="n">
        <v>0</v>
      </c>
      <c r="J401" t="n">
        <v>0</v>
      </c>
      <c r="K401" t="n">
        <v>0</v>
      </c>
      <c r="L401" t="n">
        <v>0</v>
      </c>
      <c r="M401" t="n">
        <v>0</v>
      </c>
      <c r="N401" t="n">
        <v>0</v>
      </c>
      <c r="O401" t="n">
        <v>0</v>
      </c>
      <c r="P401" t="n">
        <v>0</v>
      </c>
      <c r="Q401" t="n">
        <v>0</v>
      </c>
      <c r="R401" s="2" t="inlineStr"/>
    </row>
    <row r="402" ht="15" customHeight="1">
      <c r="A402" t="inlineStr">
        <is>
          <t>A 6665-2021</t>
        </is>
      </c>
      <c r="B402" s="1" t="n">
        <v>44235</v>
      </c>
      <c r="C402" s="1" t="n">
        <v>45672</v>
      </c>
      <c r="D402" t="inlineStr">
        <is>
          <t>VÄSTERBOTTENS LÄN</t>
        </is>
      </c>
      <c r="E402" t="inlineStr">
        <is>
          <t>VILHELMINA</t>
        </is>
      </c>
      <c r="G402" t="n">
        <v>20</v>
      </c>
      <c r="H402" t="n">
        <v>0</v>
      </c>
      <c r="I402" t="n">
        <v>0</v>
      </c>
      <c r="J402" t="n">
        <v>0</v>
      </c>
      <c r="K402" t="n">
        <v>0</v>
      </c>
      <c r="L402" t="n">
        <v>0</v>
      </c>
      <c r="M402" t="n">
        <v>0</v>
      </c>
      <c r="N402" t="n">
        <v>0</v>
      </c>
      <c r="O402" t="n">
        <v>0</v>
      </c>
      <c r="P402" t="n">
        <v>0</v>
      </c>
      <c r="Q402" t="n">
        <v>0</v>
      </c>
      <c r="R402" s="2" t="inlineStr"/>
    </row>
    <row r="403" ht="15" customHeight="1">
      <c r="A403" t="inlineStr">
        <is>
          <t>A 6706-2021</t>
        </is>
      </c>
      <c r="B403" s="1" t="n">
        <v>44235</v>
      </c>
      <c r="C403" s="1" t="n">
        <v>45672</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7078-2021</t>
        </is>
      </c>
      <c r="B404" s="1" t="n">
        <v>44237</v>
      </c>
      <c r="C404" s="1" t="n">
        <v>45672</v>
      </c>
      <c r="D404" t="inlineStr">
        <is>
          <t>VÄSTERBOTTENS LÄN</t>
        </is>
      </c>
      <c r="E404" t="inlineStr">
        <is>
          <t>VILHELMINA</t>
        </is>
      </c>
      <c r="F404" t="inlineStr">
        <is>
          <t>SCA</t>
        </is>
      </c>
      <c r="G404" t="n">
        <v>28.4</v>
      </c>
      <c r="H404" t="n">
        <v>0</v>
      </c>
      <c r="I404" t="n">
        <v>0</v>
      </c>
      <c r="J404" t="n">
        <v>0</v>
      </c>
      <c r="K404" t="n">
        <v>0</v>
      </c>
      <c r="L404" t="n">
        <v>0</v>
      </c>
      <c r="M404" t="n">
        <v>0</v>
      </c>
      <c r="N404" t="n">
        <v>0</v>
      </c>
      <c r="O404" t="n">
        <v>0</v>
      </c>
      <c r="P404" t="n">
        <v>0</v>
      </c>
      <c r="Q404" t="n">
        <v>0</v>
      </c>
      <c r="R404" s="2" t="inlineStr"/>
    </row>
    <row r="405" ht="15" customHeight="1">
      <c r="A405" t="inlineStr">
        <is>
          <t>A 8003-2021</t>
        </is>
      </c>
      <c r="B405" s="1" t="n">
        <v>44243</v>
      </c>
      <c r="C405" s="1" t="n">
        <v>45672</v>
      </c>
      <c r="D405" t="inlineStr">
        <is>
          <t>VÄSTERBOTTENS LÄN</t>
        </is>
      </c>
      <c r="E405" t="inlineStr">
        <is>
          <t>VILHELMINA</t>
        </is>
      </c>
      <c r="G405" t="n">
        <v>5.1</v>
      </c>
      <c r="H405" t="n">
        <v>0</v>
      </c>
      <c r="I405" t="n">
        <v>0</v>
      </c>
      <c r="J405" t="n">
        <v>0</v>
      </c>
      <c r="K405" t="n">
        <v>0</v>
      </c>
      <c r="L405" t="n">
        <v>0</v>
      </c>
      <c r="M405" t="n">
        <v>0</v>
      </c>
      <c r="N405" t="n">
        <v>0</v>
      </c>
      <c r="O405" t="n">
        <v>0</v>
      </c>
      <c r="P405" t="n">
        <v>0</v>
      </c>
      <c r="Q405" t="n">
        <v>0</v>
      </c>
      <c r="R405" s="2" t="inlineStr"/>
    </row>
    <row r="406" ht="15" customHeight="1">
      <c r="A406" t="inlineStr">
        <is>
          <t>A 8750-2021</t>
        </is>
      </c>
      <c r="B406" s="1" t="n">
        <v>44246</v>
      </c>
      <c r="C406" s="1" t="n">
        <v>45672</v>
      </c>
      <c r="D406" t="inlineStr">
        <is>
          <t>VÄSTERBOTTENS LÄN</t>
        </is>
      </c>
      <c r="E406" t="inlineStr">
        <is>
          <t>VILHELMINA</t>
        </is>
      </c>
      <c r="G406" t="n">
        <v>5.2</v>
      </c>
      <c r="H406" t="n">
        <v>0</v>
      </c>
      <c r="I406" t="n">
        <v>0</v>
      </c>
      <c r="J406" t="n">
        <v>0</v>
      </c>
      <c r="K406" t="n">
        <v>0</v>
      </c>
      <c r="L406" t="n">
        <v>0</v>
      </c>
      <c r="M406" t="n">
        <v>0</v>
      </c>
      <c r="N406" t="n">
        <v>0</v>
      </c>
      <c r="O406" t="n">
        <v>0</v>
      </c>
      <c r="P406" t="n">
        <v>0</v>
      </c>
      <c r="Q406" t="n">
        <v>0</v>
      </c>
      <c r="R406" s="2" t="inlineStr"/>
    </row>
    <row r="407" ht="15" customHeight="1">
      <c r="A407" t="inlineStr">
        <is>
          <t>A 10075-2021</t>
        </is>
      </c>
      <c r="B407" s="1" t="n">
        <v>44253</v>
      </c>
      <c r="C407" s="1" t="n">
        <v>45672</v>
      </c>
      <c r="D407" t="inlineStr">
        <is>
          <t>VÄSTERBOTTENS LÄN</t>
        </is>
      </c>
      <c r="E407" t="inlineStr">
        <is>
          <t>VILHELMINA</t>
        </is>
      </c>
      <c r="G407" t="n">
        <v>1.3</v>
      </c>
      <c r="H407" t="n">
        <v>0</v>
      </c>
      <c r="I407" t="n">
        <v>0</v>
      </c>
      <c r="J407" t="n">
        <v>0</v>
      </c>
      <c r="K407" t="n">
        <v>0</v>
      </c>
      <c r="L407" t="n">
        <v>0</v>
      </c>
      <c r="M407" t="n">
        <v>0</v>
      </c>
      <c r="N407" t="n">
        <v>0</v>
      </c>
      <c r="O407" t="n">
        <v>0</v>
      </c>
      <c r="P407" t="n">
        <v>0</v>
      </c>
      <c r="Q407" t="n">
        <v>0</v>
      </c>
      <c r="R407" s="2" t="inlineStr"/>
    </row>
    <row r="408" ht="15" customHeight="1">
      <c r="A408" t="inlineStr">
        <is>
          <t>A 9916-2021</t>
        </is>
      </c>
      <c r="B408" s="1" t="n">
        <v>44253</v>
      </c>
      <c r="C408" s="1" t="n">
        <v>45672</v>
      </c>
      <c r="D408" t="inlineStr">
        <is>
          <t>VÄSTERBOTTENS LÄN</t>
        </is>
      </c>
      <c r="E408" t="inlineStr">
        <is>
          <t>VILHELMINA</t>
        </is>
      </c>
      <c r="G408" t="n">
        <v>1</v>
      </c>
      <c r="H408" t="n">
        <v>0</v>
      </c>
      <c r="I408" t="n">
        <v>0</v>
      </c>
      <c r="J408" t="n">
        <v>0</v>
      </c>
      <c r="K408" t="n">
        <v>0</v>
      </c>
      <c r="L408" t="n">
        <v>0</v>
      </c>
      <c r="M408" t="n">
        <v>0</v>
      </c>
      <c r="N408" t="n">
        <v>0</v>
      </c>
      <c r="O408" t="n">
        <v>0</v>
      </c>
      <c r="P408" t="n">
        <v>0</v>
      </c>
      <c r="Q408" t="n">
        <v>0</v>
      </c>
      <c r="R408" s="2" t="inlineStr"/>
    </row>
    <row r="409" ht="15" customHeight="1">
      <c r="A409" t="inlineStr">
        <is>
          <t>A 18802-2021</t>
        </is>
      </c>
      <c r="B409" s="1" t="n">
        <v>44307</v>
      </c>
      <c r="C409" s="1" t="n">
        <v>45672</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18781-2021</t>
        </is>
      </c>
      <c r="B410" s="1" t="n">
        <v>44307</v>
      </c>
      <c r="C410" s="1" t="n">
        <v>45672</v>
      </c>
      <c r="D410" t="inlineStr">
        <is>
          <t>VÄSTERBOTTENS LÄN</t>
        </is>
      </c>
      <c r="E410" t="inlineStr">
        <is>
          <t>VILHELMINA</t>
        </is>
      </c>
      <c r="G410" t="n">
        <v>3.5</v>
      </c>
      <c r="H410" t="n">
        <v>0</v>
      </c>
      <c r="I410" t="n">
        <v>0</v>
      </c>
      <c r="J410" t="n">
        <v>0</v>
      </c>
      <c r="K410" t="n">
        <v>0</v>
      </c>
      <c r="L410" t="n">
        <v>0</v>
      </c>
      <c r="M410" t="n">
        <v>0</v>
      </c>
      <c r="N410" t="n">
        <v>0</v>
      </c>
      <c r="O410" t="n">
        <v>0</v>
      </c>
      <c r="P410" t="n">
        <v>0</v>
      </c>
      <c r="Q410" t="n">
        <v>0</v>
      </c>
      <c r="R410" s="2" t="inlineStr"/>
    </row>
    <row r="411" ht="15" customHeight="1">
      <c r="A411" t="inlineStr">
        <is>
          <t>A 18971-2021</t>
        </is>
      </c>
      <c r="B411" s="1" t="n">
        <v>44307</v>
      </c>
      <c r="C411" s="1" t="n">
        <v>45672</v>
      </c>
      <c r="D411" t="inlineStr">
        <is>
          <t>VÄSTERBOTTENS LÄN</t>
        </is>
      </c>
      <c r="E411" t="inlineStr">
        <is>
          <t>VILHELMINA</t>
        </is>
      </c>
      <c r="G411" t="n">
        <v>2</v>
      </c>
      <c r="H411" t="n">
        <v>0</v>
      </c>
      <c r="I411" t="n">
        <v>0</v>
      </c>
      <c r="J411" t="n">
        <v>0</v>
      </c>
      <c r="K411" t="n">
        <v>0</v>
      </c>
      <c r="L411" t="n">
        <v>0</v>
      </c>
      <c r="M411" t="n">
        <v>0</v>
      </c>
      <c r="N411" t="n">
        <v>0</v>
      </c>
      <c r="O411" t="n">
        <v>0</v>
      </c>
      <c r="P411" t="n">
        <v>0</v>
      </c>
      <c r="Q411" t="n">
        <v>0</v>
      </c>
      <c r="R411" s="2" t="inlineStr"/>
    </row>
    <row r="412" ht="15" customHeight="1">
      <c r="A412" t="inlineStr">
        <is>
          <t>A 18790-2021</t>
        </is>
      </c>
      <c r="B412" s="1" t="n">
        <v>44307</v>
      </c>
      <c r="C412" s="1" t="n">
        <v>45672</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18950-2021</t>
        </is>
      </c>
      <c r="B413" s="1" t="n">
        <v>44307</v>
      </c>
      <c r="C413" s="1" t="n">
        <v>45672</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20568-2021</t>
        </is>
      </c>
      <c r="B414" s="1" t="n">
        <v>44316</v>
      </c>
      <c r="C414" s="1" t="n">
        <v>45672</v>
      </c>
      <c r="D414" t="inlineStr">
        <is>
          <t>VÄSTERBOTTENS LÄN</t>
        </is>
      </c>
      <c r="E414" t="inlineStr">
        <is>
          <t>VILHELMINA</t>
        </is>
      </c>
      <c r="G414" t="n">
        <v>0.7</v>
      </c>
      <c r="H414" t="n">
        <v>0</v>
      </c>
      <c r="I414" t="n">
        <v>0</v>
      </c>
      <c r="J414" t="n">
        <v>0</v>
      </c>
      <c r="K414" t="n">
        <v>0</v>
      </c>
      <c r="L414" t="n">
        <v>0</v>
      </c>
      <c r="M414" t="n">
        <v>0</v>
      </c>
      <c r="N414" t="n">
        <v>0</v>
      </c>
      <c r="O414" t="n">
        <v>0</v>
      </c>
      <c r="P414" t="n">
        <v>0</v>
      </c>
      <c r="Q414" t="n">
        <v>0</v>
      </c>
      <c r="R414" s="2" t="inlineStr"/>
    </row>
    <row r="415" ht="15" customHeight="1">
      <c r="A415" t="inlineStr">
        <is>
          <t>A 20653-2021</t>
        </is>
      </c>
      <c r="B415" s="1" t="n">
        <v>44316</v>
      </c>
      <c r="C415" s="1" t="n">
        <v>45672</v>
      </c>
      <c r="D415" t="inlineStr">
        <is>
          <t>VÄSTERBOTTENS LÄN</t>
        </is>
      </c>
      <c r="E415" t="inlineStr">
        <is>
          <t>VILHELMINA</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45672</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23278-2021</t>
        </is>
      </c>
      <c r="B417" s="1" t="n">
        <v>44328</v>
      </c>
      <c r="C417" s="1" t="n">
        <v>45672</v>
      </c>
      <c r="D417" t="inlineStr">
        <is>
          <t>VÄSTERBOTTENS LÄN</t>
        </is>
      </c>
      <c r="E417" t="inlineStr">
        <is>
          <t>VILHELMINA</t>
        </is>
      </c>
      <c r="F417" t="inlineStr">
        <is>
          <t>Allmännings- och besparingsskogar</t>
        </is>
      </c>
      <c r="G417" t="n">
        <v>13.6</v>
      </c>
      <c r="H417" t="n">
        <v>0</v>
      </c>
      <c r="I417" t="n">
        <v>0</v>
      </c>
      <c r="J417" t="n">
        <v>0</v>
      </c>
      <c r="K417" t="n">
        <v>0</v>
      </c>
      <c r="L417" t="n">
        <v>0</v>
      </c>
      <c r="M417" t="n">
        <v>0</v>
      </c>
      <c r="N417" t="n">
        <v>0</v>
      </c>
      <c r="O417" t="n">
        <v>0</v>
      </c>
      <c r="P417" t="n">
        <v>0</v>
      </c>
      <c r="Q417" t="n">
        <v>0</v>
      </c>
      <c r="R417" s="2" t="inlineStr"/>
    </row>
    <row r="418" ht="15" customHeight="1">
      <c r="A418" t="inlineStr">
        <is>
          <t>A 23270-2021</t>
        </is>
      </c>
      <c r="B418" s="1" t="n">
        <v>44328</v>
      </c>
      <c r="C418" s="1" t="n">
        <v>45672</v>
      </c>
      <c r="D418" t="inlineStr">
        <is>
          <t>VÄSTERBOTTENS LÄN</t>
        </is>
      </c>
      <c r="E418" t="inlineStr">
        <is>
          <t>VILHELMINA</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23261-2021</t>
        </is>
      </c>
      <c r="B419" s="1" t="n">
        <v>44330</v>
      </c>
      <c r="C419" s="1" t="n">
        <v>45672</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24983-2021</t>
        </is>
      </c>
      <c r="B420" s="1" t="n">
        <v>44341</v>
      </c>
      <c r="C420" s="1" t="n">
        <v>45672</v>
      </c>
      <c r="D420" t="inlineStr">
        <is>
          <t>VÄSTERBOTTENS LÄN</t>
        </is>
      </c>
      <c r="E420" t="inlineStr">
        <is>
          <t>VILHELMINA</t>
        </is>
      </c>
      <c r="G420" t="n">
        <v>12.9</v>
      </c>
      <c r="H420" t="n">
        <v>0</v>
      </c>
      <c r="I420" t="n">
        <v>0</v>
      </c>
      <c r="J420" t="n">
        <v>0</v>
      </c>
      <c r="K420" t="n">
        <v>0</v>
      </c>
      <c r="L420" t="n">
        <v>0</v>
      </c>
      <c r="M420" t="n">
        <v>0</v>
      </c>
      <c r="N420" t="n">
        <v>0</v>
      </c>
      <c r="O420" t="n">
        <v>0</v>
      </c>
      <c r="P420" t="n">
        <v>0</v>
      </c>
      <c r="Q420" t="n">
        <v>0</v>
      </c>
      <c r="R420" s="2" t="inlineStr"/>
    </row>
    <row r="421" ht="15" customHeight="1">
      <c r="A421" t="inlineStr">
        <is>
          <t>A 24599-2021</t>
        </is>
      </c>
      <c r="B421" s="1" t="n">
        <v>44341</v>
      </c>
      <c r="C421" s="1" t="n">
        <v>45672</v>
      </c>
      <c r="D421" t="inlineStr">
        <is>
          <t>VÄSTERBOTTENS LÄN</t>
        </is>
      </c>
      <c r="E421" t="inlineStr">
        <is>
          <t>VILHELMINA</t>
        </is>
      </c>
      <c r="G421" t="n">
        <v>14.5</v>
      </c>
      <c r="H421" t="n">
        <v>0</v>
      </c>
      <c r="I421" t="n">
        <v>0</v>
      </c>
      <c r="J421" t="n">
        <v>0</v>
      </c>
      <c r="K421" t="n">
        <v>0</v>
      </c>
      <c r="L421" t="n">
        <v>0</v>
      </c>
      <c r="M421" t="n">
        <v>0</v>
      </c>
      <c r="N421" t="n">
        <v>0</v>
      </c>
      <c r="O421" t="n">
        <v>0</v>
      </c>
      <c r="P421" t="n">
        <v>0</v>
      </c>
      <c r="Q421" t="n">
        <v>0</v>
      </c>
      <c r="R421" s="2" t="inlineStr"/>
    </row>
    <row r="422" ht="15" customHeight="1">
      <c r="A422" t="inlineStr">
        <is>
          <t>A 25102-2021</t>
        </is>
      </c>
      <c r="B422" s="1" t="n">
        <v>44341</v>
      </c>
      <c r="C422" s="1" t="n">
        <v>45672</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26483-2021</t>
        </is>
      </c>
      <c r="B423" s="1" t="n">
        <v>44347</v>
      </c>
      <c r="C423" s="1" t="n">
        <v>45672</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28269-2021</t>
        </is>
      </c>
      <c r="B424" s="1" t="n">
        <v>44356</v>
      </c>
      <c r="C424" s="1" t="n">
        <v>45672</v>
      </c>
      <c r="D424" t="inlineStr">
        <is>
          <t>VÄSTERBOTTENS LÄN</t>
        </is>
      </c>
      <c r="E424" t="inlineStr">
        <is>
          <t>VILHELMINA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28272-2021</t>
        </is>
      </c>
      <c r="B425" s="1" t="n">
        <v>44356</v>
      </c>
      <c r="C425" s="1" t="n">
        <v>45672</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28895-2021</t>
        </is>
      </c>
      <c r="B426" s="1" t="n">
        <v>44357</v>
      </c>
      <c r="C426" s="1" t="n">
        <v>45672</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29347-2021</t>
        </is>
      </c>
      <c r="B427" s="1" t="n">
        <v>44361</v>
      </c>
      <c r="C427" s="1" t="n">
        <v>45672</v>
      </c>
      <c r="D427" t="inlineStr">
        <is>
          <t>VÄSTERBOTTENS LÄN</t>
        </is>
      </c>
      <c r="E427" t="inlineStr">
        <is>
          <t>VILHELMINA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29332-2021</t>
        </is>
      </c>
      <c r="B428" s="1" t="n">
        <v>44361</v>
      </c>
      <c r="C428" s="1" t="n">
        <v>45672</v>
      </c>
      <c r="D428" t="inlineStr">
        <is>
          <t>VÄSTERBOTTENS LÄN</t>
        </is>
      </c>
      <c r="E428" t="inlineStr">
        <is>
          <t>VILHELMINA</t>
        </is>
      </c>
      <c r="F428" t="inlineStr">
        <is>
          <t>Allmännings- och besparingsskogar</t>
        </is>
      </c>
      <c r="G428" t="n">
        <v>51.8</v>
      </c>
      <c r="H428" t="n">
        <v>0</v>
      </c>
      <c r="I428" t="n">
        <v>0</v>
      </c>
      <c r="J428" t="n">
        <v>0</v>
      </c>
      <c r="K428" t="n">
        <v>0</v>
      </c>
      <c r="L428" t="n">
        <v>0</v>
      </c>
      <c r="M428" t="n">
        <v>0</v>
      </c>
      <c r="N428" t="n">
        <v>0</v>
      </c>
      <c r="O428" t="n">
        <v>0</v>
      </c>
      <c r="P428" t="n">
        <v>0</v>
      </c>
      <c r="Q428" t="n">
        <v>0</v>
      </c>
      <c r="R428" s="2" t="inlineStr"/>
    </row>
    <row r="429" ht="15" customHeight="1">
      <c r="A429" t="inlineStr">
        <is>
          <t>A 31722-2021</t>
        </is>
      </c>
      <c r="B429" s="1" t="n">
        <v>44370</v>
      </c>
      <c r="C429" s="1" t="n">
        <v>45672</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32665-2021</t>
        </is>
      </c>
      <c r="B430" s="1" t="n">
        <v>44371</v>
      </c>
      <c r="C430" s="1" t="n">
        <v>45672</v>
      </c>
      <c r="D430" t="inlineStr">
        <is>
          <t>VÄSTERBOTTENS LÄN</t>
        </is>
      </c>
      <c r="E430" t="inlineStr">
        <is>
          <t>VILHELMINA</t>
        </is>
      </c>
      <c r="G430" t="n">
        <v>2.9</v>
      </c>
      <c r="H430" t="n">
        <v>0</v>
      </c>
      <c r="I430" t="n">
        <v>0</v>
      </c>
      <c r="J430" t="n">
        <v>0</v>
      </c>
      <c r="K430" t="n">
        <v>0</v>
      </c>
      <c r="L430" t="n">
        <v>0</v>
      </c>
      <c r="M430" t="n">
        <v>0</v>
      </c>
      <c r="N430" t="n">
        <v>0</v>
      </c>
      <c r="O430" t="n">
        <v>0</v>
      </c>
      <c r="P430" t="n">
        <v>0</v>
      </c>
      <c r="Q430" t="n">
        <v>0</v>
      </c>
      <c r="R430" s="2" t="inlineStr"/>
    </row>
    <row r="431" ht="15" customHeight="1">
      <c r="A431" t="inlineStr">
        <is>
          <t>A 32672-2021</t>
        </is>
      </c>
      <c r="B431" s="1" t="n">
        <v>44371</v>
      </c>
      <c r="C431" s="1" t="n">
        <v>45672</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32658-2021</t>
        </is>
      </c>
      <c r="B432" s="1" t="n">
        <v>44371</v>
      </c>
      <c r="C432" s="1" t="n">
        <v>45672</v>
      </c>
      <c r="D432" t="inlineStr">
        <is>
          <t>VÄSTERBOTTENS LÄN</t>
        </is>
      </c>
      <c r="E432" t="inlineStr">
        <is>
          <t>VILHELMINA</t>
        </is>
      </c>
      <c r="G432" t="n">
        <v>2.2</v>
      </c>
      <c r="H432" t="n">
        <v>0</v>
      </c>
      <c r="I432" t="n">
        <v>0</v>
      </c>
      <c r="J432" t="n">
        <v>0</v>
      </c>
      <c r="K432" t="n">
        <v>0</v>
      </c>
      <c r="L432" t="n">
        <v>0</v>
      </c>
      <c r="M432" t="n">
        <v>0</v>
      </c>
      <c r="N432" t="n">
        <v>0</v>
      </c>
      <c r="O432" t="n">
        <v>0</v>
      </c>
      <c r="P432" t="n">
        <v>0</v>
      </c>
      <c r="Q432" t="n">
        <v>0</v>
      </c>
      <c r="R432" s="2" t="inlineStr"/>
    </row>
    <row r="433" ht="15" customHeight="1">
      <c r="A433" t="inlineStr">
        <is>
          <t>A 32655-2021</t>
        </is>
      </c>
      <c r="B433" s="1" t="n">
        <v>44371</v>
      </c>
      <c r="C433" s="1" t="n">
        <v>45672</v>
      </c>
      <c r="D433" t="inlineStr">
        <is>
          <t>VÄSTERBOTTENS LÄN</t>
        </is>
      </c>
      <c r="E433" t="inlineStr">
        <is>
          <t>VILHELMINA</t>
        </is>
      </c>
      <c r="G433" t="n">
        <v>0.2</v>
      </c>
      <c r="H433" t="n">
        <v>0</v>
      </c>
      <c r="I433" t="n">
        <v>0</v>
      </c>
      <c r="J433" t="n">
        <v>0</v>
      </c>
      <c r="K433" t="n">
        <v>0</v>
      </c>
      <c r="L433" t="n">
        <v>0</v>
      </c>
      <c r="M433" t="n">
        <v>0</v>
      </c>
      <c r="N433" t="n">
        <v>0</v>
      </c>
      <c r="O433" t="n">
        <v>0</v>
      </c>
      <c r="P433" t="n">
        <v>0</v>
      </c>
      <c r="Q433" t="n">
        <v>0</v>
      </c>
      <c r="R433" s="2" t="inlineStr"/>
    </row>
    <row r="434" ht="15" customHeight="1">
      <c r="A434" t="inlineStr">
        <is>
          <t>A 31656-2021</t>
        </is>
      </c>
      <c r="B434" s="1" t="n">
        <v>44377</v>
      </c>
      <c r="C434" s="1" t="n">
        <v>45672</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33636-2021</t>
        </is>
      </c>
      <c r="B435" s="1" t="n">
        <v>44378</v>
      </c>
      <c r="C435" s="1" t="n">
        <v>45672</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34394-2021</t>
        </is>
      </c>
      <c r="B436" s="1" t="n">
        <v>44379</v>
      </c>
      <c r="C436" s="1" t="n">
        <v>45672</v>
      </c>
      <c r="D436" t="inlineStr">
        <is>
          <t>VÄSTERBOTTENS LÄN</t>
        </is>
      </c>
      <c r="E436" t="inlineStr">
        <is>
          <t>VILHELMINA</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34808-2021</t>
        </is>
      </c>
      <c r="B437" s="1" t="n">
        <v>44382</v>
      </c>
      <c r="C437" s="1" t="n">
        <v>45672</v>
      </c>
      <c r="D437" t="inlineStr">
        <is>
          <t>VÄSTERBOTTENS LÄN</t>
        </is>
      </c>
      <c r="E437" t="inlineStr">
        <is>
          <t>VILHELMINA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35876-2021</t>
        </is>
      </c>
      <c r="B438" s="1" t="n">
        <v>44386</v>
      </c>
      <c r="C438" s="1" t="n">
        <v>45672</v>
      </c>
      <c r="D438" t="inlineStr">
        <is>
          <t>VÄSTERBOTTENS LÄN</t>
        </is>
      </c>
      <c r="E438" t="inlineStr">
        <is>
          <t>VILHELMINA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36139-2021</t>
        </is>
      </c>
      <c r="B439" s="1" t="n">
        <v>44389</v>
      </c>
      <c r="C439" s="1" t="n">
        <v>45672</v>
      </c>
      <c r="D439" t="inlineStr">
        <is>
          <t>VÄSTERBOTTENS LÄN</t>
        </is>
      </c>
      <c r="E439" t="inlineStr">
        <is>
          <t>VILHELMINA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36142-2021</t>
        </is>
      </c>
      <c r="B440" s="1" t="n">
        <v>44389</v>
      </c>
      <c r="C440" s="1" t="n">
        <v>45672</v>
      </c>
      <c r="D440" t="inlineStr">
        <is>
          <t>VÄSTERBOTTENS LÄN</t>
        </is>
      </c>
      <c r="E440" t="inlineStr">
        <is>
          <t>VILHELMINA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36147-2021</t>
        </is>
      </c>
      <c r="B441" s="1" t="n">
        <v>44389</v>
      </c>
      <c r="C441" s="1" t="n">
        <v>45672</v>
      </c>
      <c r="D441" t="inlineStr">
        <is>
          <t>VÄSTERBOTTENS LÄN</t>
        </is>
      </c>
      <c r="E441" t="inlineStr">
        <is>
          <t>VILHELMINA</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36288-2021</t>
        </is>
      </c>
      <c r="B442" s="1" t="n">
        <v>44389</v>
      </c>
      <c r="C442" s="1" t="n">
        <v>45672</v>
      </c>
      <c r="D442" t="inlineStr">
        <is>
          <t>VÄSTERBOTTENS LÄN</t>
        </is>
      </c>
      <c r="E442" t="inlineStr">
        <is>
          <t>VILHELMINA</t>
        </is>
      </c>
      <c r="G442" t="n">
        <v>20.5</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45672</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38327-2021</t>
        </is>
      </c>
      <c r="B444" s="1" t="n">
        <v>44406</v>
      </c>
      <c r="C444" s="1" t="n">
        <v>45672</v>
      </c>
      <c r="D444" t="inlineStr">
        <is>
          <t>VÄSTERBOTTENS LÄN</t>
        </is>
      </c>
      <c r="E444" t="inlineStr">
        <is>
          <t>VILHELMINA</t>
        </is>
      </c>
      <c r="G444" t="n">
        <v>0.4</v>
      </c>
      <c r="H444" t="n">
        <v>0</v>
      </c>
      <c r="I444" t="n">
        <v>0</v>
      </c>
      <c r="J444" t="n">
        <v>0</v>
      </c>
      <c r="K444" t="n">
        <v>0</v>
      </c>
      <c r="L444" t="n">
        <v>0</v>
      </c>
      <c r="M444" t="n">
        <v>0</v>
      </c>
      <c r="N444" t="n">
        <v>0</v>
      </c>
      <c r="O444" t="n">
        <v>0</v>
      </c>
      <c r="P444" t="n">
        <v>0</v>
      </c>
      <c r="Q444" t="n">
        <v>0</v>
      </c>
      <c r="R444" s="2" t="inlineStr"/>
    </row>
    <row r="445" ht="15" customHeight="1">
      <c r="A445" t="inlineStr">
        <is>
          <t>A 39186-2021</t>
        </is>
      </c>
      <c r="B445" s="1" t="n">
        <v>44412</v>
      </c>
      <c r="C445" s="1" t="n">
        <v>45672</v>
      </c>
      <c r="D445" t="inlineStr">
        <is>
          <t>VÄSTERBOTTENS LÄN</t>
        </is>
      </c>
      <c r="E445" t="inlineStr">
        <is>
          <t>VILHELMINA</t>
        </is>
      </c>
      <c r="G445" t="n">
        <v>0.3</v>
      </c>
      <c r="H445" t="n">
        <v>0</v>
      </c>
      <c r="I445" t="n">
        <v>0</v>
      </c>
      <c r="J445" t="n">
        <v>0</v>
      </c>
      <c r="K445" t="n">
        <v>0</v>
      </c>
      <c r="L445" t="n">
        <v>0</v>
      </c>
      <c r="M445" t="n">
        <v>0</v>
      </c>
      <c r="N445" t="n">
        <v>0</v>
      </c>
      <c r="O445" t="n">
        <v>0</v>
      </c>
      <c r="P445" t="n">
        <v>0</v>
      </c>
      <c r="Q445" t="n">
        <v>0</v>
      </c>
      <c r="R445" s="2" t="inlineStr"/>
    </row>
    <row r="446" ht="15" customHeight="1">
      <c r="A446" t="inlineStr">
        <is>
          <t>A 40470-2021</t>
        </is>
      </c>
      <c r="B446" s="1" t="n">
        <v>44420</v>
      </c>
      <c r="C446" s="1" t="n">
        <v>45672</v>
      </c>
      <c r="D446" t="inlineStr">
        <is>
          <t>VÄSTERBOTTENS LÄN</t>
        </is>
      </c>
      <c r="E446" t="inlineStr">
        <is>
          <t>VILHELMINA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40471-2021</t>
        </is>
      </c>
      <c r="B447" s="1" t="n">
        <v>44420</v>
      </c>
      <c r="C447" s="1" t="n">
        <v>45672</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40477-2021</t>
        </is>
      </c>
      <c r="B448" s="1" t="n">
        <v>44420</v>
      </c>
      <c r="C448" s="1" t="n">
        <v>45672</v>
      </c>
      <c r="D448" t="inlineStr">
        <is>
          <t>VÄSTERBOTTENS LÄN</t>
        </is>
      </c>
      <c r="E448" t="inlineStr">
        <is>
          <t>VILHELMINA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40468-2021</t>
        </is>
      </c>
      <c r="B449" s="1" t="n">
        <v>44420</v>
      </c>
      <c r="C449" s="1" t="n">
        <v>45672</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40476-2021</t>
        </is>
      </c>
      <c r="B450" s="1" t="n">
        <v>44420</v>
      </c>
      <c r="C450" s="1" t="n">
        <v>45672</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40469-2021</t>
        </is>
      </c>
      <c r="B451" s="1" t="n">
        <v>44420</v>
      </c>
      <c r="C451" s="1" t="n">
        <v>45672</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40474-2021</t>
        </is>
      </c>
      <c r="B452" s="1" t="n">
        <v>44420</v>
      </c>
      <c r="C452" s="1" t="n">
        <v>45672</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40472-2021</t>
        </is>
      </c>
      <c r="B453" s="1" t="n">
        <v>44419</v>
      </c>
      <c r="C453" s="1" t="n">
        <v>45672</v>
      </c>
      <c r="D453" t="inlineStr">
        <is>
          <t>VÄSTERBOTTENS LÄN</t>
        </is>
      </c>
      <c r="E453" t="inlineStr">
        <is>
          <t>VILHELMINA</t>
        </is>
      </c>
      <c r="F453" t="inlineStr">
        <is>
          <t>SCA</t>
        </is>
      </c>
      <c r="G453" t="n">
        <v>16.3</v>
      </c>
      <c r="H453" t="n">
        <v>0</v>
      </c>
      <c r="I453" t="n">
        <v>0</v>
      </c>
      <c r="J453" t="n">
        <v>0</v>
      </c>
      <c r="K453" t="n">
        <v>0</v>
      </c>
      <c r="L453" t="n">
        <v>0</v>
      </c>
      <c r="M453" t="n">
        <v>0</v>
      </c>
      <c r="N453" t="n">
        <v>0</v>
      </c>
      <c r="O453" t="n">
        <v>0</v>
      </c>
      <c r="P453" t="n">
        <v>0</v>
      </c>
      <c r="Q453" t="n">
        <v>0</v>
      </c>
      <c r="R453" s="2" t="inlineStr"/>
    </row>
    <row r="454" ht="15" customHeight="1">
      <c r="A454" t="inlineStr">
        <is>
          <t>A 42153-2021</t>
        </is>
      </c>
      <c r="B454" s="1" t="n">
        <v>44426</v>
      </c>
      <c r="C454" s="1" t="n">
        <v>45672</v>
      </c>
      <c r="D454" t="inlineStr">
        <is>
          <t>VÄSTERBOTTENS LÄN</t>
        </is>
      </c>
      <c r="E454" t="inlineStr">
        <is>
          <t>VILHELMINA</t>
        </is>
      </c>
      <c r="F454" t="inlineStr">
        <is>
          <t>Sveaskog</t>
        </is>
      </c>
      <c r="G454" t="n">
        <v>11.5</v>
      </c>
      <c r="H454" t="n">
        <v>0</v>
      </c>
      <c r="I454" t="n">
        <v>0</v>
      </c>
      <c r="J454" t="n">
        <v>0</v>
      </c>
      <c r="K454" t="n">
        <v>0</v>
      </c>
      <c r="L454" t="n">
        <v>0</v>
      </c>
      <c r="M454" t="n">
        <v>0</v>
      </c>
      <c r="N454" t="n">
        <v>0</v>
      </c>
      <c r="O454" t="n">
        <v>0</v>
      </c>
      <c r="P454" t="n">
        <v>0</v>
      </c>
      <c r="Q454" t="n">
        <v>0</v>
      </c>
      <c r="R454" s="2" t="inlineStr"/>
    </row>
    <row r="455" ht="15" customHeight="1">
      <c r="A455" t="inlineStr">
        <is>
          <t>A 43755-2021</t>
        </is>
      </c>
      <c r="B455" s="1" t="n">
        <v>44433</v>
      </c>
      <c r="C455" s="1" t="n">
        <v>45672</v>
      </c>
      <c r="D455" t="inlineStr">
        <is>
          <t>VÄSTERBOTTENS LÄN</t>
        </is>
      </c>
      <c r="E455" t="inlineStr">
        <is>
          <t>VILHELMINA</t>
        </is>
      </c>
      <c r="F455" t="inlineStr">
        <is>
          <t>Sveaskog</t>
        </is>
      </c>
      <c r="G455" t="n">
        <v>10.4</v>
      </c>
      <c r="H455" t="n">
        <v>0</v>
      </c>
      <c r="I455" t="n">
        <v>0</v>
      </c>
      <c r="J455" t="n">
        <v>0</v>
      </c>
      <c r="K455" t="n">
        <v>0</v>
      </c>
      <c r="L455" t="n">
        <v>0</v>
      </c>
      <c r="M455" t="n">
        <v>0</v>
      </c>
      <c r="N455" t="n">
        <v>0</v>
      </c>
      <c r="O455" t="n">
        <v>0</v>
      </c>
      <c r="P455" t="n">
        <v>0</v>
      </c>
      <c r="Q455" t="n">
        <v>0</v>
      </c>
      <c r="R455" s="2" t="inlineStr"/>
    </row>
    <row r="456" ht="15" customHeight="1">
      <c r="A456" t="inlineStr">
        <is>
          <t>A 44136-2021</t>
        </is>
      </c>
      <c r="B456" s="1" t="n">
        <v>44434</v>
      </c>
      <c r="C456" s="1" t="n">
        <v>45672</v>
      </c>
      <c r="D456" t="inlineStr">
        <is>
          <t>VÄSTERBOTTENS LÄN</t>
        </is>
      </c>
      <c r="E456" t="inlineStr">
        <is>
          <t>VILHELMINA</t>
        </is>
      </c>
      <c r="F456" t="inlineStr">
        <is>
          <t>Sveaskog</t>
        </is>
      </c>
      <c r="G456" t="n">
        <v>11.2</v>
      </c>
      <c r="H456" t="n">
        <v>0</v>
      </c>
      <c r="I456" t="n">
        <v>0</v>
      </c>
      <c r="J456" t="n">
        <v>0</v>
      </c>
      <c r="K456" t="n">
        <v>0</v>
      </c>
      <c r="L456" t="n">
        <v>0</v>
      </c>
      <c r="M456" t="n">
        <v>0</v>
      </c>
      <c r="N456" t="n">
        <v>0</v>
      </c>
      <c r="O456" t="n">
        <v>0</v>
      </c>
      <c r="P456" t="n">
        <v>0</v>
      </c>
      <c r="Q456" t="n">
        <v>0</v>
      </c>
      <c r="R456" s="2" t="inlineStr"/>
    </row>
    <row r="457" ht="15" customHeight="1">
      <c r="A457" t="inlineStr">
        <is>
          <t>A 44238-2021</t>
        </is>
      </c>
      <c r="B457" s="1" t="n">
        <v>44434</v>
      </c>
      <c r="C457" s="1" t="n">
        <v>45672</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44239-2021</t>
        </is>
      </c>
      <c r="B458" s="1" t="n">
        <v>44434</v>
      </c>
      <c r="C458" s="1" t="n">
        <v>45672</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44714-2021</t>
        </is>
      </c>
      <c r="B459" s="1" t="n">
        <v>44435</v>
      </c>
      <c r="C459" s="1" t="n">
        <v>45672</v>
      </c>
      <c r="D459" t="inlineStr">
        <is>
          <t>VÄSTERBOTTENS LÄN</t>
        </is>
      </c>
      <c r="E459" t="inlineStr">
        <is>
          <t>VILHELMINA</t>
        </is>
      </c>
      <c r="G459" t="n">
        <v>4.3</v>
      </c>
      <c r="H459" t="n">
        <v>0</v>
      </c>
      <c r="I459" t="n">
        <v>0</v>
      </c>
      <c r="J459" t="n">
        <v>0</v>
      </c>
      <c r="K459" t="n">
        <v>0</v>
      </c>
      <c r="L459" t="n">
        <v>0</v>
      </c>
      <c r="M459" t="n">
        <v>0</v>
      </c>
      <c r="N459" t="n">
        <v>0</v>
      </c>
      <c r="O459" t="n">
        <v>0</v>
      </c>
      <c r="P459" t="n">
        <v>0</v>
      </c>
      <c r="Q459" t="n">
        <v>0</v>
      </c>
      <c r="R459" s="2" t="inlineStr"/>
    </row>
    <row r="460" ht="15" customHeight="1">
      <c r="A460" t="inlineStr">
        <is>
          <t>A 46046-2021</t>
        </is>
      </c>
      <c r="B460" s="1" t="n">
        <v>44442</v>
      </c>
      <c r="C460" s="1" t="n">
        <v>45672</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46045-2021</t>
        </is>
      </c>
      <c r="B461" s="1" t="n">
        <v>44442</v>
      </c>
      <c r="C461" s="1" t="n">
        <v>45672</v>
      </c>
      <c r="D461" t="inlineStr">
        <is>
          <t>VÄSTERBOTTENS LÄN</t>
        </is>
      </c>
      <c r="E461" t="inlineStr">
        <is>
          <t>VILHELMINA</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46372-2021</t>
        </is>
      </c>
      <c r="B462" s="1" t="n">
        <v>44443</v>
      </c>
      <c r="C462" s="1" t="n">
        <v>45672</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46375-2021</t>
        </is>
      </c>
      <c r="B463" s="1" t="n">
        <v>44442</v>
      </c>
      <c r="C463" s="1" t="n">
        <v>45672</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47151-2021</t>
        </is>
      </c>
      <c r="B464" s="1" t="n">
        <v>44447</v>
      </c>
      <c r="C464" s="1" t="n">
        <v>45672</v>
      </c>
      <c r="D464" t="inlineStr">
        <is>
          <t>VÄSTERBOTTENS LÄN</t>
        </is>
      </c>
      <c r="E464" t="inlineStr">
        <is>
          <t>VILHELMINA</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48754-2021</t>
        </is>
      </c>
      <c r="B465" s="1" t="n">
        <v>44452</v>
      </c>
      <c r="C465" s="1" t="n">
        <v>45672</v>
      </c>
      <c r="D465" t="inlineStr">
        <is>
          <t>VÄSTERBOTTENS LÄN</t>
        </is>
      </c>
      <c r="E465" t="inlineStr">
        <is>
          <t>VILHELMINA</t>
        </is>
      </c>
      <c r="G465" t="n">
        <v>5.6</v>
      </c>
      <c r="H465" t="n">
        <v>0</v>
      </c>
      <c r="I465" t="n">
        <v>0</v>
      </c>
      <c r="J465" t="n">
        <v>0</v>
      </c>
      <c r="K465" t="n">
        <v>0</v>
      </c>
      <c r="L465" t="n">
        <v>0</v>
      </c>
      <c r="M465" t="n">
        <v>0</v>
      </c>
      <c r="N465" t="n">
        <v>0</v>
      </c>
      <c r="O465" t="n">
        <v>0</v>
      </c>
      <c r="P465" t="n">
        <v>0</v>
      </c>
      <c r="Q465" t="n">
        <v>0</v>
      </c>
      <c r="R465" s="2" t="inlineStr"/>
    </row>
    <row r="466" ht="15" customHeight="1">
      <c r="A466" t="inlineStr">
        <is>
          <t>A 48600-2021</t>
        </is>
      </c>
      <c r="B466" s="1" t="n">
        <v>44452</v>
      </c>
      <c r="C466" s="1" t="n">
        <v>45672</v>
      </c>
      <c r="D466" t="inlineStr">
        <is>
          <t>VÄSTERBOTTENS LÄN</t>
        </is>
      </c>
      <c r="E466" t="inlineStr">
        <is>
          <t>VILHELMINA</t>
        </is>
      </c>
      <c r="F466" t="inlineStr">
        <is>
          <t>Allmännings- och besparingsskogar</t>
        </is>
      </c>
      <c r="G466" t="n">
        <v>48.6</v>
      </c>
      <c r="H466" t="n">
        <v>0</v>
      </c>
      <c r="I466" t="n">
        <v>0</v>
      </c>
      <c r="J466" t="n">
        <v>0</v>
      </c>
      <c r="K466" t="n">
        <v>0</v>
      </c>
      <c r="L466" t="n">
        <v>0</v>
      </c>
      <c r="M466" t="n">
        <v>0</v>
      </c>
      <c r="N466" t="n">
        <v>0</v>
      </c>
      <c r="O466" t="n">
        <v>0</v>
      </c>
      <c r="P466" t="n">
        <v>0</v>
      </c>
      <c r="Q466" t="n">
        <v>0</v>
      </c>
      <c r="R466" s="2" t="inlineStr"/>
    </row>
    <row r="467" ht="15" customHeight="1">
      <c r="A467" t="inlineStr">
        <is>
          <t>A 48756-2021</t>
        </is>
      </c>
      <c r="B467" s="1" t="n">
        <v>44452</v>
      </c>
      <c r="C467" s="1" t="n">
        <v>45672</v>
      </c>
      <c r="D467" t="inlineStr">
        <is>
          <t>VÄSTERBOTTENS LÄN</t>
        </is>
      </c>
      <c r="E467" t="inlineStr">
        <is>
          <t>VILHELMINA</t>
        </is>
      </c>
      <c r="G467" t="n">
        <v>13.3</v>
      </c>
      <c r="H467" t="n">
        <v>0</v>
      </c>
      <c r="I467" t="n">
        <v>0</v>
      </c>
      <c r="J467" t="n">
        <v>0</v>
      </c>
      <c r="K467" t="n">
        <v>0</v>
      </c>
      <c r="L467" t="n">
        <v>0</v>
      </c>
      <c r="M467" t="n">
        <v>0</v>
      </c>
      <c r="N467" t="n">
        <v>0</v>
      </c>
      <c r="O467" t="n">
        <v>0</v>
      </c>
      <c r="P467" t="n">
        <v>0</v>
      </c>
      <c r="Q467" t="n">
        <v>0</v>
      </c>
      <c r="R467" s="2" t="inlineStr"/>
    </row>
    <row r="468" ht="15" customHeight="1">
      <c r="A468" t="inlineStr">
        <is>
          <t>A 48783-2021</t>
        </is>
      </c>
      <c r="B468" s="1" t="n">
        <v>44452</v>
      </c>
      <c r="C468" s="1" t="n">
        <v>45672</v>
      </c>
      <c r="D468" t="inlineStr">
        <is>
          <t>VÄSTERBOTTENS LÄN</t>
        </is>
      </c>
      <c r="E468" t="inlineStr">
        <is>
          <t>VILHELMINA</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48574-2021</t>
        </is>
      </c>
      <c r="B469" s="1" t="n">
        <v>44452</v>
      </c>
      <c r="C469" s="1" t="n">
        <v>45672</v>
      </c>
      <c r="D469" t="inlineStr">
        <is>
          <t>VÄSTERBOTTENS LÄN</t>
        </is>
      </c>
      <c r="E469" t="inlineStr">
        <is>
          <t>VILHELMINA</t>
        </is>
      </c>
      <c r="F469" t="inlineStr">
        <is>
          <t>Allmännings- och besparingsskogar</t>
        </is>
      </c>
      <c r="G469" t="n">
        <v>85.09999999999999</v>
      </c>
      <c r="H469" t="n">
        <v>0</v>
      </c>
      <c r="I469" t="n">
        <v>0</v>
      </c>
      <c r="J469" t="n">
        <v>0</v>
      </c>
      <c r="K469" t="n">
        <v>0</v>
      </c>
      <c r="L469" t="n">
        <v>0</v>
      </c>
      <c r="M469" t="n">
        <v>0</v>
      </c>
      <c r="N469" t="n">
        <v>0</v>
      </c>
      <c r="O469" t="n">
        <v>0</v>
      </c>
      <c r="P469" t="n">
        <v>0</v>
      </c>
      <c r="Q469" t="n">
        <v>0</v>
      </c>
      <c r="R469" s="2" t="inlineStr"/>
    </row>
    <row r="470" ht="15" customHeight="1">
      <c r="A470" t="inlineStr">
        <is>
          <t>A 49063-2021</t>
        </is>
      </c>
      <c r="B470" s="1" t="n">
        <v>44453</v>
      </c>
      <c r="C470" s="1" t="n">
        <v>45672</v>
      </c>
      <c r="D470" t="inlineStr">
        <is>
          <t>VÄSTERBOTTENS LÄN</t>
        </is>
      </c>
      <c r="E470" t="inlineStr">
        <is>
          <t>VILHELMINA</t>
        </is>
      </c>
      <c r="F470" t="inlineStr">
        <is>
          <t>Övriga statliga verk och myndigheter</t>
        </is>
      </c>
      <c r="G470" t="n">
        <v>42.7</v>
      </c>
      <c r="H470" t="n">
        <v>0</v>
      </c>
      <c r="I470" t="n">
        <v>0</v>
      </c>
      <c r="J470" t="n">
        <v>0</v>
      </c>
      <c r="K470" t="n">
        <v>0</v>
      </c>
      <c r="L470" t="n">
        <v>0</v>
      </c>
      <c r="M470" t="n">
        <v>0</v>
      </c>
      <c r="N470" t="n">
        <v>0</v>
      </c>
      <c r="O470" t="n">
        <v>0</v>
      </c>
      <c r="P470" t="n">
        <v>0</v>
      </c>
      <c r="Q470" t="n">
        <v>0</v>
      </c>
      <c r="R470" s="2" t="inlineStr"/>
    </row>
    <row r="471" ht="15" customHeight="1">
      <c r="A471" t="inlineStr">
        <is>
          <t>A 50635-2021</t>
        </is>
      </c>
      <c r="B471" s="1" t="n">
        <v>44459</v>
      </c>
      <c r="C471" s="1" t="n">
        <v>45672</v>
      </c>
      <c r="D471" t="inlineStr">
        <is>
          <t>VÄSTERBOTTENS LÄN</t>
        </is>
      </c>
      <c r="E471" t="inlineStr">
        <is>
          <t>VILHELMINA</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51016-2021</t>
        </is>
      </c>
      <c r="B472" s="1" t="n">
        <v>44461</v>
      </c>
      <c r="C472" s="1" t="n">
        <v>45672</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51018-2021</t>
        </is>
      </c>
      <c r="B473" s="1" t="n">
        <v>44461</v>
      </c>
      <c r="C473" s="1" t="n">
        <v>45672</v>
      </c>
      <c r="D473" t="inlineStr">
        <is>
          <t>VÄSTERBOTTENS LÄN</t>
        </is>
      </c>
      <c r="E473" t="inlineStr">
        <is>
          <t>VILHELMINA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51935-2021</t>
        </is>
      </c>
      <c r="B474" s="1" t="n">
        <v>44462</v>
      </c>
      <c r="C474" s="1" t="n">
        <v>45672</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51933-2021</t>
        </is>
      </c>
      <c r="B475" s="1" t="n">
        <v>44463</v>
      </c>
      <c r="C475" s="1" t="n">
        <v>45672</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53958-2021</t>
        </is>
      </c>
      <c r="B476" s="1" t="n">
        <v>44469</v>
      </c>
      <c r="C476" s="1" t="n">
        <v>45672</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53987-2021</t>
        </is>
      </c>
      <c r="B477" s="1" t="n">
        <v>44470</v>
      </c>
      <c r="C477" s="1" t="n">
        <v>45672</v>
      </c>
      <c r="D477" t="inlineStr">
        <is>
          <t>VÄSTERBOTTENS LÄN</t>
        </is>
      </c>
      <c r="E477" t="inlineStr">
        <is>
          <t>VILHELMINA</t>
        </is>
      </c>
      <c r="F477" t="inlineStr">
        <is>
          <t>Kommuner</t>
        </is>
      </c>
      <c r="G477" t="n">
        <v>10</v>
      </c>
      <c r="H477" t="n">
        <v>0</v>
      </c>
      <c r="I477" t="n">
        <v>0</v>
      </c>
      <c r="J477" t="n">
        <v>0</v>
      </c>
      <c r="K477" t="n">
        <v>0</v>
      </c>
      <c r="L477" t="n">
        <v>0</v>
      </c>
      <c r="M477" t="n">
        <v>0</v>
      </c>
      <c r="N477" t="n">
        <v>0</v>
      </c>
      <c r="O477" t="n">
        <v>0</v>
      </c>
      <c r="P477" t="n">
        <v>0</v>
      </c>
      <c r="Q477" t="n">
        <v>0</v>
      </c>
      <c r="R477" s="2" t="inlineStr"/>
    </row>
    <row r="478" ht="15" customHeight="1">
      <c r="A478" t="inlineStr">
        <is>
          <t>A 54765-2021</t>
        </is>
      </c>
      <c r="B478" s="1" t="n">
        <v>44473</v>
      </c>
      <c r="C478" s="1" t="n">
        <v>45672</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55929-2021</t>
        </is>
      </c>
      <c r="B479" s="1" t="n">
        <v>44476</v>
      </c>
      <c r="C479" s="1" t="n">
        <v>45672</v>
      </c>
      <c r="D479" t="inlineStr">
        <is>
          <t>VÄSTERBOTTENS LÄN</t>
        </is>
      </c>
      <c r="E479" t="inlineStr">
        <is>
          <t>VILHELMINA</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55931-2021</t>
        </is>
      </c>
      <c r="B480" s="1" t="n">
        <v>44476</v>
      </c>
      <c r="C480" s="1" t="n">
        <v>45672</v>
      </c>
      <c r="D480" t="inlineStr">
        <is>
          <t>VÄSTERBOTTENS LÄN</t>
        </is>
      </c>
      <c r="E480" t="inlineStr">
        <is>
          <t>VILHELMINA</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56947-2021</t>
        </is>
      </c>
      <c r="B481" s="1" t="n">
        <v>44481</v>
      </c>
      <c r="C481" s="1" t="n">
        <v>45672</v>
      </c>
      <c r="D481" t="inlineStr">
        <is>
          <t>VÄSTERBOTTENS LÄN</t>
        </is>
      </c>
      <c r="E481" t="inlineStr">
        <is>
          <t>VILHELMINA</t>
        </is>
      </c>
      <c r="F481" t="inlineStr">
        <is>
          <t>Övriga statliga verk och myndigheter</t>
        </is>
      </c>
      <c r="G481" t="n">
        <v>22.3</v>
      </c>
      <c r="H481" t="n">
        <v>0</v>
      </c>
      <c r="I481" t="n">
        <v>0</v>
      </c>
      <c r="J481" t="n">
        <v>0</v>
      </c>
      <c r="K481" t="n">
        <v>0</v>
      </c>
      <c r="L481" t="n">
        <v>0</v>
      </c>
      <c r="M481" t="n">
        <v>0</v>
      </c>
      <c r="N481" t="n">
        <v>0</v>
      </c>
      <c r="O481" t="n">
        <v>0</v>
      </c>
      <c r="P481" t="n">
        <v>0</v>
      </c>
      <c r="Q481" t="n">
        <v>0</v>
      </c>
      <c r="R481" s="2" t="inlineStr"/>
    </row>
    <row r="482" ht="15" customHeight="1">
      <c r="A482" t="inlineStr">
        <is>
          <t>A 57086-2021</t>
        </is>
      </c>
      <c r="B482" s="1" t="n">
        <v>44482</v>
      </c>
      <c r="C482" s="1" t="n">
        <v>45672</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57167-2021</t>
        </is>
      </c>
      <c r="B483" s="1" t="n">
        <v>44482</v>
      </c>
      <c r="C483" s="1" t="n">
        <v>45672</v>
      </c>
      <c r="D483" t="inlineStr">
        <is>
          <t>VÄSTERBOTTENS LÄN</t>
        </is>
      </c>
      <c r="E483" t="inlineStr">
        <is>
          <t>VILHELMINA</t>
        </is>
      </c>
      <c r="F483" t="inlineStr">
        <is>
          <t>Kommuner</t>
        </is>
      </c>
      <c r="G483" t="n">
        <v>4.9</v>
      </c>
      <c r="H483" t="n">
        <v>0</v>
      </c>
      <c r="I483" t="n">
        <v>0</v>
      </c>
      <c r="J483" t="n">
        <v>0</v>
      </c>
      <c r="K483" t="n">
        <v>0</v>
      </c>
      <c r="L483" t="n">
        <v>0</v>
      </c>
      <c r="M483" t="n">
        <v>0</v>
      </c>
      <c r="N483" t="n">
        <v>0</v>
      </c>
      <c r="O483" t="n">
        <v>0</v>
      </c>
      <c r="P483" t="n">
        <v>0</v>
      </c>
      <c r="Q483" t="n">
        <v>0</v>
      </c>
      <c r="R483" s="2" t="inlineStr"/>
    </row>
    <row r="484" ht="15" customHeight="1">
      <c r="A484" t="inlineStr">
        <is>
          <t>A 57166-2021</t>
        </is>
      </c>
      <c r="B484" s="1" t="n">
        <v>44482</v>
      </c>
      <c r="C484" s="1" t="n">
        <v>45672</v>
      </c>
      <c r="D484" t="inlineStr">
        <is>
          <t>VÄSTERBOTTENS LÄN</t>
        </is>
      </c>
      <c r="E484" t="inlineStr">
        <is>
          <t>VILHELMINA</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57874-2021</t>
        </is>
      </c>
      <c r="B485" s="1" t="n">
        <v>44484</v>
      </c>
      <c r="C485" s="1" t="n">
        <v>45672</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57875-2021</t>
        </is>
      </c>
      <c r="B486" s="1" t="n">
        <v>44485</v>
      </c>
      <c r="C486" s="1" t="n">
        <v>45672</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58377-2021</t>
        </is>
      </c>
      <c r="B487" s="1" t="n">
        <v>44488</v>
      </c>
      <c r="C487" s="1" t="n">
        <v>45672</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58363-2021</t>
        </is>
      </c>
      <c r="B488" s="1" t="n">
        <v>44488</v>
      </c>
      <c r="C488" s="1" t="n">
        <v>45672</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58643-2021</t>
        </is>
      </c>
      <c r="B489" s="1" t="n">
        <v>44489</v>
      </c>
      <c r="C489" s="1" t="n">
        <v>45672</v>
      </c>
      <c r="D489" t="inlineStr">
        <is>
          <t>VÄSTERBOTTENS LÄN</t>
        </is>
      </c>
      <c r="E489" t="inlineStr">
        <is>
          <t>VILHELMINA</t>
        </is>
      </c>
      <c r="F489" t="inlineStr">
        <is>
          <t>Övriga Aktiebolag</t>
        </is>
      </c>
      <c r="G489" t="n">
        <v>30.4</v>
      </c>
      <c r="H489" t="n">
        <v>0</v>
      </c>
      <c r="I489" t="n">
        <v>0</v>
      </c>
      <c r="J489" t="n">
        <v>0</v>
      </c>
      <c r="K489" t="n">
        <v>0</v>
      </c>
      <c r="L489" t="n">
        <v>0</v>
      </c>
      <c r="M489" t="n">
        <v>0</v>
      </c>
      <c r="N489" t="n">
        <v>0</v>
      </c>
      <c r="O489" t="n">
        <v>0</v>
      </c>
      <c r="P489" t="n">
        <v>0</v>
      </c>
      <c r="Q489" t="n">
        <v>0</v>
      </c>
      <c r="R489" s="2" t="inlineStr"/>
    </row>
    <row r="490" ht="15" customHeight="1">
      <c r="A490" t="inlineStr">
        <is>
          <t>A 59172-2021</t>
        </is>
      </c>
      <c r="B490" s="1" t="n">
        <v>44490</v>
      </c>
      <c r="C490" s="1" t="n">
        <v>45672</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59330-2021</t>
        </is>
      </c>
      <c r="B491" s="1" t="n">
        <v>44491</v>
      </c>
      <c r="C491" s="1" t="n">
        <v>45672</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60317-2021</t>
        </is>
      </c>
      <c r="B492" s="1" t="n">
        <v>44496</v>
      </c>
      <c r="C492" s="1" t="n">
        <v>45672</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61640-2021</t>
        </is>
      </c>
      <c r="B493" s="1" t="n">
        <v>44498</v>
      </c>
      <c r="C493" s="1" t="n">
        <v>45672</v>
      </c>
      <c r="D493" t="inlineStr">
        <is>
          <t>VÄSTERBOTTENS LÄN</t>
        </is>
      </c>
      <c r="E493" t="inlineStr">
        <is>
          <t>VILHELMINA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61475-2021</t>
        </is>
      </c>
      <c r="B494" s="1" t="n">
        <v>44500</v>
      </c>
      <c r="C494" s="1" t="n">
        <v>45672</v>
      </c>
      <c r="D494" t="inlineStr">
        <is>
          <t>VÄSTERBOTTENS LÄN</t>
        </is>
      </c>
      <c r="E494" t="inlineStr">
        <is>
          <t>VILHELMINA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61853-2021</t>
        </is>
      </c>
      <c r="B495" s="1" t="n">
        <v>44501</v>
      </c>
      <c r="C495" s="1" t="n">
        <v>45672</v>
      </c>
      <c r="D495" t="inlineStr">
        <is>
          <t>VÄSTERBOTTENS LÄN</t>
        </is>
      </c>
      <c r="E495" t="inlineStr">
        <is>
          <t>VILHELMINA</t>
        </is>
      </c>
      <c r="F495" t="inlineStr">
        <is>
          <t>SCA</t>
        </is>
      </c>
      <c r="G495" t="n">
        <v>24.8</v>
      </c>
      <c r="H495" t="n">
        <v>0</v>
      </c>
      <c r="I495" t="n">
        <v>0</v>
      </c>
      <c r="J495" t="n">
        <v>0</v>
      </c>
      <c r="K495" t="n">
        <v>0</v>
      </c>
      <c r="L495" t="n">
        <v>0</v>
      </c>
      <c r="M495" t="n">
        <v>0</v>
      </c>
      <c r="N495" t="n">
        <v>0</v>
      </c>
      <c r="O495" t="n">
        <v>0</v>
      </c>
      <c r="P495" t="n">
        <v>0</v>
      </c>
      <c r="Q495" t="n">
        <v>0</v>
      </c>
      <c r="R495" s="2" t="inlineStr"/>
    </row>
    <row r="496" ht="15" customHeight="1">
      <c r="A496" t="inlineStr">
        <is>
          <t>A 62362-2021</t>
        </is>
      </c>
      <c r="B496" s="1" t="n">
        <v>44502</v>
      </c>
      <c r="C496" s="1" t="n">
        <v>45672</v>
      </c>
      <c r="D496" t="inlineStr">
        <is>
          <t>VÄSTERBOTTENS LÄN</t>
        </is>
      </c>
      <c r="E496" t="inlineStr">
        <is>
          <t>VILHELMINA</t>
        </is>
      </c>
      <c r="G496" t="n">
        <v>8.1</v>
      </c>
      <c r="H496" t="n">
        <v>0</v>
      </c>
      <c r="I496" t="n">
        <v>0</v>
      </c>
      <c r="J496" t="n">
        <v>0</v>
      </c>
      <c r="K496" t="n">
        <v>0</v>
      </c>
      <c r="L496" t="n">
        <v>0</v>
      </c>
      <c r="M496" t="n">
        <v>0</v>
      </c>
      <c r="N496" t="n">
        <v>0</v>
      </c>
      <c r="O496" t="n">
        <v>0</v>
      </c>
      <c r="P496" t="n">
        <v>0</v>
      </c>
      <c r="Q496" t="n">
        <v>0</v>
      </c>
      <c r="R496" s="2" t="inlineStr"/>
    </row>
    <row r="497" ht="15" customHeight="1">
      <c r="A497" t="inlineStr">
        <is>
          <t>A 62658-2021</t>
        </is>
      </c>
      <c r="B497" s="1" t="n">
        <v>44503</v>
      </c>
      <c r="C497" s="1" t="n">
        <v>45672</v>
      </c>
      <c r="D497" t="inlineStr">
        <is>
          <t>VÄSTERBOTTENS LÄN</t>
        </is>
      </c>
      <c r="E497" t="inlineStr">
        <is>
          <t>VILHELMINA</t>
        </is>
      </c>
      <c r="F497" t="inlineStr">
        <is>
          <t>SCA</t>
        </is>
      </c>
      <c r="G497" t="n">
        <v>13.4</v>
      </c>
      <c r="H497" t="n">
        <v>0</v>
      </c>
      <c r="I497" t="n">
        <v>0</v>
      </c>
      <c r="J497" t="n">
        <v>0</v>
      </c>
      <c r="K497" t="n">
        <v>0</v>
      </c>
      <c r="L497" t="n">
        <v>0</v>
      </c>
      <c r="M497" t="n">
        <v>0</v>
      </c>
      <c r="N497" t="n">
        <v>0</v>
      </c>
      <c r="O497" t="n">
        <v>0</v>
      </c>
      <c r="P497" t="n">
        <v>0</v>
      </c>
      <c r="Q497" t="n">
        <v>0</v>
      </c>
      <c r="R497" s="2" t="inlineStr"/>
    </row>
    <row r="498" ht="15" customHeight="1">
      <c r="A498" t="inlineStr">
        <is>
          <t>A 63218-2021</t>
        </is>
      </c>
      <c r="B498" s="1" t="n">
        <v>44505</v>
      </c>
      <c r="C498" s="1" t="n">
        <v>45672</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65033-2021</t>
        </is>
      </c>
      <c r="B499" s="1" t="n">
        <v>44511</v>
      </c>
      <c r="C499" s="1" t="n">
        <v>45672</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65146-2021</t>
        </is>
      </c>
      <c r="B500" s="1" t="n">
        <v>44515</v>
      </c>
      <c r="C500" s="1" t="n">
        <v>45672</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65133-2021</t>
        </is>
      </c>
      <c r="B501" s="1" t="n">
        <v>44515</v>
      </c>
      <c r="C501" s="1" t="n">
        <v>45672</v>
      </c>
      <c r="D501" t="inlineStr">
        <is>
          <t>VÄSTERBOTTENS LÄN</t>
        </is>
      </c>
      <c r="E501" t="inlineStr">
        <is>
          <t>VILHELMINA</t>
        </is>
      </c>
      <c r="G501" t="n">
        <v>16.4</v>
      </c>
      <c r="H501" t="n">
        <v>0</v>
      </c>
      <c r="I501" t="n">
        <v>0</v>
      </c>
      <c r="J501" t="n">
        <v>0</v>
      </c>
      <c r="K501" t="n">
        <v>0</v>
      </c>
      <c r="L501" t="n">
        <v>0</v>
      </c>
      <c r="M501" t="n">
        <v>0</v>
      </c>
      <c r="N501" t="n">
        <v>0</v>
      </c>
      <c r="O501" t="n">
        <v>0</v>
      </c>
      <c r="P501" t="n">
        <v>0</v>
      </c>
      <c r="Q501" t="n">
        <v>0</v>
      </c>
      <c r="R501" s="2" t="inlineStr"/>
    </row>
    <row r="502" ht="15" customHeight="1">
      <c r="A502" t="inlineStr">
        <is>
          <t>A 65159-2021</t>
        </is>
      </c>
      <c r="B502" s="1" t="n">
        <v>44515</v>
      </c>
      <c r="C502" s="1" t="n">
        <v>45672</v>
      </c>
      <c r="D502" t="inlineStr">
        <is>
          <t>VÄSTERBOTTENS LÄN</t>
        </is>
      </c>
      <c r="E502" t="inlineStr">
        <is>
          <t>VILHELMINA</t>
        </is>
      </c>
      <c r="G502" t="n">
        <v>5</v>
      </c>
      <c r="H502" t="n">
        <v>0</v>
      </c>
      <c r="I502" t="n">
        <v>0</v>
      </c>
      <c r="J502" t="n">
        <v>0</v>
      </c>
      <c r="K502" t="n">
        <v>0</v>
      </c>
      <c r="L502" t="n">
        <v>0</v>
      </c>
      <c r="M502" t="n">
        <v>0</v>
      </c>
      <c r="N502" t="n">
        <v>0</v>
      </c>
      <c r="O502" t="n">
        <v>0</v>
      </c>
      <c r="P502" t="n">
        <v>0</v>
      </c>
      <c r="Q502" t="n">
        <v>0</v>
      </c>
      <c r="R502" s="2" t="inlineStr"/>
    </row>
    <row r="503" ht="15" customHeight="1">
      <c r="A503" t="inlineStr">
        <is>
          <t>A 65151-2021</t>
        </is>
      </c>
      <c r="B503" s="1" t="n">
        <v>44515</v>
      </c>
      <c r="C503" s="1" t="n">
        <v>45672</v>
      </c>
      <c r="D503" t="inlineStr">
        <is>
          <t>VÄSTERBOTTENS LÄN</t>
        </is>
      </c>
      <c r="E503" t="inlineStr">
        <is>
          <t>VILHELMINA</t>
        </is>
      </c>
      <c r="G503" t="n">
        <v>11.8</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45672</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66259-2021</t>
        </is>
      </c>
      <c r="B505" s="1" t="n">
        <v>44518</v>
      </c>
      <c r="C505" s="1" t="n">
        <v>45672</v>
      </c>
      <c r="D505" t="inlineStr">
        <is>
          <t>VÄSTERBOTTENS LÄN</t>
        </is>
      </c>
      <c r="E505" t="inlineStr">
        <is>
          <t>VILHELMINA</t>
        </is>
      </c>
      <c r="G505" t="n">
        <v>14.6</v>
      </c>
      <c r="H505" t="n">
        <v>0</v>
      </c>
      <c r="I505" t="n">
        <v>0</v>
      </c>
      <c r="J505" t="n">
        <v>0</v>
      </c>
      <c r="K505" t="n">
        <v>0</v>
      </c>
      <c r="L505" t="n">
        <v>0</v>
      </c>
      <c r="M505" t="n">
        <v>0</v>
      </c>
      <c r="N505" t="n">
        <v>0</v>
      </c>
      <c r="O505" t="n">
        <v>0</v>
      </c>
      <c r="P505" t="n">
        <v>0</v>
      </c>
      <c r="Q505" t="n">
        <v>0</v>
      </c>
      <c r="R505" s="2" t="inlineStr"/>
    </row>
    <row r="506" ht="15" customHeight="1">
      <c r="A506" t="inlineStr">
        <is>
          <t>A 66458-2021</t>
        </is>
      </c>
      <c r="B506" s="1" t="n">
        <v>44518</v>
      </c>
      <c r="C506" s="1" t="n">
        <v>45672</v>
      </c>
      <c r="D506" t="inlineStr">
        <is>
          <t>VÄSTERBOTTENS LÄN</t>
        </is>
      </c>
      <c r="E506" t="inlineStr">
        <is>
          <t>VILHELMINA</t>
        </is>
      </c>
      <c r="G506" t="n">
        <v>3.7</v>
      </c>
      <c r="H506" t="n">
        <v>0</v>
      </c>
      <c r="I506" t="n">
        <v>0</v>
      </c>
      <c r="J506" t="n">
        <v>0</v>
      </c>
      <c r="K506" t="n">
        <v>0</v>
      </c>
      <c r="L506" t="n">
        <v>0</v>
      </c>
      <c r="M506" t="n">
        <v>0</v>
      </c>
      <c r="N506" t="n">
        <v>0</v>
      </c>
      <c r="O506" t="n">
        <v>0</v>
      </c>
      <c r="P506" t="n">
        <v>0</v>
      </c>
      <c r="Q506" t="n">
        <v>0</v>
      </c>
      <c r="R506" s="2" t="inlineStr"/>
    </row>
    <row r="507" ht="15" customHeight="1">
      <c r="A507" t="inlineStr">
        <is>
          <t>A 66917-2021</t>
        </is>
      </c>
      <c r="B507" s="1" t="n">
        <v>44522</v>
      </c>
      <c r="C507" s="1" t="n">
        <v>45672</v>
      </c>
      <c r="D507" t="inlineStr">
        <is>
          <t>VÄSTERBOTTENS LÄN</t>
        </is>
      </c>
      <c r="E507" t="inlineStr">
        <is>
          <t>VILHELMINA</t>
        </is>
      </c>
      <c r="F507" t="inlineStr">
        <is>
          <t>Allmännings- och besparingsskogar</t>
        </is>
      </c>
      <c r="G507" t="n">
        <v>11.7</v>
      </c>
      <c r="H507" t="n">
        <v>0</v>
      </c>
      <c r="I507" t="n">
        <v>0</v>
      </c>
      <c r="J507" t="n">
        <v>0</v>
      </c>
      <c r="K507" t="n">
        <v>0</v>
      </c>
      <c r="L507" t="n">
        <v>0</v>
      </c>
      <c r="M507" t="n">
        <v>0</v>
      </c>
      <c r="N507" t="n">
        <v>0</v>
      </c>
      <c r="O507" t="n">
        <v>0</v>
      </c>
      <c r="P507" t="n">
        <v>0</v>
      </c>
      <c r="Q507" t="n">
        <v>0</v>
      </c>
      <c r="R507" s="2" t="inlineStr"/>
    </row>
    <row r="508" ht="15" customHeight="1">
      <c r="A508" t="inlineStr">
        <is>
          <t>A 66952-2021</t>
        </is>
      </c>
      <c r="B508" s="1" t="n">
        <v>44522</v>
      </c>
      <c r="C508" s="1" t="n">
        <v>45672</v>
      </c>
      <c r="D508" t="inlineStr">
        <is>
          <t>VÄSTERBOTTENS LÄN</t>
        </is>
      </c>
      <c r="E508" t="inlineStr">
        <is>
          <t>VILHELMINA</t>
        </is>
      </c>
      <c r="F508" t="inlineStr">
        <is>
          <t>Allmännings- och besparingsskogar</t>
        </is>
      </c>
      <c r="G508" t="n">
        <v>70</v>
      </c>
      <c r="H508" t="n">
        <v>0</v>
      </c>
      <c r="I508" t="n">
        <v>0</v>
      </c>
      <c r="J508" t="n">
        <v>0</v>
      </c>
      <c r="K508" t="n">
        <v>0</v>
      </c>
      <c r="L508" t="n">
        <v>0</v>
      </c>
      <c r="M508" t="n">
        <v>0</v>
      </c>
      <c r="N508" t="n">
        <v>0</v>
      </c>
      <c r="O508" t="n">
        <v>0</v>
      </c>
      <c r="P508" t="n">
        <v>0</v>
      </c>
      <c r="Q508" t="n">
        <v>0</v>
      </c>
      <c r="R508" s="2" t="inlineStr"/>
    </row>
    <row r="509" ht="15" customHeight="1">
      <c r="A509" t="inlineStr">
        <is>
          <t>A 68037-2021</t>
        </is>
      </c>
      <c r="B509" s="1" t="n">
        <v>44525</v>
      </c>
      <c r="C509" s="1" t="n">
        <v>45672</v>
      </c>
      <c r="D509" t="inlineStr">
        <is>
          <t>VÄSTERBOTTENS LÄN</t>
        </is>
      </c>
      <c r="E509" t="inlineStr">
        <is>
          <t>VILHELMINA</t>
        </is>
      </c>
      <c r="G509" t="n">
        <v>2.1</v>
      </c>
      <c r="H509" t="n">
        <v>0</v>
      </c>
      <c r="I509" t="n">
        <v>0</v>
      </c>
      <c r="J509" t="n">
        <v>0</v>
      </c>
      <c r="K509" t="n">
        <v>0</v>
      </c>
      <c r="L509" t="n">
        <v>0</v>
      </c>
      <c r="M509" t="n">
        <v>0</v>
      </c>
      <c r="N509" t="n">
        <v>0</v>
      </c>
      <c r="O509" t="n">
        <v>0</v>
      </c>
      <c r="P509" t="n">
        <v>0</v>
      </c>
      <c r="Q509" t="n">
        <v>0</v>
      </c>
      <c r="R509" s="2" t="inlineStr"/>
    </row>
    <row r="510" ht="15" customHeight="1">
      <c r="A510" t="inlineStr">
        <is>
          <t>A 69362-2021</t>
        </is>
      </c>
      <c r="B510" s="1" t="n">
        <v>44531</v>
      </c>
      <c r="C510" s="1" t="n">
        <v>45672</v>
      </c>
      <c r="D510" t="inlineStr">
        <is>
          <t>VÄSTERBOTTENS LÄN</t>
        </is>
      </c>
      <c r="E510" t="inlineStr">
        <is>
          <t>VILHELMINA</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69366-2021</t>
        </is>
      </c>
      <c r="B511" s="1" t="n">
        <v>44531</v>
      </c>
      <c r="C511" s="1" t="n">
        <v>45672</v>
      </c>
      <c r="D511" t="inlineStr">
        <is>
          <t>VÄSTERBOTTENS LÄN</t>
        </is>
      </c>
      <c r="E511" t="inlineStr">
        <is>
          <t>VILHELMINA</t>
        </is>
      </c>
      <c r="G511" t="n">
        <v>1.2</v>
      </c>
      <c r="H511" t="n">
        <v>0</v>
      </c>
      <c r="I511" t="n">
        <v>0</v>
      </c>
      <c r="J511" t="n">
        <v>0</v>
      </c>
      <c r="K511" t="n">
        <v>0</v>
      </c>
      <c r="L511" t="n">
        <v>0</v>
      </c>
      <c r="M511" t="n">
        <v>0</v>
      </c>
      <c r="N511" t="n">
        <v>0</v>
      </c>
      <c r="O511" t="n">
        <v>0</v>
      </c>
      <c r="P511" t="n">
        <v>0</v>
      </c>
      <c r="Q511" t="n">
        <v>0</v>
      </c>
      <c r="R511" s="2" t="inlineStr"/>
    </row>
    <row r="512" ht="15" customHeight="1">
      <c r="A512" t="inlineStr">
        <is>
          <t>A 69848-2021</t>
        </is>
      </c>
      <c r="B512" s="1" t="n">
        <v>44532</v>
      </c>
      <c r="C512" s="1" t="n">
        <v>45672</v>
      </c>
      <c r="D512" t="inlineStr">
        <is>
          <t>VÄSTERBOTTENS LÄN</t>
        </is>
      </c>
      <c r="E512" t="inlineStr">
        <is>
          <t>VILHELMINA</t>
        </is>
      </c>
      <c r="G512" t="n">
        <v>2.5</v>
      </c>
      <c r="H512" t="n">
        <v>0</v>
      </c>
      <c r="I512" t="n">
        <v>0</v>
      </c>
      <c r="J512" t="n">
        <v>0</v>
      </c>
      <c r="K512" t="n">
        <v>0</v>
      </c>
      <c r="L512" t="n">
        <v>0</v>
      </c>
      <c r="M512" t="n">
        <v>0</v>
      </c>
      <c r="N512" t="n">
        <v>0</v>
      </c>
      <c r="O512" t="n">
        <v>0</v>
      </c>
      <c r="P512" t="n">
        <v>0</v>
      </c>
      <c r="Q512" t="n">
        <v>0</v>
      </c>
      <c r="R512" s="2" t="inlineStr"/>
    </row>
    <row r="513" ht="15" customHeight="1">
      <c r="A513" t="inlineStr">
        <is>
          <t>A 70849-2021</t>
        </is>
      </c>
      <c r="B513" s="1" t="n">
        <v>44532</v>
      </c>
      <c r="C513" s="1" t="n">
        <v>45672</v>
      </c>
      <c r="D513" t="inlineStr">
        <is>
          <t>VÄSTERBOTTENS LÄN</t>
        </is>
      </c>
      <c r="E513" t="inlineStr">
        <is>
          <t>VILHELMINA</t>
        </is>
      </c>
      <c r="G513" t="n">
        <v>21.4</v>
      </c>
      <c r="H513" t="n">
        <v>0</v>
      </c>
      <c r="I513" t="n">
        <v>0</v>
      </c>
      <c r="J513" t="n">
        <v>0</v>
      </c>
      <c r="K513" t="n">
        <v>0</v>
      </c>
      <c r="L513" t="n">
        <v>0</v>
      </c>
      <c r="M513" t="n">
        <v>0</v>
      </c>
      <c r="N513" t="n">
        <v>0</v>
      </c>
      <c r="O513" t="n">
        <v>0</v>
      </c>
      <c r="P513" t="n">
        <v>0</v>
      </c>
      <c r="Q513" t="n">
        <v>0</v>
      </c>
      <c r="R513" s="2" t="inlineStr"/>
    </row>
    <row r="514" ht="15" customHeight="1">
      <c r="A514" t="inlineStr">
        <is>
          <t>A 69850-2021</t>
        </is>
      </c>
      <c r="B514" s="1" t="n">
        <v>44532</v>
      </c>
      <c r="C514" s="1" t="n">
        <v>45672</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70854-2021</t>
        </is>
      </c>
      <c r="B515" s="1" t="n">
        <v>44532</v>
      </c>
      <c r="C515" s="1" t="n">
        <v>45672</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70117-2021</t>
        </is>
      </c>
      <c r="B516" s="1" t="n">
        <v>44533</v>
      </c>
      <c r="C516" s="1" t="n">
        <v>45672</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70811-2021</t>
        </is>
      </c>
      <c r="B517" s="1" t="n">
        <v>44537</v>
      </c>
      <c r="C517" s="1" t="n">
        <v>45672</v>
      </c>
      <c r="D517" t="inlineStr">
        <is>
          <t>VÄSTERBOTTENS LÄN</t>
        </is>
      </c>
      <c r="E517" t="inlineStr">
        <is>
          <t>VILHELMINA</t>
        </is>
      </c>
      <c r="G517" t="n">
        <v>1.9</v>
      </c>
      <c r="H517" t="n">
        <v>0</v>
      </c>
      <c r="I517" t="n">
        <v>0</v>
      </c>
      <c r="J517" t="n">
        <v>0</v>
      </c>
      <c r="K517" t="n">
        <v>0</v>
      </c>
      <c r="L517" t="n">
        <v>0</v>
      </c>
      <c r="M517" t="n">
        <v>0</v>
      </c>
      <c r="N517" t="n">
        <v>0</v>
      </c>
      <c r="O517" t="n">
        <v>0</v>
      </c>
      <c r="P517" t="n">
        <v>0</v>
      </c>
      <c r="Q517" t="n">
        <v>0</v>
      </c>
      <c r="R517" s="2" t="inlineStr"/>
    </row>
    <row r="518" ht="15" customHeight="1">
      <c r="A518" t="inlineStr">
        <is>
          <t>A 72057-2021</t>
        </is>
      </c>
      <c r="B518" s="1" t="n">
        <v>44540</v>
      </c>
      <c r="C518" s="1" t="n">
        <v>45672</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72153-2021</t>
        </is>
      </c>
      <c r="B519" s="1" t="n">
        <v>44543</v>
      </c>
      <c r="C519" s="1" t="n">
        <v>45672</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72489-2021</t>
        </is>
      </c>
      <c r="B520" s="1" t="n">
        <v>44545</v>
      </c>
      <c r="C520" s="1" t="n">
        <v>45672</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72494-2021</t>
        </is>
      </c>
      <c r="B521" s="1" t="n">
        <v>44545</v>
      </c>
      <c r="C521" s="1" t="n">
        <v>45672</v>
      </c>
      <c r="D521" t="inlineStr">
        <is>
          <t>VÄSTERBOTTENS LÄN</t>
        </is>
      </c>
      <c r="E521" t="inlineStr">
        <is>
          <t>VILHELMINA</t>
        </is>
      </c>
      <c r="G521" t="n">
        <v>4.2</v>
      </c>
      <c r="H521" t="n">
        <v>0</v>
      </c>
      <c r="I521" t="n">
        <v>0</v>
      </c>
      <c r="J521" t="n">
        <v>0</v>
      </c>
      <c r="K521" t="n">
        <v>0</v>
      </c>
      <c r="L521" t="n">
        <v>0</v>
      </c>
      <c r="M521" t="n">
        <v>0</v>
      </c>
      <c r="N521" t="n">
        <v>0</v>
      </c>
      <c r="O521" t="n">
        <v>0</v>
      </c>
      <c r="P521" t="n">
        <v>0</v>
      </c>
      <c r="Q521" t="n">
        <v>0</v>
      </c>
      <c r="R521" s="2" t="inlineStr"/>
    </row>
    <row r="522" ht="15" customHeight="1">
      <c r="A522" t="inlineStr">
        <is>
          <t>A 72490-2021</t>
        </is>
      </c>
      <c r="B522" s="1" t="n">
        <v>44545</v>
      </c>
      <c r="C522" s="1" t="n">
        <v>45672</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72488-2021</t>
        </is>
      </c>
      <c r="B523" s="1" t="n">
        <v>44545</v>
      </c>
      <c r="C523" s="1" t="n">
        <v>45672</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72487-2021</t>
        </is>
      </c>
      <c r="B524" s="1" t="n">
        <v>44545</v>
      </c>
      <c r="C524" s="1" t="n">
        <v>45672</v>
      </c>
      <c r="D524" t="inlineStr">
        <is>
          <t>VÄSTERBOTTENS LÄN</t>
        </is>
      </c>
      <c r="E524" t="inlineStr">
        <is>
          <t>VILHELMINA</t>
        </is>
      </c>
      <c r="G524" t="n">
        <v>1.2</v>
      </c>
      <c r="H524" t="n">
        <v>0</v>
      </c>
      <c r="I524" t="n">
        <v>0</v>
      </c>
      <c r="J524" t="n">
        <v>0</v>
      </c>
      <c r="K524" t="n">
        <v>0</v>
      </c>
      <c r="L524" t="n">
        <v>0</v>
      </c>
      <c r="M524" t="n">
        <v>0</v>
      </c>
      <c r="N524" t="n">
        <v>0</v>
      </c>
      <c r="O524" t="n">
        <v>0</v>
      </c>
      <c r="P524" t="n">
        <v>0</v>
      </c>
      <c r="Q524" t="n">
        <v>0</v>
      </c>
      <c r="R524" s="2" t="inlineStr"/>
    </row>
    <row r="525" ht="15" customHeight="1">
      <c r="A525" t="inlineStr">
        <is>
          <t>A 72493-2021</t>
        </is>
      </c>
      <c r="B525" s="1" t="n">
        <v>44545</v>
      </c>
      <c r="C525" s="1" t="n">
        <v>45672</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210-2022</t>
        </is>
      </c>
      <c r="B526" s="1" t="n">
        <v>44564</v>
      </c>
      <c r="C526" s="1" t="n">
        <v>45672</v>
      </c>
      <c r="D526" t="inlineStr">
        <is>
          <t>VÄSTERBOTTENS LÄN</t>
        </is>
      </c>
      <c r="E526" t="inlineStr">
        <is>
          <t>VILHELMINA</t>
        </is>
      </c>
      <c r="G526" t="n">
        <v>2</v>
      </c>
      <c r="H526" t="n">
        <v>0</v>
      </c>
      <c r="I526" t="n">
        <v>0</v>
      </c>
      <c r="J526" t="n">
        <v>0</v>
      </c>
      <c r="K526" t="n">
        <v>0</v>
      </c>
      <c r="L526" t="n">
        <v>0</v>
      </c>
      <c r="M526" t="n">
        <v>0</v>
      </c>
      <c r="N526" t="n">
        <v>0</v>
      </c>
      <c r="O526" t="n">
        <v>0</v>
      </c>
      <c r="P526" t="n">
        <v>0</v>
      </c>
      <c r="Q526" t="n">
        <v>0</v>
      </c>
      <c r="R526" s="2" t="inlineStr"/>
    </row>
    <row r="527" ht="15" customHeight="1">
      <c r="A527" t="inlineStr">
        <is>
          <t>A 590-2022</t>
        </is>
      </c>
      <c r="B527" s="1" t="n">
        <v>44567</v>
      </c>
      <c r="C527" s="1" t="n">
        <v>45672</v>
      </c>
      <c r="D527" t="inlineStr">
        <is>
          <t>VÄSTERBOTTENS LÄN</t>
        </is>
      </c>
      <c r="E527" t="inlineStr">
        <is>
          <t>VILHELMINA</t>
        </is>
      </c>
      <c r="G527" t="n">
        <v>14.5</v>
      </c>
      <c r="H527" t="n">
        <v>0</v>
      </c>
      <c r="I527" t="n">
        <v>0</v>
      </c>
      <c r="J527" t="n">
        <v>0</v>
      </c>
      <c r="K527" t="n">
        <v>0</v>
      </c>
      <c r="L527" t="n">
        <v>0</v>
      </c>
      <c r="M527" t="n">
        <v>0</v>
      </c>
      <c r="N527" t="n">
        <v>0</v>
      </c>
      <c r="O527" t="n">
        <v>0</v>
      </c>
      <c r="P527" t="n">
        <v>0</v>
      </c>
      <c r="Q527" t="n">
        <v>0</v>
      </c>
      <c r="R527" s="2" t="inlineStr"/>
    </row>
    <row r="528" ht="15" customHeight="1">
      <c r="A528" t="inlineStr">
        <is>
          <t>A 664-2022</t>
        </is>
      </c>
      <c r="B528" s="1" t="n">
        <v>44568</v>
      </c>
      <c r="C528" s="1" t="n">
        <v>45672</v>
      </c>
      <c r="D528" t="inlineStr">
        <is>
          <t>VÄSTERBOTTENS LÄN</t>
        </is>
      </c>
      <c r="E528" t="inlineStr">
        <is>
          <t>VILHELMINA</t>
        </is>
      </c>
      <c r="G528" t="n">
        <v>1.8</v>
      </c>
      <c r="H528" t="n">
        <v>0</v>
      </c>
      <c r="I528" t="n">
        <v>0</v>
      </c>
      <c r="J528" t="n">
        <v>0</v>
      </c>
      <c r="K528" t="n">
        <v>0</v>
      </c>
      <c r="L528" t="n">
        <v>0</v>
      </c>
      <c r="M528" t="n">
        <v>0</v>
      </c>
      <c r="N528" t="n">
        <v>0</v>
      </c>
      <c r="O528" t="n">
        <v>0</v>
      </c>
      <c r="P528" t="n">
        <v>0</v>
      </c>
      <c r="Q528" t="n">
        <v>0</v>
      </c>
      <c r="R528" s="2" t="inlineStr"/>
    </row>
    <row r="529" ht="15" customHeight="1">
      <c r="A529" t="inlineStr">
        <is>
          <t>A 2340-2022</t>
        </is>
      </c>
      <c r="B529" s="1" t="n">
        <v>44578</v>
      </c>
      <c r="C529" s="1" t="n">
        <v>45672</v>
      </c>
      <c r="D529" t="inlineStr">
        <is>
          <t>VÄSTERBOTTENS LÄN</t>
        </is>
      </c>
      <c r="E529" t="inlineStr">
        <is>
          <t>VILHELMINA</t>
        </is>
      </c>
      <c r="G529" t="n">
        <v>0.9</v>
      </c>
      <c r="H529" t="n">
        <v>0</v>
      </c>
      <c r="I529" t="n">
        <v>0</v>
      </c>
      <c r="J529" t="n">
        <v>0</v>
      </c>
      <c r="K529" t="n">
        <v>0</v>
      </c>
      <c r="L529" t="n">
        <v>0</v>
      </c>
      <c r="M529" t="n">
        <v>0</v>
      </c>
      <c r="N529" t="n">
        <v>0</v>
      </c>
      <c r="O529" t="n">
        <v>0</v>
      </c>
      <c r="P529" t="n">
        <v>0</v>
      </c>
      <c r="Q529" t="n">
        <v>0</v>
      </c>
      <c r="R529" s="2" t="inlineStr"/>
    </row>
    <row r="530" ht="15" customHeight="1">
      <c r="A530" t="inlineStr">
        <is>
          <t>A 2341-2022</t>
        </is>
      </c>
      <c r="B530" s="1" t="n">
        <v>44578</v>
      </c>
      <c r="C530" s="1" t="n">
        <v>45672</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5285-2022</t>
        </is>
      </c>
      <c r="B531" s="1" t="n">
        <v>44594</v>
      </c>
      <c r="C531" s="1" t="n">
        <v>45672</v>
      </c>
      <c r="D531" t="inlineStr">
        <is>
          <t>VÄSTERBOTTENS LÄN</t>
        </is>
      </c>
      <c r="E531" t="inlineStr">
        <is>
          <t>VILHELMINA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7156-2022</t>
        </is>
      </c>
      <c r="B532" s="1" t="n">
        <v>44604</v>
      </c>
      <c r="C532" s="1" t="n">
        <v>45672</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8229-2022</t>
        </is>
      </c>
      <c r="B533" s="1" t="n">
        <v>44609</v>
      </c>
      <c r="C533" s="1" t="n">
        <v>45672</v>
      </c>
      <c r="D533" t="inlineStr">
        <is>
          <t>VÄSTERBOTTENS LÄN</t>
        </is>
      </c>
      <c r="E533" t="inlineStr">
        <is>
          <t>VILHELMINA</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8258-2022</t>
        </is>
      </c>
      <c r="B534" s="1" t="n">
        <v>44609</v>
      </c>
      <c r="C534" s="1" t="n">
        <v>45672</v>
      </c>
      <c r="D534" t="inlineStr">
        <is>
          <t>VÄSTERBOTTENS LÄN</t>
        </is>
      </c>
      <c r="E534" t="inlineStr">
        <is>
          <t>VILHELMINA</t>
        </is>
      </c>
      <c r="G534" t="n">
        <v>31.1</v>
      </c>
      <c r="H534" t="n">
        <v>0</v>
      </c>
      <c r="I534" t="n">
        <v>0</v>
      </c>
      <c r="J534" t="n">
        <v>0</v>
      </c>
      <c r="K534" t="n">
        <v>0</v>
      </c>
      <c r="L534" t="n">
        <v>0</v>
      </c>
      <c r="M534" t="n">
        <v>0</v>
      </c>
      <c r="N534" t="n">
        <v>0</v>
      </c>
      <c r="O534" t="n">
        <v>0</v>
      </c>
      <c r="P534" t="n">
        <v>0</v>
      </c>
      <c r="Q534" t="n">
        <v>0</v>
      </c>
      <c r="R534" s="2" t="inlineStr"/>
    </row>
    <row r="535" ht="15" customHeight="1">
      <c r="A535" t="inlineStr">
        <is>
          <t>A 8731-2022</t>
        </is>
      </c>
      <c r="B535" s="1" t="n">
        <v>44613</v>
      </c>
      <c r="C535" s="1" t="n">
        <v>45672</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8730-2022</t>
        </is>
      </c>
      <c r="B536" s="1" t="n">
        <v>44613</v>
      </c>
      <c r="C536" s="1" t="n">
        <v>45672</v>
      </c>
      <c r="D536" t="inlineStr">
        <is>
          <t>VÄSTERBOTTENS LÄN</t>
        </is>
      </c>
      <c r="E536" t="inlineStr">
        <is>
          <t>VILHELMINA</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9026-2022</t>
        </is>
      </c>
      <c r="B537" s="1" t="n">
        <v>44615</v>
      </c>
      <c r="C537" s="1" t="n">
        <v>45672</v>
      </c>
      <c r="D537" t="inlineStr">
        <is>
          <t>VÄSTERBOTTENS LÄN</t>
        </is>
      </c>
      <c r="E537" t="inlineStr">
        <is>
          <t>VILHELMINA</t>
        </is>
      </c>
      <c r="G537" t="n">
        <v>25.8</v>
      </c>
      <c r="H537" t="n">
        <v>0</v>
      </c>
      <c r="I537" t="n">
        <v>0</v>
      </c>
      <c r="J537" t="n">
        <v>0</v>
      </c>
      <c r="K537" t="n">
        <v>0</v>
      </c>
      <c r="L537" t="n">
        <v>0</v>
      </c>
      <c r="M537" t="n">
        <v>0</v>
      </c>
      <c r="N537" t="n">
        <v>0</v>
      </c>
      <c r="O537" t="n">
        <v>0</v>
      </c>
      <c r="P537" t="n">
        <v>0</v>
      </c>
      <c r="Q537" t="n">
        <v>0</v>
      </c>
      <c r="R537" s="2" t="inlineStr"/>
    </row>
    <row r="538" ht="15" customHeight="1">
      <c r="A538" t="inlineStr">
        <is>
          <t>A 9162-2022</t>
        </is>
      </c>
      <c r="B538" s="1" t="n">
        <v>44615</v>
      </c>
      <c r="C538" s="1" t="n">
        <v>45672</v>
      </c>
      <c r="D538" t="inlineStr">
        <is>
          <t>VÄSTERBOTTENS LÄN</t>
        </is>
      </c>
      <c r="E538" t="inlineStr">
        <is>
          <t>VILHELMINA</t>
        </is>
      </c>
      <c r="G538" t="n">
        <v>7.2</v>
      </c>
      <c r="H538" t="n">
        <v>0</v>
      </c>
      <c r="I538" t="n">
        <v>0</v>
      </c>
      <c r="J538" t="n">
        <v>0</v>
      </c>
      <c r="K538" t="n">
        <v>0</v>
      </c>
      <c r="L538" t="n">
        <v>0</v>
      </c>
      <c r="M538" t="n">
        <v>0</v>
      </c>
      <c r="N538" t="n">
        <v>0</v>
      </c>
      <c r="O538" t="n">
        <v>0</v>
      </c>
      <c r="P538" t="n">
        <v>0</v>
      </c>
      <c r="Q538" t="n">
        <v>0</v>
      </c>
      <c r="R538" s="2" t="inlineStr"/>
    </row>
    <row r="539" ht="15" customHeight="1">
      <c r="A539" t="inlineStr">
        <is>
          <t>A 9501-2022</t>
        </is>
      </c>
      <c r="B539" s="1" t="n">
        <v>44616</v>
      </c>
      <c r="C539" s="1" t="n">
        <v>45672</v>
      </c>
      <c r="D539" t="inlineStr">
        <is>
          <t>VÄSTERBOTTENS LÄN</t>
        </is>
      </c>
      <c r="E539" t="inlineStr">
        <is>
          <t>VILHELMINA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9731-2022</t>
        </is>
      </c>
      <c r="B540" s="1" t="n">
        <v>44617</v>
      </c>
      <c r="C540" s="1" t="n">
        <v>45672</v>
      </c>
      <c r="D540" t="inlineStr">
        <is>
          <t>VÄSTERBOTTENS LÄN</t>
        </is>
      </c>
      <c r="E540" t="inlineStr">
        <is>
          <t>VILHELMINA</t>
        </is>
      </c>
      <c r="F540" t="inlineStr">
        <is>
          <t>SCA</t>
        </is>
      </c>
      <c r="G540" t="n">
        <v>15.9</v>
      </c>
      <c r="H540" t="n">
        <v>0</v>
      </c>
      <c r="I540" t="n">
        <v>0</v>
      </c>
      <c r="J540" t="n">
        <v>0</v>
      </c>
      <c r="K540" t="n">
        <v>0</v>
      </c>
      <c r="L540" t="n">
        <v>0</v>
      </c>
      <c r="M540" t="n">
        <v>0</v>
      </c>
      <c r="N540" t="n">
        <v>0</v>
      </c>
      <c r="O540" t="n">
        <v>0</v>
      </c>
      <c r="P540" t="n">
        <v>0</v>
      </c>
      <c r="Q540" t="n">
        <v>0</v>
      </c>
      <c r="R540" s="2" t="inlineStr"/>
    </row>
    <row r="541" ht="15" customHeight="1">
      <c r="A541" t="inlineStr">
        <is>
          <t>A 9735-2022</t>
        </is>
      </c>
      <c r="B541" s="1" t="n">
        <v>44617</v>
      </c>
      <c r="C541" s="1" t="n">
        <v>45672</v>
      </c>
      <c r="D541" t="inlineStr">
        <is>
          <t>VÄSTERBOTTENS LÄN</t>
        </is>
      </c>
      <c r="E541" t="inlineStr">
        <is>
          <t>VILHELMINA</t>
        </is>
      </c>
      <c r="F541" t="inlineStr">
        <is>
          <t>SCA</t>
        </is>
      </c>
      <c r="G541" t="n">
        <v>12.3</v>
      </c>
      <c r="H541" t="n">
        <v>0</v>
      </c>
      <c r="I541" t="n">
        <v>0</v>
      </c>
      <c r="J541" t="n">
        <v>0</v>
      </c>
      <c r="K541" t="n">
        <v>0</v>
      </c>
      <c r="L541" t="n">
        <v>0</v>
      </c>
      <c r="M541" t="n">
        <v>0</v>
      </c>
      <c r="N541" t="n">
        <v>0</v>
      </c>
      <c r="O541" t="n">
        <v>0</v>
      </c>
      <c r="P541" t="n">
        <v>0</v>
      </c>
      <c r="Q541" t="n">
        <v>0</v>
      </c>
      <c r="R541" s="2" t="inlineStr"/>
    </row>
    <row r="542" ht="15" customHeight="1">
      <c r="A542" t="inlineStr">
        <is>
          <t>A 9734-2022</t>
        </is>
      </c>
      <c r="B542" s="1" t="n">
        <v>44617</v>
      </c>
      <c r="C542" s="1" t="n">
        <v>45672</v>
      </c>
      <c r="D542" t="inlineStr">
        <is>
          <t>VÄSTERBOTTENS LÄN</t>
        </is>
      </c>
      <c r="E542" t="inlineStr">
        <is>
          <t>VILHELMINA</t>
        </is>
      </c>
      <c r="F542" t="inlineStr">
        <is>
          <t>SCA</t>
        </is>
      </c>
      <c r="G542" t="n">
        <v>16.9</v>
      </c>
      <c r="H542" t="n">
        <v>0</v>
      </c>
      <c r="I542" t="n">
        <v>0</v>
      </c>
      <c r="J542" t="n">
        <v>0</v>
      </c>
      <c r="K542" t="n">
        <v>0</v>
      </c>
      <c r="L542" t="n">
        <v>0</v>
      </c>
      <c r="M542" t="n">
        <v>0</v>
      </c>
      <c r="N542" t="n">
        <v>0</v>
      </c>
      <c r="O542" t="n">
        <v>0</v>
      </c>
      <c r="P542" t="n">
        <v>0</v>
      </c>
      <c r="Q542" t="n">
        <v>0</v>
      </c>
      <c r="R542" s="2" t="inlineStr"/>
    </row>
    <row r="543" ht="15" customHeight="1">
      <c r="A543" t="inlineStr">
        <is>
          <t>A 9732-2022</t>
        </is>
      </c>
      <c r="B543" s="1" t="n">
        <v>44617</v>
      </c>
      <c r="C543" s="1" t="n">
        <v>45672</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9733-2022</t>
        </is>
      </c>
      <c r="B544" s="1" t="n">
        <v>44617</v>
      </c>
      <c r="C544" s="1" t="n">
        <v>45672</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9777-2022</t>
        </is>
      </c>
      <c r="B545" s="1" t="n">
        <v>44619</v>
      </c>
      <c r="C545" s="1" t="n">
        <v>45672</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9781-2022</t>
        </is>
      </c>
      <c r="B546" s="1" t="n">
        <v>44619</v>
      </c>
      <c r="C546" s="1" t="n">
        <v>45672</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9780-2022</t>
        </is>
      </c>
      <c r="B547" s="1" t="n">
        <v>44619</v>
      </c>
      <c r="C547" s="1" t="n">
        <v>45672</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9779-2022</t>
        </is>
      </c>
      <c r="B548" s="1" t="n">
        <v>44619</v>
      </c>
      <c r="C548" s="1" t="n">
        <v>45672</v>
      </c>
      <c r="D548" t="inlineStr">
        <is>
          <t>VÄSTERBOTTENS LÄN</t>
        </is>
      </c>
      <c r="E548" t="inlineStr">
        <is>
          <t>VILHELMINA</t>
        </is>
      </c>
      <c r="G548" t="n">
        <v>0.8</v>
      </c>
      <c r="H548" t="n">
        <v>0</v>
      </c>
      <c r="I548" t="n">
        <v>0</v>
      </c>
      <c r="J548" t="n">
        <v>0</v>
      </c>
      <c r="K548" t="n">
        <v>0</v>
      </c>
      <c r="L548" t="n">
        <v>0</v>
      </c>
      <c r="M548" t="n">
        <v>0</v>
      </c>
      <c r="N548" t="n">
        <v>0</v>
      </c>
      <c r="O548" t="n">
        <v>0</v>
      </c>
      <c r="P548" t="n">
        <v>0</v>
      </c>
      <c r="Q548" t="n">
        <v>0</v>
      </c>
      <c r="R548" s="2" t="inlineStr"/>
    </row>
    <row r="549" ht="15" customHeight="1">
      <c r="A549" t="inlineStr">
        <is>
          <t>A 10142-2022</t>
        </is>
      </c>
      <c r="B549" s="1" t="n">
        <v>44621</v>
      </c>
      <c r="C549" s="1" t="n">
        <v>45672</v>
      </c>
      <c r="D549" t="inlineStr">
        <is>
          <t>VÄSTERBOTTENS LÄN</t>
        </is>
      </c>
      <c r="E549" t="inlineStr">
        <is>
          <t>VILHELMINA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10121-2022</t>
        </is>
      </c>
      <c r="B550" s="1" t="n">
        <v>44621</v>
      </c>
      <c r="C550" s="1" t="n">
        <v>45672</v>
      </c>
      <c r="D550" t="inlineStr">
        <is>
          <t>VÄSTERBOTTENS LÄN</t>
        </is>
      </c>
      <c r="E550" t="inlineStr">
        <is>
          <t>VILHELMINA</t>
        </is>
      </c>
      <c r="G550" t="n">
        <v>14.1</v>
      </c>
      <c r="H550" t="n">
        <v>0</v>
      </c>
      <c r="I550" t="n">
        <v>0</v>
      </c>
      <c r="J550" t="n">
        <v>0</v>
      </c>
      <c r="K550" t="n">
        <v>0</v>
      </c>
      <c r="L550" t="n">
        <v>0</v>
      </c>
      <c r="M550" t="n">
        <v>0</v>
      </c>
      <c r="N550" t="n">
        <v>0</v>
      </c>
      <c r="O550" t="n">
        <v>0</v>
      </c>
      <c r="P550" t="n">
        <v>0</v>
      </c>
      <c r="Q550" t="n">
        <v>0</v>
      </c>
      <c r="R550" s="2" t="inlineStr"/>
    </row>
    <row r="551" ht="15" customHeight="1">
      <c r="A551" t="inlineStr">
        <is>
          <t>A 10213-2022</t>
        </is>
      </c>
      <c r="B551" s="1" t="n">
        <v>44622</v>
      </c>
      <c r="C551" s="1" t="n">
        <v>45672</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10548-2022</t>
        </is>
      </c>
      <c r="B552" s="1" t="n">
        <v>44623</v>
      </c>
      <c r="C552" s="1" t="n">
        <v>45672</v>
      </c>
      <c r="D552" t="inlineStr">
        <is>
          <t>VÄSTERBOTTENS LÄN</t>
        </is>
      </c>
      <c r="E552" t="inlineStr">
        <is>
          <t>VILHELMINA</t>
        </is>
      </c>
      <c r="F552" t="inlineStr">
        <is>
          <t>SCA</t>
        </is>
      </c>
      <c r="G552" t="n">
        <v>11.5</v>
      </c>
      <c r="H552" t="n">
        <v>0</v>
      </c>
      <c r="I552" t="n">
        <v>0</v>
      </c>
      <c r="J552" t="n">
        <v>0</v>
      </c>
      <c r="K552" t="n">
        <v>0</v>
      </c>
      <c r="L552" t="n">
        <v>0</v>
      </c>
      <c r="M552" t="n">
        <v>0</v>
      </c>
      <c r="N552" t="n">
        <v>0</v>
      </c>
      <c r="O552" t="n">
        <v>0</v>
      </c>
      <c r="P552" t="n">
        <v>0</v>
      </c>
      <c r="Q552" t="n">
        <v>0</v>
      </c>
      <c r="R552" s="2" t="inlineStr"/>
    </row>
    <row r="553" ht="15" customHeight="1">
      <c r="A553" t="inlineStr">
        <is>
          <t>A 10708-2022</t>
        </is>
      </c>
      <c r="B553" s="1" t="n">
        <v>44625</v>
      </c>
      <c r="C553" s="1" t="n">
        <v>45672</v>
      </c>
      <c r="D553" t="inlineStr">
        <is>
          <t>VÄSTERBOTTENS LÄN</t>
        </is>
      </c>
      <c r="E553" t="inlineStr">
        <is>
          <t>VILHELMINA</t>
        </is>
      </c>
      <c r="G553" t="n">
        <v>21.3</v>
      </c>
      <c r="H553" t="n">
        <v>0</v>
      </c>
      <c r="I553" t="n">
        <v>0</v>
      </c>
      <c r="J553" t="n">
        <v>0</v>
      </c>
      <c r="K553" t="n">
        <v>0</v>
      </c>
      <c r="L553" t="n">
        <v>0</v>
      </c>
      <c r="M553" t="n">
        <v>0</v>
      </c>
      <c r="N553" t="n">
        <v>0</v>
      </c>
      <c r="O553" t="n">
        <v>0</v>
      </c>
      <c r="P553" t="n">
        <v>0</v>
      </c>
      <c r="Q553" t="n">
        <v>0</v>
      </c>
      <c r="R553" s="2" t="inlineStr"/>
    </row>
    <row r="554" ht="15" customHeight="1">
      <c r="A554" t="inlineStr">
        <is>
          <t>A 10833-2022</t>
        </is>
      </c>
      <c r="B554" s="1" t="n">
        <v>44627</v>
      </c>
      <c r="C554" s="1" t="n">
        <v>45672</v>
      </c>
      <c r="D554" t="inlineStr">
        <is>
          <t>VÄSTERBOTTENS LÄN</t>
        </is>
      </c>
      <c r="E554" t="inlineStr">
        <is>
          <t>VILHELMINA</t>
        </is>
      </c>
      <c r="G554" t="n">
        <v>5.4</v>
      </c>
      <c r="H554" t="n">
        <v>0</v>
      </c>
      <c r="I554" t="n">
        <v>0</v>
      </c>
      <c r="J554" t="n">
        <v>0</v>
      </c>
      <c r="K554" t="n">
        <v>0</v>
      </c>
      <c r="L554" t="n">
        <v>0</v>
      </c>
      <c r="M554" t="n">
        <v>0</v>
      </c>
      <c r="N554" t="n">
        <v>0</v>
      </c>
      <c r="O554" t="n">
        <v>0</v>
      </c>
      <c r="P554" t="n">
        <v>0</v>
      </c>
      <c r="Q554" t="n">
        <v>0</v>
      </c>
      <c r="R554" s="2" t="inlineStr"/>
    </row>
    <row r="555" ht="15" customHeight="1">
      <c r="A555" t="inlineStr">
        <is>
          <t>A 10839-2022</t>
        </is>
      </c>
      <c r="B555" s="1" t="n">
        <v>44627</v>
      </c>
      <c r="C555" s="1" t="n">
        <v>45672</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11076-2022</t>
        </is>
      </c>
      <c r="B556" s="1" t="n">
        <v>44628</v>
      </c>
      <c r="C556" s="1" t="n">
        <v>45672</v>
      </c>
      <c r="D556" t="inlineStr">
        <is>
          <t>VÄSTERBOTTENS LÄN</t>
        </is>
      </c>
      <c r="E556" t="inlineStr">
        <is>
          <t>VILHELMINA</t>
        </is>
      </c>
      <c r="G556" t="n">
        <v>7.4</v>
      </c>
      <c r="H556" t="n">
        <v>0</v>
      </c>
      <c r="I556" t="n">
        <v>0</v>
      </c>
      <c r="J556" t="n">
        <v>0</v>
      </c>
      <c r="K556" t="n">
        <v>0</v>
      </c>
      <c r="L556" t="n">
        <v>0</v>
      </c>
      <c r="M556" t="n">
        <v>0</v>
      </c>
      <c r="N556" t="n">
        <v>0</v>
      </c>
      <c r="O556" t="n">
        <v>0</v>
      </c>
      <c r="P556" t="n">
        <v>0</v>
      </c>
      <c r="Q556" t="n">
        <v>0</v>
      </c>
      <c r="R556" s="2" t="inlineStr"/>
    </row>
    <row r="557" ht="15" customHeight="1">
      <c r="A557" t="inlineStr">
        <is>
          <t>A 11114-2022</t>
        </is>
      </c>
      <c r="B557" s="1" t="n">
        <v>44628</v>
      </c>
      <c r="C557" s="1" t="n">
        <v>45672</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11116-2022</t>
        </is>
      </c>
      <c r="B558" s="1" t="n">
        <v>44628</v>
      </c>
      <c r="C558" s="1" t="n">
        <v>45672</v>
      </c>
      <c r="D558" t="inlineStr">
        <is>
          <t>VÄSTERBOTTENS LÄN</t>
        </is>
      </c>
      <c r="E558" t="inlineStr">
        <is>
          <t>VILHELMINA</t>
        </is>
      </c>
      <c r="G558" t="n">
        <v>4.2</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45672</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12065-2022</t>
        </is>
      </c>
      <c r="B560" s="1" t="n">
        <v>44637</v>
      </c>
      <c r="C560" s="1" t="n">
        <v>45672</v>
      </c>
      <c r="D560" t="inlineStr">
        <is>
          <t>VÄSTERBOTTENS LÄN</t>
        </is>
      </c>
      <c r="E560" t="inlineStr">
        <is>
          <t>VILHELMINA</t>
        </is>
      </c>
      <c r="G560" t="n">
        <v>27.7</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45672</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12778-2022</t>
        </is>
      </c>
      <c r="B562" s="1" t="n">
        <v>44642</v>
      </c>
      <c r="C562" s="1" t="n">
        <v>45672</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14959-2022</t>
        </is>
      </c>
      <c r="B563" s="1" t="n">
        <v>44657</v>
      </c>
      <c r="C563" s="1" t="n">
        <v>45672</v>
      </c>
      <c r="D563" t="inlineStr">
        <is>
          <t>VÄSTERBOTTENS LÄN</t>
        </is>
      </c>
      <c r="E563" t="inlineStr">
        <is>
          <t>VILHELMINA</t>
        </is>
      </c>
      <c r="G563" t="n">
        <v>71.8</v>
      </c>
      <c r="H563" t="n">
        <v>0</v>
      </c>
      <c r="I563" t="n">
        <v>0</v>
      </c>
      <c r="J563" t="n">
        <v>0</v>
      </c>
      <c r="K563" t="n">
        <v>0</v>
      </c>
      <c r="L563" t="n">
        <v>0</v>
      </c>
      <c r="M563" t="n">
        <v>0</v>
      </c>
      <c r="N563" t="n">
        <v>0</v>
      </c>
      <c r="O563" t="n">
        <v>0</v>
      </c>
      <c r="P563" t="n">
        <v>0</v>
      </c>
      <c r="Q563" t="n">
        <v>0</v>
      </c>
      <c r="R563" s="2" t="inlineStr"/>
    </row>
    <row r="564" ht="15" customHeight="1">
      <c r="A564" t="inlineStr">
        <is>
          <t>A 14961-2022</t>
        </is>
      </c>
      <c r="B564" s="1" t="n">
        <v>44657</v>
      </c>
      <c r="C564" s="1" t="n">
        <v>45672</v>
      </c>
      <c r="D564" t="inlineStr">
        <is>
          <t>VÄSTERBOTTENS LÄN</t>
        </is>
      </c>
      <c r="E564" t="inlineStr">
        <is>
          <t>VILHELMINA</t>
        </is>
      </c>
      <c r="G564" t="n">
        <v>19.9</v>
      </c>
      <c r="H564" t="n">
        <v>0</v>
      </c>
      <c r="I564" t="n">
        <v>0</v>
      </c>
      <c r="J564" t="n">
        <v>0</v>
      </c>
      <c r="K564" t="n">
        <v>0</v>
      </c>
      <c r="L564" t="n">
        <v>0</v>
      </c>
      <c r="M564" t="n">
        <v>0</v>
      </c>
      <c r="N564" t="n">
        <v>0</v>
      </c>
      <c r="O564" t="n">
        <v>0</v>
      </c>
      <c r="P564" t="n">
        <v>0</v>
      </c>
      <c r="Q564" t="n">
        <v>0</v>
      </c>
      <c r="R564" s="2" t="inlineStr"/>
    </row>
    <row r="565" ht="15" customHeight="1">
      <c r="A565" t="inlineStr">
        <is>
          <t>A 14963-2022</t>
        </is>
      </c>
      <c r="B565" s="1" t="n">
        <v>44657</v>
      </c>
      <c r="C565" s="1" t="n">
        <v>45672</v>
      </c>
      <c r="D565" t="inlineStr">
        <is>
          <t>VÄSTERBOTTENS LÄN</t>
        </is>
      </c>
      <c r="E565" t="inlineStr">
        <is>
          <t>VILHELMINA</t>
        </is>
      </c>
      <c r="G565" t="n">
        <v>11.5</v>
      </c>
      <c r="H565" t="n">
        <v>0</v>
      </c>
      <c r="I565" t="n">
        <v>0</v>
      </c>
      <c r="J565" t="n">
        <v>0</v>
      </c>
      <c r="K565" t="n">
        <v>0</v>
      </c>
      <c r="L565" t="n">
        <v>0</v>
      </c>
      <c r="M565" t="n">
        <v>0</v>
      </c>
      <c r="N565" t="n">
        <v>0</v>
      </c>
      <c r="O565" t="n">
        <v>0</v>
      </c>
      <c r="P565" t="n">
        <v>0</v>
      </c>
      <c r="Q565" t="n">
        <v>0</v>
      </c>
      <c r="R565" s="2" t="inlineStr"/>
    </row>
    <row r="566" ht="15" customHeight="1">
      <c r="A566" t="inlineStr">
        <is>
          <t>A 15176-2022</t>
        </is>
      </c>
      <c r="B566" s="1" t="n">
        <v>44658</v>
      </c>
      <c r="C566" s="1" t="n">
        <v>45672</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17591-2022</t>
        </is>
      </c>
      <c r="B567" s="1" t="n">
        <v>44679</v>
      </c>
      <c r="C567" s="1" t="n">
        <v>45672</v>
      </c>
      <c r="D567" t="inlineStr">
        <is>
          <t>VÄSTERBOTTENS LÄN</t>
        </is>
      </c>
      <c r="E567" t="inlineStr">
        <is>
          <t>VILHELMINA</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17590-2022</t>
        </is>
      </c>
      <c r="B568" s="1" t="n">
        <v>44679</v>
      </c>
      <c r="C568" s="1" t="n">
        <v>45672</v>
      </c>
      <c r="D568" t="inlineStr">
        <is>
          <t>VÄSTERBOTTENS LÄN</t>
        </is>
      </c>
      <c r="E568" t="inlineStr">
        <is>
          <t>VILHELMINA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18497-2022</t>
        </is>
      </c>
      <c r="B569" s="1" t="n">
        <v>44686</v>
      </c>
      <c r="C569" s="1" t="n">
        <v>45672</v>
      </c>
      <c r="D569" t="inlineStr">
        <is>
          <t>VÄSTERBOTTENS LÄN</t>
        </is>
      </c>
      <c r="E569" t="inlineStr">
        <is>
          <t>VILHELMINA</t>
        </is>
      </c>
      <c r="F569" t="inlineStr">
        <is>
          <t>Övriga statliga verk och myndigheter</t>
        </is>
      </c>
      <c r="G569" t="n">
        <v>64.7</v>
      </c>
      <c r="H569" t="n">
        <v>0</v>
      </c>
      <c r="I569" t="n">
        <v>0</v>
      </c>
      <c r="J569" t="n">
        <v>0</v>
      </c>
      <c r="K569" t="n">
        <v>0</v>
      </c>
      <c r="L569" t="n">
        <v>0</v>
      </c>
      <c r="M569" t="n">
        <v>0</v>
      </c>
      <c r="N569" t="n">
        <v>0</v>
      </c>
      <c r="O569" t="n">
        <v>0</v>
      </c>
      <c r="P569" t="n">
        <v>0</v>
      </c>
      <c r="Q569" t="n">
        <v>0</v>
      </c>
      <c r="R569" s="2" t="inlineStr"/>
    </row>
    <row r="570" ht="15" customHeight="1">
      <c r="A570" t="inlineStr">
        <is>
          <t>A 18564-2022</t>
        </is>
      </c>
      <c r="B570" s="1" t="n">
        <v>44686</v>
      </c>
      <c r="C570" s="1" t="n">
        <v>45672</v>
      </c>
      <c r="D570" t="inlineStr">
        <is>
          <t>VÄSTERBOTTENS LÄN</t>
        </is>
      </c>
      <c r="E570" t="inlineStr">
        <is>
          <t>VILHELMINA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18995-2022</t>
        </is>
      </c>
      <c r="B571" s="1" t="n">
        <v>44690</v>
      </c>
      <c r="C571" s="1" t="n">
        <v>45672</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18996-2022</t>
        </is>
      </c>
      <c r="B572" s="1" t="n">
        <v>44690</v>
      </c>
      <c r="C572" s="1" t="n">
        <v>45672</v>
      </c>
      <c r="D572" t="inlineStr">
        <is>
          <t>VÄSTERBOTTENS LÄN</t>
        </is>
      </c>
      <c r="E572" t="inlineStr">
        <is>
          <t>VILHELMINA</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19394-2022</t>
        </is>
      </c>
      <c r="B573" s="1" t="n">
        <v>44692</v>
      </c>
      <c r="C573" s="1" t="n">
        <v>45672</v>
      </c>
      <c r="D573" t="inlineStr">
        <is>
          <t>VÄSTERBOTTENS LÄN</t>
        </is>
      </c>
      <c r="E573" t="inlineStr">
        <is>
          <t>VILHELMINA</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19471-2022</t>
        </is>
      </c>
      <c r="B574" s="1" t="n">
        <v>44693</v>
      </c>
      <c r="C574" s="1" t="n">
        <v>45672</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19423-2022</t>
        </is>
      </c>
      <c r="B575" s="1" t="n">
        <v>44693</v>
      </c>
      <c r="C575" s="1" t="n">
        <v>45672</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20298-2022</t>
        </is>
      </c>
      <c r="B576" s="1" t="n">
        <v>44698</v>
      </c>
      <c r="C576" s="1" t="n">
        <v>45672</v>
      </c>
      <c r="D576" t="inlineStr">
        <is>
          <t>VÄSTERBOTTENS LÄN</t>
        </is>
      </c>
      <c r="E576" t="inlineStr">
        <is>
          <t>VILHELMINA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20322-2022</t>
        </is>
      </c>
      <c r="B577" s="1" t="n">
        <v>44698</v>
      </c>
      <c r="C577" s="1" t="n">
        <v>45672</v>
      </c>
      <c r="D577" t="inlineStr">
        <is>
          <t>VÄSTERBOTTENS LÄN</t>
        </is>
      </c>
      <c r="E577" t="inlineStr">
        <is>
          <t>VILHELMINA</t>
        </is>
      </c>
      <c r="G577" t="n">
        <v>10.5</v>
      </c>
      <c r="H577" t="n">
        <v>0</v>
      </c>
      <c r="I577" t="n">
        <v>0</v>
      </c>
      <c r="J577" t="n">
        <v>0</v>
      </c>
      <c r="K577" t="n">
        <v>0</v>
      </c>
      <c r="L577" t="n">
        <v>0</v>
      </c>
      <c r="M577" t="n">
        <v>0</v>
      </c>
      <c r="N577" t="n">
        <v>0</v>
      </c>
      <c r="O577" t="n">
        <v>0</v>
      </c>
      <c r="P577" t="n">
        <v>0</v>
      </c>
      <c r="Q577" t="n">
        <v>0</v>
      </c>
      <c r="R577" s="2" t="inlineStr"/>
    </row>
    <row r="578" ht="15" customHeight="1">
      <c r="A578" t="inlineStr">
        <is>
          <t>A 20720-2022</t>
        </is>
      </c>
      <c r="B578" s="1" t="n">
        <v>44700</v>
      </c>
      <c r="C578" s="1" t="n">
        <v>45672</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20719-2022</t>
        </is>
      </c>
      <c r="B579" s="1" t="n">
        <v>44701</v>
      </c>
      <c r="C579" s="1" t="n">
        <v>45672</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21806-2022</t>
        </is>
      </c>
      <c r="B580" s="1" t="n">
        <v>44708</v>
      </c>
      <c r="C580" s="1" t="n">
        <v>45672</v>
      </c>
      <c r="D580" t="inlineStr">
        <is>
          <t>VÄSTERBOTTENS LÄN</t>
        </is>
      </c>
      <c r="E580" t="inlineStr">
        <is>
          <t>VILHELMINA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21808-2022</t>
        </is>
      </c>
      <c r="B581" s="1" t="n">
        <v>44708</v>
      </c>
      <c r="C581" s="1" t="n">
        <v>45672</v>
      </c>
      <c r="D581" t="inlineStr">
        <is>
          <t>VÄSTERBOTTENS LÄN</t>
        </is>
      </c>
      <c r="E581" t="inlineStr">
        <is>
          <t>VILHELMINA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21814-2022</t>
        </is>
      </c>
      <c r="B582" s="1" t="n">
        <v>44708</v>
      </c>
      <c r="C582" s="1" t="n">
        <v>45672</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22325-2022</t>
        </is>
      </c>
      <c r="B583" s="1" t="n">
        <v>44712</v>
      </c>
      <c r="C583" s="1" t="n">
        <v>45672</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22405-2022</t>
        </is>
      </c>
      <c r="B584" s="1" t="n">
        <v>44713</v>
      </c>
      <c r="C584" s="1" t="n">
        <v>45672</v>
      </c>
      <c r="D584" t="inlineStr">
        <is>
          <t>VÄSTERBOTTENS LÄN</t>
        </is>
      </c>
      <c r="E584" t="inlineStr">
        <is>
          <t>VILHELMINA</t>
        </is>
      </c>
      <c r="G584" t="n">
        <v>13.2</v>
      </c>
      <c r="H584" t="n">
        <v>0</v>
      </c>
      <c r="I584" t="n">
        <v>0</v>
      </c>
      <c r="J584" t="n">
        <v>0</v>
      </c>
      <c r="K584" t="n">
        <v>0</v>
      </c>
      <c r="L584" t="n">
        <v>0</v>
      </c>
      <c r="M584" t="n">
        <v>0</v>
      </c>
      <c r="N584" t="n">
        <v>0</v>
      </c>
      <c r="O584" t="n">
        <v>0</v>
      </c>
      <c r="P584" t="n">
        <v>0</v>
      </c>
      <c r="Q584" t="n">
        <v>0</v>
      </c>
      <c r="R584" s="2" t="inlineStr"/>
    </row>
    <row r="585" ht="15" customHeight="1">
      <c r="A585" t="inlineStr">
        <is>
          <t>A 23210-2022</t>
        </is>
      </c>
      <c r="B585" s="1" t="n">
        <v>44719</v>
      </c>
      <c r="C585" s="1" t="n">
        <v>45672</v>
      </c>
      <c r="D585" t="inlineStr">
        <is>
          <t>VÄSTERBOTTENS LÄN</t>
        </is>
      </c>
      <c r="E585" t="inlineStr">
        <is>
          <t>VILHELMINA</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24296-2022</t>
        </is>
      </c>
      <c r="B586" s="1" t="n">
        <v>44726</v>
      </c>
      <c r="C586" s="1" t="n">
        <v>45672</v>
      </c>
      <c r="D586" t="inlineStr">
        <is>
          <t>VÄSTERBOTTENS LÄN</t>
        </is>
      </c>
      <c r="E586" t="inlineStr">
        <is>
          <t>VILHELMINA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24297-2022</t>
        </is>
      </c>
      <c r="B587" s="1" t="n">
        <v>44725</v>
      </c>
      <c r="C587" s="1" t="n">
        <v>45672</v>
      </c>
      <c r="D587" t="inlineStr">
        <is>
          <t>VÄSTERBOTTENS LÄN</t>
        </is>
      </c>
      <c r="E587" t="inlineStr">
        <is>
          <t>VILHELMINA</t>
        </is>
      </c>
      <c r="G587" t="n">
        <v>2.7</v>
      </c>
      <c r="H587" t="n">
        <v>0</v>
      </c>
      <c r="I587" t="n">
        <v>0</v>
      </c>
      <c r="J587" t="n">
        <v>0</v>
      </c>
      <c r="K587" t="n">
        <v>0</v>
      </c>
      <c r="L587" t="n">
        <v>0</v>
      </c>
      <c r="M587" t="n">
        <v>0</v>
      </c>
      <c r="N587" t="n">
        <v>0</v>
      </c>
      <c r="O587" t="n">
        <v>0</v>
      </c>
      <c r="P587" t="n">
        <v>0</v>
      </c>
      <c r="Q587" t="n">
        <v>0</v>
      </c>
      <c r="R587" s="2" t="inlineStr"/>
    </row>
    <row r="588" ht="15" customHeight="1">
      <c r="A588" t="inlineStr">
        <is>
          <t>A 25923-2022</t>
        </is>
      </c>
      <c r="B588" s="1" t="n">
        <v>44733</v>
      </c>
      <c r="C588" s="1" t="n">
        <v>45672</v>
      </c>
      <c r="D588" t="inlineStr">
        <is>
          <t>VÄSTERBOTTENS LÄN</t>
        </is>
      </c>
      <c r="E588" t="inlineStr">
        <is>
          <t>VILHELMINA</t>
        </is>
      </c>
      <c r="G588" t="n">
        <v>0.8</v>
      </c>
      <c r="H588" t="n">
        <v>0</v>
      </c>
      <c r="I588" t="n">
        <v>0</v>
      </c>
      <c r="J588" t="n">
        <v>0</v>
      </c>
      <c r="K588" t="n">
        <v>0</v>
      </c>
      <c r="L588" t="n">
        <v>0</v>
      </c>
      <c r="M588" t="n">
        <v>0</v>
      </c>
      <c r="N588" t="n">
        <v>0</v>
      </c>
      <c r="O588" t="n">
        <v>0</v>
      </c>
      <c r="P588" t="n">
        <v>0</v>
      </c>
      <c r="Q588" t="n">
        <v>0</v>
      </c>
      <c r="R588" s="2" t="inlineStr"/>
    </row>
    <row r="589" ht="15" customHeight="1">
      <c r="A589" t="inlineStr">
        <is>
          <t>A 26191-2022</t>
        </is>
      </c>
      <c r="B589" s="1" t="n">
        <v>44735</v>
      </c>
      <c r="C589" s="1" t="n">
        <v>45672</v>
      </c>
      <c r="D589" t="inlineStr">
        <is>
          <t>VÄSTERBOTTENS LÄN</t>
        </is>
      </c>
      <c r="E589" t="inlineStr">
        <is>
          <t>VILHELMINA</t>
        </is>
      </c>
      <c r="G589" t="n">
        <v>42.1</v>
      </c>
      <c r="H589" t="n">
        <v>0</v>
      </c>
      <c r="I589" t="n">
        <v>0</v>
      </c>
      <c r="J589" t="n">
        <v>0</v>
      </c>
      <c r="K589" t="n">
        <v>0</v>
      </c>
      <c r="L589" t="n">
        <v>0</v>
      </c>
      <c r="M589" t="n">
        <v>0</v>
      </c>
      <c r="N589" t="n">
        <v>0</v>
      </c>
      <c r="O589" t="n">
        <v>0</v>
      </c>
      <c r="P589" t="n">
        <v>0</v>
      </c>
      <c r="Q589" t="n">
        <v>0</v>
      </c>
      <c r="R589" s="2" t="inlineStr"/>
    </row>
    <row r="590" ht="15" customHeight="1">
      <c r="A590" t="inlineStr">
        <is>
          <t>A 26401-2022</t>
        </is>
      </c>
      <c r="B590" s="1" t="n">
        <v>44735</v>
      </c>
      <c r="C590" s="1" t="n">
        <v>45672</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26409-2022</t>
        </is>
      </c>
      <c r="B591" s="1" t="n">
        <v>44735</v>
      </c>
      <c r="C591" s="1" t="n">
        <v>45672</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26410-2022</t>
        </is>
      </c>
      <c r="B592" s="1" t="n">
        <v>44735</v>
      </c>
      <c r="C592" s="1" t="n">
        <v>45672</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27127-2022</t>
        </is>
      </c>
      <c r="B593" s="1" t="n">
        <v>44741</v>
      </c>
      <c r="C593" s="1" t="n">
        <v>45672</v>
      </c>
      <c r="D593" t="inlineStr">
        <is>
          <t>VÄSTERBOTTENS LÄN</t>
        </is>
      </c>
      <c r="E593" t="inlineStr">
        <is>
          <t>VILHELMINA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27865-2022</t>
        </is>
      </c>
      <c r="B594" s="1" t="n">
        <v>44743</v>
      </c>
      <c r="C594" s="1" t="n">
        <v>45672</v>
      </c>
      <c r="D594" t="inlineStr">
        <is>
          <t>VÄSTERBOTTENS LÄN</t>
        </is>
      </c>
      <c r="E594" t="inlineStr">
        <is>
          <t>VILHELMINA</t>
        </is>
      </c>
      <c r="F594" t="inlineStr">
        <is>
          <t>Sveaskog</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27881-2022</t>
        </is>
      </c>
      <c r="B595" s="1" t="n">
        <v>44743</v>
      </c>
      <c r="C595" s="1" t="n">
        <v>45672</v>
      </c>
      <c r="D595" t="inlineStr">
        <is>
          <t>VÄSTERBOTTENS LÄN</t>
        </is>
      </c>
      <c r="E595" t="inlineStr">
        <is>
          <t>VILHELMINA</t>
        </is>
      </c>
      <c r="F595" t="inlineStr">
        <is>
          <t>Sveaskog</t>
        </is>
      </c>
      <c r="G595" t="n">
        <v>14.3</v>
      </c>
      <c r="H595" t="n">
        <v>0</v>
      </c>
      <c r="I595" t="n">
        <v>0</v>
      </c>
      <c r="J595" t="n">
        <v>0</v>
      </c>
      <c r="K595" t="n">
        <v>0</v>
      </c>
      <c r="L595" t="n">
        <v>0</v>
      </c>
      <c r="M595" t="n">
        <v>0</v>
      </c>
      <c r="N595" t="n">
        <v>0</v>
      </c>
      <c r="O595" t="n">
        <v>0</v>
      </c>
      <c r="P595" t="n">
        <v>0</v>
      </c>
      <c r="Q595" t="n">
        <v>0</v>
      </c>
      <c r="R595" s="2" t="inlineStr"/>
    </row>
    <row r="596" ht="15" customHeight="1">
      <c r="A596" t="inlineStr">
        <is>
          <t>A 27714-2022</t>
        </is>
      </c>
      <c r="B596" s="1" t="n">
        <v>44743</v>
      </c>
      <c r="C596" s="1" t="n">
        <v>45672</v>
      </c>
      <c r="D596" t="inlineStr">
        <is>
          <t>VÄSTERBOTTENS LÄN</t>
        </is>
      </c>
      <c r="E596" t="inlineStr">
        <is>
          <t>VILHELMINA</t>
        </is>
      </c>
      <c r="G596" t="n">
        <v>1.7</v>
      </c>
      <c r="H596" t="n">
        <v>0</v>
      </c>
      <c r="I596" t="n">
        <v>0</v>
      </c>
      <c r="J596" t="n">
        <v>0</v>
      </c>
      <c r="K596" t="n">
        <v>0</v>
      </c>
      <c r="L596" t="n">
        <v>0</v>
      </c>
      <c r="M596" t="n">
        <v>0</v>
      </c>
      <c r="N596" t="n">
        <v>0</v>
      </c>
      <c r="O596" t="n">
        <v>0</v>
      </c>
      <c r="P596" t="n">
        <v>0</v>
      </c>
      <c r="Q596" t="n">
        <v>0</v>
      </c>
      <c r="R596" s="2" t="inlineStr"/>
    </row>
    <row r="597" ht="15" customHeight="1">
      <c r="A597" t="inlineStr">
        <is>
          <t>A 27848-2022</t>
        </is>
      </c>
      <c r="B597" s="1" t="n">
        <v>44743</v>
      </c>
      <c r="C597" s="1" t="n">
        <v>45672</v>
      </c>
      <c r="D597" t="inlineStr">
        <is>
          <t>VÄSTERBOTTENS LÄN</t>
        </is>
      </c>
      <c r="E597" t="inlineStr">
        <is>
          <t>VILHELMINA</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27880-2022</t>
        </is>
      </c>
      <c r="B598" s="1" t="n">
        <v>44743</v>
      </c>
      <c r="C598" s="1" t="n">
        <v>45672</v>
      </c>
      <c r="D598" t="inlineStr">
        <is>
          <t>VÄSTERBOTTENS LÄN</t>
        </is>
      </c>
      <c r="E598" t="inlineStr">
        <is>
          <t>VILHELMINA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27889-2022</t>
        </is>
      </c>
      <c r="B599" s="1" t="n">
        <v>44743</v>
      </c>
      <c r="C599" s="1" t="n">
        <v>45672</v>
      </c>
      <c r="D599" t="inlineStr">
        <is>
          <t>VÄSTERBOTTENS LÄN</t>
        </is>
      </c>
      <c r="E599" t="inlineStr">
        <is>
          <t>VILHELMINA</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27874-2022</t>
        </is>
      </c>
      <c r="B600" s="1" t="n">
        <v>44743</v>
      </c>
      <c r="C600" s="1" t="n">
        <v>45672</v>
      </c>
      <c r="D600" t="inlineStr">
        <is>
          <t>VÄSTERBOTTENS LÄN</t>
        </is>
      </c>
      <c r="E600" t="inlineStr">
        <is>
          <t>VILHELMINA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27920-2022</t>
        </is>
      </c>
      <c r="B601" s="1" t="n">
        <v>44743</v>
      </c>
      <c r="C601" s="1" t="n">
        <v>45672</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27844-2022</t>
        </is>
      </c>
      <c r="B602" s="1" t="n">
        <v>44743</v>
      </c>
      <c r="C602" s="1" t="n">
        <v>45672</v>
      </c>
      <c r="D602" t="inlineStr">
        <is>
          <t>VÄSTERBOTTENS LÄN</t>
        </is>
      </c>
      <c r="E602" t="inlineStr">
        <is>
          <t>VILHELMINA</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27879-2022</t>
        </is>
      </c>
      <c r="B603" s="1" t="n">
        <v>44743</v>
      </c>
      <c r="C603" s="1" t="n">
        <v>45672</v>
      </c>
      <c r="D603" t="inlineStr">
        <is>
          <t>VÄSTERBOTTENS LÄN</t>
        </is>
      </c>
      <c r="E603" t="inlineStr">
        <is>
          <t>VILHELMINA</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27918-2022</t>
        </is>
      </c>
      <c r="B604" s="1" t="n">
        <v>44744</v>
      </c>
      <c r="C604" s="1" t="n">
        <v>45672</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27938-2022</t>
        </is>
      </c>
      <c r="B605" s="1" t="n">
        <v>44744</v>
      </c>
      <c r="C605" s="1" t="n">
        <v>45672</v>
      </c>
      <c r="D605" t="inlineStr">
        <is>
          <t>VÄSTERBOTTENS LÄN</t>
        </is>
      </c>
      <c r="E605" t="inlineStr">
        <is>
          <t>VILHELMINA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27922-2022</t>
        </is>
      </c>
      <c r="B606" s="1" t="n">
        <v>44744</v>
      </c>
      <c r="C606" s="1" t="n">
        <v>45672</v>
      </c>
      <c r="D606" t="inlineStr">
        <is>
          <t>VÄSTERBOTTENS LÄN</t>
        </is>
      </c>
      <c r="E606" t="inlineStr">
        <is>
          <t>VILHELMINA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27937-2022</t>
        </is>
      </c>
      <c r="B607" s="1" t="n">
        <v>44744</v>
      </c>
      <c r="C607" s="1" t="n">
        <v>45672</v>
      </c>
      <c r="D607" t="inlineStr">
        <is>
          <t>VÄSTERBOTTENS LÄN</t>
        </is>
      </c>
      <c r="E607" t="inlineStr">
        <is>
          <t>VILHELMINA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27935-2022</t>
        </is>
      </c>
      <c r="B608" s="1" t="n">
        <v>44744</v>
      </c>
      <c r="C608" s="1" t="n">
        <v>45672</v>
      </c>
      <c r="D608" t="inlineStr">
        <is>
          <t>VÄSTERBOTTENS LÄN</t>
        </is>
      </c>
      <c r="E608" t="inlineStr">
        <is>
          <t>VILHELMINA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27919-2022</t>
        </is>
      </c>
      <c r="B609" s="1" t="n">
        <v>44744</v>
      </c>
      <c r="C609" s="1" t="n">
        <v>45672</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28378-2022</t>
        </is>
      </c>
      <c r="B610" s="1" t="n">
        <v>44747</v>
      </c>
      <c r="C610" s="1" t="n">
        <v>45672</v>
      </c>
      <c r="D610" t="inlineStr">
        <is>
          <t>VÄSTERBOTTENS LÄN</t>
        </is>
      </c>
      <c r="E610" t="inlineStr">
        <is>
          <t>VILHELMINA</t>
        </is>
      </c>
      <c r="F610" t="inlineStr">
        <is>
          <t>Sveaskog</t>
        </is>
      </c>
      <c r="G610" t="n">
        <v>10.3</v>
      </c>
      <c r="H610" t="n">
        <v>0</v>
      </c>
      <c r="I610" t="n">
        <v>0</v>
      </c>
      <c r="J610" t="n">
        <v>0</v>
      </c>
      <c r="K610" t="n">
        <v>0</v>
      </c>
      <c r="L610" t="n">
        <v>0</v>
      </c>
      <c r="M610" t="n">
        <v>0</v>
      </c>
      <c r="N610" t="n">
        <v>0</v>
      </c>
      <c r="O610" t="n">
        <v>0</v>
      </c>
      <c r="P610" t="n">
        <v>0</v>
      </c>
      <c r="Q610" t="n">
        <v>0</v>
      </c>
      <c r="R610" s="2" t="inlineStr"/>
    </row>
    <row r="611" ht="15" customHeight="1">
      <c r="A611" t="inlineStr">
        <is>
          <t>A 28486-2022</t>
        </is>
      </c>
      <c r="B611" s="1" t="n">
        <v>44747</v>
      </c>
      <c r="C611" s="1" t="n">
        <v>45672</v>
      </c>
      <c r="D611" t="inlineStr">
        <is>
          <t>VÄSTERBOTTENS LÄN</t>
        </is>
      </c>
      <c r="E611" t="inlineStr">
        <is>
          <t>VILHELMINA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28485-2022</t>
        </is>
      </c>
      <c r="B612" s="1" t="n">
        <v>44748</v>
      </c>
      <c r="C612" s="1" t="n">
        <v>45672</v>
      </c>
      <c r="D612" t="inlineStr">
        <is>
          <t>VÄSTERBOTTENS LÄN</t>
        </is>
      </c>
      <c r="E612" t="inlineStr">
        <is>
          <t>VILHELMINA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28722-2022</t>
        </is>
      </c>
      <c r="B613" s="1" t="n">
        <v>44748</v>
      </c>
      <c r="C613" s="1" t="n">
        <v>45672</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29555-2022</t>
        </is>
      </c>
      <c r="B614" s="1" t="n">
        <v>44754</v>
      </c>
      <c r="C614" s="1" t="n">
        <v>45672</v>
      </c>
      <c r="D614" t="inlineStr">
        <is>
          <t>VÄSTERBOTTENS LÄN</t>
        </is>
      </c>
      <c r="E614" t="inlineStr">
        <is>
          <t>VILHELMINA</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29773-2022</t>
        </is>
      </c>
      <c r="B615" s="1" t="n">
        <v>44755</v>
      </c>
      <c r="C615" s="1" t="n">
        <v>45672</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29855-2022</t>
        </is>
      </c>
      <c r="B616" s="1" t="n">
        <v>44756</v>
      </c>
      <c r="C616" s="1" t="n">
        <v>45672</v>
      </c>
      <c r="D616" t="inlineStr">
        <is>
          <t>VÄSTERBOTTENS LÄN</t>
        </is>
      </c>
      <c r="E616" t="inlineStr">
        <is>
          <t>VILHELMINA</t>
        </is>
      </c>
      <c r="G616" t="n">
        <v>3.4</v>
      </c>
      <c r="H616" t="n">
        <v>0</v>
      </c>
      <c r="I616" t="n">
        <v>0</v>
      </c>
      <c r="J616" t="n">
        <v>0</v>
      </c>
      <c r="K616" t="n">
        <v>0</v>
      </c>
      <c r="L616" t="n">
        <v>0</v>
      </c>
      <c r="M616" t="n">
        <v>0</v>
      </c>
      <c r="N616" t="n">
        <v>0</v>
      </c>
      <c r="O616" t="n">
        <v>0</v>
      </c>
      <c r="P616" t="n">
        <v>0</v>
      </c>
      <c r="Q616" t="n">
        <v>0</v>
      </c>
      <c r="R616" s="2" t="inlineStr"/>
    </row>
    <row r="617" ht="15" customHeight="1">
      <c r="A617" t="inlineStr">
        <is>
          <t>A 30018-2022</t>
        </is>
      </c>
      <c r="B617" s="1" t="n">
        <v>44756</v>
      </c>
      <c r="C617" s="1" t="n">
        <v>45672</v>
      </c>
      <c r="D617" t="inlineStr">
        <is>
          <t>VÄSTERBOTTENS LÄN</t>
        </is>
      </c>
      <c r="E617" t="inlineStr">
        <is>
          <t>VILHELMINA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30025-2022</t>
        </is>
      </c>
      <c r="B618" s="1" t="n">
        <v>44757</v>
      </c>
      <c r="C618" s="1" t="n">
        <v>45672</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30020-2022</t>
        </is>
      </c>
      <c r="B619" s="1" t="n">
        <v>44757</v>
      </c>
      <c r="C619" s="1" t="n">
        <v>45672</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30019-2022</t>
        </is>
      </c>
      <c r="B620" s="1" t="n">
        <v>44757</v>
      </c>
      <c r="C620" s="1" t="n">
        <v>45672</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30130-2022</t>
        </is>
      </c>
      <c r="B621" s="1" t="n">
        <v>44757</v>
      </c>
      <c r="C621" s="1" t="n">
        <v>45672</v>
      </c>
      <c r="D621" t="inlineStr">
        <is>
          <t>VÄSTERBOTTENS LÄN</t>
        </is>
      </c>
      <c r="E621" t="inlineStr">
        <is>
          <t>VILHELMINA</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31320-2022</t>
        </is>
      </c>
      <c r="B622" s="1" t="n">
        <v>44773</v>
      </c>
      <c r="C622" s="1" t="n">
        <v>45672</v>
      </c>
      <c r="D622" t="inlineStr">
        <is>
          <t>VÄSTERBOTTENS LÄN</t>
        </is>
      </c>
      <c r="E622" t="inlineStr">
        <is>
          <t>VILHELMINA</t>
        </is>
      </c>
      <c r="G622" t="n">
        <v>15.5</v>
      </c>
      <c r="H622" t="n">
        <v>0</v>
      </c>
      <c r="I622" t="n">
        <v>0</v>
      </c>
      <c r="J622" t="n">
        <v>0</v>
      </c>
      <c r="K622" t="n">
        <v>0</v>
      </c>
      <c r="L622" t="n">
        <v>0</v>
      </c>
      <c r="M622" t="n">
        <v>0</v>
      </c>
      <c r="N622" t="n">
        <v>0</v>
      </c>
      <c r="O622" t="n">
        <v>0</v>
      </c>
      <c r="P622" t="n">
        <v>0</v>
      </c>
      <c r="Q622" t="n">
        <v>0</v>
      </c>
      <c r="R622" s="2" t="inlineStr"/>
    </row>
    <row r="623" ht="15" customHeight="1">
      <c r="A623" t="inlineStr">
        <is>
          <t>A 32960-2022</t>
        </is>
      </c>
      <c r="B623" s="1" t="n">
        <v>44784</v>
      </c>
      <c r="C623" s="1" t="n">
        <v>45672</v>
      </c>
      <c r="D623" t="inlineStr">
        <is>
          <t>VÄSTERBOTTENS LÄN</t>
        </is>
      </c>
      <c r="E623" t="inlineStr">
        <is>
          <t>VILHELMINA</t>
        </is>
      </c>
      <c r="G623" t="n">
        <v>4.1</v>
      </c>
      <c r="H623" t="n">
        <v>0</v>
      </c>
      <c r="I623" t="n">
        <v>0</v>
      </c>
      <c r="J623" t="n">
        <v>0</v>
      </c>
      <c r="K623" t="n">
        <v>0</v>
      </c>
      <c r="L623" t="n">
        <v>0</v>
      </c>
      <c r="M623" t="n">
        <v>0</v>
      </c>
      <c r="N623" t="n">
        <v>0</v>
      </c>
      <c r="O623" t="n">
        <v>0</v>
      </c>
      <c r="P623" t="n">
        <v>0</v>
      </c>
      <c r="Q623" t="n">
        <v>0</v>
      </c>
      <c r="R623" s="2" t="inlineStr"/>
    </row>
    <row r="624" ht="15" customHeight="1">
      <c r="A624" t="inlineStr">
        <is>
          <t>A 33001-2022</t>
        </is>
      </c>
      <c r="B624" s="1" t="n">
        <v>44784</v>
      </c>
      <c r="C624" s="1" t="n">
        <v>45672</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33512-2022</t>
        </is>
      </c>
      <c r="B625" s="1" t="n">
        <v>44788</v>
      </c>
      <c r="C625" s="1" t="n">
        <v>45672</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33495-2022</t>
        </is>
      </c>
      <c r="B626" s="1" t="n">
        <v>44788</v>
      </c>
      <c r="C626" s="1" t="n">
        <v>45672</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33510-2022</t>
        </is>
      </c>
      <c r="B627" s="1" t="n">
        <v>44788</v>
      </c>
      <c r="C627" s="1" t="n">
        <v>45672</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33603-2022</t>
        </is>
      </c>
      <c r="B628" s="1" t="n">
        <v>44789</v>
      </c>
      <c r="C628" s="1" t="n">
        <v>45672</v>
      </c>
      <c r="D628" t="inlineStr">
        <is>
          <t>VÄSTERBOTTENS LÄN</t>
        </is>
      </c>
      <c r="E628" t="inlineStr">
        <is>
          <t>VILHELMINA</t>
        </is>
      </c>
      <c r="F628" t="inlineStr">
        <is>
          <t>Sveaskog</t>
        </is>
      </c>
      <c r="G628" t="n">
        <v>15.1</v>
      </c>
      <c r="H628" t="n">
        <v>0</v>
      </c>
      <c r="I628" t="n">
        <v>0</v>
      </c>
      <c r="J628" t="n">
        <v>0</v>
      </c>
      <c r="K628" t="n">
        <v>0</v>
      </c>
      <c r="L628" t="n">
        <v>0</v>
      </c>
      <c r="M628" t="n">
        <v>0</v>
      </c>
      <c r="N628" t="n">
        <v>0</v>
      </c>
      <c r="O628" t="n">
        <v>0</v>
      </c>
      <c r="P628" t="n">
        <v>0</v>
      </c>
      <c r="Q628" t="n">
        <v>0</v>
      </c>
      <c r="R628" s="2" t="inlineStr"/>
    </row>
    <row r="629" ht="15" customHeight="1">
      <c r="A629" t="inlineStr">
        <is>
          <t>A 33989-2022</t>
        </is>
      </c>
      <c r="B629" s="1" t="n">
        <v>44790</v>
      </c>
      <c r="C629" s="1" t="n">
        <v>45672</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35003-2022</t>
        </is>
      </c>
      <c r="B630" s="1" t="n">
        <v>44797</v>
      </c>
      <c r="C630" s="1" t="n">
        <v>45672</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35178-2022</t>
        </is>
      </c>
      <c r="B631" s="1" t="n">
        <v>44797</v>
      </c>
      <c r="C631" s="1" t="n">
        <v>45672</v>
      </c>
      <c r="D631" t="inlineStr">
        <is>
          <t>VÄSTERBOTTENS LÄN</t>
        </is>
      </c>
      <c r="E631" t="inlineStr">
        <is>
          <t>VILHELMINA</t>
        </is>
      </c>
      <c r="F631" t="inlineStr">
        <is>
          <t>Övriga statliga verk och myndigheter</t>
        </is>
      </c>
      <c r="G631" t="n">
        <v>32.5</v>
      </c>
      <c r="H631" t="n">
        <v>0</v>
      </c>
      <c r="I631" t="n">
        <v>0</v>
      </c>
      <c r="J631" t="n">
        <v>0</v>
      </c>
      <c r="K631" t="n">
        <v>0</v>
      </c>
      <c r="L631" t="n">
        <v>0</v>
      </c>
      <c r="M631" t="n">
        <v>0</v>
      </c>
      <c r="N631" t="n">
        <v>0</v>
      </c>
      <c r="O631" t="n">
        <v>0</v>
      </c>
      <c r="P631" t="n">
        <v>0</v>
      </c>
      <c r="Q631" t="n">
        <v>0</v>
      </c>
      <c r="R631" s="2" t="inlineStr"/>
    </row>
    <row r="632" ht="15" customHeight="1">
      <c r="A632" t="inlineStr">
        <is>
          <t>A 35514-2022</t>
        </is>
      </c>
      <c r="B632" s="1" t="n">
        <v>44799</v>
      </c>
      <c r="C632" s="1" t="n">
        <v>45672</v>
      </c>
      <c r="D632" t="inlineStr">
        <is>
          <t>VÄSTERBOTTENS LÄN</t>
        </is>
      </c>
      <c r="E632" t="inlineStr">
        <is>
          <t>VILHELMINA</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35506-2022</t>
        </is>
      </c>
      <c r="B633" s="1" t="n">
        <v>44798</v>
      </c>
      <c r="C633" s="1" t="n">
        <v>45672</v>
      </c>
      <c r="D633" t="inlineStr">
        <is>
          <t>VÄSTERBOTTENS LÄN</t>
        </is>
      </c>
      <c r="E633" t="inlineStr">
        <is>
          <t>VILHELMINA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35515-2022</t>
        </is>
      </c>
      <c r="B634" s="1" t="n">
        <v>44799</v>
      </c>
      <c r="C634" s="1" t="n">
        <v>45672</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35513-2022</t>
        </is>
      </c>
      <c r="B635" s="1" t="n">
        <v>44799</v>
      </c>
      <c r="C635" s="1" t="n">
        <v>45672</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35686-2022</t>
        </is>
      </c>
      <c r="B636" s="1" t="n">
        <v>44799</v>
      </c>
      <c r="C636" s="1" t="n">
        <v>45672</v>
      </c>
      <c r="D636" t="inlineStr">
        <is>
          <t>VÄSTERBOTTENS LÄN</t>
        </is>
      </c>
      <c r="E636" t="inlineStr">
        <is>
          <t>VILHELMINA</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36083-2022</t>
        </is>
      </c>
      <c r="B637" s="1" t="n">
        <v>44803</v>
      </c>
      <c r="C637" s="1" t="n">
        <v>45672</v>
      </c>
      <c r="D637" t="inlineStr">
        <is>
          <t>VÄSTERBOTTENS LÄN</t>
        </is>
      </c>
      <c r="E637" t="inlineStr">
        <is>
          <t>VILHELMINA</t>
        </is>
      </c>
      <c r="F637" t="inlineStr">
        <is>
          <t>SCA</t>
        </is>
      </c>
      <c r="G637" t="n">
        <v>24.1</v>
      </c>
      <c r="H637" t="n">
        <v>0</v>
      </c>
      <c r="I637" t="n">
        <v>0</v>
      </c>
      <c r="J637" t="n">
        <v>0</v>
      </c>
      <c r="K637" t="n">
        <v>0</v>
      </c>
      <c r="L637" t="n">
        <v>0</v>
      </c>
      <c r="M637" t="n">
        <v>0</v>
      </c>
      <c r="N637" t="n">
        <v>0</v>
      </c>
      <c r="O637" t="n">
        <v>0</v>
      </c>
      <c r="P637" t="n">
        <v>0</v>
      </c>
      <c r="Q637" t="n">
        <v>0</v>
      </c>
      <c r="R637" s="2" t="inlineStr"/>
    </row>
    <row r="638" ht="15" customHeight="1">
      <c r="A638" t="inlineStr">
        <is>
          <t>A 36081-2022</t>
        </is>
      </c>
      <c r="B638" s="1" t="n">
        <v>44802</v>
      </c>
      <c r="C638" s="1" t="n">
        <v>45672</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36082-2022</t>
        </is>
      </c>
      <c r="B639" s="1" t="n">
        <v>44802</v>
      </c>
      <c r="C639" s="1" t="n">
        <v>45672</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36329-2022</t>
        </is>
      </c>
      <c r="B640" s="1" t="n">
        <v>44803</v>
      </c>
      <c r="C640" s="1" t="n">
        <v>45672</v>
      </c>
      <c r="D640" t="inlineStr">
        <is>
          <t>VÄSTERBOTTENS LÄN</t>
        </is>
      </c>
      <c r="E640" t="inlineStr">
        <is>
          <t>VILHELMINA</t>
        </is>
      </c>
      <c r="F640" t="inlineStr">
        <is>
          <t>Övriga statliga verk och myndigheter</t>
        </is>
      </c>
      <c r="G640" t="n">
        <v>30</v>
      </c>
      <c r="H640" t="n">
        <v>0</v>
      </c>
      <c r="I640" t="n">
        <v>0</v>
      </c>
      <c r="J640" t="n">
        <v>0</v>
      </c>
      <c r="K640" t="n">
        <v>0</v>
      </c>
      <c r="L640" t="n">
        <v>0</v>
      </c>
      <c r="M640" t="n">
        <v>0</v>
      </c>
      <c r="N640" t="n">
        <v>0</v>
      </c>
      <c r="O640" t="n">
        <v>0</v>
      </c>
      <c r="P640" t="n">
        <v>0</v>
      </c>
      <c r="Q640" t="n">
        <v>0</v>
      </c>
      <c r="R640" s="2" t="inlineStr"/>
    </row>
    <row r="641" ht="15" customHeight="1">
      <c r="A641" t="inlineStr">
        <is>
          <t>A 36929-2022</t>
        </is>
      </c>
      <c r="B641" s="1" t="n">
        <v>44806</v>
      </c>
      <c r="C641" s="1" t="n">
        <v>45672</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36931-2022</t>
        </is>
      </c>
      <c r="B642" s="1" t="n">
        <v>44805</v>
      </c>
      <c r="C642" s="1" t="n">
        <v>45672</v>
      </c>
      <c r="D642" t="inlineStr">
        <is>
          <t>VÄSTERBOTTENS LÄN</t>
        </is>
      </c>
      <c r="E642" t="inlineStr">
        <is>
          <t>VILHELMINA</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36930-2022</t>
        </is>
      </c>
      <c r="B643" s="1" t="n">
        <v>44805</v>
      </c>
      <c r="C643" s="1" t="n">
        <v>45672</v>
      </c>
      <c r="D643" t="inlineStr">
        <is>
          <t>VÄSTERBOTTENS LÄN</t>
        </is>
      </c>
      <c r="E643" t="inlineStr">
        <is>
          <t>VILHELMINA</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37322-2022</t>
        </is>
      </c>
      <c r="B644" s="1" t="n">
        <v>44806</v>
      </c>
      <c r="C644" s="1" t="n">
        <v>45672</v>
      </c>
      <c r="D644" t="inlineStr">
        <is>
          <t>VÄSTERBOTTENS LÄN</t>
        </is>
      </c>
      <c r="E644" t="inlineStr">
        <is>
          <t>VILHELMINA</t>
        </is>
      </c>
      <c r="F644" t="inlineStr">
        <is>
          <t>Övriga statliga verk och myndigheter</t>
        </is>
      </c>
      <c r="G644" t="n">
        <v>15.4</v>
      </c>
      <c r="H644" t="n">
        <v>0</v>
      </c>
      <c r="I644" t="n">
        <v>0</v>
      </c>
      <c r="J644" t="n">
        <v>0</v>
      </c>
      <c r="K644" t="n">
        <v>0</v>
      </c>
      <c r="L644" t="n">
        <v>0</v>
      </c>
      <c r="M644" t="n">
        <v>0</v>
      </c>
      <c r="N644" t="n">
        <v>0</v>
      </c>
      <c r="O644" t="n">
        <v>0</v>
      </c>
      <c r="P644" t="n">
        <v>0</v>
      </c>
      <c r="Q644" t="n">
        <v>0</v>
      </c>
      <c r="R644" s="2" t="inlineStr"/>
    </row>
    <row r="645" ht="15" customHeight="1">
      <c r="A645" t="inlineStr">
        <is>
          <t>A 37325-2022</t>
        </is>
      </c>
      <c r="B645" s="1" t="n">
        <v>44806</v>
      </c>
      <c r="C645" s="1" t="n">
        <v>45672</v>
      </c>
      <c r="D645" t="inlineStr">
        <is>
          <t>VÄSTERBOTTENS LÄN</t>
        </is>
      </c>
      <c r="E645" t="inlineStr">
        <is>
          <t>VILHELMINA</t>
        </is>
      </c>
      <c r="F645" t="inlineStr">
        <is>
          <t>Övriga statliga verk och myndigheter</t>
        </is>
      </c>
      <c r="G645" t="n">
        <v>11</v>
      </c>
      <c r="H645" t="n">
        <v>0</v>
      </c>
      <c r="I645" t="n">
        <v>0</v>
      </c>
      <c r="J645" t="n">
        <v>0</v>
      </c>
      <c r="K645" t="n">
        <v>0</v>
      </c>
      <c r="L645" t="n">
        <v>0</v>
      </c>
      <c r="M645" t="n">
        <v>0</v>
      </c>
      <c r="N645" t="n">
        <v>0</v>
      </c>
      <c r="O645" t="n">
        <v>0</v>
      </c>
      <c r="P645" t="n">
        <v>0</v>
      </c>
      <c r="Q645" t="n">
        <v>0</v>
      </c>
      <c r="R645" s="2" t="inlineStr"/>
    </row>
    <row r="646" ht="15" customHeight="1">
      <c r="A646" t="inlineStr">
        <is>
          <t>A 37655-2022</t>
        </is>
      </c>
      <c r="B646" s="1" t="n">
        <v>44810</v>
      </c>
      <c r="C646" s="1" t="n">
        <v>45672</v>
      </c>
      <c r="D646" t="inlineStr">
        <is>
          <t>VÄSTERBOTTENS LÄN</t>
        </is>
      </c>
      <c r="E646" t="inlineStr">
        <is>
          <t>VILHELMINA</t>
        </is>
      </c>
      <c r="G646" t="n">
        <v>6.3</v>
      </c>
      <c r="H646" t="n">
        <v>0</v>
      </c>
      <c r="I646" t="n">
        <v>0</v>
      </c>
      <c r="J646" t="n">
        <v>0</v>
      </c>
      <c r="K646" t="n">
        <v>0</v>
      </c>
      <c r="L646" t="n">
        <v>0</v>
      </c>
      <c r="M646" t="n">
        <v>0</v>
      </c>
      <c r="N646" t="n">
        <v>0</v>
      </c>
      <c r="O646" t="n">
        <v>0</v>
      </c>
      <c r="P646" t="n">
        <v>0</v>
      </c>
      <c r="Q646" t="n">
        <v>0</v>
      </c>
      <c r="R646" s="2" t="inlineStr"/>
    </row>
    <row r="647" ht="15" customHeight="1">
      <c r="A647" t="inlineStr">
        <is>
          <t>A 37661-2022</t>
        </is>
      </c>
      <c r="B647" s="1" t="n">
        <v>44810</v>
      </c>
      <c r="C647" s="1" t="n">
        <v>45672</v>
      </c>
      <c r="D647" t="inlineStr">
        <is>
          <t>VÄSTERBOTTENS LÄN</t>
        </is>
      </c>
      <c r="E647" t="inlineStr">
        <is>
          <t>VILHELMINA</t>
        </is>
      </c>
      <c r="G647" t="n">
        <v>5.8</v>
      </c>
      <c r="H647" t="n">
        <v>0</v>
      </c>
      <c r="I647" t="n">
        <v>0</v>
      </c>
      <c r="J647" t="n">
        <v>0</v>
      </c>
      <c r="K647" t="n">
        <v>0</v>
      </c>
      <c r="L647" t="n">
        <v>0</v>
      </c>
      <c r="M647" t="n">
        <v>0</v>
      </c>
      <c r="N647" t="n">
        <v>0</v>
      </c>
      <c r="O647" t="n">
        <v>0</v>
      </c>
      <c r="P647" t="n">
        <v>0</v>
      </c>
      <c r="Q647" t="n">
        <v>0</v>
      </c>
      <c r="R647" s="2" t="inlineStr"/>
    </row>
    <row r="648" ht="15" customHeight="1">
      <c r="A648" t="inlineStr">
        <is>
          <t>A 38417-2022</t>
        </is>
      </c>
      <c r="B648" s="1" t="n">
        <v>44813</v>
      </c>
      <c r="C648" s="1" t="n">
        <v>45672</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38422-2022</t>
        </is>
      </c>
      <c r="B649" s="1" t="n">
        <v>44812</v>
      </c>
      <c r="C649" s="1" t="n">
        <v>45672</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38416-2022</t>
        </is>
      </c>
      <c r="B650" s="1" t="n">
        <v>44812</v>
      </c>
      <c r="C650" s="1" t="n">
        <v>45672</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38419-2022</t>
        </is>
      </c>
      <c r="B651" s="1" t="n">
        <v>44813</v>
      </c>
      <c r="C651" s="1" t="n">
        <v>45672</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38558-2022</t>
        </is>
      </c>
      <c r="B652" s="1" t="n">
        <v>44813</v>
      </c>
      <c r="C652" s="1" t="n">
        <v>45672</v>
      </c>
      <c r="D652" t="inlineStr">
        <is>
          <t>VÄSTERBOTTENS LÄN</t>
        </is>
      </c>
      <c r="E652" t="inlineStr">
        <is>
          <t>VILHELMINA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39389-2022</t>
        </is>
      </c>
      <c r="B653" s="1" t="n">
        <v>44817</v>
      </c>
      <c r="C653" s="1" t="n">
        <v>45672</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41343-2022</t>
        </is>
      </c>
      <c r="B654" s="1" t="n">
        <v>44824</v>
      </c>
      <c r="C654" s="1" t="n">
        <v>45672</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41350-2022</t>
        </is>
      </c>
      <c r="B655" s="1" t="n">
        <v>44824</v>
      </c>
      <c r="C655" s="1" t="n">
        <v>45672</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41330-2022</t>
        </is>
      </c>
      <c r="B656" s="1" t="n">
        <v>44826</v>
      </c>
      <c r="C656" s="1" t="n">
        <v>45672</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41482-2022</t>
        </is>
      </c>
      <c r="B657" s="1" t="n">
        <v>44827</v>
      </c>
      <c r="C657" s="1" t="n">
        <v>45672</v>
      </c>
      <c r="D657" t="inlineStr">
        <is>
          <t>VÄSTERBOTTENS LÄN</t>
        </is>
      </c>
      <c r="E657" t="inlineStr">
        <is>
          <t>VILHELMINA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41485-2022</t>
        </is>
      </c>
      <c r="B658" s="1" t="n">
        <v>44827</v>
      </c>
      <c r="C658" s="1" t="n">
        <v>45672</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41484-2022</t>
        </is>
      </c>
      <c r="B659" s="1" t="n">
        <v>44826</v>
      </c>
      <c r="C659" s="1" t="n">
        <v>45672</v>
      </c>
      <c r="D659" t="inlineStr">
        <is>
          <t>VÄSTERBOTTENS LÄN</t>
        </is>
      </c>
      <c r="E659" t="inlineStr">
        <is>
          <t>VILHELMINA</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42648-2022</t>
        </is>
      </c>
      <c r="B660" s="1" t="n">
        <v>44832</v>
      </c>
      <c r="C660" s="1" t="n">
        <v>45672</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42650-2022</t>
        </is>
      </c>
      <c r="B661" s="1" t="n">
        <v>44831</v>
      </c>
      <c r="C661" s="1" t="n">
        <v>45672</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43120-2022</t>
        </is>
      </c>
      <c r="B662" s="1" t="n">
        <v>44834</v>
      </c>
      <c r="C662" s="1" t="n">
        <v>45672</v>
      </c>
      <c r="D662" t="inlineStr">
        <is>
          <t>VÄSTERBOTTENS LÄN</t>
        </is>
      </c>
      <c r="E662" t="inlineStr">
        <is>
          <t>VILHELMINA</t>
        </is>
      </c>
      <c r="G662" t="n">
        <v>13.7</v>
      </c>
      <c r="H662" t="n">
        <v>0</v>
      </c>
      <c r="I662" t="n">
        <v>0</v>
      </c>
      <c r="J662" t="n">
        <v>0</v>
      </c>
      <c r="K662" t="n">
        <v>0</v>
      </c>
      <c r="L662" t="n">
        <v>0</v>
      </c>
      <c r="M662" t="n">
        <v>0</v>
      </c>
      <c r="N662" t="n">
        <v>0</v>
      </c>
      <c r="O662" t="n">
        <v>0</v>
      </c>
      <c r="P662" t="n">
        <v>0</v>
      </c>
      <c r="Q662" t="n">
        <v>0</v>
      </c>
      <c r="R662" s="2" t="inlineStr"/>
    </row>
    <row r="663" ht="15" customHeight="1">
      <c r="A663" t="inlineStr">
        <is>
          <t>A 43144-2022</t>
        </is>
      </c>
      <c r="B663" s="1" t="n">
        <v>44834</v>
      </c>
      <c r="C663" s="1" t="n">
        <v>45672</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43714-2022</t>
        </is>
      </c>
      <c r="B664" s="1" t="n">
        <v>44837</v>
      </c>
      <c r="C664" s="1" t="n">
        <v>45672</v>
      </c>
      <c r="D664" t="inlineStr">
        <is>
          <t>VÄSTERBOTTENS LÄN</t>
        </is>
      </c>
      <c r="E664" t="inlineStr">
        <is>
          <t>VILHELMINA</t>
        </is>
      </c>
      <c r="G664" t="n">
        <v>8.9</v>
      </c>
      <c r="H664" t="n">
        <v>0</v>
      </c>
      <c r="I664" t="n">
        <v>0</v>
      </c>
      <c r="J664" t="n">
        <v>0</v>
      </c>
      <c r="K664" t="n">
        <v>0</v>
      </c>
      <c r="L664" t="n">
        <v>0</v>
      </c>
      <c r="M664" t="n">
        <v>0</v>
      </c>
      <c r="N664" t="n">
        <v>0</v>
      </c>
      <c r="O664" t="n">
        <v>0</v>
      </c>
      <c r="P664" t="n">
        <v>0</v>
      </c>
      <c r="Q664" t="n">
        <v>0</v>
      </c>
      <c r="R664" s="2" t="inlineStr"/>
    </row>
    <row r="665" ht="15" customHeight="1">
      <c r="A665" t="inlineStr">
        <is>
          <t>A 43741-2022</t>
        </is>
      </c>
      <c r="B665" s="1" t="n">
        <v>44837</v>
      </c>
      <c r="C665" s="1" t="n">
        <v>45672</v>
      </c>
      <c r="D665" t="inlineStr">
        <is>
          <t>VÄSTERBOTTENS LÄN</t>
        </is>
      </c>
      <c r="E665" t="inlineStr">
        <is>
          <t>VILHELMINA</t>
        </is>
      </c>
      <c r="G665" t="n">
        <v>54.2</v>
      </c>
      <c r="H665" t="n">
        <v>0</v>
      </c>
      <c r="I665" t="n">
        <v>0</v>
      </c>
      <c r="J665" t="n">
        <v>0</v>
      </c>
      <c r="K665" t="n">
        <v>0</v>
      </c>
      <c r="L665" t="n">
        <v>0</v>
      </c>
      <c r="M665" t="n">
        <v>0</v>
      </c>
      <c r="N665" t="n">
        <v>0</v>
      </c>
      <c r="O665" t="n">
        <v>0</v>
      </c>
      <c r="P665" t="n">
        <v>0</v>
      </c>
      <c r="Q665" t="n">
        <v>0</v>
      </c>
      <c r="R665" s="2" t="inlineStr"/>
    </row>
    <row r="666" ht="15" customHeight="1">
      <c r="A666" t="inlineStr">
        <is>
          <t>A 45425-2022</t>
        </is>
      </c>
      <c r="B666" s="1" t="n">
        <v>44844</v>
      </c>
      <c r="C666" s="1" t="n">
        <v>45672</v>
      </c>
      <c r="D666" t="inlineStr">
        <is>
          <t>VÄSTERBOTTENS LÄN</t>
        </is>
      </c>
      <c r="E666" t="inlineStr">
        <is>
          <t>VILHELMINA</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46121-2022</t>
        </is>
      </c>
      <c r="B667" s="1" t="n">
        <v>44847</v>
      </c>
      <c r="C667" s="1" t="n">
        <v>45672</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46071-2022</t>
        </is>
      </c>
      <c r="B668" s="1" t="n">
        <v>44847</v>
      </c>
      <c r="C668" s="1" t="n">
        <v>45672</v>
      </c>
      <c r="D668" t="inlineStr">
        <is>
          <t>VÄSTERBOTTENS LÄN</t>
        </is>
      </c>
      <c r="E668" t="inlineStr">
        <is>
          <t>VILHELMINA</t>
        </is>
      </c>
      <c r="G668" t="n">
        <v>10.6</v>
      </c>
      <c r="H668" t="n">
        <v>0</v>
      </c>
      <c r="I668" t="n">
        <v>0</v>
      </c>
      <c r="J668" t="n">
        <v>0</v>
      </c>
      <c r="K668" t="n">
        <v>0</v>
      </c>
      <c r="L668" t="n">
        <v>0</v>
      </c>
      <c r="M668" t="n">
        <v>0</v>
      </c>
      <c r="N668" t="n">
        <v>0</v>
      </c>
      <c r="O668" t="n">
        <v>0</v>
      </c>
      <c r="P668" t="n">
        <v>0</v>
      </c>
      <c r="Q668" t="n">
        <v>0</v>
      </c>
      <c r="R668" s="2" t="inlineStr"/>
    </row>
    <row r="669" ht="15" customHeight="1">
      <c r="A669" t="inlineStr">
        <is>
          <t>A 46316-2022</t>
        </is>
      </c>
      <c r="B669" s="1" t="n">
        <v>44847</v>
      </c>
      <c r="C669" s="1" t="n">
        <v>45672</v>
      </c>
      <c r="D669" t="inlineStr">
        <is>
          <t>VÄSTERBOTTENS LÄN</t>
        </is>
      </c>
      <c r="E669" t="inlineStr">
        <is>
          <t>VILHELMINA</t>
        </is>
      </c>
      <c r="G669" t="n">
        <v>2.1</v>
      </c>
      <c r="H669" t="n">
        <v>0</v>
      </c>
      <c r="I669" t="n">
        <v>0</v>
      </c>
      <c r="J669" t="n">
        <v>0</v>
      </c>
      <c r="K669" t="n">
        <v>0</v>
      </c>
      <c r="L669" t="n">
        <v>0</v>
      </c>
      <c r="M669" t="n">
        <v>0</v>
      </c>
      <c r="N669" t="n">
        <v>0</v>
      </c>
      <c r="O669" t="n">
        <v>0</v>
      </c>
      <c r="P669" t="n">
        <v>0</v>
      </c>
      <c r="Q669" t="n">
        <v>0</v>
      </c>
      <c r="R669" s="2" t="inlineStr"/>
    </row>
    <row r="670" ht="15" customHeight="1">
      <c r="A670" t="inlineStr">
        <is>
          <t>A 46119-2022</t>
        </is>
      </c>
      <c r="B670" s="1" t="n">
        <v>44847</v>
      </c>
      <c r="C670" s="1" t="n">
        <v>45672</v>
      </c>
      <c r="D670" t="inlineStr">
        <is>
          <t>VÄSTERBOTTENS LÄN</t>
        </is>
      </c>
      <c r="E670" t="inlineStr">
        <is>
          <t>VILHELMINA</t>
        </is>
      </c>
      <c r="G670" t="n">
        <v>12.1</v>
      </c>
      <c r="H670" t="n">
        <v>0</v>
      </c>
      <c r="I670" t="n">
        <v>0</v>
      </c>
      <c r="J670" t="n">
        <v>0</v>
      </c>
      <c r="K670" t="n">
        <v>0</v>
      </c>
      <c r="L670" t="n">
        <v>0</v>
      </c>
      <c r="M670" t="n">
        <v>0</v>
      </c>
      <c r="N670" t="n">
        <v>0</v>
      </c>
      <c r="O670" t="n">
        <v>0</v>
      </c>
      <c r="P670" t="n">
        <v>0</v>
      </c>
      <c r="Q670" t="n">
        <v>0</v>
      </c>
      <c r="R670" s="2" t="inlineStr"/>
    </row>
    <row r="671" ht="15" customHeight="1">
      <c r="A671" t="inlineStr">
        <is>
          <t>A 46318-2022</t>
        </is>
      </c>
      <c r="B671" s="1" t="n">
        <v>44847</v>
      </c>
      <c r="C671" s="1" t="n">
        <v>45672</v>
      </c>
      <c r="D671" t="inlineStr">
        <is>
          <t>VÄSTERBOTTENS LÄN</t>
        </is>
      </c>
      <c r="E671" t="inlineStr">
        <is>
          <t>VILHELMINA</t>
        </is>
      </c>
      <c r="G671" t="n">
        <v>11.7</v>
      </c>
      <c r="H671" t="n">
        <v>0</v>
      </c>
      <c r="I671" t="n">
        <v>0</v>
      </c>
      <c r="J671" t="n">
        <v>0</v>
      </c>
      <c r="K671" t="n">
        <v>0</v>
      </c>
      <c r="L671" t="n">
        <v>0</v>
      </c>
      <c r="M671" t="n">
        <v>0</v>
      </c>
      <c r="N671" t="n">
        <v>0</v>
      </c>
      <c r="O671" t="n">
        <v>0</v>
      </c>
      <c r="P671" t="n">
        <v>0</v>
      </c>
      <c r="Q671" t="n">
        <v>0</v>
      </c>
      <c r="R671" s="2" t="inlineStr"/>
    </row>
    <row r="672" ht="15" customHeight="1">
      <c r="A672" t="inlineStr">
        <is>
          <t>A 47253-2022</t>
        </is>
      </c>
      <c r="B672" s="1" t="n">
        <v>44852</v>
      </c>
      <c r="C672" s="1" t="n">
        <v>45672</v>
      </c>
      <c r="D672" t="inlineStr">
        <is>
          <t>VÄSTERBOTTENS LÄN</t>
        </is>
      </c>
      <c r="E672" t="inlineStr">
        <is>
          <t>VILHELMINA</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47252-2022</t>
        </is>
      </c>
      <c r="B673" s="1" t="n">
        <v>44852</v>
      </c>
      <c r="C673" s="1" t="n">
        <v>45672</v>
      </c>
      <c r="D673" t="inlineStr">
        <is>
          <t>VÄSTERBOTTENS LÄN</t>
        </is>
      </c>
      <c r="E673" t="inlineStr">
        <is>
          <t>VILHELMINA</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47254-2022</t>
        </is>
      </c>
      <c r="B674" s="1" t="n">
        <v>44853</v>
      </c>
      <c r="C674" s="1" t="n">
        <v>45672</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47288-2022</t>
        </is>
      </c>
      <c r="B675" s="1" t="n">
        <v>44852</v>
      </c>
      <c r="C675" s="1" t="n">
        <v>45672</v>
      </c>
      <c r="D675" t="inlineStr">
        <is>
          <t>VÄSTERBOTTENS LÄN</t>
        </is>
      </c>
      <c r="E675" t="inlineStr">
        <is>
          <t>VILHELMINA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47287-2022</t>
        </is>
      </c>
      <c r="B676" s="1" t="n">
        <v>44853</v>
      </c>
      <c r="C676" s="1" t="n">
        <v>45672</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47285-2022</t>
        </is>
      </c>
      <c r="B677" s="1" t="n">
        <v>44853</v>
      </c>
      <c r="C677" s="1" t="n">
        <v>45672</v>
      </c>
      <c r="D677" t="inlineStr">
        <is>
          <t>VÄSTERBOTTENS LÄN</t>
        </is>
      </c>
      <c r="E677" t="inlineStr">
        <is>
          <t>VILHELMINA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47286-2022</t>
        </is>
      </c>
      <c r="B678" s="1" t="n">
        <v>44852</v>
      </c>
      <c r="C678" s="1" t="n">
        <v>45672</v>
      </c>
      <c r="D678" t="inlineStr">
        <is>
          <t>VÄSTERBOTTENS LÄN</t>
        </is>
      </c>
      <c r="E678" t="inlineStr">
        <is>
          <t>VILHELMINA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47575-2022</t>
        </is>
      </c>
      <c r="B679" s="1" t="n">
        <v>44853</v>
      </c>
      <c r="C679" s="1" t="n">
        <v>45672</v>
      </c>
      <c r="D679" t="inlineStr">
        <is>
          <t>VÄSTERBOTTENS LÄN</t>
        </is>
      </c>
      <c r="E679" t="inlineStr">
        <is>
          <t>VILHELMINA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47571-2022</t>
        </is>
      </c>
      <c r="B680" s="1" t="n">
        <v>44853</v>
      </c>
      <c r="C680" s="1" t="n">
        <v>45672</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48068-2022</t>
        </is>
      </c>
      <c r="B681" s="1" t="n">
        <v>44855</v>
      </c>
      <c r="C681" s="1" t="n">
        <v>45672</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48117-2022</t>
        </is>
      </c>
      <c r="B682" s="1" t="n">
        <v>44857</v>
      </c>
      <c r="C682" s="1" t="n">
        <v>45672</v>
      </c>
      <c r="D682" t="inlineStr">
        <is>
          <t>VÄSTERBOTTENS LÄN</t>
        </is>
      </c>
      <c r="E682" t="inlineStr">
        <is>
          <t>VILHELMINA</t>
        </is>
      </c>
      <c r="G682" t="n">
        <v>5.8</v>
      </c>
      <c r="H682" t="n">
        <v>0</v>
      </c>
      <c r="I682" t="n">
        <v>0</v>
      </c>
      <c r="J682" t="n">
        <v>0</v>
      </c>
      <c r="K682" t="n">
        <v>0</v>
      </c>
      <c r="L682" t="n">
        <v>0</v>
      </c>
      <c r="M682" t="n">
        <v>0</v>
      </c>
      <c r="N682" t="n">
        <v>0</v>
      </c>
      <c r="O682" t="n">
        <v>0</v>
      </c>
      <c r="P682" t="n">
        <v>0</v>
      </c>
      <c r="Q682" t="n">
        <v>0</v>
      </c>
      <c r="R682" s="2" t="inlineStr"/>
    </row>
    <row r="683" ht="15" customHeight="1">
      <c r="A683" t="inlineStr">
        <is>
          <t>A 48524-2022</t>
        </is>
      </c>
      <c r="B683" s="1" t="n">
        <v>44859</v>
      </c>
      <c r="C683" s="1" t="n">
        <v>45672</v>
      </c>
      <c r="D683" t="inlineStr">
        <is>
          <t>VÄSTERBOTTENS LÄN</t>
        </is>
      </c>
      <c r="E683" t="inlineStr">
        <is>
          <t>VILHELMINA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48507-2022</t>
        </is>
      </c>
      <c r="B684" s="1" t="n">
        <v>44859</v>
      </c>
      <c r="C684" s="1" t="n">
        <v>45672</v>
      </c>
      <c r="D684" t="inlineStr">
        <is>
          <t>VÄSTERBOTTENS LÄN</t>
        </is>
      </c>
      <c r="E684" t="inlineStr">
        <is>
          <t>VILHELMINA</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48526-2022</t>
        </is>
      </c>
      <c r="B685" s="1" t="n">
        <v>44858</v>
      </c>
      <c r="C685" s="1" t="n">
        <v>45672</v>
      </c>
      <c r="D685" t="inlineStr">
        <is>
          <t>VÄSTERBOTTENS LÄN</t>
        </is>
      </c>
      <c r="E685" t="inlineStr">
        <is>
          <t>VILHELMINA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48515-2022</t>
        </is>
      </c>
      <c r="B686" s="1" t="n">
        <v>44859</v>
      </c>
      <c r="C686" s="1" t="n">
        <v>45672</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48551-2022</t>
        </is>
      </c>
      <c r="B687" s="1" t="n">
        <v>44859</v>
      </c>
      <c r="C687" s="1" t="n">
        <v>45672</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48508-2022</t>
        </is>
      </c>
      <c r="B688" s="1" t="n">
        <v>44858</v>
      </c>
      <c r="C688" s="1" t="n">
        <v>45672</v>
      </c>
      <c r="D688" t="inlineStr">
        <is>
          <t>VÄSTERBOTTENS LÄN</t>
        </is>
      </c>
      <c r="E688" t="inlineStr">
        <is>
          <t>VILHELMINA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48527-2022</t>
        </is>
      </c>
      <c r="B689" s="1" t="n">
        <v>44859</v>
      </c>
      <c r="C689" s="1" t="n">
        <v>45672</v>
      </c>
      <c r="D689" t="inlineStr">
        <is>
          <t>VÄSTERBOTTENS LÄN</t>
        </is>
      </c>
      <c r="E689" t="inlineStr">
        <is>
          <t>VILHELMINA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48775-2022</t>
        </is>
      </c>
      <c r="B690" s="1" t="n">
        <v>44859</v>
      </c>
      <c r="C690" s="1" t="n">
        <v>45672</v>
      </c>
      <c r="D690" t="inlineStr">
        <is>
          <t>VÄSTERBOTTENS LÄN</t>
        </is>
      </c>
      <c r="E690" t="inlineStr">
        <is>
          <t>VILHELMINA</t>
        </is>
      </c>
      <c r="F690" t="inlineStr">
        <is>
          <t>Sveaskog</t>
        </is>
      </c>
      <c r="G690" t="n">
        <v>10.7</v>
      </c>
      <c r="H690" t="n">
        <v>0</v>
      </c>
      <c r="I690" t="n">
        <v>0</v>
      </c>
      <c r="J690" t="n">
        <v>0</v>
      </c>
      <c r="K690" t="n">
        <v>0</v>
      </c>
      <c r="L690" t="n">
        <v>0</v>
      </c>
      <c r="M690" t="n">
        <v>0</v>
      </c>
      <c r="N690" t="n">
        <v>0</v>
      </c>
      <c r="O690" t="n">
        <v>0</v>
      </c>
      <c r="P690" t="n">
        <v>0</v>
      </c>
      <c r="Q690" t="n">
        <v>0</v>
      </c>
      <c r="R690" s="2" t="inlineStr"/>
    </row>
    <row r="691" ht="15" customHeight="1">
      <c r="A691" t="inlineStr">
        <is>
          <t>A 48768-2022</t>
        </is>
      </c>
      <c r="B691" s="1" t="n">
        <v>44859</v>
      </c>
      <c r="C691" s="1" t="n">
        <v>45672</v>
      </c>
      <c r="D691" t="inlineStr">
        <is>
          <t>VÄSTERBOTTENS LÄN</t>
        </is>
      </c>
      <c r="E691" t="inlineStr">
        <is>
          <t>VILHELMINA</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45672</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49526-2022</t>
        </is>
      </c>
      <c r="B693" s="1" t="n">
        <v>44862</v>
      </c>
      <c r="C693" s="1" t="n">
        <v>45672</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49640-2022</t>
        </is>
      </c>
      <c r="B694" s="1" t="n">
        <v>44862</v>
      </c>
      <c r="C694" s="1" t="n">
        <v>45672</v>
      </c>
      <c r="D694" t="inlineStr">
        <is>
          <t>VÄSTERBOTTENS LÄN</t>
        </is>
      </c>
      <c r="E694" t="inlineStr">
        <is>
          <t>VILHELMINA</t>
        </is>
      </c>
      <c r="F694" t="inlineStr">
        <is>
          <t>Sveaskog</t>
        </is>
      </c>
      <c r="G694" t="n">
        <v>6.1</v>
      </c>
      <c r="H694" t="n">
        <v>0</v>
      </c>
      <c r="I694" t="n">
        <v>0</v>
      </c>
      <c r="J694" t="n">
        <v>0</v>
      </c>
      <c r="K694" t="n">
        <v>0</v>
      </c>
      <c r="L694" t="n">
        <v>0</v>
      </c>
      <c r="M694" t="n">
        <v>0</v>
      </c>
      <c r="N694" t="n">
        <v>0</v>
      </c>
      <c r="O694" t="n">
        <v>0</v>
      </c>
      <c r="P694" t="n">
        <v>0</v>
      </c>
      <c r="Q694" t="n">
        <v>0</v>
      </c>
      <c r="R694" s="2" t="inlineStr"/>
    </row>
    <row r="695" ht="15" customHeight="1">
      <c r="A695" t="inlineStr">
        <is>
          <t>A 50883-2022</t>
        </is>
      </c>
      <c r="B695" s="1" t="n">
        <v>44867</v>
      </c>
      <c r="C695" s="1" t="n">
        <v>45672</v>
      </c>
      <c r="D695" t="inlineStr">
        <is>
          <t>VÄSTERBOTTENS LÄN</t>
        </is>
      </c>
      <c r="E695" t="inlineStr">
        <is>
          <t>VILHELMINA</t>
        </is>
      </c>
      <c r="F695" t="inlineStr">
        <is>
          <t>Sveaskog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51017-2022</t>
        </is>
      </c>
      <c r="B696" s="1" t="n">
        <v>44867</v>
      </c>
      <c r="C696" s="1" t="n">
        <v>45672</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52008-2022</t>
        </is>
      </c>
      <c r="B697" s="1" t="n">
        <v>44872</v>
      </c>
      <c r="C697" s="1" t="n">
        <v>45672</v>
      </c>
      <c r="D697" t="inlineStr">
        <is>
          <t>VÄSTERBOTTENS LÄN</t>
        </is>
      </c>
      <c r="E697" t="inlineStr">
        <is>
          <t>VILHELMINA</t>
        </is>
      </c>
      <c r="G697" t="n">
        <v>6</v>
      </c>
      <c r="H697" t="n">
        <v>0</v>
      </c>
      <c r="I697" t="n">
        <v>0</v>
      </c>
      <c r="J697" t="n">
        <v>0</v>
      </c>
      <c r="K697" t="n">
        <v>0</v>
      </c>
      <c r="L697" t="n">
        <v>0</v>
      </c>
      <c r="M697" t="n">
        <v>0</v>
      </c>
      <c r="N697" t="n">
        <v>0</v>
      </c>
      <c r="O697" t="n">
        <v>0</v>
      </c>
      <c r="P697" t="n">
        <v>0</v>
      </c>
      <c r="Q697" t="n">
        <v>0</v>
      </c>
      <c r="R697" s="2" t="inlineStr"/>
    </row>
    <row r="698" ht="15" customHeight="1">
      <c r="A698" t="inlineStr">
        <is>
          <t>A 52711-2022</t>
        </is>
      </c>
      <c r="B698" s="1" t="n">
        <v>44874</v>
      </c>
      <c r="C698" s="1" t="n">
        <v>45672</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52704-2022</t>
        </is>
      </c>
      <c r="B699" s="1" t="n">
        <v>44874</v>
      </c>
      <c r="C699" s="1" t="n">
        <v>45672</v>
      </c>
      <c r="D699" t="inlineStr">
        <is>
          <t>VÄSTERBOTTENS LÄN</t>
        </is>
      </c>
      <c r="E699" t="inlineStr">
        <is>
          <t>VILHELMINA</t>
        </is>
      </c>
      <c r="G699" t="n">
        <v>17.4</v>
      </c>
      <c r="H699" t="n">
        <v>0</v>
      </c>
      <c r="I699" t="n">
        <v>0</v>
      </c>
      <c r="J699" t="n">
        <v>0</v>
      </c>
      <c r="K699" t="n">
        <v>0</v>
      </c>
      <c r="L699" t="n">
        <v>0</v>
      </c>
      <c r="M699" t="n">
        <v>0</v>
      </c>
      <c r="N699" t="n">
        <v>0</v>
      </c>
      <c r="O699" t="n">
        <v>0</v>
      </c>
      <c r="P699" t="n">
        <v>0</v>
      </c>
      <c r="Q699" t="n">
        <v>0</v>
      </c>
      <c r="R699" s="2" t="inlineStr"/>
    </row>
    <row r="700" ht="15" customHeight="1">
      <c r="A700" t="inlineStr">
        <is>
          <t>A 52995-2022</t>
        </is>
      </c>
      <c r="B700" s="1" t="n">
        <v>44875</v>
      </c>
      <c r="C700" s="1" t="n">
        <v>45672</v>
      </c>
      <c r="D700" t="inlineStr">
        <is>
          <t>VÄSTERBOTTENS LÄN</t>
        </is>
      </c>
      <c r="E700" t="inlineStr">
        <is>
          <t>VILHELMINA</t>
        </is>
      </c>
      <c r="G700" t="n">
        <v>1.4</v>
      </c>
      <c r="H700" t="n">
        <v>0</v>
      </c>
      <c r="I700" t="n">
        <v>0</v>
      </c>
      <c r="J700" t="n">
        <v>0</v>
      </c>
      <c r="K700" t="n">
        <v>0</v>
      </c>
      <c r="L700" t="n">
        <v>0</v>
      </c>
      <c r="M700" t="n">
        <v>0</v>
      </c>
      <c r="N700" t="n">
        <v>0</v>
      </c>
      <c r="O700" t="n">
        <v>0</v>
      </c>
      <c r="P700" t="n">
        <v>0</v>
      </c>
      <c r="Q700" t="n">
        <v>0</v>
      </c>
      <c r="R700" s="2" t="inlineStr"/>
    </row>
    <row r="701" ht="15" customHeight="1">
      <c r="A701" t="inlineStr">
        <is>
          <t>A 53652-2022</t>
        </is>
      </c>
      <c r="B701" s="1" t="n">
        <v>44879</v>
      </c>
      <c r="C701" s="1" t="n">
        <v>45672</v>
      </c>
      <c r="D701" t="inlineStr">
        <is>
          <t>VÄSTERBOTTENS LÄN</t>
        </is>
      </c>
      <c r="E701" t="inlineStr">
        <is>
          <t>VILHELMINA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53654-2022</t>
        </is>
      </c>
      <c r="B702" s="1" t="n">
        <v>44879</v>
      </c>
      <c r="C702" s="1" t="n">
        <v>45672</v>
      </c>
      <c r="D702" t="inlineStr">
        <is>
          <t>VÄSTERBOTTENS LÄN</t>
        </is>
      </c>
      <c r="E702" t="inlineStr">
        <is>
          <t>VILHELMINA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53658-2022</t>
        </is>
      </c>
      <c r="B703" s="1" t="n">
        <v>44879</v>
      </c>
      <c r="C703" s="1" t="n">
        <v>45672</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54729-2022</t>
        </is>
      </c>
      <c r="B704" s="1" t="n">
        <v>44881</v>
      </c>
      <c r="C704" s="1" t="n">
        <v>45672</v>
      </c>
      <c r="D704" t="inlineStr">
        <is>
          <t>VÄSTERBOTTENS LÄN</t>
        </is>
      </c>
      <c r="E704" t="inlineStr">
        <is>
          <t>VILHELMINA</t>
        </is>
      </c>
      <c r="G704" t="n">
        <v>19.2</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45672</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55870-2022</t>
        </is>
      </c>
      <c r="B706" s="1" t="n">
        <v>44888</v>
      </c>
      <c r="C706" s="1" t="n">
        <v>45672</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56154-2022</t>
        </is>
      </c>
      <c r="B707" s="1" t="n">
        <v>44889</v>
      </c>
      <c r="C707" s="1" t="n">
        <v>45672</v>
      </c>
      <c r="D707" t="inlineStr">
        <is>
          <t>VÄSTERBOTTENS LÄN</t>
        </is>
      </c>
      <c r="E707" t="inlineStr">
        <is>
          <t>VILHELMINA</t>
        </is>
      </c>
      <c r="G707" t="n">
        <v>30</v>
      </c>
      <c r="H707" t="n">
        <v>0</v>
      </c>
      <c r="I707" t="n">
        <v>0</v>
      </c>
      <c r="J707" t="n">
        <v>0</v>
      </c>
      <c r="K707" t="n">
        <v>0</v>
      </c>
      <c r="L707" t="n">
        <v>0</v>
      </c>
      <c r="M707" t="n">
        <v>0</v>
      </c>
      <c r="N707" t="n">
        <v>0</v>
      </c>
      <c r="O707" t="n">
        <v>0</v>
      </c>
      <c r="P707" t="n">
        <v>0</v>
      </c>
      <c r="Q707" t="n">
        <v>0</v>
      </c>
      <c r="R707" s="2" t="inlineStr"/>
    </row>
    <row r="708" ht="15" customHeight="1">
      <c r="A708" t="inlineStr">
        <is>
          <t>A 56153-2022</t>
        </is>
      </c>
      <c r="B708" s="1" t="n">
        <v>44889</v>
      </c>
      <c r="C708" s="1" t="n">
        <v>45672</v>
      </c>
      <c r="D708" t="inlineStr">
        <is>
          <t>VÄSTERBOTTENS LÄN</t>
        </is>
      </c>
      <c r="E708" t="inlineStr">
        <is>
          <t>VILHELMINA</t>
        </is>
      </c>
      <c r="G708" t="n">
        <v>31.6</v>
      </c>
      <c r="H708" t="n">
        <v>0</v>
      </c>
      <c r="I708" t="n">
        <v>0</v>
      </c>
      <c r="J708" t="n">
        <v>0</v>
      </c>
      <c r="K708" t="n">
        <v>0</v>
      </c>
      <c r="L708" t="n">
        <v>0</v>
      </c>
      <c r="M708" t="n">
        <v>0</v>
      </c>
      <c r="N708" t="n">
        <v>0</v>
      </c>
      <c r="O708" t="n">
        <v>0</v>
      </c>
      <c r="P708" t="n">
        <v>0</v>
      </c>
      <c r="Q708" t="n">
        <v>0</v>
      </c>
      <c r="R708" s="2" t="inlineStr"/>
    </row>
    <row r="709" ht="15" customHeight="1">
      <c r="A709" t="inlineStr">
        <is>
          <t>A 56173-2022</t>
        </is>
      </c>
      <c r="B709" s="1" t="n">
        <v>44889</v>
      </c>
      <c r="C709" s="1" t="n">
        <v>45672</v>
      </c>
      <c r="D709" t="inlineStr">
        <is>
          <t>VÄSTERBOTTENS LÄN</t>
        </is>
      </c>
      <c r="E709" t="inlineStr">
        <is>
          <t>VILHELMINA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56174-2022</t>
        </is>
      </c>
      <c r="B710" s="1" t="n">
        <v>44889</v>
      </c>
      <c r="C710" s="1" t="n">
        <v>45672</v>
      </c>
      <c r="D710" t="inlineStr">
        <is>
          <t>VÄSTERBOTTENS LÄN</t>
        </is>
      </c>
      <c r="E710" t="inlineStr">
        <is>
          <t>VILHELMINA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56179-2022</t>
        </is>
      </c>
      <c r="B711" s="1" t="n">
        <v>44889</v>
      </c>
      <c r="C711" s="1" t="n">
        <v>45672</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57332-2022</t>
        </is>
      </c>
      <c r="B712" s="1" t="n">
        <v>44889</v>
      </c>
      <c r="C712" s="1" t="n">
        <v>45672</v>
      </c>
      <c r="D712" t="inlineStr">
        <is>
          <t>VÄSTERBOTTENS LÄN</t>
        </is>
      </c>
      <c r="E712" t="inlineStr">
        <is>
          <t>VILHELMINA</t>
        </is>
      </c>
      <c r="G712" t="n">
        <v>5.1</v>
      </c>
      <c r="H712" t="n">
        <v>0</v>
      </c>
      <c r="I712" t="n">
        <v>0</v>
      </c>
      <c r="J712" t="n">
        <v>0</v>
      </c>
      <c r="K712" t="n">
        <v>0</v>
      </c>
      <c r="L712" t="n">
        <v>0</v>
      </c>
      <c r="M712" t="n">
        <v>0</v>
      </c>
      <c r="N712" t="n">
        <v>0</v>
      </c>
      <c r="O712" t="n">
        <v>0</v>
      </c>
      <c r="P712" t="n">
        <v>0</v>
      </c>
      <c r="Q712" t="n">
        <v>0</v>
      </c>
      <c r="R712" s="2" t="inlineStr"/>
    </row>
    <row r="713" ht="15" customHeight="1">
      <c r="A713" t="inlineStr">
        <is>
          <t>A 57324-2022</t>
        </is>
      </c>
      <c r="B713" s="1" t="n">
        <v>44889</v>
      </c>
      <c r="C713" s="1" t="n">
        <v>45672</v>
      </c>
      <c r="D713" t="inlineStr">
        <is>
          <t>VÄSTERBOTTENS LÄN</t>
        </is>
      </c>
      <c r="E713" t="inlineStr">
        <is>
          <t>VILHELMINA</t>
        </is>
      </c>
      <c r="G713" t="n">
        <v>1.7</v>
      </c>
      <c r="H713" t="n">
        <v>0</v>
      </c>
      <c r="I713" t="n">
        <v>0</v>
      </c>
      <c r="J713" t="n">
        <v>0</v>
      </c>
      <c r="K713" t="n">
        <v>0</v>
      </c>
      <c r="L713" t="n">
        <v>0</v>
      </c>
      <c r="M713" t="n">
        <v>0</v>
      </c>
      <c r="N713" t="n">
        <v>0</v>
      </c>
      <c r="O713" t="n">
        <v>0</v>
      </c>
      <c r="P713" t="n">
        <v>0</v>
      </c>
      <c r="Q713" t="n">
        <v>0</v>
      </c>
      <c r="R713" s="2" t="inlineStr"/>
    </row>
    <row r="714" ht="15" customHeight="1">
      <c r="A714" t="inlineStr">
        <is>
          <t>A 57328-2022</t>
        </is>
      </c>
      <c r="B714" s="1" t="n">
        <v>44889</v>
      </c>
      <c r="C714" s="1" t="n">
        <v>45672</v>
      </c>
      <c r="D714" t="inlineStr">
        <is>
          <t>VÄSTERBOTTENS LÄN</t>
        </is>
      </c>
      <c r="E714" t="inlineStr">
        <is>
          <t>VILHELMINA</t>
        </is>
      </c>
      <c r="G714" t="n">
        <v>9.5</v>
      </c>
      <c r="H714" t="n">
        <v>0</v>
      </c>
      <c r="I714" t="n">
        <v>0</v>
      </c>
      <c r="J714" t="n">
        <v>0</v>
      </c>
      <c r="K714" t="n">
        <v>0</v>
      </c>
      <c r="L714" t="n">
        <v>0</v>
      </c>
      <c r="M714" t="n">
        <v>0</v>
      </c>
      <c r="N714" t="n">
        <v>0</v>
      </c>
      <c r="O714" t="n">
        <v>0</v>
      </c>
      <c r="P714" t="n">
        <v>0</v>
      </c>
      <c r="Q714" t="n">
        <v>0</v>
      </c>
      <c r="R714" s="2" t="inlineStr"/>
    </row>
    <row r="715" ht="15" customHeight="1">
      <c r="A715" t="inlineStr">
        <is>
          <t>A 57339-2022</t>
        </is>
      </c>
      <c r="B715" s="1" t="n">
        <v>44889</v>
      </c>
      <c r="C715" s="1" t="n">
        <v>45672</v>
      </c>
      <c r="D715" t="inlineStr">
        <is>
          <t>VÄSTERBOTTENS LÄN</t>
        </is>
      </c>
      <c r="E715" t="inlineStr">
        <is>
          <t>VILHELMINA</t>
        </is>
      </c>
      <c r="G715" t="n">
        <v>33.1</v>
      </c>
      <c r="H715" t="n">
        <v>0</v>
      </c>
      <c r="I715" t="n">
        <v>0</v>
      </c>
      <c r="J715" t="n">
        <v>0</v>
      </c>
      <c r="K715" t="n">
        <v>0</v>
      </c>
      <c r="L715" t="n">
        <v>0</v>
      </c>
      <c r="M715" t="n">
        <v>0</v>
      </c>
      <c r="N715" t="n">
        <v>0</v>
      </c>
      <c r="O715" t="n">
        <v>0</v>
      </c>
      <c r="P715" t="n">
        <v>0</v>
      </c>
      <c r="Q715" t="n">
        <v>0</v>
      </c>
      <c r="R715" s="2" t="inlineStr"/>
    </row>
    <row r="716" ht="15" customHeight="1">
      <c r="A716" t="inlineStr">
        <is>
          <t>A 56408-2022</t>
        </is>
      </c>
      <c r="B716" s="1" t="n">
        <v>44890</v>
      </c>
      <c r="C716" s="1" t="n">
        <v>45672</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56396-2022</t>
        </is>
      </c>
      <c r="B717" s="1" t="n">
        <v>44890</v>
      </c>
      <c r="C717" s="1" t="n">
        <v>45672</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56405-2022</t>
        </is>
      </c>
      <c r="B718" s="1" t="n">
        <v>44890</v>
      </c>
      <c r="C718" s="1" t="n">
        <v>45672</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56409-2022</t>
        </is>
      </c>
      <c r="B719" s="1" t="n">
        <v>44890</v>
      </c>
      <c r="C719" s="1" t="n">
        <v>45672</v>
      </c>
      <c r="D719" t="inlineStr">
        <is>
          <t>VÄSTERBOTTENS LÄN</t>
        </is>
      </c>
      <c r="E719" t="inlineStr">
        <is>
          <t>VILHELMINA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56407-2022</t>
        </is>
      </c>
      <c r="B720" s="1" t="n">
        <v>44890</v>
      </c>
      <c r="C720" s="1" t="n">
        <v>45672</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56406-2022</t>
        </is>
      </c>
      <c r="B721" s="1" t="n">
        <v>44890</v>
      </c>
      <c r="C721" s="1" t="n">
        <v>45672</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56733-2022</t>
        </is>
      </c>
      <c r="B722" s="1" t="n">
        <v>44893</v>
      </c>
      <c r="C722" s="1" t="n">
        <v>45672</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57586-2022</t>
        </is>
      </c>
      <c r="B723" s="1" t="n">
        <v>44896</v>
      </c>
      <c r="C723" s="1" t="n">
        <v>45672</v>
      </c>
      <c r="D723" t="inlineStr">
        <is>
          <t>VÄSTERBOTTENS LÄN</t>
        </is>
      </c>
      <c r="E723" t="inlineStr">
        <is>
          <t>VILHELMINA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58938-2022</t>
        </is>
      </c>
      <c r="B724" s="1" t="n">
        <v>44896</v>
      </c>
      <c r="C724" s="1" t="n">
        <v>45672</v>
      </c>
      <c r="D724" t="inlineStr">
        <is>
          <t>VÄSTERBOTTENS LÄN</t>
        </is>
      </c>
      <c r="E724" t="inlineStr">
        <is>
          <t>VILHELMINA</t>
        </is>
      </c>
      <c r="G724" t="n">
        <v>4.1</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45672</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58720-2022</t>
        </is>
      </c>
      <c r="B726" s="1" t="n">
        <v>44902</v>
      </c>
      <c r="C726" s="1" t="n">
        <v>45672</v>
      </c>
      <c r="D726" t="inlineStr">
        <is>
          <t>VÄSTERBOTTENS LÄN</t>
        </is>
      </c>
      <c r="E726" t="inlineStr">
        <is>
          <t>VILHELMINA</t>
        </is>
      </c>
      <c r="G726" t="n">
        <v>6.7</v>
      </c>
      <c r="H726" t="n">
        <v>0</v>
      </c>
      <c r="I726" t="n">
        <v>0</v>
      </c>
      <c r="J726" t="n">
        <v>0</v>
      </c>
      <c r="K726" t="n">
        <v>0</v>
      </c>
      <c r="L726" t="n">
        <v>0</v>
      </c>
      <c r="M726" t="n">
        <v>0</v>
      </c>
      <c r="N726" t="n">
        <v>0</v>
      </c>
      <c r="O726" t="n">
        <v>0</v>
      </c>
      <c r="P726" t="n">
        <v>0</v>
      </c>
      <c r="Q726" t="n">
        <v>0</v>
      </c>
      <c r="R726" s="2" t="inlineStr"/>
    </row>
    <row r="727" ht="15" customHeight="1">
      <c r="A727" t="inlineStr">
        <is>
          <t>A 58739-2022</t>
        </is>
      </c>
      <c r="B727" s="1" t="n">
        <v>44902</v>
      </c>
      <c r="C727" s="1" t="n">
        <v>45672</v>
      </c>
      <c r="D727" t="inlineStr">
        <is>
          <t>VÄSTERBOTTENS LÄN</t>
        </is>
      </c>
      <c r="E727" t="inlineStr">
        <is>
          <t>VILHELMINA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59030-2022</t>
        </is>
      </c>
      <c r="B728" s="1" t="n">
        <v>44903</v>
      </c>
      <c r="C728" s="1" t="n">
        <v>45672</v>
      </c>
      <c r="D728" t="inlineStr">
        <is>
          <t>VÄSTERBOTTENS LÄN</t>
        </is>
      </c>
      <c r="E728" t="inlineStr">
        <is>
          <t>VILHELMINA</t>
        </is>
      </c>
      <c r="G728" t="n">
        <v>17.8</v>
      </c>
      <c r="H728" t="n">
        <v>0</v>
      </c>
      <c r="I728" t="n">
        <v>0</v>
      </c>
      <c r="J728" t="n">
        <v>0</v>
      </c>
      <c r="K728" t="n">
        <v>0</v>
      </c>
      <c r="L728" t="n">
        <v>0</v>
      </c>
      <c r="M728" t="n">
        <v>0</v>
      </c>
      <c r="N728" t="n">
        <v>0</v>
      </c>
      <c r="O728" t="n">
        <v>0</v>
      </c>
      <c r="P728" t="n">
        <v>0</v>
      </c>
      <c r="Q728" t="n">
        <v>0</v>
      </c>
      <c r="R728" s="2" t="inlineStr"/>
    </row>
    <row r="729" ht="15" customHeight="1">
      <c r="A729" t="inlineStr">
        <is>
          <t>A 60227-2022</t>
        </is>
      </c>
      <c r="B729" s="1" t="n">
        <v>44903</v>
      </c>
      <c r="C729" s="1" t="n">
        <v>45672</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60137-2022</t>
        </is>
      </c>
      <c r="B730" s="1" t="n">
        <v>44909</v>
      </c>
      <c r="C730" s="1" t="n">
        <v>45672</v>
      </c>
      <c r="D730" t="inlineStr">
        <is>
          <t>VÄSTERBOTTENS LÄN</t>
        </is>
      </c>
      <c r="E730" t="inlineStr">
        <is>
          <t>VILHELMINA</t>
        </is>
      </c>
      <c r="G730" t="n">
        <v>3.2</v>
      </c>
      <c r="H730" t="n">
        <v>0</v>
      </c>
      <c r="I730" t="n">
        <v>0</v>
      </c>
      <c r="J730" t="n">
        <v>0</v>
      </c>
      <c r="K730" t="n">
        <v>0</v>
      </c>
      <c r="L730" t="n">
        <v>0</v>
      </c>
      <c r="M730" t="n">
        <v>0</v>
      </c>
      <c r="N730" t="n">
        <v>0</v>
      </c>
      <c r="O730" t="n">
        <v>0</v>
      </c>
      <c r="P730" t="n">
        <v>0</v>
      </c>
      <c r="Q730" t="n">
        <v>0</v>
      </c>
      <c r="R730" s="2" t="inlineStr"/>
    </row>
    <row r="731" ht="15" customHeight="1">
      <c r="A731" t="inlineStr">
        <is>
          <t>A 61270-2022</t>
        </is>
      </c>
      <c r="B731" s="1" t="n">
        <v>44909</v>
      </c>
      <c r="C731" s="1" t="n">
        <v>45672</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v>
      </c>
      <c r="C732" s="1" t="n">
        <v>45672</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60549-2022</t>
        </is>
      </c>
      <c r="B733" s="1" t="n">
        <v>44911</v>
      </c>
      <c r="C733" s="1" t="n">
        <v>45672</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61048-2022</t>
        </is>
      </c>
      <c r="B734" s="1" t="n">
        <v>44914</v>
      </c>
      <c r="C734" s="1" t="n">
        <v>45672</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61668-2022</t>
        </is>
      </c>
      <c r="B735" s="1" t="n">
        <v>44917</v>
      </c>
      <c r="C735" s="1" t="n">
        <v>45672</v>
      </c>
      <c r="D735" t="inlineStr">
        <is>
          <t>VÄSTERBOTTENS LÄN</t>
        </is>
      </c>
      <c r="E735" t="inlineStr">
        <is>
          <t>VILHELMINA</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61695-2022</t>
        </is>
      </c>
      <c r="B736" s="1" t="n">
        <v>44917</v>
      </c>
      <c r="C736" s="1" t="n">
        <v>45672</v>
      </c>
      <c r="D736" t="inlineStr">
        <is>
          <t>VÄSTERBOTTENS LÄN</t>
        </is>
      </c>
      <c r="E736" t="inlineStr">
        <is>
          <t>VILHELMINA</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62630-2022</t>
        </is>
      </c>
      <c r="B737" s="1" t="n">
        <v>44917</v>
      </c>
      <c r="C737" s="1" t="n">
        <v>45672</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62543-2022</t>
        </is>
      </c>
      <c r="B738" s="1" t="n">
        <v>44917</v>
      </c>
      <c r="C738" s="1" t="n">
        <v>45672</v>
      </c>
      <c r="D738" t="inlineStr">
        <is>
          <t>VÄSTERBOTTENS LÄN</t>
        </is>
      </c>
      <c r="E738" t="inlineStr">
        <is>
          <t>VILHELMINA</t>
        </is>
      </c>
      <c r="G738" t="n">
        <v>8.1</v>
      </c>
      <c r="H738" t="n">
        <v>0</v>
      </c>
      <c r="I738" t="n">
        <v>0</v>
      </c>
      <c r="J738" t="n">
        <v>0</v>
      </c>
      <c r="K738" t="n">
        <v>0</v>
      </c>
      <c r="L738" t="n">
        <v>0</v>
      </c>
      <c r="M738" t="n">
        <v>0</v>
      </c>
      <c r="N738" t="n">
        <v>0</v>
      </c>
      <c r="O738" t="n">
        <v>0</v>
      </c>
      <c r="P738" t="n">
        <v>0</v>
      </c>
      <c r="Q738" t="n">
        <v>0</v>
      </c>
      <c r="R738" s="2" t="inlineStr"/>
    </row>
    <row r="739" ht="15" customHeight="1">
      <c r="A739" t="inlineStr">
        <is>
          <t>A 62110-2022</t>
        </is>
      </c>
      <c r="B739" s="1" t="n">
        <v>44920</v>
      </c>
      <c r="C739" s="1" t="n">
        <v>45672</v>
      </c>
      <c r="D739" t="inlineStr">
        <is>
          <t>VÄSTERBOTTENS LÄN</t>
        </is>
      </c>
      <c r="E739" t="inlineStr">
        <is>
          <t>VILHELMINA</t>
        </is>
      </c>
      <c r="G739" t="n">
        <v>4.5</v>
      </c>
      <c r="H739" t="n">
        <v>0</v>
      </c>
      <c r="I739" t="n">
        <v>0</v>
      </c>
      <c r="J739" t="n">
        <v>0</v>
      </c>
      <c r="K739" t="n">
        <v>0</v>
      </c>
      <c r="L739" t="n">
        <v>0</v>
      </c>
      <c r="M739" t="n">
        <v>0</v>
      </c>
      <c r="N739" t="n">
        <v>0</v>
      </c>
      <c r="O739" t="n">
        <v>0</v>
      </c>
      <c r="P739" t="n">
        <v>0</v>
      </c>
      <c r="Q739" t="n">
        <v>0</v>
      </c>
      <c r="R739" s="2" t="inlineStr"/>
    </row>
    <row r="740" ht="15" customHeight="1">
      <c r="A740" t="inlineStr">
        <is>
          <t>A 62404-2022</t>
        </is>
      </c>
      <c r="B740" s="1" t="n">
        <v>44923</v>
      </c>
      <c r="C740" s="1" t="n">
        <v>45672</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62405-2022</t>
        </is>
      </c>
      <c r="B741" s="1" t="n">
        <v>44923</v>
      </c>
      <c r="C741" s="1" t="n">
        <v>45672</v>
      </c>
      <c r="D741" t="inlineStr">
        <is>
          <t>VÄSTERBOTTENS LÄN</t>
        </is>
      </c>
      <c r="E741" t="inlineStr">
        <is>
          <t>VILHELMINA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402-2023</t>
        </is>
      </c>
      <c r="B742" s="1" t="n">
        <v>44923</v>
      </c>
      <c r="C742" s="1" t="n">
        <v>45672</v>
      </c>
      <c r="D742" t="inlineStr">
        <is>
          <t>VÄSTERBOTTENS LÄN</t>
        </is>
      </c>
      <c r="E742" t="inlineStr">
        <is>
          <t>VILHELMINA</t>
        </is>
      </c>
      <c r="G742" t="n">
        <v>14.7</v>
      </c>
      <c r="H742" t="n">
        <v>0</v>
      </c>
      <c r="I742" t="n">
        <v>0</v>
      </c>
      <c r="J742" t="n">
        <v>0</v>
      </c>
      <c r="K742" t="n">
        <v>0</v>
      </c>
      <c r="L742" t="n">
        <v>0</v>
      </c>
      <c r="M742" t="n">
        <v>0</v>
      </c>
      <c r="N742" t="n">
        <v>0</v>
      </c>
      <c r="O742" t="n">
        <v>0</v>
      </c>
      <c r="P742" t="n">
        <v>0</v>
      </c>
      <c r="Q742" t="n">
        <v>0</v>
      </c>
      <c r="R742" s="2" t="inlineStr"/>
    </row>
    <row r="743" ht="15" customHeight="1">
      <c r="A743" t="inlineStr">
        <is>
          <t>A 288-2023</t>
        </is>
      </c>
      <c r="B743" s="1" t="n">
        <v>44928</v>
      </c>
      <c r="C743" s="1" t="n">
        <v>45672</v>
      </c>
      <c r="D743" t="inlineStr">
        <is>
          <t>VÄSTERBOTTENS LÄN</t>
        </is>
      </c>
      <c r="E743" t="inlineStr">
        <is>
          <t>VILHELMINA</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701-2023</t>
        </is>
      </c>
      <c r="B744" s="1" t="n">
        <v>44930</v>
      </c>
      <c r="C744" s="1" t="n">
        <v>45672</v>
      </c>
      <c r="D744" t="inlineStr">
        <is>
          <t>VÄSTERBOTTENS LÄN</t>
        </is>
      </c>
      <c r="E744" t="inlineStr">
        <is>
          <t>VILHELMINA</t>
        </is>
      </c>
      <c r="G744" t="n">
        <v>11.5</v>
      </c>
      <c r="H744" t="n">
        <v>0</v>
      </c>
      <c r="I744" t="n">
        <v>0</v>
      </c>
      <c r="J744" t="n">
        <v>0</v>
      </c>
      <c r="K744" t="n">
        <v>0</v>
      </c>
      <c r="L744" t="n">
        <v>0</v>
      </c>
      <c r="M744" t="n">
        <v>0</v>
      </c>
      <c r="N744" t="n">
        <v>0</v>
      </c>
      <c r="O744" t="n">
        <v>0</v>
      </c>
      <c r="P744" t="n">
        <v>0</v>
      </c>
      <c r="Q744" t="n">
        <v>0</v>
      </c>
      <c r="R744" s="2" t="inlineStr"/>
    </row>
    <row r="745" ht="15" customHeight="1">
      <c r="A745" t="inlineStr">
        <is>
          <t>A 1035-2023</t>
        </is>
      </c>
      <c r="B745" s="1" t="n">
        <v>44935</v>
      </c>
      <c r="C745" s="1" t="n">
        <v>45672</v>
      </c>
      <c r="D745" t="inlineStr">
        <is>
          <t>VÄSTERBOTTENS LÄN</t>
        </is>
      </c>
      <c r="E745" t="inlineStr">
        <is>
          <t>VILHELMINA</t>
        </is>
      </c>
      <c r="G745" t="n">
        <v>10.4</v>
      </c>
      <c r="H745" t="n">
        <v>0</v>
      </c>
      <c r="I745" t="n">
        <v>0</v>
      </c>
      <c r="J745" t="n">
        <v>0</v>
      </c>
      <c r="K745" t="n">
        <v>0</v>
      </c>
      <c r="L745" t="n">
        <v>0</v>
      </c>
      <c r="M745" t="n">
        <v>0</v>
      </c>
      <c r="N745" t="n">
        <v>0</v>
      </c>
      <c r="O745" t="n">
        <v>0</v>
      </c>
      <c r="P745" t="n">
        <v>0</v>
      </c>
      <c r="Q745" t="n">
        <v>0</v>
      </c>
      <c r="R745" s="2" t="inlineStr"/>
    </row>
    <row r="746" ht="15" customHeight="1">
      <c r="A746" t="inlineStr">
        <is>
          <t>A 1776-2023</t>
        </is>
      </c>
      <c r="B746" s="1" t="n">
        <v>44936</v>
      </c>
      <c r="C746" s="1" t="n">
        <v>45672</v>
      </c>
      <c r="D746" t="inlineStr">
        <is>
          <t>VÄSTERBOTTENS LÄN</t>
        </is>
      </c>
      <c r="E746" t="inlineStr">
        <is>
          <t>VILHELMINA</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1763-2023</t>
        </is>
      </c>
      <c r="B747" s="1" t="n">
        <v>44938</v>
      </c>
      <c r="C747" s="1" t="n">
        <v>45672</v>
      </c>
      <c r="D747" t="inlineStr">
        <is>
          <t>VÄSTERBOTTENS LÄN</t>
        </is>
      </c>
      <c r="E747" t="inlineStr">
        <is>
          <t>VILHELMINA</t>
        </is>
      </c>
      <c r="G747" t="n">
        <v>69.3</v>
      </c>
      <c r="H747" t="n">
        <v>0</v>
      </c>
      <c r="I747" t="n">
        <v>0</v>
      </c>
      <c r="J747" t="n">
        <v>0</v>
      </c>
      <c r="K747" t="n">
        <v>0</v>
      </c>
      <c r="L747" t="n">
        <v>0</v>
      </c>
      <c r="M747" t="n">
        <v>0</v>
      </c>
      <c r="N747" t="n">
        <v>0</v>
      </c>
      <c r="O747" t="n">
        <v>0</v>
      </c>
      <c r="P747" t="n">
        <v>0</v>
      </c>
      <c r="Q747" t="n">
        <v>0</v>
      </c>
      <c r="R747" s="2" t="inlineStr"/>
    </row>
    <row r="748" ht="15" customHeight="1">
      <c r="A748" t="inlineStr">
        <is>
          <t>A 1766-2023</t>
        </is>
      </c>
      <c r="B748" s="1" t="n">
        <v>44938</v>
      </c>
      <c r="C748" s="1" t="n">
        <v>45672</v>
      </c>
      <c r="D748" t="inlineStr">
        <is>
          <t>VÄSTERBOTTENS LÄN</t>
        </is>
      </c>
      <c r="E748" t="inlineStr">
        <is>
          <t>VILHELMINA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2031-2023</t>
        </is>
      </c>
      <c r="B749" s="1" t="n">
        <v>44939</v>
      </c>
      <c r="C749" s="1" t="n">
        <v>45672</v>
      </c>
      <c r="D749" t="inlineStr">
        <is>
          <t>VÄSTERBOTTENS LÄN</t>
        </is>
      </c>
      <c r="E749" t="inlineStr">
        <is>
          <t>VILHELMINA</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2074-2023</t>
        </is>
      </c>
      <c r="B750" s="1" t="n">
        <v>44939</v>
      </c>
      <c r="C750" s="1" t="n">
        <v>45672</v>
      </c>
      <c r="D750" t="inlineStr">
        <is>
          <t>VÄSTERBOTTENS LÄN</t>
        </is>
      </c>
      <c r="E750" t="inlineStr">
        <is>
          <t>VILHELMINA</t>
        </is>
      </c>
      <c r="G750" t="n">
        <v>6.2</v>
      </c>
      <c r="H750" t="n">
        <v>0</v>
      </c>
      <c r="I750" t="n">
        <v>0</v>
      </c>
      <c r="J750" t="n">
        <v>0</v>
      </c>
      <c r="K750" t="n">
        <v>0</v>
      </c>
      <c r="L750" t="n">
        <v>0</v>
      </c>
      <c r="M750" t="n">
        <v>0</v>
      </c>
      <c r="N750" t="n">
        <v>0</v>
      </c>
      <c r="O750" t="n">
        <v>0</v>
      </c>
      <c r="P750" t="n">
        <v>0</v>
      </c>
      <c r="Q750" t="n">
        <v>0</v>
      </c>
      <c r="R750" s="2" t="inlineStr"/>
    </row>
    <row r="751" ht="15" customHeight="1">
      <c r="A751" t="inlineStr">
        <is>
          <t>A 2054-2023</t>
        </is>
      </c>
      <c r="B751" s="1" t="n">
        <v>44939</v>
      </c>
      <c r="C751" s="1" t="n">
        <v>45672</v>
      </c>
      <c r="D751" t="inlineStr">
        <is>
          <t>VÄSTERBOTTENS LÄN</t>
        </is>
      </c>
      <c r="E751" t="inlineStr">
        <is>
          <t>VILHELMINA</t>
        </is>
      </c>
      <c r="F751" t="inlineStr">
        <is>
          <t>Sveaskog</t>
        </is>
      </c>
      <c r="G751" t="n">
        <v>19.2</v>
      </c>
      <c r="H751" t="n">
        <v>0</v>
      </c>
      <c r="I751" t="n">
        <v>0</v>
      </c>
      <c r="J751" t="n">
        <v>0</v>
      </c>
      <c r="K751" t="n">
        <v>0</v>
      </c>
      <c r="L751" t="n">
        <v>0</v>
      </c>
      <c r="M751" t="n">
        <v>0</v>
      </c>
      <c r="N751" t="n">
        <v>0</v>
      </c>
      <c r="O751" t="n">
        <v>0</v>
      </c>
      <c r="P751" t="n">
        <v>0</v>
      </c>
      <c r="Q751" t="n">
        <v>0</v>
      </c>
      <c r="R751" s="2" t="inlineStr"/>
    </row>
    <row r="752" ht="15" customHeight="1">
      <c r="A752" t="inlineStr">
        <is>
          <t>A 2034-2023</t>
        </is>
      </c>
      <c r="B752" s="1" t="n">
        <v>44939</v>
      </c>
      <c r="C752" s="1" t="n">
        <v>45672</v>
      </c>
      <c r="D752" t="inlineStr">
        <is>
          <t>VÄSTERBOTTENS LÄN</t>
        </is>
      </c>
      <c r="E752" t="inlineStr">
        <is>
          <t>VILHELMINA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2125-2023</t>
        </is>
      </c>
      <c r="B753" s="1" t="n">
        <v>44939</v>
      </c>
      <c r="C753" s="1" t="n">
        <v>45672</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2043-2023</t>
        </is>
      </c>
      <c r="B754" s="1" t="n">
        <v>44939</v>
      </c>
      <c r="C754" s="1" t="n">
        <v>45672</v>
      </c>
      <c r="D754" t="inlineStr">
        <is>
          <t>VÄSTERBOTTENS LÄN</t>
        </is>
      </c>
      <c r="E754" t="inlineStr">
        <is>
          <t>VILHELMINA</t>
        </is>
      </c>
      <c r="F754" t="inlineStr">
        <is>
          <t>Sveaskog</t>
        </is>
      </c>
      <c r="G754" t="n">
        <v>10.5</v>
      </c>
      <c r="H754" t="n">
        <v>0</v>
      </c>
      <c r="I754" t="n">
        <v>0</v>
      </c>
      <c r="J754" t="n">
        <v>0</v>
      </c>
      <c r="K754" t="n">
        <v>0</v>
      </c>
      <c r="L754" t="n">
        <v>0</v>
      </c>
      <c r="M754" t="n">
        <v>0</v>
      </c>
      <c r="N754" t="n">
        <v>0</v>
      </c>
      <c r="O754" t="n">
        <v>0</v>
      </c>
      <c r="P754" t="n">
        <v>0</v>
      </c>
      <c r="Q754" t="n">
        <v>0</v>
      </c>
      <c r="R754" s="2" t="inlineStr"/>
    </row>
    <row r="755" ht="15" customHeight="1">
      <c r="A755" t="inlineStr">
        <is>
          <t>A 2123-2023</t>
        </is>
      </c>
      <c r="B755" s="1" t="n">
        <v>44939</v>
      </c>
      <c r="C755" s="1" t="n">
        <v>45672</v>
      </c>
      <c r="D755" t="inlineStr">
        <is>
          <t>VÄSTERBOTTENS LÄN</t>
        </is>
      </c>
      <c r="E755" t="inlineStr">
        <is>
          <t>VILHELMINA</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2075-2023</t>
        </is>
      </c>
      <c r="B756" s="1" t="n">
        <v>44939</v>
      </c>
      <c r="C756" s="1" t="n">
        <v>45672</v>
      </c>
      <c r="D756" t="inlineStr">
        <is>
          <t>VÄSTERBOTTENS LÄN</t>
        </is>
      </c>
      <c r="E756" t="inlineStr">
        <is>
          <t>VILHELMINA</t>
        </is>
      </c>
      <c r="G756" t="n">
        <v>8</v>
      </c>
      <c r="H756" t="n">
        <v>0</v>
      </c>
      <c r="I756" t="n">
        <v>0</v>
      </c>
      <c r="J756" t="n">
        <v>0</v>
      </c>
      <c r="K756" t="n">
        <v>0</v>
      </c>
      <c r="L756" t="n">
        <v>0</v>
      </c>
      <c r="M756" t="n">
        <v>0</v>
      </c>
      <c r="N756" t="n">
        <v>0</v>
      </c>
      <c r="O756" t="n">
        <v>0</v>
      </c>
      <c r="P756" t="n">
        <v>0</v>
      </c>
      <c r="Q756" t="n">
        <v>0</v>
      </c>
      <c r="R756" s="2" t="inlineStr"/>
    </row>
    <row r="757" ht="15" customHeight="1">
      <c r="A757" t="inlineStr">
        <is>
          <t>A 2082-2023</t>
        </is>
      </c>
      <c r="B757" s="1" t="n">
        <v>44939</v>
      </c>
      <c r="C757" s="1" t="n">
        <v>45672</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2124-2023</t>
        </is>
      </c>
      <c r="B758" s="1" t="n">
        <v>44939</v>
      </c>
      <c r="C758" s="1" t="n">
        <v>45672</v>
      </c>
      <c r="D758" t="inlineStr">
        <is>
          <t>VÄSTERBOTTENS LÄN</t>
        </is>
      </c>
      <c r="E758" t="inlineStr">
        <is>
          <t>VILHELMINA</t>
        </is>
      </c>
      <c r="F758" t="inlineStr">
        <is>
          <t>SCA</t>
        </is>
      </c>
      <c r="G758" t="n">
        <v>28.8</v>
      </c>
      <c r="H758" t="n">
        <v>0</v>
      </c>
      <c r="I758" t="n">
        <v>0</v>
      </c>
      <c r="J758" t="n">
        <v>0</v>
      </c>
      <c r="K758" t="n">
        <v>0</v>
      </c>
      <c r="L758" t="n">
        <v>0</v>
      </c>
      <c r="M758" t="n">
        <v>0</v>
      </c>
      <c r="N758" t="n">
        <v>0</v>
      </c>
      <c r="O758" t="n">
        <v>0</v>
      </c>
      <c r="P758" t="n">
        <v>0</v>
      </c>
      <c r="Q758" t="n">
        <v>0</v>
      </c>
      <c r="R758" s="2" t="inlineStr"/>
    </row>
    <row r="759" ht="15" customHeight="1">
      <c r="A759" t="inlineStr">
        <is>
          <t>A 2122-2023</t>
        </is>
      </c>
      <c r="B759" s="1" t="n">
        <v>44939</v>
      </c>
      <c r="C759" s="1" t="n">
        <v>45672</v>
      </c>
      <c r="D759" t="inlineStr">
        <is>
          <t>VÄSTERBOTTENS LÄN</t>
        </is>
      </c>
      <c r="E759" t="inlineStr">
        <is>
          <t>VILHELMINA</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2126-2023</t>
        </is>
      </c>
      <c r="B760" s="1" t="n">
        <v>44939</v>
      </c>
      <c r="C760" s="1" t="n">
        <v>45672</v>
      </c>
      <c r="D760" t="inlineStr">
        <is>
          <t>VÄSTERBOTTENS LÄN</t>
        </is>
      </c>
      <c r="E760" t="inlineStr">
        <is>
          <t>VILHELMINA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2382-2023</t>
        </is>
      </c>
      <c r="B761" s="1" t="n">
        <v>44942</v>
      </c>
      <c r="C761" s="1" t="n">
        <v>45672</v>
      </c>
      <c r="D761" t="inlineStr">
        <is>
          <t>VÄSTERBOTTENS LÄN</t>
        </is>
      </c>
      <c r="E761" t="inlineStr">
        <is>
          <t>VILHELMINA</t>
        </is>
      </c>
      <c r="G761" t="n">
        <v>29.7</v>
      </c>
      <c r="H761" t="n">
        <v>0</v>
      </c>
      <c r="I761" t="n">
        <v>0</v>
      </c>
      <c r="J761" t="n">
        <v>0</v>
      </c>
      <c r="K761" t="n">
        <v>0</v>
      </c>
      <c r="L761" t="n">
        <v>0</v>
      </c>
      <c r="M761" t="n">
        <v>0</v>
      </c>
      <c r="N761" t="n">
        <v>0</v>
      </c>
      <c r="O761" t="n">
        <v>0</v>
      </c>
      <c r="P761" t="n">
        <v>0</v>
      </c>
      <c r="Q761" t="n">
        <v>0</v>
      </c>
      <c r="R761" s="2" t="inlineStr"/>
    </row>
    <row r="762" ht="15" customHeight="1">
      <c r="A762" t="inlineStr">
        <is>
          <t>A 2360-2023</t>
        </is>
      </c>
      <c r="B762" s="1" t="n">
        <v>44942</v>
      </c>
      <c r="C762" s="1" t="n">
        <v>45672</v>
      </c>
      <c r="D762" t="inlineStr">
        <is>
          <t>VÄSTERBOTTENS LÄN</t>
        </is>
      </c>
      <c r="E762" t="inlineStr">
        <is>
          <t>VILHELMINA</t>
        </is>
      </c>
      <c r="G762" t="n">
        <v>2.7</v>
      </c>
      <c r="H762" t="n">
        <v>0</v>
      </c>
      <c r="I762" t="n">
        <v>0</v>
      </c>
      <c r="J762" t="n">
        <v>0</v>
      </c>
      <c r="K762" t="n">
        <v>0</v>
      </c>
      <c r="L762" t="n">
        <v>0</v>
      </c>
      <c r="M762" t="n">
        <v>0</v>
      </c>
      <c r="N762" t="n">
        <v>0</v>
      </c>
      <c r="O762" t="n">
        <v>0</v>
      </c>
      <c r="P762" t="n">
        <v>0</v>
      </c>
      <c r="Q762" t="n">
        <v>0</v>
      </c>
      <c r="R762" s="2" t="inlineStr"/>
    </row>
    <row r="763" ht="15" customHeight="1">
      <c r="A763" t="inlineStr">
        <is>
          <t>A 2403-2023</t>
        </is>
      </c>
      <c r="B763" s="1" t="n">
        <v>44942</v>
      </c>
      <c r="C763" s="1" t="n">
        <v>45672</v>
      </c>
      <c r="D763" t="inlineStr">
        <is>
          <t>VÄSTERBOTTENS LÄN</t>
        </is>
      </c>
      <c r="E763" t="inlineStr">
        <is>
          <t>VILHELMINA</t>
        </is>
      </c>
      <c r="G763" t="n">
        <v>14.5</v>
      </c>
      <c r="H763" t="n">
        <v>0</v>
      </c>
      <c r="I763" t="n">
        <v>0</v>
      </c>
      <c r="J763" t="n">
        <v>0</v>
      </c>
      <c r="K763" t="n">
        <v>0</v>
      </c>
      <c r="L763" t="n">
        <v>0</v>
      </c>
      <c r="M763" t="n">
        <v>0</v>
      </c>
      <c r="N763" t="n">
        <v>0</v>
      </c>
      <c r="O763" t="n">
        <v>0</v>
      </c>
      <c r="P763" t="n">
        <v>0</v>
      </c>
      <c r="Q763" t="n">
        <v>0</v>
      </c>
      <c r="R763" s="2" t="inlineStr"/>
    </row>
    <row r="764" ht="15" customHeight="1">
      <c r="A764" t="inlineStr">
        <is>
          <t>A 2488-2023</t>
        </is>
      </c>
      <c r="B764" s="1" t="n">
        <v>44943</v>
      </c>
      <c r="C764" s="1" t="n">
        <v>45672</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2742-2023</t>
        </is>
      </c>
      <c r="B765" s="1" t="n">
        <v>44943</v>
      </c>
      <c r="C765" s="1" t="n">
        <v>45672</v>
      </c>
      <c r="D765" t="inlineStr">
        <is>
          <t>VÄSTERBOTTENS LÄN</t>
        </is>
      </c>
      <c r="E765" t="inlineStr">
        <is>
          <t>VILHELMINA</t>
        </is>
      </c>
      <c r="G765" t="n">
        <v>34.8</v>
      </c>
      <c r="H765" t="n">
        <v>0</v>
      </c>
      <c r="I765" t="n">
        <v>0</v>
      </c>
      <c r="J765" t="n">
        <v>0</v>
      </c>
      <c r="K765" t="n">
        <v>0</v>
      </c>
      <c r="L765" t="n">
        <v>0</v>
      </c>
      <c r="M765" t="n">
        <v>0</v>
      </c>
      <c r="N765" t="n">
        <v>0</v>
      </c>
      <c r="O765" t="n">
        <v>0</v>
      </c>
      <c r="P765" t="n">
        <v>0</v>
      </c>
      <c r="Q765" t="n">
        <v>0</v>
      </c>
      <c r="R765" s="2" t="inlineStr"/>
    </row>
    <row r="766" ht="15" customHeight="1">
      <c r="A766" t="inlineStr">
        <is>
          <t>A 2604-2023</t>
        </is>
      </c>
      <c r="B766" s="1" t="n">
        <v>44944</v>
      </c>
      <c r="C766" s="1" t="n">
        <v>45672</v>
      </c>
      <c r="D766" t="inlineStr">
        <is>
          <t>VÄSTERBOTTENS LÄN</t>
        </is>
      </c>
      <c r="E766" t="inlineStr">
        <is>
          <t>VILHELMINA</t>
        </is>
      </c>
      <c r="G766" t="n">
        <v>15.4</v>
      </c>
      <c r="H766" t="n">
        <v>0</v>
      </c>
      <c r="I766" t="n">
        <v>0</v>
      </c>
      <c r="J766" t="n">
        <v>0</v>
      </c>
      <c r="K766" t="n">
        <v>0</v>
      </c>
      <c r="L766" t="n">
        <v>0</v>
      </c>
      <c r="M766" t="n">
        <v>0</v>
      </c>
      <c r="N766" t="n">
        <v>0</v>
      </c>
      <c r="O766" t="n">
        <v>0</v>
      </c>
      <c r="P766" t="n">
        <v>0</v>
      </c>
      <c r="Q766" t="n">
        <v>0</v>
      </c>
      <c r="R766" s="2" t="inlineStr"/>
    </row>
    <row r="767" ht="15" customHeight="1">
      <c r="A767" t="inlineStr">
        <is>
          <t>A 2605-2023</t>
        </is>
      </c>
      <c r="B767" s="1" t="n">
        <v>44944</v>
      </c>
      <c r="C767" s="1" t="n">
        <v>45672</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2820-2023</t>
        </is>
      </c>
      <c r="B768" s="1" t="n">
        <v>44944</v>
      </c>
      <c r="C768" s="1" t="n">
        <v>45672</v>
      </c>
      <c r="D768" t="inlineStr">
        <is>
          <t>VÄSTERBOTTENS LÄN</t>
        </is>
      </c>
      <c r="E768" t="inlineStr">
        <is>
          <t>VILHELMINA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3393-2023</t>
        </is>
      </c>
      <c r="B769" s="1" t="n">
        <v>44945</v>
      </c>
      <c r="C769" s="1" t="n">
        <v>45672</v>
      </c>
      <c r="D769" t="inlineStr">
        <is>
          <t>VÄSTERBOTTENS LÄN</t>
        </is>
      </c>
      <c r="E769" t="inlineStr">
        <is>
          <t>VILHELMINA</t>
        </is>
      </c>
      <c r="G769" t="n">
        <v>3.4</v>
      </c>
      <c r="H769" t="n">
        <v>0</v>
      </c>
      <c r="I769" t="n">
        <v>0</v>
      </c>
      <c r="J769" t="n">
        <v>0</v>
      </c>
      <c r="K769" t="n">
        <v>0</v>
      </c>
      <c r="L769" t="n">
        <v>0</v>
      </c>
      <c r="M769" t="n">
        <v>0</v>
      </c>
      <c r="N769" t="n">
        <v>0</v>
      </c>
      <c r="O769" t="n">
        <v>0</v>
      </c>
      <c r="P769" t="n">
        <v>0</v>
      </c>
      <c r="Q769" t="n">
        <v>0</v>
      </c>
      <c r="R769" s="2" t="inlineStr"/>
    </row>
    <row r="770" ht="15" customHeight="1">
      <c r="A770" t="inlineStr">
        <is>
          <t>A 3745-2023</t>
        </is>
      </c>
      <c r="B770" s="1" t="n">
        <v>44949</v>
      </c>
      <c r="C770" s="1" t="n">
        <v>45672</v>
      </c>
      <c r="D770" t="inlineStr">
        <is>
          <t>VÄSTERBOTTENS LÄN</t>
        </is>
      </c>
      <c r="E770" t="inlineStr">
        <is>
          <t>VILHELMINA</t>
        </is>
      </c>
      <c r="G770" t="n">
        <v>36.6</v>
      </c>
      <c r="H770" t="n">
        <v>0</v>
      </c>
      <c r="I770" t="n">
        <v>0</v>
      </c>
      <c r="J770" t="n">
        <v>0</v>
      </c>
      <c r="K770" t="n">
        <v>0</v>
      </c>
      <c r="L770" t="n">
        <v>0</v>
      </c>
      <c r="M770" t="n">
        <v>0</v>
      </c>
      <c r="N770" t="n">
        <v>0</v>
      </c>
      <c r="O770" t="n">
        <v>0</v>
      </c>
      <c r="P770" t="n">
        <v>0</v>
      </c>
      <c r="Q770" t="n">
        <v>0</v>
      </c>
      <c r="R770" s="2" t="inlineStr"/>
    </row>
    <row r="771" ht="15" customHeight="1">
      <c r="A771" t="inlineStr">
        <is>
          <t>A 4344-2023</t>
        </is>
      </c>
      <c r="B771" s="1" t="n">
        <v>44954</v>
      </c>
      <c r="C771" s="1" t="n">
        <v>45672</v>
      </c>
      <c r="D771" t="inlineStr">
        <is>
          <t>VÄSTERBOTTENS LÄN</t>
        </is>
      </c>
      <c r="E771" t="inlineStr">
        <is>
          <t>VILHELMINA</t>
        </is>
      </c>
      <c r="F771" t="inlineStr">
        <is>
          <t>SCA</t>
        </is>
      </c>
      <c r="G771" t="n">
        <v>20.9</v>
      </c>
      <c r="H771" t="n">
        <v>0</v>
      </c>
      <c r="I771" t="n">
        <v>0</v>
      </c>
      <c r="J771" t="n">
        <v>0</v>
      </c>
      <c r="K771" t="n">
        <v>0</v>
      </c>
      <c r="L771" t="n">
        <v>0</v>
      </c>
      <c r="M771" t="n">
        <v>0</v>
      </c>
      <c r="N771" t="n">
        <v>0</v>
      </c>
      <c r="O771" t="n">
        <v>0</v>
      </c>
      <c r="P771" t="n">
        <v>0</v>
      </c>
      <c r="Q771" t="n">
        <v>0</v>
      </c>
      <c r="R771" s="2" t="inlineStr"/>
    </row>
    <row r="772" ht="15" customHeight="1">
      <c r="A772" t="inlineStr">
        <is>
          <t>A 4373-2023</t>
        </is>
      </c>
      <c r="B772" s="1" t="n">
        <v>44955</v>
      </c>
      <c r="C772" s="1" t="n">
        <v>45672</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4919-2023</t>
        </is>
      </c>
      <c r="B773" s="1" t="n">
        <v>44956</v>
      </c>
      <c r="C773" s="1" t="n">
        <v>45672</v>
      </c>
      <c r="D773" t="inlineStr">
        <is>
          <t>VÄSTERBOTTENS LÄN</t>
        </is>
      </c>
      <c r="E773" t="inlineStr">
        <is>
          <t>VILHELMINA</t>
        </is>
      </c>
      <c r="G773" t="n">
        <v>35</v>
      </c>
      <c r="H773" t="n">
        <v>0</v>
      </c>
      <c r="I773" t="n">
        <v>0</v>
      </c>
      <c r="J773" t="n">
        <v>0</v>
      </c>
      <c r="K773" t="n">
        <v>0</v>
      </c>
      <c r="L773" t="n">
        <v>0</v>
      </c>
      <c r="M773" t="n">
        <v>0</v>
      </c>
      <c r="N773" t="n">
        <v>0</v>
      </c>
      <c r="O773" t="n">
        <v>0</v>
      </c>
      <c r="P773" t="n">
        <v>0</v>
      </c>
      <c r="Q773" t="n">
        <v>0</v>
      </c>
      <c r="R773" s="2" t="inlineStr"/>
    </row>
    <row r="774" ht="15" customHeight="1">
      <c r="A774" t="inlineStr">
        <is>
          <t>A 5301-2023</t>
        </is>
      </c>
      <c r="B774" s="1" t="n">
        <v>44956</v>
      </c>
      <c r="C774" s="1" t="n">
        <v>45672</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5297-2023</t>
        </is>
      </c>
      <c r="B775" s="1" t="n">
        <v>44956</v>
      </c>
      <c r="C775" s="1" t="n">
        <v>45672</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4869-2023</t>
        </is>
      </c>
      <c r="B776" s="1" t="n">
        <v>44957</v>
      </c>
      <c r="C776" s="1" t="n">
        <v>45672</v>
      </c>
      <c r="D776" t="inlineStr">
        <is>
          <t>VÄSTERBOTTENS LÄN</t>
        </is>
      </c>
      <c r="E776" t="inlineStr">
        <is>
          <t>VILHELMINA</t>
        </is>
      </c>
      <c r="G776" t="n">
        <v>5.7</v>
      </c>
      <c r="H776" t="n">
        <v>0</v>
      </c>
      <c r="I776" t="n">
        <v>0</v>
      </c>
      <c r="J776" t="n">
        <v>0</v>
      </c>
      <c r="K776" t="n">
        <v>0</v>
      </c>
      <c r="L776" t="n">
        <v>0</v>
      </c>
      <c r="M776" t="n">
        <v>0</v>
      </c>
      <c r="N776" t="n">
        <v>0</v>
      </c>
      <c r="O776" t="n">
        <v>0</v>
      </c>
      <c r="P776" t="n">
        <v>0</v>
      </c>
      <c r="Q776" t="n">
        <v>0</v>
      </c>
      <c r="R776" s="2" t="inlineStr"/>
    </row>
    <row r="777" ht="15" customHeight="1">
      <c r="A777" t="inlineStr">
        <is>
          <t>A 5713-2023</t>
        </is>
      </c>
      <c r="B777" s="1" t="n">
        <v>44960</v>
      </c>
      <c r="C777" s="1" t="n">
        <v>45672</v>
      </c>
      <c r="D777" t="inlineStr">
        <is>
          <t>VÄSTERBOTTENS LÄN</t>
        </is>
      </c>
      <c r="E777" t="inlineStr">
        <is>
          <t>VILHELMINA</t>
        </is>
      </c>
      <c r="F777" t="inlineStr">
        <is>
          <t>SCA</t>
        </is>
      </c>
      <c r="G777" t="n">
        <v>33.2</v>
      </c>
      <c r="H777" t="n">
        <v>0</v>
      </c>
      <c r="I777" t="n">
        <v>0</v>
      </c>
      <c r="J777" t="n">
        <v>0</v>
      </c>
      <c r="K777" t="n">
        <v>0</v>
      </c>
      <c r="L777" t="n">
        <v>0</v>
      </c>
      <c r="M777" t="n">
        <v>0</v>
      </c>
      <c r="N777" t="n">
        <v>0</v>
      </c>
      <c r="O777" t="n">
        <v>0</v>
      </c>
      <c r="P777" t="n">
        <v>0</v>
      </c>
      <c r="Q777" t="n">
        <v>0</v>
      </c>
      <c r="R777" s="2" t="inlineStr"/>
    </row>
    <row r="778" ht="15" customHeight="1">
      <c r="A778" t="inlineStr">
        <is>
          <t>A 5697-2023</t>
        </is>
      </c>
      <c r="B778" s="1" t="n">
        <v>44960</v>
      </c>
      <c r="C778" s="1" t="n">
        <v>45672</v>
      </c>
      <c r="D778" t="inlineStr">
        <is>
          <t>VÄSTERBOTTENS LÄN</t>
        </is>
      </c>
      <c r="E778" t="inlineStr">
        <is>
          <t>VILHELMINA</t>
        </is>
      </c>
      <c r="F778" t="inlineStr">
        <is>
          <t>SCA</t>
        </is>
      </c>
      <c r="G778" t="n">
        <v>15.9</v>
      </c>
      <c r="H778" t="n">
        <v>0</v>
      </c>
      <c r="I778" t="n">
        <v>0</v>
      </c>
      <c r="J778" t="n">
        <v>0</v>
      </c>
      <c r="K778" t="n">
        <v>0</v>
      </c>
      <c r="L778" t="n">
        <v>0</v>
      </c>
      <c r="M778" t="n">
        <v>0</v>
      </c>
      <c r="N778" t="n">
        <v>0</v>
      </c>
      <c r="O778" t="n">
        <v>0</v>
      </c>
      <c r="P778" t="n">
        <v>0</v>
      </c>
      <c r="Q778" t="n">
        <v>0</v>
      </c>
      <c r="R778" s="2" t="inlineStr"/>
    </row>
    <row r="779" ht="15" customHeight="1">
      <c r="A779" t="inlineStr">
        <is>
          <t>A 5699-2023</t>
        </is>
      </c>
      <c r="B779" s="1" t="n">
        <v>44960</v>
      </c>
      <c r="C779" s="1" t="n">
        <v>45672</v>
      </c>
      <c r="D779" t="inlineStr">
        <is>
          <t>VÄSTERBOTTENS LÄN</t>
        </is>
      </c>
      <c r="E779" t="inlineStr">
        <is>
          <t>VILHELMINA</t>
        </is>
      </c>
      <c r="F779" t="inlineStr">
        <is>
          <t>SCA</t>
        </is>
      </c>
      <c r="G779" t="n">
        <v>104.8</v>
      </c>
      <c r="H779" t="n">
        <v>0</v>
      </c>
      <c r="I779" t="n">
        <v>0</v>
      </c>
      <c r="J779" t="n">
        <v>0</v>
      </c>
      <c r="K779" t="n">
        <v>0</v>
      </c>
      <c r="L779" t="n">
        <v>0</v>
      </c>
      <c r="M779" t="n">
        <v>0</v>
      </c>
      <c r="N779" t="n">
        <v>0</v>
      </c>
      <c r="O779" t="n">
        <v>0</v>
      </c>
      <c r="P779" t="n">
        <v>0</v>
      </c>
      <c r="Q779" t="n">
        <v>0</v>
      </c>
      <c r="R779" s="2" t="inlineStr"/>
    </row>
    <row r="780" ht="15" customHeight="1">
      <c r="A780" t="inlineStr">
        <is>
          <t>A 5712-2023</t>
        </is>
      </c>
      <c r="B780" s="1" t="n">
        <v>44960</v>
      </c>
      <c r="C780" s="1" t="n">
        <v>45672</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6616-2023</t>
        </is>
      </c>
      <c r="B781" s="1" t="n">
        <v>44960</v>
      </c>
      <c r="C781" s="1" t="n">
        <v>45672</v>
      </c>
      <c r="D781" t="inlineStr">
        <is>
          <t>VÄSTERBOTTENS LÄN</t>
        </is>
      </c>
      <c r="E781" t="inlineStr">
        <is>
          <t>VILHELMINA</t>
        </is>
      </c>
      <c r="G781" t="n">
        <v>1.5</v>
      </c>
      <c r="H781" t="n">
        <v>0</v>
      </c>
      <c r="I781" t="n">
        <v>0</v>
      </c>
      <c r="J781" t="n">
        <v>0</v>
      </c>
      <c r="K781" t="n">
        <v>0</v>
      </c>
      <c r="L781" t="n">
        <v>0</v>
      </c>
      <c r="M781" t="n">
        <v>0</v>
      </c>
      <c r="N781" t="n">
        <v>0</v>
      </c>
      <c r="O781" t="n">
        <v>0</v>
      </c>
      <c r="P781" t="n">
        <v>0</v>
      </c>
      <c r="Q781" t="n">
        <v>0</v>
      </c>
      <c r="R781" s="2" t="inlineStr"/>
    </row>
    <row r="782" ht="15" customHeight="1">
      <c r="A782" t="inlineStr">
        <is>
          <t>A 6610-2023</t>
        </is>
      </c>
      <c r="B782" s="1" t="n">
        <v>44960</v>
      </c>
      <c r="C782" s="1" t="n">
        <v>45672</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5955-2023</t>
        </is>
      </c>
      <c r="B783" s="1" t="n">
        <v>44963</v>
      </c>
      <c r="C783" s="1" t="n">
        <v>45672</v>
      </c>
      <c r="D783" t="inlineStr">
        <is>
          <t>VÄSTERBOTTENS LÄN</t>
        </is>
      </c>
      <c r="E783" t="inlineStr">
        <is>
          <t>VILHELMINA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5947-2023</t>
        </is>
      </c>
      <c r="B784" s="1" t="n">
        <v>44963</v>
      </c>
      <c r="C784" s="1" t="n">
        <v>45672</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45672</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8555-2023</t>
        </is>
      </c>
      <c r="B786" s="1" t="n">
        <v>44972</v>
      </c>
      <c r="C786" s="1" t="n">
        <v>45672</v>
      </c>
      <c r="D786" t="inlineStr">
        <is>
          <t>VÄSTERBOTTENS LÄN</t>
        </is>
      </c>
      <c r="E786" t="inlineStr">
        <is>
          <t>VILHELMINA</t>
        </is>
      </c>
      <c r="F786" t="inlineStr">
        <is>
          <t>Allmännings- och besparingsskogar</t>
        </is>
      </c>
      <c r="G786" t="n">
        <v>37.9</v>
      </c>
      <c r="H786" t="n">
        <v>0</v>
      </c>
      <c r="I786" t="n">
        <v>0</v>
      </c>
      <c r="J786" t="n">
        <v>0</v>
      </c>
      <c r="K786" t="n">
        <v>0</v>
      </c>
      <c r="L786" t="n">
        <v>0</v>
      </c>
      <c r="M786" t="n">
        <v>0</v>
      </c>
      <c r="N786" t="n">
        <v>0</v>
      </c>
      <c r="O786" t="n">
        <v>0</v>
      </c>
      <c r="P786" t="n">
        <v>0</v>
      </c>
      <c r="Q786" t="n">
        <v>0</v>
      </c>
      <c r="R786" s="2" t="inlineStr"/>
    </row>
    <row r="787" ht="15" customHeight="1">
      <c r="A787" t="inlineStr">
        <is>
          <t>A 8745-2023</t>
        </is>
      </c>
      <c r="B787" s="1" t="n">
        <v>44972</v>
      </c>
      <c r="C787" s="1" t="n">
        <v>45672</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8759-2023</t>
        </is>
      </c>
      <c r="B788" s="1" t="n">
        <v>44972</v>
      </c>
      <c r="C788" s="1" t="n">
        <v>45672</v>
      </c>
      <c r="D788" t="inlineStr">
        <is>
          <t>VÄSTERBOTTENS LÄN</t>
        </is>
      </c>
      <c r="E788" t="inlineStr">
        <is>
          <t>VILHELMINA</t>
        </is>
      </c>
      <c r="F788" t="inlineStr">
        <is>
          <t>Allmännings- och besparingsskogar</t>
        </is>
      </c>
      <c r="G788" t="n">
        <v>23.4</v>
      </c>
      <c r="H788" t="n">
        <v>0</v>
      </c>
      <c r="I788" t="n">
        <v>0</v>
      </c>
      <c r="J788" t="n">
        <v>0</v>
      </c>
      <c r="K788" t="n">
        <v>0</v>
      </c>
      <c r="L788" t="n">
        <v>0</v>
      </c>
      <c r="M788" t="n">
        <v>0</v>
      </c>
      <c r="N788" t="n">
        <v>0</v>
      </c>
      <c r="O788" t="n">
        <v>0</v>
      </c>
      <c r="P788" t="n">
        <v>0</v>
      </c>
      <c r="Q788" t="n">
        <v>0</v>
      </c>
      <c r="R788" s="2" t="inlineStr"/>
    </row>
    <row r="789" ht="15" customHeight="1">
      <c r="A789" t="inlineStr">
        <is>
          <t>A 8733-2023</t>
        </is>
      </c>
      <c r="B789" s="1" t="n">
        <v>44972</v>
      </c>
      <c r="C789" s="1" t="n">
        <v>45672</v>
      </c>
      <c r="D789" t="inlineStr">
        <is>
          <t>VÄSTERBOTTENS LÄN</t>
        </is>
      </c>
      <c r="E789" t="inlineStr">
        <is>
          <t>VILHELMINA</t>
        </is>
      </c>
      <c r="F789" t="inlineStr">
        <is>
          <t>Allmännings- och besparingsskogar</t>
        </is>
      </c>
      <c r="G789" t="n">
        <v>19</v>
      </c>
      <c r="H789" t="n">
        <v>0</v>
      </c>
      <c r="I789" t="n">
        <v>0</v>
      </c>
      <c r="J789" t="n">
        <v>0</v>
      </c>
      <c r="K789" t="n">
        <v>0</v>
      </c>
      <c r="L789" t="n">
        <v>0</v>
      </c>
      <c r="M789" t="n">
        <v>0</v>
      </c>
      <c r="N789" t="n">
        <v>0</v>
      </c>
      <c r="O789" t="n">
        <v>0</v>
      </c>
      <c r="P789" t="n">
        <v>0</v>
      </c>
      <c r="Q789" t="n">
        <v>0</v>
      </c>
      <c r="R789" s="2" t="inlineStr"/>
    </row>
    <row r="790" ht="15" customHeight="1">
      <c r="A790" t="inlineStr">
        <is>
          <t>A 8726-2023</t>
        </is>
      </c>
      <c r="B790" s="1" t="n">
        <v>44972</v>
      </c>
      <c r="C790" s="1" t="n">
        <v>45672</v>
      </c>
      <c r="D790" t="inlineStr">
        <is>
          <t>VÄSTERBOTTENS LÄN</t>
        </is>
      </c>
      <c r="E790" t="inlineStr">
        <is>
          <t>VILHELMINA</t>
        </is>
      </c>
      <c r="F790" t="inlineStr">
        <is>
          <t>Allmännings- och besparingsskogar</t>
        </is>
      </c>
      <c r="G790" t="n">
        <v>48.5</v>
      </c>
      <c r="H790" t="n">
        <v>0</v>
      </c>
      <c r="I790" t="n">
        <v>0</v>
      </c>
      <c r="J790" t="n">
        <v>0</v>
      </c>
      <c r="K790" t="n">
        <v>0</v>
      </c>
      <c r="L790" t="n">
        <v>0</v>
      </c>
      <c r="M790" t="n">
        <v>0</v>
      </c>
      <c r="N790" t="n">
        <v>0</v>
      </c>
      <c r="O790" t="n">
        <v>0</v>
      </c>
      <c r="P790" t="n">
        <v>0</v>
      </c>
      <c r="Q790" t="n">
        <v>0</v>
      </c>
      <c r="R790" s="2" t="inlineStr"/>
    </row>
    <row r="791" ht="15" customHeight="1">
      <c r="A791" t="inlineStr">
        <is>
          <t>A 8908-2023</t>
        </is>
      </c>
      <c r="B791" s="1" t="n">
        <v>44972</v>
      </c>
      <c r="C791" s="1" t="n">
        <v>45672</v>
      </c>
      <c r="D791" t="inlineStr">
        <is>
          <t>VÄSTERBOTTENS LÄN</t>
        </is>
      </c>
      <c r="E791" t="inlineStr">
        <is>
          <t>VILHELMINA</t>
        </is>
      </c>
      <c r="F791" t="inlineStr">
        <is>
          <t>Allmännings- och besparingsskogar</t>
        </is>
      </c>
      <c r="G791" t="n">
        <v>22.3</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45672</v>
      </c>
      <c r="D792" t="inlineStr">
        <is>
          <t>VÄSTERBOTTENS LÄN</t>
        </is>
      </c>
      <c r="E792" t="inlineStr">
        <is>
          <t>VILHELMINA</t>
        </is>
      </c>
      <c r="F792" t="inlineStr">
        <is>
          <t>Allmännings- och besparingsskogar</t>
        </is>
      </c>
      <c r="G792" t="n">
        <v>213.9</v>
      </c>
      <c r="H792" t="n">
        <v>0</v>
      </c>
      <c r="I792" t="n">
        <v>0</v>
      </c>
      <c r="J792" t="n">
        <v>0</v>
      </c>
      <c r="K792" t="n">
        <v>0</v>
      </c>
      <c r="L792" t="n">
        <v>0</v>
      </c>
      <c r="M792" t="n">
        <v>0</v>
      </c>
      <c r="N792" t="n">
        <v>0</v>
      </c>
      <c r="O792" t="n">
        <v>0</v>
      </c>
      <c r="P792" t="n">
        <v>0</v>
      </c>
      <c r="Q792" t="n">
        <v>0</v>
      </c>
      <c r="R792" s="2" t="inlineStr"/>
    </row>
    <row r="793" ht="15" customHeight="1">
      <c r="A793" t="inlineStr">
        <is>
          <t>A 9170-2023</t>
        </is>
      </c>
      <c r="B793" s="1" t="n">
        <v>44972</v>
      </c>
      <c r="C793" s="1" t="n">
        <v>45672</v>
      </c>
      <c r="D793" t="inlineStr">
        <is>
          <t>VÄSTERBOTTENS LÄN</t>
        </is>
      </c>
      <c r="E793" t="inlineStr">
        <is>
          <t>VILHELMINA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8916-2023</t>
        </is>
      </c>
      <c r="B794" s="1" t="n">
        <v>44972</v>
      </c>
      <c r="C794" s="1" t="n">
        <v>45672</v>
      </c>
      <c r="D794" t="inlineStr">
        <is>
          <t>VÄSTERBOTTENS LÄN</t>
        </is>
      </c>
      <c r="E794" t="inlineStr">
        <is>
          <t>VILHELMINA</t>
        </is>
      </c>
      <c r="F794" t="inlineStr">
        <is>
          <t>Allmännings- och besparingsskogar</t>
        </is>
      </c>
      <c r="G794" t="n">
        <v>20.9</v>
      </c>
      <c r="H794" t="n">
        <v>0</v>
      </c>
      <c r="I794" t="n">
        <v>0</v>
      </c>
      <c r="J794" t="n">
        <v>0</v>
      </c>
      <c r="K794" t="n">
        <v>0</v>
      </c>
      <c r="L794" t="n">
        <v>0</v>
      </c>
      <c r="M794" t="n">
        <v>0</v>
      </c>
      <c r="N794" t="n">
        <v>0</v>
      </c>
      <c r="O794" t="n">
        <v>0</v>
      </c>
      <c r="P794" t="n">
        <v>0</v>
      </c>
      <c r="Q794" t="n">
        <v>0</v>
      </c>
      <c r="R794" s="2" t="inlineStr"/>
    </row>
    <row r="795" ht="15" customHeight="1">
      <c r="A795" t="inlineStr">
        <is>
          <t>A 9185-2023</t>
        </is>
      </c>
      <c r="B795" s="1" t="n">
        <v>44972</v>
      </c>
      <c r="C795" s="1" t="n">
        <v>45672</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8027-2023</t>
        </is>
      </c>
      <c r="B796" s="1" t="n">
        <v>44973</v>
      </c>
      <c r="C796" s="1" t="n">
        <v>45672</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8652-2023</t>
        </is>
      </c>
      <c r="B797" s="1" t="n">
        <v>44978</v>
      </c>
      <c r="C797" s="1" t="n">
        <v>45672</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8653-2023</t>
        </is>
      </c>
      <c r="B798" s="1" t="n">
        <v>44977</v>
      </c>
      <c r="C798" s="1" t="n">
        <v>45672</v>
      </c>
      <c r="D798" t="inlineStr">
        <is>
          <t>VÄSTERBOTTENS LÄN</t>
        </is>
      </c>
      <c r="E798" t="inlineStr">
        <is>
          <t>VILHELMINA</t>
        </is>
      </c>
      <c r="F798" t="inlineStr">
        <is>
          <t>SCA</t>
        </is>
      </c>
      <c r="G798" t="n">
        <v>7.9</v>
      </c>
      <c r="H798" t="n">
        <v>0</v>
      </c>
      <c r="I798" t="n">
        <v>0</v>
      </c>
      <c r="J798" t="n">
        <v>0</v>
      </c>
      <c r="K798" t="n">
        <v>0</v>
      </c>
      <c r="L798" t="n">
        <v>0</v>
      </c>
      <c r="M798" t="n">
        <v>0</v>
      </c>
      <c r="N798" t="n">
        <v>0</v>
      </c>
      <c r="O798" t="n">
        <v>0</v>
      </c>
      <c r="P798" t="n">
        <v>0</v>
      </c>
      <c r="Q798" t="n">
        <v>0</v>
      </c>
      <c r="R798" s="2" t="inlineStr"/>
    </row>
    <row r="799" ht="15" customHeight="1">
      <c r="A799" t="inlineStr">
        <is>
          <t>A 8650-2023</t>
        </is>
      </c>
      <c r="B799" s="1" t="n">
        <v>44977</v>
      </c>
      <c r="C799" s="1" t="n">
        <v>45672</v>
      </c>
      <c r="D799" t="inlineStr">
        <is>
          <t>VÄSTERBOTTENS LÄN</t>
        </is>
      </c>
      <c r="E799" t="inlineStr">
        <is>
          <t>VILHELMINA</t>
        </is>
      </c>
      <c r="F799" t="inlineStr">
        <is>
          <t>SCA</t>
        </is>
      </c>
      <c r="G799" t="n">
        <v>48.9</v>
      </c>
      <c r="H799" t="n">
        <v>0</v>
      </c>
      <c r="I799" t="n">
        <v>0</v>
      </c>
      <c r="J799" t="n">
        <v>0</v>
      </c>
      <c r="K799" t="n">
        <v>0</v>
      </c>
      <c r="L799" t="n">
        <v>0</v>
      </c>
      <c r="M799" t="n">
        <v>0</v>
      </c>
      <c r="N799" t="n">
        <v>0</v>
      </c>
      <c r="O799" t="n">
        <v>0</v>
      </c>
      <c r="P799" t="n">
        <v>0</v>
      </c>
      <c r="Q799" t="n">
        <v>0</v>
      </c>
      <c r="R799" s="2" t="inlineStr"/>
    </row>
    <row r="800" ht="15" customHeight="1">
      <c r="A800" t="inlineStr">
        <is>
          <t>A 9197-2023</t>
        </is>
      </c>
      <c r="B800" s="1" t="n">
        <v>44977</v>
      </c>
      <c r="C800" s="1" t="n">
        <v>45672</v>
      </c>
      <c r="D800" t="inlineStr">
        <is>
          <t>VÄSTERBOTTENS LÄN</t>
        </is>
      </c>
      <c r="E800" t="inlineStr">
        <is>
          <t>VILHELMINA</t>
        </is>
      </c>
      <c r="G800" t="n">
        <v>8.9</v>
      </c>
      <c r="H800" t="n">
        <v>0</v>
      </c>
      <c r="I800" t="n">
        <v>0</v>
      </c>
      <c r="J800" t="n">
        <v>0</v>
      </c>
      <c r="K800" t="n">
        <v>0</v>
      </c>
      <c r="L800" t="n">
        <v>0</v>
      </c>
      <c r="M800" t="n">
        <v>0</v>
      </c>
      <c r="N800" t="n">
        <v>0</v>
      </c>
      <c r="O800" t="n">
        <v>0</v>
      </c>
      <c r="P800" t="n">
        <v>0</v>
      </c>
      <c r="Q800" t="n">
        <v>0</v>
      </c>
      <c r="R800" s="2" t="inlineStr"/>
    </row>
    <row r="801" ht="15" customHeight="1">
      <c r="A801" t="inlineStr">
        <is>
          <t>A 8859-2023</t>
        </is>
      </c>
      <c r="B801" s="1" t="n">
        <v>44978</v>
      </c>
      <c r="C801" s="1" t="n">
        <v>45672</v>
      </c>
      <c r="D801" t="inlineStr">
        <is>
          <t>VÄSTERBOTTENS LÄN</t>
        </is>
      </c>
      <c r="E801" t="inlineStr">
        <is>
          <t>VILHELMINA</t>
        </is>
      </c>
      <c r="G801" t="n">
        <v>6.3</v>
      </c>
      <c r="H801" t="n">
        <v>0</v>
      </c>
      <c r="I801" t="n">
        <v>0</v>
      </c>
      <c r="J801" t="n">
        <v>0</v>
      </c>
      <c r="K801" t="n">
        <v>0</v>
      </c>
      <c r="L801" t="n">
        <v>0</v>
      </c>
      <c r="M801" t="n">
        <v>0</v>
      </c>
      <c r="N801" t="n">
        <v>0</v>
      </c>
      <c r="O801" t="n">
        <v>0</v>
      </c>
      <c r="P801" t="n">
        <v>0</v>
      </c>
      <c r="Q801" t="n">
        <v>0</v>
      </c>
      <c r="R801" s="2" t="inlineStr"/>
    </row>
    <row r="802" ht="15" customHeight="1">
      <c r="A802" t="inlineStr">
        <is>
          <t>A 9534-2023</t>
        </is>
      </c>
      <c r="B802" s="1" t="n">
        <v>44981</v>
      </c>
      <c r="C802" s="1" t="n">
        <v>45672</v>
      </c>
      <c r="D802" t="inlineStr">
        <is>
          <t>VÄSTERBOTTENS LÄN</t>
        </is>
      </c>
      <c r="E802" t="inlineStr">
        <is>
          <t>VILHELMINA</t>
        </is>
      </c>
      <c r="G802" t="n">
        <v>1.7</v>
      </c>
      <c r="H802" t="n">
        <v>0</v>
      </c>
      <c r="I802" t="n">
        <v>0</v>
      </c>
      <c r="J802" t="n">
        <v>0</v>
      </c>
      <c r="K802" t="n">
        <v>0</v>
      </c>
      <c r="L802" t="n">
        <v>0</v>
      </c>
      <c r="M802" t="n">
        <v>0</v>
      </c>
      <c r="N802" t="n">
        <v>0</v>
      </c>
      <c r="O802" t="n">
        <v>0</v>
      </c>
      <c r="P802" t="n">
        <v>0</v>
      </c>
      <c r="Q802" t="n">
        <v>0</v>
      </c>
      <c r="R802" s="2" t="inlineStr"/>
    </row>
    <row r="803" ht="15" customHeight="1">
      <c r="A803" t="inlineStr">
        <is>
          <t>A 9844-2023</t>
        </is>
      </c>
      <c r="B803" s="1" t="n">
        <v>44984</v>
      </c>
      <c r="C803" s="1" t="n">
        <v>45672</v>
      </c>
      <c r="D803" t="inlineStr">
        <is>
          <t>VÄSTERBOTTENS LÄN</t>
        </is>
      </c>
      <c r="E803" t="inlineStr">
        <is>
          <t>VILHELMINA</t>
        </is>
      </c>
      <c r="G803" t="n">
        <v>21.8</v>
      </c>
      <c r="H803" t="n">
        <v>0</v>
      </c>
      <c r="I803" t="n">
        <v>0</v>
      </c>
      <c r="J803" t="n">
        <v>0</v>
      </c>
      <c r="K803" t="n">
        <v>0</v>
      </c>
      <c r="L803" t="n">
        <v>0</v>
      </c>
      <c r="M803" t="n">
        <v>0</v>
      </c>
      <c r="N803" t="n">
        <v>0</v>
      </c>
      <c r="O803" t="n">
        <v>0</v>
      </c>
      <c r="P803" t="n">
        <v>0</v>
      </c>
      <c r="Q803" t="n">
        <v>0</v>
      </c>
      <c r="R803" s="2" t="inlineStr"/>
    </row>
    <row r="804" ht="15" customHeight="1">
      <c r="A804" t="inlineStr">
        <is>
          <t>A 10941-2023</t>
        </is>
      </c>
      <c r="B804" s="1" t="n">
        <v>44985</v>
      </c>
      <c r="C804" s="1" t="n">
        <v>45672</v>
      </c>
      <c r="D804" t="inlineStr">
        <is>
          <t>VÄSTERBOTTENS LÄN</t>
        </is>
      </c>
      <c r="E804" t="inlineStr">
        <is>
          <t>VILHELMINA</t>
        </is>
      </c>
      <c r="G804" t="n">
        <v>16.7</v>
      </c>
      <c r="H804" t="n">
        <v>0</v>
      </c>
      <c r="I804" t="n">
        <v>0</v>
      </c>
      <c r="J804" t="n">
        <v>0</v>
      </c>
      <c r="K804" t="n">
        <v>0</v>
      </c>
      <c r="L804" t="n">
        <v>0</v>
      </c>
      <c r="M804" t="n">
        <v>0</v>
      </c>
      <c r="N804" t="n">
        <v>0</v>
      </c>
      <c r="O804" t="n">
        <v>0</v>
      </c>
      <c r="P804" t="n">
        <v>0</v>
      </c>
      <c r="Q804" t="n">
        <v>0</v>
      </c>
      <c r="R804" s="2" t="inlineStr"/>
    </row>
    <row r="805" ht="15" customHeight="1">
      <c r="A805" t="inlineStr">
        <is>
          <t>A 10952-2023</t>
        </is>
      </c>
      <c r="B805" s="1" t="n">
        <v>44985</v>
      </c>
      <c r="C805" s="1" t="n">
        <v>45672</v>
      </c>
      <c r="D805" t="inlineStr">
        <is>
          <t>VÄSTERBOTTENS LÄN</t>
        </is>
      </c>
      <c r="E805" t="inlineStr">
        <is>
          <t>VILHELMINA</t>
        </is>
      </c>
      <c r="G805" t="n">
        <v>10.6</v>
      </c>
      <c r="H805" t="n">
        <v>0</v>
      </c>
      <c r="I805" t="n">
        <v>0</v>
      </c>
      <c r="J805" t="n">
        <v>0</v>
      </c>
      <c r="K805" t="n">
        <v>0</v>
      </c>
      <c r="L805" t="n">
        <v>0</v>
      </c>
      <c r="M805" t="n">
        <v>0</v>
      </c>
      <c r="N805" t="n">
        <v>0</v>
      </c>
      <c r="O805" t="n">
        <v>0</v>
      </c>
      <c r="P805" t="n">
        <v>0</v>
      </c>
      <c r="Q805" t="n">
        <v>0</v>
      </c>
      <c r="R805" s="2" t="inlineStr"/>
    </row>
    <row r="806" ht="15" customHeight="1">
      <c r="A806" t="inlineStr">
        <is>
          <t>A 10937-2023</t>
        </is>
      </c>
      <c r="B806" s="1" t="n">
        <v>44985</v>
      </c>
      <c r="C806" s="1" t="n">
        <v>45672</v>
      </c>
      <c r="D806" t="inlineStr">
        <is>
          <t>VÄSTERBOTTENS LÄN</t>
        </is>
      </c>
      <c r="E806" t="inlineStr">
        <is>
          <t>VILHELMINA</t>
        </is>
      </c>
      <c r="G806" t="n">
        <v>1.9</v>
      </c>
      <c r="H806" t="n">
        <v>0</v>
      </c>
      <c r="I806" t="n">
        <v>0</v>
      </c>
      <c r="J806" t="n">
        <v>0</v>
      </c>
      <c r="K806" t="n">
        <v>0</v>
      </c>
      <c r="L806" t="n">
        <v>0</v>
      </c>
      <c r="M806" t="n">
        <v>0</v>
      </c>
      <c r="N806" t="n">
        <v>0</v>
      </c>
      <c r="O806" t="n">
        <v>0</v>
      </c>
      <c r="P806" t="n">
        <v>0</v>
      </c>
      <c r="Q806" t="n">
        <v>0</v>
      </c>
      <c r="R806" s="2" t="inlineStr"/>
    </row>
    <row r="807" ht="15" customHeight="1">
      <c r="A807" t="inlineStr">
        <is>
          <t>A 10947-2023</t>
        </is>
      </c>
      <c r="B807" s="1" t="n">
        <v>44985</v>
      </c>
      <c r="C807" s="1" t="n">
        <v>45672</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10956-2023</t>
        </is>
      </c>
      <c r="B808" s="1" t="n">
        <v>44985</v>
      </c>
      <c r="C808" s="1" t="n">
        <v>45672</v>
      </c>
      <c r="D808" t="inlineStr">
        <is>
          <t>VÄSTERBOTTENS LÄN</t>
        </is>
      </c>
      <c r="E808" t="inlineStr">
        <is>
          <t>VILHELMINA</t>
        </is>
      </c>
      <c r="G808" t="n">
        <v>3.3</v>
      </c>
      <c r="H808" t="n">
        <v>0</v>
      </c>
      <c r="I808" t="n">
        <v>0</v>
      </c>
      <c r="J808" t="n">
        <v>0</v>
      </c>
      <c r="K808" t="n">
        <v>0</v>
      </c>
      <c r="L808" t="n">
        <v>0</v>
      </c>
      <c r="M808" t="n">
        <v>0</v>
      </c>
      <c r="N808" t="n">
        <v>0</v>
      </c>
      <c r="O808" t="n">
        <v>0</v>
      </c>
      <c r="P808" t="n">
        <v>0</v>
      </c>
      <c r="Q808" t="n">
        <v>0</v>
      </c>
      <c r="R808" s="2" t="inlineStr"/>
    </row>
    <row r="809" ht="15" customHeight="1">
      <c r="A809" t="inlineStr">
        <is>
          <t>A 10933-2023</t>
        </is>
      </c>
      <c r="B809" s="1" t="n">
        <v>44985</v>
      </c>
      <c r="C809" s="1" t="n">
        <v>45672</v>
      </c>
      <c r="D809" t="inlineStr">
        <is>
          <t>VÄSTERBOTTENS LÄN</t>
        </is>
      </c>
      <c r="E809" t="inlineStr">
        <is>
          <t>VILHELMINA</t>
        </is>
      </c>
      <c r="G809" t="n">
        <v>9.5</v>
      </c>
      <c r="H809" t="n">
        <v>0</v>
      </c>
      <c r="I809" t="n">
        <v>0</v>
      </c>
      <c r="J809" t="n">
        <v>0</v>
      </c>
      <c r="K809" t="n">
        <v>0</v>
      </c>
      <c r="L809" t="n">
        <v>0</v>
      </c>
      <c r="M809" t="n">
        <v>0</v>
      </c>
      <c r="N809" t="n">
        <v>0</v>
      </c>
      <c r="O809" t="n">
        <v>0</v>
      </c>
      <c r="P809" t="n">
        <v>0</v>
      </c>
      <c r="Q809" t="n">
        <v>0</v>
      </c>
      <c r="R809" s="2" t="inlineStr"/>
    </row>
    <row r="810" ht="15" customHeight="1">
      <c r="A810" t="inlineStr">
        <is>
          <t>A 10418-2023</t>
        </is>
      </c>
      <c r="B810" s="1" t="n">
        <v>44987</v>
      </c>
      <c r="C810" s="1" t="n">
        <v>45672</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11323-2023</t>
        </is>
      </c>
      <c r="B811" s="1" t="n">
        <v>44993</v>
      </c>
      <c r="C811" s="1" t="n">
        <v>45672</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v>
      </c>
      <c r="C812" s="1" t="n">
        <v>45672</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11311-2023</t>
        </is>
      </c>
      <c r="B813" s="1" t="n">
        <v>44993</v>
      </c>
      <c r="C813" s="1" t="n">
        <v>45672</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11825-2023</t>
        </is>
      </c>
      <c r="B814" s="1" t="n">
        <v>44994</v>
      </c>
      <c r="C814" s="1" t="n">
        <v>45672</v>
      </c>
      <c r="D814" t="inlineStr">
        <is>
          <t>VÄSTERBOTTENS LÄN</t>
        </is>
      </c>
      <c r="E814" t="inlineStr">
        <is>
          <t>VILHELMINA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11833-2023</t>
        </is>
      </c>
      <c r="B815" s="1" t="n">
        <v>44994</v>
      </c>
      <c r="C815" s="1" t="n">
        <v>45672</v>
      </c>
      <c r="D815" t="inlineStr">
        <is>
          <t>VÄSTERBOTTENS LÄN</t>
        </is>
      </c>
      <c r="E815" t="inlineStr">
        <is>
          <t>VILHELMINA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45672</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12784-2023</t>
        </is>
      </c>
      <c r="B817" s="1" t="n">
        <v>45000</v>
      </c>
      <c r="C817" s="1" t="n">
        <v>45672</v>
      </c>
      <c r="D817" t="inlineStr">
        <is>
          <t>VÄSTERBOTTENS LÄN</t>
        </is>
      </c>
      <c r="E817" t="inlineStr">
        <is>
          <t>VILHELMINA</t>
        </is>
      </c>
      <c r="G817" t="n">
        <v>18.6</v>
      </c>
      <c r="H817" t="n">
        <v>0</v>
      </c>
      <c r="I817" t="n">
        <v>0</v>
      </c>
      <c r="J817" t="n">
        <v>0</v>
      </c>
      <c r="K817" t="n">
        <v>0</v>
      </c>
      <c r="L817" t="n">
        <v>0</v>
      </c>
      <c r="M817" t="n">
        <v>0</v>
      </c>
      <c r="N817" t="n">
        <v>0</v>
      </c>
      <c r="O817" t="n">
        <v>0</v>
      </c>
      <c r="P817" t="n">
        <v>0</v>
      </c>
      <c r="Q817" t="n">
        <v>0</v>
      </c>
      <c r="R817" s="2" t="inlineStr"/>
    </row>
    <row r="818" ht="15" customHeight="1">
      <c r="A818" t="inlineStr">
        <is>
          <t>A 12866-2023</t>
        </is>
      </c>
      <c r="B818" s="1" t="n">
        <v>45000</v>
      </c>
      <c r="C818" s="1" t="n">
        <v>45672</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12825-2023</t>
        </is>
      </c>
      <c r="B819" s="1" t="n">
        <v>45000</v>
      </c>
      <c r="C819" s="1" t="n">
        <v>45672</v>
      </c>
      <c r="D819" t="inlineStr">
        <is>
          <t>VÄSTERBOTTENS LÄN</t>
        </is>
      </c>
      <c r="E819" t="inlineStr">
        <is>
          <t>VILHELMINA</t>
        </is>
      </c>
      <c r="G819" t="n">
        <v>22.4</v>
      </c>
      <c r="H819" t="n">
        <v>0</v>
      </c>
      <c r="I819" t="n">
        <v>0</v>
      </c>
      <c r="J819" t="n">
        <v>0</v>
      </c>
      <c r="K819" t="n">
        <v>0</v>
      </c>
      <c r="L819" t="n">
        <v>0</v>
      </c>
      <c r="M819" t="n">
        <v>0</v>
      </c>
      <c r="N819" t="n">
        <v>0</v>
      </c>
      <c r="O819" t="n">
        <v>0</v>
      </c>
      <c r="P819" t="n">
        <v>0</v>
      </c>
      <c r="Q819" t="n">
        <v>0</v>
      </c>
      <c r="R819" s="2" t="inlineStr"/>
    </row>
    <row r="820" ht="15" customHeight="1">
      <c r="A820" t="inlineStr">
        <is>
          <t>A 15814-2023</t>
        </is>
      </c>
      <c r="B820" s="1" t="n">
        <v>45021</v>
      </c>
      <c r="C820" s="1" t="n">
        <v>45672</v>
      </c>
      <c r="D820" t="inlineStr">
        <is>
          <t>VÄSTERBOTTENS LÄN</t>
        </is>
      </c>
      <c r="E820" t="inlineStr">
        <is>
          <t>VILHELMINA</t>
        </is>
      </c>
      <c r="F820" t="inlineStr">
        <is>
          <t>SCA</t>
        </is>
      </c>
      <c r="G820" t="n">
        <v>69.7</v>
      </c>
      <c r="H820" t="n">
        <v>0</v>
      </c>
      <c r="I820" t="n">
        <v>0</v>
      </c>
      <c r="J820" t="n">
        <v>0</v>
      </c>
      <c r="K820" t="n">
        <v>0</v>
      </c>
      <c r="L820" t="n">
        <v>0</v>
      </c>
      <c r="M820" t="n">
        <v>0</v>
      </c>
      <c r="N820" t="n">
        <v>0</v>
      </c>
      <c r="O820" t="n">
        <v>0</v>
      </c>
      <c r="P820" t="n">
        <v>0</v>
      </c>
      <c r="Q820" t="n">
        <v>0</v>
      </c>
      <c r="R820" s="2" t="inlineStr"/>
    </row>
    <row r="821" ht="15" customHeight="1">
      <c r="A821" t="inlineStr">
        <is>
          <t>A 18554-2023</t>
        </is>
      </c>
      <c r="B821" s="1" t="n">
        <v>45043</v>
      </c>
      <c r="C821" s="1" t="n">
        <v>45672</v>
      </c>
      <c r="D821" t="inlineStr">
        <is>
          <t>VÄSTERBOTTENS LÄN</t>
        </is>
      </c>
      <c r="E821" t="inlineStr">
        <is>
          <t>VILHELMINA</t>
        </is>
      </c>
      <c r="F821" t="inlineStr">
        <is>
          <t>SCA</t>
        </is>
      </c>
      <c r="G821" t="n">
        <v>18.1</v>
      </c>
      <c r="H821" t="n">
        <v>0</v>
      </c>
      <c r="I821" t="n">
        <v>0</v>
      </c>
      <c r="J821" t="n">
        <v>0</v>
      </c>
      <c r="K821" t="n">
        <v>0</v>
      </c>
      <c r="L821" t="n">
        <v>0</v>
      </c>
      <c r="M821" t="n">
        <v>0</v>
      </c>
      <c r="N821" t="n">
        <v>0</v>
      </c>
      <c r="O821" t="n">
        <v>0</v>
      </c>
      <c r="P821" t="n">
        <v>0</v>
      </c>
      <c r="Q821" t="n">
        <v>0</v>
      </c>
      <c r="R821" s="2" t="inlineStr"/>
    </row>
    <row r="822" ht="15" customHeight="1">
      <c r="A822" t="inlineStr">
        <is>
          <t>A 18692-2023</t>
        </is>
      </c>
      <c r="B822" s="1" t="n">
        <v>45042</v>
      </c>
      <c r="C822" s="1" t="n">
        <v>45672</v>
      </c>
      <c r="D822" t="inlineStr">
        <is>
          <t>VÄSTERBOTTENS LÄN</t>
        </is>
      </c>
      <c r="E822" t="inlineStr">
        <is>
          <t>VILHELMINA</t>
        </is>
      </c>
      <c r="F822" t="inlineStr">
        <is>
          <t>Allmännings- och besparingsskogar</t>
        </is>
      </c>
      <c r="G822" t="n">
        <v>0.6</v>
      </c>
      <c r="H822" t="n">
        <v>0</v>
      </c>
      <c r="I822" t="n">
        <v>0</v>
      </c>
      <c r="J822" t="n">
        <v>0</v>
      </c>
      <c r="K822" t="n">
        <v>0</v>
      </c>
      <c r="L822" t="n">
        <v>0</v>
      </c>
      <c r="M822" t="n">
        <v>0</v>
      </c>
      <c r="N822" t="n">
        <v>0</v>
      </c>
      <c r="O822" t="n">
        <v>0</v>
      </c>
      <c r="P822" t="n">
        <v>0</v>
      </c>
      <c r="Q822" t="n">
        <v>0</v>
      </c>
      <c r="R822" s="2" t="inlineStr"/>
    </row>
    <row r="823" ht="15" customHeight="1">
      <c r="A823" t="inlineStr">
        <is>
          <t>A 19060-2023</t>
        </is>
      </c>
      <c r="B823" s="1" t="n">
        <v>45043</v>
      </c>
      <c r="C823" s="1" t="n">
        <v>45672</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19232-2023</t>
        </is>
      </c>
      <c r="B824" s="1" t="n">
        <v>45048</v>
      </c>
      <c r="C824" s="1" t="n">
        <v>45672</v>
      </c>
      <c r="D824" t="inlineStr">
        <is>
          <t>VÄSTERBOTTENS LÄN</t>
        </is>
      </c>
      <c r="E824" t="inlineStr">
        <is>
          <t>VILHELMINA</t>
        </is>
      </c>
      <c r="G824" t="n">
        <v>4.8</v>
      </c>
      <c r="H824" t="n">
        <v>0</v>
      </c>
      <c r="I824" t="n">
        <v>0</v>
      </c>
      <c r="J824" t="n">
        <v>0</v>
      </c>
      <c r="K824" t="n">
        <v>0</v>
      </c>
      <c r="L824" t="n">
        <v>0</v>
      </c>
      <c r="M824" t="n">
        <v>0</v>
      </c>
      <c r="N824" t="n">
        <v>0</v>
      </c>
      <c r="O824" t="n">
        <v>0</v>
      </c>
      <c r="P824" t="n">
        <v>0</v>
      </c>
      <c r="Q824" t="n">
        <v>0</v>
      </c>
      <c r="R824" s="2" t="inlineStr"/>
    </row>
    <row r="825" ht="15" customHeight="1">
      <c r="A825" t="inlineStr">
        <is>
          <t>A 19401-2023</t>
        </is>
      </c>
      <c r="B825" s="1" t="n">
        <v>45048</v>
      </c>
      <c r="C825" s="1" t="n">
        <v>45672</v>
      </c>
      <c r="D825" t="inlineStr">
        <is>
          <t>VÄSTERBOTTENS LÄN</t>
        </is>
      </c>
      <c r="E825" t="inlineStr">
        <is>
          <t>VILHELMINA</t>
        </is>
      </c>
      <c r="G825" t="n">
        <v>5.4</v>
      </c>
      <c r="H825" t="n">
        <v>0</v>
      </c>
      <c r="I825" t="n">
        <v>0</v>
      </c>
      <c r="J825" t="n">
        <v>0</v>
      </c>
      <c r="K825" t="n">
        <v>0</v>
      </c>
      <c r="L825" t="n">
        <v>0</v>
      </c>
      <c r="M825" t="n">
        <v>0</v>
      </c>
      <c r="N825" t="n">
        <v>0</v>
      </c>
      <c r="O825" t="n">
        <v>0</v>
      </c>
      <c r="P825" t="n">
        <v>0</v>
      </c>
      <c r="Q825" t="n">
        <v>0</v>
      </c>
      <c r="R825" s="2" t="inlineStr"/>
    </row>
    <row r="826" ht="15" customHeight="1">
      <c r="A826" t="inlineStr">
        <is>
          <t>A 19397-2023</t>
        </is>
      </c>
      <c r="B826" s="1" t="n">
        <v>45048</v>
      </c>
      <c r="C826" s="1" t="n">
        <v>45672</v>
      </c>
      <c r="D826" t="inlineStr">
        <is>
          <t>VÄSTERBOTTENS LÄN</t>
        </is>
      </c>
      <c r="E826" t="inlineStr">
        <is>
          <t>VILHELMINA</t>
        </is>
      </c>
      <c r="G826" t="n">
        <v>12.8</v>
      </c>
      <c r="H826" t="n">
        <v>0</v>
      </c>
      <c r="I826" t="n">
        <v>0</v>
      </c>
      <c r="J826" t="n">
        <v>0</v>
      </c>
      <c r="K826" t="n">
        <v>0</v>
      </c>
      <c r="L826" t="n">
        <v>0</v>
      </c>
      <c r="M826" t="n">
        <v>0</v>
      </c>
      <c r="N826" t="n">
        <v>0</v>
      </c>
      <c r="O826" t="n">
        <v>0</v>
      </c>
      <c r="P826" t="n">
        <v>0</v>
      </c>
      <c r="Q826" t="n">
        <v>0</v>
      </c>
      <c r="R826" s="2" t="inlineStr"/>
    </row>
    <row r="827" ht="15" customHeight="1">
      <c r="A827" t="inlineStr">
        <is>
          <t>A 20090-2023</t>
        </is>
      </c>
      <c r="B827" s="1" t="n">
        <v>45054</v>
      </c>
      <c r="C827" s="1" t="n">
        <v>45672</v>
      </c>
      <c r="D827" t="inlineStr">
        <is>
          <t>VÄSTERBOTTENS LÄN</t>
        </is>
      </c>
      <c r="E827" t="inlineStr">
        <is>
          <t>VILHELMINA</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20454-2023</t>
        </is>
      </c>
      <c r="B828" s="1" t="n">
        <v>45056</v>
      </c>
      <c r="C828" s="1" t="n">
        <v>45672</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20455-2023</t>
        </is>
      </c>
      <c r="B829" s="1" t="n">
        <v>45056</v>
      </c>
      <c r="C829" s="1" t="n">
        <v>45672</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20595-2023</t>
        </is>
      </c>
      <c r="B830" s="1" t="n">
        <v>45057</v>
      </c>
      <c r="C830" s="1" t="n">
        <v>45672</v>
      </c>
      <c r="D830" t="inlineStr">
        <is>
          <t>VÄSTERBOTTENS LÄN</t>
        </is>
      </c>
      <c r="E830" t="inlineStr">
        <is>
          <t>VILHELMINA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21334-2023</t>
        </is>
      </c>
      <c r="B831" s="1" t="n">
        <v>45062</v>
      </c>
      <c r="C831" s="1" t="n">
        <v>45672</v>
      </c>
      <c r="D831" t="inlineStr">
        <is>
          <t>VÄSTERBOTTENS LÄN</t>
        </is>
      </c>
      <c r="E831" t="inlineStr">
        <is>
          <t>VILHELMINA</t>
        </is>
      </c>
      <c r="G831" t="n">
        <v>20</v>
      </c>
      <c r="H831" t="n">
        <v>0</v>
      </c>
      <c r="I831" t="n">
        <v>0</v>
      </c>
      <c r="J831" t="n">
        <v>0</v>
      </c>
      <c r="K831" t="n">
        <v>0</v>
      </c>
      <c r="L831" t="n">
        <v>0</v>
      </c>
      <c r="M831" t="n">
        <v>0</v>
      </c>
      <c r="N831" t="n">
        <v>0</v>
      </c>
      <c r="O831" t="n">
        <v>0</v>
      </c>
      <c r="P831" t="n">
        <v>0</v>
      </c>
      <c r="Q831" t="n">
        <v>0</v>
      </c>
      <c r="R831" s="2" t="inlineStr"/>
    </row>
    <row r="832" ht="15" customHeight="1">
      <c r="A832" t="inlineStr">
        <is>
          <t>A 24373-2023</t>
        </is>
      </c>
      <c r="B832" s="1" t="n">
        <v>45076</v>
      </c>
      <c r="C832" s="1" t="n">
        <v>45672</v>
      </c>
      <c r="D832" t="inlineStr">
        <is>
          <t>VÄSTERBOTTENS LÄN</t>
        </is>
      </c>
      <c r="E832" t="inlineStr">
        <is>
          <t>VILHELMINA</t>
        </is>
      </c>
      <c r="G832" t="n">
        <v>6.3</v>
      </c>
      <c r="H832" t="n">
        <v>0</v>
      </c>
      <c r="I832" t="n">
        <v>0</v>
      </c>
      <c r="J832" t="n">
        <v>0</v>
      </c>
      <c r="K832" t="n">
        <v>0</v>
      </c>
      <c r="L832" t="n">
        <v>0</v>
      </c>
      <c r="M832" t="n">
        <v>0</v>
      </c>
      <c r="N832" t="n">
        <v>0</v>
      </c>
      <c r="O832" t="n">
        <v>0</v>
      </c>
      <c r="P832" t="n">
        <v>0</v>
      </c>
      <c r="Q832" t="n">
        <v>0</v>
      </c>
      <c r="R832" s="2" t="inlineStr"/>
    </row>
    <row r="833" ht="15" customHeight="1">
      <c r="A833" t="inlineStr">
        <is>
          <t>A 24598-2023</t>
        </is>
      </c>
      <c r="B833" s="1" t="n">
        <v>45084</v>
      </c>
      <c r="C833" s="1" t="n">
        <v>45672</v>
      </c>
      <c r="D833" t="inlineStr">
        <is>
          <t>VÄSTERBOTTENS LÄN</t>
        </is>
      </c>
      <c r="E833" t="inlineStr">
        <is>
          <t>VILHELMINA</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24828-2023</t>
        </is>
      </c>
      <c r="B834" s="1" t="n">
        <v>45084</v>
      </c>
      <c r="C834" s="1" t="n">
        <v>45672</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25313-2023</t>
        </is>
      </c>
      <c r="B835" s="1" t="n">
        <v>45087</v>
      </c>
      <c r="C835" s="1" t="n">
        <v>45672</v>
      </c>
      <c r="D835" t="inlineStr">
        <is>
          <t>VÄSTERBOTTENS LÄN</t>
        </is>
      </c>
      <c r="E835" t="inlineStr">
        <is>
          <t>VILHELMINA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26553-2023</t>
        </is>
      </c>
      <c r="B836" s="1" t="n">
        <v>45089</v>
      </c>
      <c r="C836" s="1" t="n">
        <v>45672</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26564-2023</t>
        </is>
      </c>
      <c r="B837" s="1" t="n">
        <v>45089</v>
      </c>
      <c r="C837" s="1" t="n">
        <v>45672</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26557-2023</t>
        </is>
      </c>
      <c r="B838" s="1" t="n">
        <v>45089</v>
      </c>
      <c r="C838" s="1" t="n">
        <v>45672</v>
      </c>
      <c r="D838" t="inlineStr">
        <is>
          <t>VÄSTERBOTTENS LÄN</t>
        </is>
      </c>
      <c r="E838" t="inlineStr">
        <is>
          <t>VILHELMINA</t>
        </is>
      </c>
      <c r="G838" t="n">
        <v>0.5</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45672</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25997-2023</t>
        </is>
      </c>
      <c r="B840" s="1" t="n">
        <v>45090</v>
      </c>
      <c r="C840" s="1" t="n">
        <v>45672</v>
      </c>
      <c r="D840" t="inlineStr">
        <is>
          <t>VÄSTERBOTTENS LÄN</t>
        </is>
      </c>
      <c r="E840" t="inlineStr">
        <is>
          <t>VILHELMINA</t>
        </is>
      </c>
      <c r="G840" t="n">
        <v>7.8</v>
      </c>
      <c r="H840" t="n">
        <v>0</v>
      </c>
      <c r="I840" t="n">
        <v>0</v>
      </c>
      <c r="J840" t="n">
        <v>0</v>
      </c>
      <c r="K840" t="n">
        <v>0</v>
      </c>
      <c r="L840" t="n">
        <v>0</v>
      </c>
      <c r="M840" t="n">
        <v>0</v>
      </c>
      <c r="N840" t="n">
        <v>0</v>
      </c>
      <c r="O840" t="n">
        <v>0</v>
      </c>
      <c r="P840" t="n">
        <v>0</v>
      </c>
      <c r="Q840" t="n">
        <v>0</v>
      </c>
      <c r="R840" s="2" t="inlineStr"/>
    </row>
    <row r="841" ht="15" customHeight="1">
      <c r="A841" t="inlineStr">
        <is>
          <t>A 26657-2023</t>
        </is>
      </c>
      <c r="B841" s="1" t="n">
        <v>45092</v>
      </c>
      <c r="C841" s="1" t="n">
        <v>45672</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45093</v>
      </c>
      <c r="C842" s="1" t="n">
        <v>45672</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26656-2023</t>
        </is>
      </c>
      <c r="B843" s="1" t="n">
        <v>45092</v>
      </c>
      <c r="C843" s="1" t="n">
        <v>45672</v>
      </c>
      <c r="D843" t="inlineStr">
        <is>
          <t>VÄSTERBOTTENS LÄN</t>
        </is>
      </c>
      <c r="E843" t="inlineStr">
        <is>
          <t>VILHELMINA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27601-2023</t>
        </is>
      </c>
      <c r="B844" s="1" t="n">
        <v>45092</v>
      </c>
      <c r="C844" s="1" t="n">
        <v>45672</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26997-2023</t>
        </is>
      </c>
      <c r="B845" s="1" t="n">
        <v>45093</v>
      </c>
      <c r="C845" s="1" t="n">
        <v>45672</v>
      </c>
      <c r="D845" t="inlineStr">
        <is>
          <t>VÄSTERBOTTENS LÄN</t>
        </is>
      </c>
      <c r="E845" t="inlineStr">
        <is>
          <t>VILHELMINA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27763-2023</t>
        </is>
      </c>
      <c r="B846" s="1" t="n">
        <v>45093</v>
      </c>
      <c r="C846" s="1" t="n">
        <v>45672</v>
      </c>
      <c r="D846" t="inlineStr">
        <is>
          <t>VÄSTERBOTTENS LÄN</t>
        </is>
      </c>
      <c r="E846" t="inlineStr">
        <is>
          <t>VILHELMINA</t>
        </is>
      </c>
      <c r="G846" t="n">
        <v>21.5</v>
      </c>
      <c r="H846" t="n">
        <v>0</v>
      </c>
      <c r="I846" t="n">
        <v>0</v>
      </c>
      <c r="J846" t="n">
        <v>0</v>
      </c>
      <c r="K846" t="n">
        <v>0</v>
      </c>
      <c r="L846" t="n">
        <v>0</v>
      </c>
      <c r="M846" t="n">
        <v>0</v>
      </c>
      <c r="N846" t="n">
        <v>0</v>
      </c>
      <c r="O846" t="n">
        <v>0</v>
      </c>
      <c r="P846" t="n">
        <v>0</v>
      </c>
      <c r="Q846" t="n">
        <v>0</v>
      </c>
      <c r="R846" s="2" t="inlineStr"/>
    </row>
    <row r="847" ht="15" customHeight="1">
      <c r="A847" t="inlineStr">
        <is>
          <t>A 27357-2023</t>
        </is>
      </c>
      <c r="B847" s="1" t="n">
        <v>45096</v>
      </c>
      <c r="C847" s="1" t="n">
        <v>45672</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27355-2023</t>
        </is>
      </c>
      <c r="B848" s="1" t="n">
        <v>45096</v>
      </c>
      <c r="C848" s="1" t="n">
        <v>45672</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28011-2023</t>
        </is>
      </c>
      <c r="B849" s="1" t="n">
        <v>45098</v>
      </c>
      <c r="C849" s="1" t="n">
        <v>45672</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28380-2023</t>
        </is>
      </c>
      <c r="B850" s="1" t="n">
        <v>45099</v>
      </c>
      <c r="C850" s="1" t="n">
        <v>45672</v>
      </c>
      <c r="D850" t="inlineStr">
        <is>
          <t>VÄSTERBOTTENS LÄN</t>
        </is>
      </c>
      <c r="E850" t="inlineStr">
        <is>
          <t>VILHELMINA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28718-2023</t>
        </is>
      </c>
      <c r="B851" s="1" t="n">
        <v>45103</v>
      </c>
      <c r="C851" s="1" t="n">
        <v>45672</v>
      </c>
      <c r="D851" t="inlineStr">
        <is>
          <t>VÄSTERBOTTENS LÄN</t>
        </is>
      </c>
      <c r="E851" t="inlineStr">
        <is>
          <t>VILHELMINA</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28982-2023</t>
        </is>
      </c>
      <c r="B852" s="1" t="n">
        <v>45104</v>
      </c>
      <c r="C852" s="1" t="n">
        <v>45672</v>
      </c>
      <c r="D852" t="inlineStr">
        <is>
          <t>VÄSTERBOTTENS LÄN</t>
        </is>
      </c>
      <c r="E852" t="inlineStr">
        <is>
          <t>VILHELMINA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28986-2023</t>
        </is>
      </c>
      <c r="B853" s="1" t="n">
        <v>45104</v>
      </c>
      <c r="C853" s="1" t="n">
        <v>45672</v>
      </c>
      <c r="D853" t="inlineStr">
        <is>
          <t>VÄSTERBOTTENS LÄN</t>
        </is>
      </c>
      <c r="E853" t="inlineStr">
        <is>
          <t>VILHELMINA</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28991-2023</t>
        </is>
      </c>
      <c r="B854" s="1" t="n">
        <v>45104</v>
      </c>
      <c r="C854" s="1" t="n">
        <v>45672</v>
      </c>
      <c r="D854" t="inlineStr">
        <is>
          <t>VÄSTERBOTTENS LÄN</t>
        </is>
      </c>
      <c r="E854" t="inlineStr">
        <is>
          <t>VILHELMINA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28984-2023</t>
        </is>
      </c>
      <c r="B855" s="1" t="n">
        <v>45104</v>
      </c>
      <c r="C855" s="1" t="n">
        <v>45672</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29250-2023</t>
        </is>
      </c>
      <c r="B856" s="1" t="n">
        <v>45105</v>
      </c>
      <c r="C856" s="1" t="n">
        <v>45672</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29608-2023</t>
        </is>
      </c>
      <c r="B857" s="1" t="n">
        <v>45106</v>
      </c>
      <c r="C857" s="1" t="n">
        <v>45672</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29954-2023</t>
        </is>
      </c>
      <c r="B858" s="1" t="n">
        <v>45107</v>
      </c>
      <c r="C858" s="1" t="n">
        <v>45672</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30846-2023</t>
        </is>
      </c>
      <c r="B859" s="1" t="n">
        <v>45112</v>
      </c>
      <c r="C859" s="1" t="n">
        <v>45672</v>
      </c>
      <c r="D859" t="inlineStr">
        <is>
          <t>VÄSTERBOTTENS LÄN</t>
        </is>
      </c>
      <c r="E859" t="inlineStr">
        <is>
          <t>VILHELMINA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30847-2023</t>
        </is>
      </c>
      <c r="B860" s="1" t="n">
        <v>45112</v>
      </c>
      <c r="C860" s="1" t="n">
        <v>45672</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30940-2023</t>
        </is>
      </c>
      <c r="B861" s="1" t="n">
        <v>45113</v>
      </c>
      <c r="C861" s="1" t="n">
        <v>45672</v>
      </c>
      <c r="D861" t="inlineStr">
        <is>
          <t>VÄSTERBOTTENS LÄN</t>
        </is>
      </c>
      <c r="E861" t="inlineStr">
        <is>
          <t>VILHELMINA</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30934-2023</t>
        </is>
      </c>
      <c r="B862" s="1" t="n">
        <v>45113</v>
      </c>
      <c r="C862" s="1" t="n">
        <v>45672</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31495-2023</t>
        </is>
      </c>
      <c r="B863" s="1" t="n">
        <v>45115</v>
      </c>
      <c r="C863" s="1" t="n">
        <v>45672</v>
      </c>
      <c r="D863" t="inlineStr">
        <is>
          <t>VÄSTERBOTTENS LÄN</t>
        </is>
      </c>
      <c r="E863" t="inlineStr">
        <is>
          <t>VILHELMINA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31496-2023</t>
        </is>
      </c>
      <c r="B864" s="1" t="n">
        <v>45115</v>
      </c>
      <c r="C864" s="1" t="n">
        <v>45672</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33349-2023</t>
        </is>
      </c>
      <c r="B865" s="1" t="n">
        <v>45117</v>
      </c>
      <c r="C865" s="1" t="n">
        <v>45672</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33412-2023</t>
        </is>
      </c>
      <c r="B866" s="1" t="n">
        <v>45117</v>
      </c>
      <c r="C866" s="1" t="n">
        <v>45672</v>
      </c>
      <c r="D866" t="inlineStr">
        <is>
          <t>VÄSTERBOTTENS LÄN</t>
        </is>
      </c>
      <c r="E866" t="inlineStr">
        <is>
          <t>VILHELMINA</t>
        </is>
      </c>
      <c r="F866" t="inlineStr">
        <is>
          <t>Övriga Aktiebolag</t>
        </is>
      </c>
      <c r="G866" t="n">
        <v>0.3</v>
      </c>
      <c r="H866" t="n">
        <v>0</v>
      </c>
      <c r="I866" t="n">
        <v>0</v>
      </c>
      <c r="J866" t="n">
        <v>0</v>
      </c>
      <c r="K866" t="n">
        <v>0</v>
      </c>
      <c r="L866" t="n">
        <v>0</v>
      </c>
      <c r="M866" t="n">
        <v>0</v>
      </c>
      <c r="N866" t="n">
        <v>0</v>
      </c>
      <c r="O866" t="n">
        <v>0</v>
      </c>
      <c r="P866" t="n">
        <v>0</v>
      </c>
      <c r="Q866" t="n">
        <v>0</v>
      </c>
      <c r="R866" s="2" t="inlineStr"/>
    </row>
    <row r="867" ht="15" customHeight="1">
      <c r="A867" t="inlineStr">
        <is>
          <t>A 33675-2023</t>
        </is>
      </c>
      <c r="B867" s="1" t="n">
        <v>45119</v>
      </c>
      <c r="C867" s="1" t="n">
        <v>45672</v>
      </c>
      <c r="D867" t="inlineStr">
        <is>
          <t>VÄSTERBOTTENS LÄN</t>
        </is>
      </c>
      <c r="E867" t="inlineStr">
        <is>
          <t>VILHELMINA</t>
        </is>
      </c>
      <c r="F867" t="inlineStr">
        <is>
          <t>Allmännings- och besparingsskogar</t>
        </is>
      </c>
      <c r="G867" t="n">
        <v>27.9</v>
      </c>
      <c r="H867" t="n">
        <v>0</v>
      </c>
      <c r="I867" t="n">
        <v>0</v>
      </c>
      <c r="J867" t="n">
        <v>0</v>
      </c>
      <c r="K867" t="n">
        <v>0</v>
      </c>
      <c r="L867" t="n">
        <v>0</v>
      </c>
      <c r="M867" t="n">
        <v>0</v>
      </c>
      <c r="N867" t="n">
        <v>0</v>
      </c>
      <c r="O867" t="n">
        <v>0</v>
      </c>
      <c r="P867" t="n">
        <v>0</v>
      </c>
      <c r="Q867" t="n">
        <v>0</v>
      </c>
      <c r="R867" s="2" t="inlineStr"/>
    </row>
    <row r="868" ht="15" customHeight="1">
      <c r="A868" t="inlineStr">
        <is>
          <t>A 33661-2023</t>
        </is>
      </c>
      <c r="B868" s="1" t="n">
        <v>45119</v>
      </c>
      <c r="C868" s="1" t="n">
        <v>45672</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33679-2023</t>
        </is>
      </c>
      <c r="B869" s="1" t="n">
        <v>45119</v>
      </c>
      <c r="C869" s="1" t="n">
        <v>45672</v>
      </c>
      <c r="D869" t="inlineStr">
        <is>
          <t>VÄSTERBOTTENS LÄN</t>
        </is>
      </c>
      <c r="E869" t="inlineStr">
        <is>
          <t>VILHELMINA</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34074-2023</t>
        </is>
      </c>
      <c r="B870" s="1" t="n">
        <v>45125</v>
      </c>
      <c r="C870" s="1" t="n">
        <v>45672</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34087-2023</t>
        </is>
      </c>
      <c r="B871" s="1" t="n">
        <v>45125</v>
      </c>
      <c r="C871" s="1" t="n">
        <v>45672</v>
      </c>
      <c r="D871" t="inlineStr">
        <is>
          <t>VÄSTERBOTTENS LÄN</t>
        </is>
      </c>
      <c r="E871" t="inlineStr">
        <is>
          <t>VILHELMINA</t>
        </is>
      </c>
      <c r="G871" t="n">
        <v>13.2</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45672</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34807-2023</t>
        </is>
      </c>
      <c r="B873" s="1" t="n">
        <v>45140</v>
      </c>
      <c r="C873" s="1" t="n">
        <v>45672</v>
      </c>
      <c r="D873" t="inlineStr">
        <is>
          <t>VÄSTERBOTTENS LÄN</t>
        </is>
      </c>
      <c r="E873" t="inlineStr">
        <is>
          <t>VILHELMINA</t>
        </is>
      </c>
      <c r="G873" t="n">
        <v>8.1</v>
      </c>
      <c r="H873" t="n">
        <v>0</v>
      </c>
      <c r="I873" t="n">
        <v>0</v>
      </c>
      <c r="J873" t="n">
        <v>0</v>
      </c>
      <c r="K873" t="n">
        <v>0</v>
      </c>
      <c r="L873" t="n">
        <v>0</v>
      </c>
      <c r="M873" t="n">
        <v>0</v>
      </c>
      <c r="N873" t="n">
        <v>0</v>
      </c>
      <c r="O873" t="n">
        <v>0</v>
      </c>
      <c r="P873" t="n">
        <v>0</v>
      </c>
      <c r="Q873" t="n">
        <v>0</v>
      </c>
      <c r="R873" s="2" t="inlineStr"/>
    </row>
    <row r="874" ht="15" customHeight="1">
      <c r="A874" t="inlineStr">
        <is>
          <t>A 34809-2023</t>
        </is>
      </c>
      <c r="B874" s="1" t="n">
        <v>45140</v>
      </c>
      <c r="C874" s="1" t="n">
        <v>45672</v>
      </c>
      <c r="D874" t="inlineStr">
        <is>
          <t>VÄSTERBOTTENS LÄN</t>
        </is>
      </c>
      <c r="E874" t="inlineStr">
        <is>
          <t>VILHELMINA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34805-2023</t>
        </is>
      </c>
      <c r="B875" s="1" t="n">
        <v>45140</v>
      </c>
      <c r="C875" s="1" t="n">
        <v>45672</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45143</v>
      </c>
      <c r="C876" s="1" t="n">
        <v>45672</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ht="15" customHeight="1">
      <c r="A877" t="inlineStr">
        <is>
          <t>A 35018-2023</t>
        </is>
      </c>
      <c r="B877" s="1" t="n">
        <v>45142</v>
      </c>
      <c r="C877" s="1" t="n">
        <v>45672</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35289-2023</t>
        </is>
      </c>
      <c r="B878" s="1" t="n">
        <v>45145</v>
      </c>
      <c r="C878" s="1" t="n">
        <v>45672</v>
      </c>
      <c r="D878" t="inlineStr">
        <is>
          <t>VÄSTERBOTTENS LÄN</t>
        </is>
      </c>
      <c r="E878" t="inlineStr">
        <is>
          <t>VILHELMINA</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35758-2023</t>
        </is>
      </c>
      <c r="B879" s="1" t="n">
        <v>45148</v>
      </c>
      <c r="C879" s="1" t="n">
        <v>45672</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45148</v>
      </c>
      <c r="C880" s="1" t="n">
        <v>45672</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35759-2023</t>
        </is>
      </c>
      <c r="B881" s="1" t="n">
        <v>45147</v>
      </c>
      <c r="C881" s="1" t="n">
        <v>45672</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35752-2023</t>
        </is>
      </c>
      <c r="B882" s="1" t="n">
        <v>45147</v>
      </c>
      <c r="C882" s="1" t="n">
        <v>45672</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35756-2023</t>
        </is>
      </c>
      <c r="B883" s="1" t="n">
        <v>45148</v>
      </c>
      <c r="C883" s="1" t="n">
        <v>45672</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35760-2023</t>
        </is>
      </c>
      <c r="B884" s="1" t="n">
        <v>45147</v>
      </c>
      <c r="C884" s="1" t="n">
        <v>45672</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35753-2023</t>
        </is>
      </c>
      <c r="B885" s="1" t="n">
        <v>45148</v>
      </c>
      <c r="C885" s="1" t="n">
        <v>45672</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35757-2023</t>
        </is>
      </c>
      <c r="B886" s="1" t="n">
        <v>45148</v>
      </c>
      <c r="C886" s="1" t="n">
        <v>45672</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35968-2023</t>
        </is>
      </c>
      <c r="B887" s="1" t="n">
        <v>45149</v>
      </c>
      <c r="C887" s="1" t="n">
        <v>45672</v>
      </c>
      <c r="D887" t="inlineStr">
        <is>
          <t>VÄSTERBOTTENS LÄN</t>
        </is>
      </c>
      <c r="E887" t="inlineStr">
        <is>
          <t>VILHELMINA</t>
        </is>
      </c>
      <c r="G887" t="n">
        <v>0.8</v>
      </c>
      <c r="H887" t="n">
        <v>0</v>
      </c>
      <c r="I887" t="n">
        <v>0</v>
      </c>
      <c r="J887" t="n">
        <v>0</v>
      </c>
      <c r="K887" t="n">
        <v>0</v>
      </c>
      <c r="L887" t="n">
        <v>0</v>
      </c>
      <c r="M887" t="n">
        <v>0</v>
      </c>
      <c r="N887" t="n">
        <v>0</v>
      </c>
      <c r="O887" t="n">
        <v>0</v>
      </c>
      <c r="P887" t="n">
        <v>0</v>
      </c>
      <c r="Q887" t="n">
        <v>0</v>
      </c>
      <c r="R887" s="2" t="inlineStr"/>
    </row>
    <row r="888" ht="15" customHeight="1">
      <c r="A888" t="inlineStr">
        <is>
          <t>A 35984-2023</t>
        </is>
      </c>
      <c r="B888" s="1" t="n">
        <v>45149</v>
      </c>
      <c r="C888" s="1" t="n">
        <v>45672</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35983-2023</t>
        </is>
      </c>
      <c r="B889" s="1" t="n">
        <v>45149</v>
      </c>
      <c r="C889" s="1" t="n">
        <v>45672</v>
      </c>
      <c r="D889" t="inlineStr">
        <is>
          <t>VÄSTERBOTTENS LÄN</t>
        </is>
      </c>
      <c r="E889" t="inlineStr">
        <is>
          <t>VILHELMINA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35985-2023</t>
        </is>
      </c>
      <c r="B890" s="1" t="n">
        <v>45148</v>
      </c>
      <c r="C890" s="1" t="n">
        <v>45672</v>
      </c>
      <c r="D890" t="inlineStr">
        <is>
          <t>VÄSTERBOTTENS LÄN</t>
        </is>
      </c>
      <c r="E890" t="inlineStr">
        <is>
          <t>VILHELMINA</t>
        </is>
      </c>
      <c r="F890" t="inlineStr">
        <is>
          <t>SCA</t>
        </is>
      </c>
      <c r="G890" t="n">
        <v>43.8</v>
      </c>
      <c r="H890" t="n">
        <v>0</v>
      </c>
      <c r="I890" t="n">
        <v>0</v>
      </c>
      <c r="J890" t="n">
        <v>0</v>
      </c>
      <c r="K890" t="n">
        <v>0</v>
      </c>
      <c r="L890" t="n">
        <v>0</v>
      </c>
      <c r="M890" t="n">
        <v>0</v>
      </c>
      <c r="N890" t="n">
        <v>0</v>
      </c>
      <c r="O890" t="n">
        <v>0</v>
      </c>
      <c r="P890" t="n">
        <v>0</v>
      </c>
      <c r="Q890" t="n">
        <v>0</v>
      </c>
      <c r="R890" s="2" t="inlineStr"/>
    </row>
    <row r="891" ht="15" customHeight="1">
      <c r="A891" t="inlineStr">
        <is>
          <t>A 36214-2023</t>
        </is>
      </c>
      <c r="B891" s="1" t="n">
        <v>45150</v>
      </c>
      <c r="C891" s="1" t="n">
        <v>45672</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36219-2023</t>
        </is>
      </c>
      <c r="B892" s="1" t="n">
        <v>45150</v>
      </c>
      <c r="C892" s="1" t="n">
        <v>45672</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36215-2023</t>
        </is>
      </c>
      <c r="B893" s="1" t="n">
        <v>45150</v>
      </c>
      <c r="C893" s="1" t="n">
        <v>45672</v>
      </c>
      <c r="D893" t="inlineStr">
        <is>
          <t>VÄSTERBOTTENS LÄN</t>
        </is>
      </c>
      <c r="E893" t="inlineStr">
        <is>
          <t>VILHELMINA</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36216-2023</t>
        </is>
      </c>
      <c r="B894" s="1" t="n">
        <v>45150</v>
      </c>
      <c r="C894" s="1" t="n">
        <v>45672</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36221-2023</t>
        </is>
      </c>
      <c r="B895" s="1" t="n">
        <v>45150</v>
      </c>
      <c r="C895" s="1" t="n">
        <v>45672</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36217-2023</t>
        </is>
      </c>
      <c r="B896" s="1" t="n">
        <v>45150</v>
      </c>
      <c r="C896" s="1" t="n">
        <v>45672</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36408-2023</t>
        </is>
      </c>
      <c r="B897" s="1" t="n">
        <v>45152</v>
      </c>
      <c r="C897" s="1" t="n">
        <v>45672</v>
      </c>
      <c r="D897" t="inlineStr">
        <is>
          <t>VÄSTERBOTTENS LÄN</t>
        </is>
      </c>
      <c r="E897" t="inlineStr">
        <is>
          <t>VILHELMINA</t>
        </is>
      </c>
      <c r="G897" t="n">
        <v>4.4</v>
      </c>
      <c r="H897" t="n">
        <v>0</v>
      </c>
      <c r="I897" t="n">
        <v>0</v>
      </c>
      <c r="J897" t="n">
        <v>0</v>
      </c>
      <c r="K897" t="n">
        <v>0</v>
      </c>
      <c r="L897" t="n">
        <v>0</v>
      </c>
      <c r="M897" t="n">
        <v>0</v>
      </c>
      <c r="N897" t="n">
        <v>0</v>
      </c>
      <c r="O897" t="n">
        <v>0</v>
      </c>
      <c r="P897" t="n">
        <v>0</v>
      </c>
      <c r="Q897" t="n">
        <v>0</v>
      </c>
      <c r="R897" s="2" t="inlineStr"/>
    </row>
    <row r="898" ht="15" customHeight="1">
      <c r="A898" t="inlineStr">
        <is>
          <t>A 36376-2023</t>
        </is>
      </c>
      <c r="B898" s="1" t="n">
        <v>45152</v>
      </c>
      <c r="C898" s="1" t="n">
        <v>45672</v>
      </c>
      <c r="D898" t="inlineStr">
        <is>
          <t>VÄSTERBOTTENS LÄN</t>
        </is>
      </c>
      <c r="E898" t="inlineStr">
        <is>
          <t>VILHELMINA</t>
        </is>
      </c>
      <c r="G898" t="n">
        <v>12.7</v>
      </c>
      <c r="H898" t="n">
        <v>0</v>
      </c>
      <c r="I898" t="n">
        <v>0</v>
      </c>
      <c r="J898" t="n">
        <v>0</v>
      </c>
      <c r="K898" t="n">
        <v>0</v>
      </c>
      <c r="L898" t="n">
        <v>0</v>
      </c>
      <c r="M898" t="n">
        <v>0</v>
      </c>
      <c r="N898" t="n">
        <v>0</v>
      </c>
      <c r="O898" t="n">
        <v>0</v>
      </c>
      <c r="P898" t="n">
        <v>0</v>
      </c>
      <c r="Q898" t="n">
        <v>0</v>
      </c>
      <c r="R898" s="2" t="inlineStr"/>
    </row>
    <row r="899" ht="15" customHeight="1">
      <c r="A899" t="inlineStr">
        <is>
          <t>A 36957-2023</t>
        </is>
      </c>
      <c r="B899" s="1" t="n">
        <v>45155</v>
      </c>
      <c r="C899" s="1" t="n">
        <v>45672</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45672</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36996-2023</t>
        </is>
      </c>
      <c r="B901" s="1" t="n">
        <v>45155</v>
      </c>
      <c r="C901" s="1" t="n">
        <v>45672</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36995-2023</t>
        </is>
      </c>
      <c r="B902" s="1" t="n">
        <v>45154</v>
      </c>
      <c r="C902" s="1" t="n">
        <v>45672</v>
      </c>
      <c r="D902" t="inlineStr">
        <is>
          <t>VÄSTERBOTTENS LÄN</t>
        </is>
      </c>
      <c r="E902" t="inlineStr">
        <is>
          <t>VILHELMINA</t>
        </is>
      </c>
      <c r="F902" t="inlineStr">
        <is>
          <t>SCA</t>
        </is>
      </c>
      <c r="G902" t="n">
        <v>31.7</v>
      </c>
      <c r="H902" t="n">
        <v>0</v>
      </c>
      <c r="I902" t="n">
        <v>0</v>
      </c>
      <c r="J902" t="n">
        <v>0</v>
      </c>
      <c r="K902" t="n">
        <v>0</v>
      </c>
      <c r="L902" t="n">
        <v>0</v>
      </c>
      <c r="M902" t="n">
        <v>0</v>
      </c>
      <c r="N902" t="n">
        <v>0</v>
      </c>
      <c r="O902" t="n">
        <v>0</v>
      </c>
      <c r="P902" t="n">
        <v>0</v>
      </c>
      <c r="Q902" t="n">
        <v>0</v>
      </c>
      <c r="R902" s="2" t="inlineStr"/>
    </row>
    <row r="903" ht="15" customHeight="1">
      <c r="A903" t="inlineStr">
        <is>
          <t>A 37413-2023</t>
        </is>
      </c>
      <c r="B903" s="1" t="n">
        <v>45155</v>
      </c>
      <c r="C903" s="1" t="n">
        <v>45672</v>
      </c>
      <c r="D903" t="inlineStr">
        <is>
          <t>VÄSTERBOTTENS LÄN</t>
        </is>
      </c>
      <c r="E903" t="inlineStr">
        <is>
          <t>VILHELMINA</t>
        </is>
      </c>
      <c r="G903" t="n">
        <v>12.3</v>
      </c>
      <c r="H903" t="n">
        <v>0</v>
      </c>
      <c r="I903" t="n">
        <v>0</v>
      </c>
      <c r="J903" t="n">
        <v>0</v>
      </c>
      <c r="K903" t="n">
        <v>0</v>
      </c>
      <c r="L903" t="n">
        <v>0</v>
      </c>
      <c r="M903" t="n">
        <v>0</v>
      </c>
      <c r="N903" t="n">
        <v>0</v>
      </c>
      <c r="O903" t="n">
        <v>0</v>
      </c>
      <c r="P903" t="n">
        <v>0</v>
      </c>
      <c r="Q903" t="n">
        <v>0</v>
      </c>
      <c r="R903" s="2" t="inlineStr"/>
    </row>
    <row r="904" ht="15" customHeight="1">
      <c r="A904" t="inlineStr">
        <is>
          <t>A 37406-2023</t>
        </is>
      </c>
      <c r="B904" s="1" t="n">
        <v>45155</v>
      </c>
      <c r="C904" s="1" t="n">
        <v>45672</v>
      </c>
      <c r="D904" t="inlineStr">
        <is>
          <t>VÄSTERBOTTENS LÄN</t>
        </is>
      </c>
      <c r="E904" t="inlineStr">
        <is>
          <t>VILHELMINA</t>
        </is>
      </c>
      <c r="G904" t="n">
        <v>13.2</v>
      </c>
      <c r="H904" t="n">
        <v>0</v>
      </c>
      <c r="I904" t="n">
        <v>0</v>
      </c>
      <c r="J904" t="n">
        <v>0</v>
      </c>
      <c r="K904" t="n">
        <v>0</v>
      </c>
      <c r="L904" t="n">
        <v>0</v>
      </c>
      <c r="M904" t="n">
        <v>0</v>
      </c>
      <c r="N904" t="n">
        <v>0</v>
      </c>
      <c r="O904" t="n">
        <v>0</v>
      </c>
      <c r="P904" t="n">
        <v>0</v>
      </c>
      <c r="Q904" t="n">
        <v>0</v>
      </c>
      <c r="R904" s="2" t="inlineStr"/>
    </row>
    <row r="905" ht="15" customHeight="1">
      <c r="A905" t="inlineStr">
        <is>
          <t>A 37773-2023</t>
        </is>
      </c>
      <c r="B905" s="1" t="n">
        <v>45156</v>
      </c>
      <c r="C905" s="1" t="n">
        <v>45672</v>
      </c>
      <c r="D905" t="inlineStr">
        <is>
          <t>VÄSTERBOTTENS LÄN</t>
        </is>
      </c>
      <c r="E905" t="inlineStr">
        <is>
          <t>VILHELMINA</t>
        </is>
      </c>
      <c r="G905" t="n">
        <v>6.5</v>
      </c>
      <c r="H905" t="n">
        <v>0</v>
      </c>
      <c r="I905" t="n">
        <v>0</v>
      </c>
      <c r="J905" t="n">
        <v>0</v>
      </c>
      <c r="K905" t="n">
        <v>0</v>
      </c>
      <c r="L905" t="n">
        <v>0</v>
      </c>
      <c r="M905" t="n">
        <v>0</v>
      </c>
      <c r="N905" t="n">
        <v>0</v>
      </c>
      <c r="O905" t="n">
        <v>0</v>
      </c>
      <c r="P905" t="n">
        <v>0</v>
      </c>
      <c r="Q905" t="n">
        <v>0</v>
      </c>
      <c r="R905" s="2" t="inlineStr"/>
    </row>
    <row r="906" ht="15" customHeight="1">
      <c r="A906" t="inlineStr">
        <is>
          <t>A 37505-2023</t>
        </is>
      </c>
      <c r="B906" s="1" t="n">
        <v>45158</v>
      </c>
      <c r="C906" s="1" t="n">
        <v>45672</v>
      </c>
      <c r="D906" t="inlineStr">
        <is>
          <t>VÄSTERBOTTENS LÄN</t>
        </is>
      </c>
      <c r="E906" t="inlineStr">
        <is>
          <t>VILHELMINA</t>
        </is>
      </c>
      <c r="G906" t="n">
        <v>10.5</v>
      </c>
      <c r="H906" t="n">
        <v>0</v>
      </c>
      <c r="I906" t="n">
        <v>0</v>
      </c>
      <c r="J906" t="n">
        <v>0</v>
      </c>
      <c r="K906" t="n">
        <v>0</v>
      </c>
      <c r="L906" t="n">
        <v>0</v>
      </c>
      <c r="M906" t="n">
        <v>0</v>
      </c>
      <c r="N906" t="n">
        <v>0</v>
      </c>
      <c r="O906" t="n">
        <v>0</v>
      </c>
      <c r="P906" t="n">
        <v>0</v>
      </c>
      <c r="Q906" t="n">
        <v>0</v>
      </c>
      <c r="R906" s="2" t="inlineStr"/>
    </row>
    <row r="907" ht="15" customHeight="1">
      <c r="A907" t="inlineStr">
        <is>
          <t>A 37937-2023</t>
        </is>
      </c>
      <c r="B907" s="1" t="n">
        <v>45159</v>
      </c>
      <c r="C907" s="1" t="n">
        <v>45672</v>
      </c>
      <c r="D907" t="inlineStr">
        <is>
          <t>VÄSTERBOTTENS LÄN</t>
        </is>
      </c>
      <c r="E907" t="inlineStr">
        <is>
          <t>VILHELMINA</t>
        </is>
      </c>
      <c r="G907" t="n">
        <v>2.2</v>
      </c>
      <c r="H907" t="n">
        <v>0</v>
      </c>
      <c r="I907" t="n">
        <v>0</v>
      </c>
      <c r="J907" t="n">
        <v>0</v>
      </c>
      <c r="K907" t="n">
        <v>0</v>
      </c>
      <c r="L907" t="n">
        <v>0</v>
      </c>
      <c r="M907" t="n">
        <v>0</v>
      </c>
      <c r="N907" t="n">
        <v>0</v>
      </c>
      <c r="O907" t="n">
        <v>0</v>
      </c>
      <c r="P907" t="n">
        <v>0</v>
      </c>
      <c r="Q907" t="n">
        <v>0</v>
      </c>
      <c r="R907" s="2" t="inlineStr"/>
    </row>
    <row r="908" ht="15" customHeight="1">
      <c r="A908" t="inlineStr">
        <is>
          <t>A 38363-2023</t>
        </is>
      </c>
      <c r="B908" s="1" t="n">
        <v>45161</v>
      </c>
      <c r="C908" s="1" t="n">
        <v>45672</v>
      </c>
      <c r="D908" t="inlineStr">
        <is>
          <t>VÄSTERBOTTENS LÄN</t>
        </is>
      </c>
      <c r="E908" t="inlineStr">
        <is>
          <t>VILHELMINA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38364-2023</t>
        </is>
      </c>
      <c r="B909" s="1" t="n">
        <v>45161</v>
      </c>
      <c r="C909" s="1" t="n">
        <v>45672</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38361-2023</t>
        </is>
      </c>
      <c r="B910" s="1" t="n">
        <v>45162</v>
      </c>
      <c r="C910" s="1" t="n">
        <v>45672</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38829-2023</t>
        </is>
      </c>
      <c r="B911" s="1" t="n">
        <v>45161</v>
      </c>
      <c r="C911" s="1" t="n">
        <v>45672</v>
      </c>
      <c r="D911" t="inlineStr">
        <is>
          <t>VÄSTERBOTTENS LÄN</t>
        </is>
      </c>
      <c r="E911" t="inlineStr">
        <is>
          <t>VILHELMINA</t>
        </is>
      </c>
      <c r="G911" t="n">
        <v>9.9</v>
      </c>
      <c r="H911" t="n">
        <v>0</v>
      </c>
      <c r="I911" t="n">
        <v>0</v>
      </c>
      <c r="J911" t="n">
        <v>0</v>
      </c>
      <c r="K911" t="n">
        <v>0</v>
      </c>
      <c r="L911" t="n">
        <v>0</v>
      </c>
      <c r="M911" t="n">
        <v>0</v>
      </c>
      <c r="N911" t="n">
        <v>0</v>
      </c>
      <c r="O911" t="n">
        <v>0</v>
      </c>
      <c r="P911" t="n">
        <v>0</v>
      </c>
      <c r="Q911" t="n">
        <v>0</v>
      </c>
      <c r="R911" s="2" t="inlineStr"/>
    </row>
    <row r="912" ht="15" customHeight="1">
      <c r="A912" t="inlineStr">
        <is>
          <t>A 38674-2023</t>
        </is>
      </c>
      <c r="B912" s="1" t="n">
        <v>45163</v>
      </c>
      <c r="C912" s="1" t="n">
        <v>45672</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39914-2023</t>
        </is>
      </c>
      <c r="B913" s="1" t="n">
        <v>45166</v>
      </c>
      <c r="C913" s="1" t="n">
        <v>45672</v>
      </c>
      <c r="D913" t="inlineStr">
        <is>
          <t>VÄSTERBOTTENS LÄN</t>
        </is>
      </c>
      <c r="E913" t="inlineStr">
        <is>
          <t>VILHELMINA</t>
        </is>
      </c>
      <c r="G913" t="n">
        <v>27.5</v>
      </c>
      <c r="H913" t="n">
        <v>0</v>
      </c>
      <c r="I913" t="n">
        <v>0</v>
      </c>
      <c r="J913" t="n">
        <v>0</v>
      </c>
      <c r="K913" t="n">
        <v>0</v>
      </c>
      <c r="L913" t="n">
        <v>0</v>
      </c>
      <c r="M913" t="n">
        <v>0</v>
      </c>
      <c r="N913" t="n">
        <v>0</v>
      </c>
      <c r="O913" t="n">
        <v>0</v>
      </c>
      <c r="P913" t="n">
        <v>0</v>
      </c>
      <c r="Q913" t="n">
        <v>0</v>
      </c>
      <c r="R913" s="2" t="inlineStr"/>
    </row>
    <row r="914" ht="15" customHeight="1">
      <c r="A914" t="inlineStr">
        <is>
          <t>A 40431-2023</t>
        </is>
      </c>
      <c r="B914" s="1" t="n">
        <v>45170</v>
      </c>
      <c r="C914" s="1" t="n">
        <v>45672</v>
      </c>
      <c r="D914" t="inlineStr">
        <is>
          <t>VÄSTERBOTTENS LÄN</t>
        </is>
      </c>
      <c r="E914" t="inlineStr">
        <is>
          <t>VILHELMINA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40426-2023</t>
        </is>
      </c>
      <c r="B915" s="1" t="n">
        <v>45169</v>
      </c>
      <c r="C915" s="1" t="n">
        <v>45672</v>
      </c>
      <c r="D915" t="inlineStr">
        <is>
          <t>VÄSTERBOTTENS LÄN</t>
        </is>
      </c>
      <c r="E915" t="inlineStr">
        <is>
          <t>VILHELMINA</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40649-2023</t>
        </is>
      </c>
      <c r="B916" s="1" t="n">
        <v>45170</v>
      </c>
      <c r="C916" s="1" t="n">
        <v>45672</v>
      </c>
      <c r="D916" t="inlineStr">
        <is>
          <t>VÄSTERBOTTENS LÄN</t>
        </is>
      </c>
      <c r="E916" t="inlineStr">
        <is>
          <t>VILHELMINA</t>
        </is>
      </c>
      <c r="G916" t="n">
        <v>18.5</v>
      </c>
      <c r="H916" t="n">
        <v>0</v>
      </c>
      <c r="I916" t="n">
        <v>0</v>
      </c>
      <c r="J916" t="n">
        <v>0</v>
      </c>
      <c r="K916" t="n">
        <v>0</v>
      </c>
      <c r="L916" t="n">
        <v>0</v>
      </c>
      <c r="M916" t="n">
        <v>0</v>
      </c>
      <c r="N916" t="n">
        <v>0</v>
      </c>
      <c r="O916" t="n">
        <v>0</v>
      </c>
      <c r="P916" t="n">
        <v>0</v>
      </c>
      <c r="Q916" t="n">
        <v>0</v>
      </c>
      <c r="R916" s="2" t="inlineStr"/>
    </row>
    <row r="917" ht="15" customHeight="1">
      <c r="A917" t="inlineStr">
        <is>
          <t>A 40785-2023</t>
        </is>
      </c>
      <c r="B917" s="1" t="n">
        <v>45171</v>
      </c>
      <c r="C917" s="1" t="n">
        <v>45672</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40781-2023</t>
        </is>
      </c>
      <c r="B918" s="1" t="n">
        <v>45171</v>
      </c>
      <c r="C918" s="1" t="n">
        <v>45672</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40782-2023</t>
        </is>
      </c>
      <c r="B919" s="1" t="n">
        <v>45171</v>
      </c>
      <c r="C919" s="1" t="n">
        <v>45672</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40783-2023</t>
        </is>
      </c>
      <c r="B920" s="1" t="n">
        <v>45171</v>
      </c>
      <c r="C920" s="1" t="n">
        <v>45672</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40787-2023</t>
        </is>
      </c>
      <c r="B921" s="1" t="n">
        <v>45171</v>
      </c>
      <c r="C921" s="1" t="n">
        <v>45672</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40784-2023</t>
        </is>
      </c>
      <c r="B922" s="1" t="n">
        <v>45171</v>
      </c>
      <c r="C922" s="1" t="n">
        <v>45672</v>
      </c>
      <c r="D922" t="inlineStr">
        <is>
          <t>VÄSTERBOTTENS LÄN</t>
        </is>
      </c>
      <c r="E922" t="inlineStr">
        <is>
          <t>VILHELMINA</t>
        </is>
      </c>
      <c r="F922" t="inlineStr">
        <is>
          <t>SCA</t>
        </is>
      </c>
      <c r="G922" t="n">
        <v>9.1</v>
      </c>
      <c r="H922" t="n">
        <v>0</v>
      </c>
      <c r="I922" t="n">
        <v>0</v>
      </c>
      <c r="J922" t="n">
        <v>0</v>
      </c>
      <c r="K922" t="n">
        <v>0</v>
      </c>
      <c r="L922" t="n">
        <v>0</v>
      </c>
      <c r="M922" t="n">
        <v>0</v>
      </c>
      <c r="N922" t="n">
        <v>0</v>
      </c>
      <c r="O922" t="n">
        <v>0</v>
      </c>
      <c r="P922" t="n">
        <v>0</v>
      </c>
      <c r="Q922" t="n">
        <v>0</v>
      </c>
      <c r="R922" s="2" t="inlineStr"/>
    </row>
    <row r="923" ht="15" customHeight="1">
      <c r="A923" t="inlineStr">
        <is>
          <t>A 40780-2023</t>
        </is>
      </c>
      <c r="B923" s="1" t="n">
        <v>45170</v>
      </c>
      <c r="C923" s="1" t="n">
        <v>45672</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40908-2023</t>
        </is>
      </c>
      <c r="B924" s="1" t="n">
        <v>45173</v>
      </c>
      <c r="C924" s="1" t="n">
        <v>45672</v>
      </c>
      <c r="D924" t="inlineStr">
        <is>
          <t>VÄSTERBOTTENS LÄN</t>
        </is>
      </c>
      <c r="E924" t="inlineStr">
        <is>
          <t>VILHELMINA</t>
        </is>
      </c>
      <c r="G924" t="n">
        <v>3.3</v>
      </c>
      <c r="H924" t="n">
        <v>0</v>
      </c>
      <c r="I924" t="n">
        <v>0</v>
      </c>
      <c r="J924" t="n">
        <v>0</v>
      </c>
      <c r="K924" t="n">
        <v>0</v>
      </c>
      <c r="L924" t="n">
        <v>0</v>
      </c>
      <c r="M924" t="n">
        <v>0</v>
      </c>
      <c r="N924" t="n">
        <v>0</v>
      </c>
      <c r="O924" t="n">
        <v>0</v>
      </c>
      <c r="P924" t="n">
        <v>0</v>
      </c>
      <c r="Q924" t="n">
        <v>0</v>
      </c>
      <c r="R924" s="2" t="inlineStr"/>
    </row>
    <row r="925" ht="15" customHeight="1">
      <c r="A925" t="inlineStr">
        <is>
          <t>A 41931-2023</t>
        </is>
      </c>
      <c r="B925" s="1" t="n">
        <v>45177</v>
      </c>
      <c r="C925" s="1" t="n">
        <v>45672</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41930-2023</t>
        </is>
      </c>
      <c r="B926" s="1" t="n">
        <v>45177</v>
      </c>
      <c r="C926" s="1" t="n">
        <v>45672</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41932-2023</t>
        </is>
      </c>
      <c r="B927" s="1" t="n">
        <v>45177</v>
      </c>
      <c r="C927" s="1" t="n">
        <v>45672</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43637-2023</t>
        </is>
      </c>
      <c r="B928" s="1" t="n">
        <v>45186</v>
      </c>
      <c r="C928" s="1" t="n">
        <v>45672</v>
      </c>
      <c r="D928" t="inlineStr">
        <is>
          <t>VÄSTERBOTTENS LÄN</t>
        </is>
      </c>
      <c r="E928" t="inlineStr">
        <is>
          <t>VILHELMINA</t>
        </is>
      </c>
      <c r="G928" t="n">
        <v>3.3</v>
      </c>
      <c r="H928" t="n">
        <v>0</v>
      </c>
      <c r="I928" t="n">
        <v>0</v>
      </c>
      <c r="J928" t="n">
        <v>0</v>
      </c>
      <c r="K928" t="n">
        <v>0</v>
      </c>
      <c r="L928" t="n">
        <v>0</v>
      </c>
      <c r="M928" t="n">
        <v>0</v>
      </c>
      <c r="N928" t="n">
        <v>0</v>
      </c>
      <c r="O928" t="n">
        <v>0</v>
      </c>
      <c r="P928" t="n">
        <v>0</v>
      </c>
      <c r="Q928" t="n">
        <v>0</v>
      </c>
      <c r="R928" s="2" t="inlineStr"/>
    </row>
    <row r="929" ht="15" customHeight="1">
      <c r="A929" t="inlineStr">
        <is>
          <t>A 43948-2023</t>
        </is>
      </c>
      <c r="B929" s="1" t="n">
        <v>45187</v>
      </c>
      <c r="C929" s="1" t="n">
        <v>45672</v>
      </c>
      <c r="D929" t="inlineStr">
        <is>
          <t>VÄSTERBOTTENS LÄN</t>
        </is>
      </c>
      <c r="E929" t="inlineStr">
        <is>
          <t>VILHELMINA</t>
        </is>
      </c>
      <c r="G929" t="n">
        <v>3.7</v>
      </c>
      <c r="H929" t="n">
        <v>0</v>
      </c>
      <c r="I929" t="n">
        <v>0</v>
      </c>
      <c r="J929" t="n">
        <v>0</v>
      </c>
      <c r="K929" t="n">
        <v>0</v>
      </c>
      <c r="L929" t="n">
        <v>0</v>
      </c>
      <c r="M929" t="n">
        <v>0</v>
      </c>
      <c r="N929" t="n">
        <v>0</v>
      </c>
      <c r="O929" t="n">
        <v>0</v>
      </c>
      <c r="P929" t="n">
        <v>0</v>
      </c>
      <c r="Q929" t="n">
        <v>0</v>
      </c>
      <c r="R929" s="2" t="inlineStr"/>
    </row>
    <row r="930" ht="15" customHeight="1">
      <c r="A930" t="inlineStr">
        <is>
          <t>A 45219-2023</t>
        </is>
      </c>
      <c r="B930" s="1" t="n">
        <v>45187</v>
      </c>
      <c r="C930" s="1" t="n">
        <v>45672</v>
      </c>
      <c r="D930" t="inlineStr">
        <is>
          <t>VÄSTERBOTTENS LÄN</t>
        </is>
      </c>
      <c r="E930" t="inlineStr">
        <is>
          <t>VILHELMINA</t>
        </is>
      </c>
      <c r="G930" t="n">
        <v>10.6</v>
      </c>
      <c r="H930" t="n">
        <v>0</v>
      </c>
      <c r="I930" t="n">
        <v>0</v>
      </c>
      <c r="J930" t="n">
        <v>0</v>
      </c>
      <c r="K930" t="n">
        <v>0</v>
      </c>
      <c r="L930" t="n">
        <v>0</v>
      </c>
      <c r="M930" t="n">
        <v>0</v>
      </c>
      <c r="N930" t="n">
        <v>0</v>
      </c>
      <c r="O930" t="n">
        <v>0</v>
      </c>
      <c r="P930" t="n">
        <v>0</v>
      </c>
      <c r="Q930" t="n">
        <v>0</v>
      </c>
      <c r="R930" s="2" t="inlineStr"/>
    </row>
    <row r="931" ht="15" customHeight="1">
      <c r="A931" t="inlineStr">
        <is>
          <t>A 43990-2023</t>
        </is>
      </c>
      <c r="B931" s="1" t="n">
        <v>45188</v>
      </c>
      <c r="C931" s="1" t="n">
        <v>45672</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45215-2023</t>
        </is>
      </c>
      <c r="B932" s="1" t="n">
        <v>45187</v>
      </c>
      <c r="C932" s="1" t="n">
        <v>45672</v>
      </c>
      <c r="D932" t="inlineStr">
        <is>
          <t>VÄSTERBOTTENS LÄN</t>
        </is>
      </c>
      <c r="E932" t="inlineStr">
        <is>
          <t>VILHELMINA</t>
        </is>
      </c>
      <c r="F932" t="inlineStr">
        <is>
          <t>Kommuner</t>
        </is>
      </c>
      <c r="G932" t="n">
        <v>8.6</v>
      </c>
      <c r="H932" t="n">
        <v>0</v>
      </c>
      <c r="I932" t="n">
        <v>0</v>
      </c>
      <c r="J932" t="n">
        <v>0</v>
      </c>
      <c r="K932" t="n">
        <v>0</v>
      </c>
      <c r="L932" t="n">
        <v>0</v>
      </c>
      <c r="M932" t="n">
        <v>0</v>
      </c>
      <c r="N932" t="n">
        <v>0</v>
      </c>
      <c r="O932" t="n">
        <v>0</v>
      </c>
      <c r="P932" t="n">
        <v>0</v>
      </c>
      <c r="Q932" t="n">
        <v>0</v>
      </c>
      <c r="R932" s="2" t="inlineStr"/>
    </row>
    <row r="933" ht="15" customHeight="1">
      <c r="A933" t="inlineStr">
        <is>
          <t>A 44371-2023</t>
        </is>
      </c>
      <c r="B933" s="1" t="n">
        <v>45188</v>
      </c>
      <c r="C933" s="1" t="n">
        <v>45672</v>
      </c>
      <c r="D933" t="inlineStr">
        <is>
          <t>VÄSTERBOTTENS LÄN</t>
        </is>
      </c>
      <c r="E933" t="inlineStr">
        <is>
          <t>VILHELMINA</t>
        </is>
      </c>
      <c r="G933" t="n">
        <v>11</v>
      </c>
      <c r="H933" t="n">
        <v>0</v>
      </c>
      <c r="I933" t="n">
        <v>0</v>
      </c>
      <c r="J933" t="n">
        <v>0</v>
      </c>
      <c r="K933" t="n">
        <v>0</v>
      </c>
      <c r="L933" t="n">
        <v>0</v>
      </c>
      <c r="M933" t="n">
        <v>0</v>
      </c>
      <c r="N933" t="n">
        <v>0</v>
      </c>
      <c r="O933" t="n">
        <v>0</v>
      </c>
      <c r="P933" t="n">
        <v>0</v>
      </c>
      <c r="Q933" t="n">
        <v>0</v>
      </c>
      <c r="R933" s="2" t="inlineStr"/>
    </row>
    <row r="934" ht="15" customHeight="1">
      <c r="A934" t="inlineStr">
        <is>
          <t>A 44601-2023</t>
        </is>
      </c>
      <c r="B934" s="1" t="n">
        <v>45189</v>
      </c>
      <c r="C934" s="1" t="n">
        <v>45672</v>
      </c>
      <c r="D934" t="inlineStr">
        <is>
          <t>VÄSTERBOTTENS LÄN</t>
        </is>
      </c>
      <c r="E934" t="inlineStr">
        <is>
          <t>VILHELMINA</t>
        </is>
      </c>
      <c r="F934" t="inlineStr">
        <is>
          <t>Kommuner</t>
        </is>
      </c>
      <c r="G934" t="n">
        <v>16.5</v>
      </c>
      <c r="H934" t="n">
        <v>0</v>
      </c>
      <c r="I934" t="n">
        <v>0</v>
      </c>
      <c r="J934" t="n">
        <v>0</v>
      </c>
      <c r="K934" t="n">
        <v>0</v>
      </c>
      <c r="L934" t="n">
        <v>0</v>
      </c>
      <c r="M934" t="n">
        <v>0</v>
      </c>
      <c r="N934" t="n">
        <v>0</v>
      </c>
      <c r="O934" t="n">
        <v>0</v>
      </c>
      <c r="P934" t="n">
        <v>0</v>
      </c>
      <c r="Q934" t="n">
        <v>0</v>
      </c>
      <c r="R934" s="2" t="inlineStr"/>
    </row>
    <row r="935" ht="15" customHeight="1">
      <c r="A935" t="inlineStr">
        <is>
          <t>A 44695-2023</t>
        </is>
      </c>
      <c r="B935" s="1" t="n">
        <v>45190</v>
      </c>
      <c r="C935" s="1" t="n">
        <v>45672</v>
      </c>
      <c r="D935" t="inlineStr">
        <is>
          <t>VÄSTERBOTTENS LÄN</t>
        </is>
      </c>
      <c r="E935" t="inlineStr">
        <is>
          <t>VILHELMINA</t>
        </is>
      </c>
      <c r="G935" t="n">
        <v>15.6</v>
      </c>
      <c r="H935" t="n">
        <v>0</v>
      </c>
      <c r="I935" t="n">
        <v>0</v>
      </c>
      <c r="J935" t="n">
        <v>0</v>
      </c>
      <c r="K935" t="n">
        <v>0</v>
      </c>
      <c r="L935" t="n">
        <v>0</v>
      </c>
      <c r="M935" t="n">
        <v>0</v>
      </c>
      <c r="N935" t="n">
        <v>0</v>
      </c>
      <c r="O935" t="n">
        <v>0</v>
      </c>
      <c r="P935" t="n">
        <v>0</v>
      </c>
      <c r="Q935" t="n">
        <v>0</v>
      </c>
      <c r="R935" s="2" t="inlineStr"/>
    </row>
    <row r="936" ht="15" customHeight="1">
      <c r="A936" t="inlineStr">
        <is>
          <t>A 45022-2023</t>
        </is>
      </c>
      <c r="B936" s="1" t="n">
        <v>45190</v>
      </c>
      <c r="C936" s="1" t="n">
        <v>45672</v>
      </c>
      <c r="D936" t="inlineStr">
        <is>
          <t>VÄSTERBOTTENS LÄN</t>
        </is>
      </c>
      <c r="E936" t="inlineStr">
        <is>
          <t>VILHELMINA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46177-2023</t>
        </is>
      </c>
      <c r="B937" s="1" t="n">
        <v>45190</v>
      </c>
      <c r="C937" s="1" t="n">
        <v>45672</v>
      </c>
      <c r="D937" t="inlineStr">
        <is>
          <t>VÄSTERBOTTENS LÄN</t>
        </is>
      </c>
      <c r="E937" t="inlineStr">
        <is>
          <t>VILHELMINA</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46164-2023</t>
        </is>
      </c>
      <c r="B938" s="1" t="n">
        <v>45190</v>
      </c>
      <c r="C938" s="1" t="n">
        <v>45672</v>
      </c>
      <c r="D938" t="inlineStr">
        <is>
          <t>VÄSTERBOTTENS LÄN</t>
        </is>
      </c>
      <c r="E938" t="inlineStr">
        <is>
          <t>VILHELMINA</t>
        </is>
      </c>
      <c r="G938" t="n">
        <v>6.3</v>
      </c>
      <c r="H938" t="n">
        <v>0</v>
      </c>
      <c r="I938" t="n">
        <v>0</v>
      </c>
      <c r="J938" t="n">
        <v>0</v>
      </c>
      <c r="K938" t="n">
        <v>0</v>
      </c>
      <c r="L938" t="n">
        <v>0</v>
      </c>
      <c r="M938" t="n">
        <v>0</v>
      </c>
      <c r="N938" t="n">
        <v>0</v>
      </c>
      <c r="O938" t="n">
        <v>0</v>
      </c>
      <c r="P938" t="n">
        <v>0</v>
      </c>
      <c r="Q938" t="n">
        <v>0</v>
      </c>
      <c r="R938" s="2" t="inlineStr"/>
    </row>
    <row r="939" ht="15" customHeight="1">
      <c r="A939" t="inlineStr">
        <is>
          <t>A 46119-2023</t>
        </is>
      </c>
      <c r="B939" s="1" t="n">
        <v>45190</v>
      </c>
      <c r="C939" s="1" t="n">
        <v>45672</v>
      </c>
      <c r="D939" t="inlineStr">
        <is>
          <t>VÄSTERBOTTENS LÄN</t>
        </is>
      </c>
      <c r="E939" t="inlineStr">
        <is>
          <t>VILHELMINA</t>
        </is>
      </c>
      <c r="G939" t="n">
        <v>17.7</v>
      </c>
      <c r="H939" t="n">
        <v>0</v>
      </c>
      <c r="I939" t="n">
        <v>0</v>
      </c>
      <c r="J939" t="n">
        <v>0</v>
      </c>
      <c r="K939" t="n">
        <v>0</v>
      </c>
      <c r="L939" t="n">
        <v>0</v>
      </c>
      <c r="M939" t="n">
        <v>0</v>
      </c>
      <c r="N939" t="n">
        <v>0</v>
      </c>
      <c r="O939" t="n">
        <v>0</v>
      </c>
      <c r="P939" t="n">
        <v>0</v>
      </c>
      <c r="Q939" t="n">
        <v>0</v>
      </c>
      <c r="R939" s="2" t="inlineStr"/>
    </row>
    <row r="940" ht="15" customHeight="1">
      <c r="A940" t="inlineStr">
        <is>
          <t>A 45672-2023</t>
        </is>
      </c>
      <c r="B940" s="1" t="n">
        <v>45194</v>
      </c>
      <c r="C940" s="1" t="n">
        <v>45672</v>
      </c>
      <c r="D940" t="inlineStr">
        <is>
          <t>VÄSTERBOTTENS LÄN</t>
        </is>
      </c>
      <c r="E940" t="inlineStr">
        <is>
          <t>VILHELMINA</t>
        </is>
      </c>
      <c r="G940" t="n">
        <v>1.5</v>
      </c>
      <c r="H940" t="n">
        <v>0</v>
      </c>
      <c r="I940" t="n">
        <v>0</v>
      </c>
      <c r="J940" t="n">
        <v>0</v>
      </c>
      <c r="K940" t="n">
        <v>0</v>
      </c>
      <c r="L940" t="n">
        <v>0</v>
      </c>
      <c r="M940" t="n">
        <v>0</v>
      </c>
      <c r="N940" t="n">
        <v>0</v>
      </c>
      <c r="O940" t="n">
        <v>0</v>
      </c>
      <c r="P940" t="n">
        <v>0</v>
      </c>
      <c r="Q940" t="n">
        <v>0</v>
      </c>
      <c r="R940" s="2" t="inlineStr"/>
    </row>
    <row r="941" ht="15" customHeight="1">
      <c r="A941" t="inlineStr">
        <is>
          <t>A 45673-2023</t>
        </is>
      </c>
      <c r="B941" s="1" t="n">
        <v>45194</v>
      </c>
      <c r="C941" s="1" t="n">
        <v>45672</v>
      </c>
      <c r="D941" t="inlineStr">
        <is>
          <t>VÄSTERBOTTENS LÄN</t>
        </is>
      </c>
      <c r="E941" t="inlineStr">
        <is>
          <t>VILHELMINA</t>
        </is>
      </c>
      <c r="G941" t="n">
        <v>13.4</v>
      </c>
      <c r="H941" t="n">
        <v>0</v>
      </c>
      <c r="I941" t="n">
        <v>0</v>
      </c>
      <c r="J941" t="n">
        <v>0</v>
      </c>
      <c r="K941" t="n">
        <v>0</v>
      </c>
      <c r="L941" t="n">
        <v>0</v>
      </c>
      <c r="M941" t="n">
        <v>0</v>
      </c>
      <c r="N941" t="n">
        <v>0</v>
      </c>
      <c r="O941" t="n">
        <v>0</v>
      </c>
      <c r="P941" t="n">
        <v>0</v>
      </c>
      <c r="Q941" t="n">
        <v>0</v>
      </c>
      <c r="R941" s="2" t="inlineStr"/>
    </row>
    <row r="942" ht="15" customHeight="1">
      <c r="A942" t="inlineStr">
        <is>
          <t>A 45970-2023</t>
        </is>
      </c>
      <c r="B942" s="1" t="n">
        <v>45195</v>
      </c>
      <c r="C942" s="1" t="n">
        <v>45672</v>
      </c>
      <c r="D942" t="inlineStr">
        <is>
          <t>VÄSTERBOTTENS LÄN</t>
        </is>
      </c>
      <c r="E942" t="inlineStr">
        <is>
          <t>VILHELMINA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45971-2023</t>
        </is>
      </c>
      <c r="B943" s="1" t="n">
        <v>45195</v>
      </c>
      <c r="C943" s="1" t="n">
        <v>45672</v>
      </c>
      <c r="D943" t="inlineStr">
        <is>
          <t>VÄSTERBOTTENS LÄN</t>
        </is>
      </c>
      <c r="E943" t="inlineStr">
        <is>
          <t>VILHELMINA</t>
        </is>
      </c>
      <c r="F943" t="inlineStr">
        <is>
          <t>SCA</t>
        </is>
      </c>
      <c r="G943" t="n">
        <v>48.3</v>
      </c>
      <c r="H943" t="n">
        <v>0</v>
      </c>
      <c r="I943" t="n">
        <v>0</v>
      </c>
      <c r="J943" t="n">
        <v>0</v>
      </c>
      <c r="K943" t="n">
        <v>0</v>
      </c>
      <c r="L943" t="n">
        <v>0</v>
      </c>
      <c r="M943" t="n">
        <v>0</v>
      </c>
      <c r="N943" t="n">
        <v>0</v>
      </c>
      <c r="O943" t="n">
        <v>0</v>
      </c>
      <c r="P943" t="n">
        <v>0</v>
      </c>
      <c r="Q943" t="n">
        <v>0</v>
      </c>
      <c r="R943" s="2" t="inlineStr"/>
    </row>
    <row r="944" ht="15" customHeight="1">
      <c r="A944" t="inlineStr">
        <is>
          <t>A 45927-2023</t>
        </is>
      </c>
      <c r="B944" s="1" t="n">
        <v>45196</v>
      </c>
      <c r="C944" s="1" t="n">
        <v>45672</v>
      </c>
      <c r="D944" t="inlineStr">
        <is>
          <t>VÄSTERBOTTENS LÄN</t>
        </is>
      </c>
      <c r="E944" t="inlineStr">
        <is>
          <t>VILHELMINA</t>
        </is>
      </c>
      <c r="G944" t="n">
        <v>4.7</v>
      </c>
      <c r="H944" t="n">
        <v>0</v>
      </c>
      <c r="I944" t="n">
        <v>0</v>
      </c>
      <c r="J944" t="n">
        <v>0</v>
      </c>
      <c r="K944" t="n">
        <v>0</v>
      </c>
      <c r="L944" t="n">
        <v>0</v>
      </c>
      <c r="M944" t="n">
        <v>0</v>
      </c>
      <c r="N944" t="n">
        <v>0</v>
      </c>
      <c r="O944" t="n">
        <v>0</v>
      </c>
      <c r="P944" t="n">
        <v>0</v>
      </c>
      <c r="Q944" t="n">
        <v>0</v>
      </c>
      <c r="R944" s="2" t="inlineStr"/>
    </row>
    <row r="945" ht="15" customHeight="1">
      <c r="A945" t="inlineStr">
        <is>
          <t>A 45965-2023</t>
        </is>
      </c>
      <c r="B945" s="1" t="n">
        <v>45196</v>
      </c>
      <c r="C945" s="1" t="n">
        <v>45672</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45926-2023</t>
        </is>
      </c>
      <c r="B946" s="1" t="n">
        <v>45196</v>
      </c>
      <c r="C946" s="1" t="n">
        <v>45672</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45964-2023</t>
        </is>
      </c>
      <c r="B947" s="1" t="n">
        <v>45195</v>
      </c>
      <c r="C947" s="1" t="n">
        <v>45672</v>
      </c>
      <c r="D947" t="inlineStr">
        <is>
          <t>VÄSTERBOTTENS LÄN</t>
        </is>
      </c>
      <c r="E947" t="inlineStr">
        <is>
          <t>VILHELMINA</t>
        </is>
      </c>
      <c r="F947" t="inlineStr">
        <is>
          <t>SCA</t>
        </is>
      </c>
      <c r="G947" t="n">
        <v>17.2</v>
      </c>
      <c r="H947" t="n">
        <v>0</v>
      </c>
      <c r="I947" t="n">
        <v>0</v>
      </c>
      <c r="J947" t="n">
        <v>0</v>
      </c>
      <c r="K947" t="n">
        <v>0</v>
      </c>
      <c r="L947" t="n">
        <v>0</v>
      </c>
      <c r="M947" t="n">
        <v>0</v>
      </c>
      <c r="N947" t="n">
        <v>0</v>
      </c>
      <c r="O947" t="n">
        <v>0</v>
      </c>
      <c r="P947" t="n">
        <v>0</v>
      </c>
      <c r="Q947" t="n">
        <v>0</v>
      </c>
      <c r="R947" s="2" t="inlineStr"/>
    </row>
    <row r="948" ht="15" customHeight="1">
      <c r="A948" t="inlineStr">
        <is>
          <t>A 45972-2023</t>
        </is>
      </c>
      <c r="B948" s="1" t="n">
        <v>45195</v>
      </c>
      <c r="C948" s="1" t="n">
        <v>45672</v>
      </c>
      <c r="D948" t="inlineStr">
        <is>
          <t>VÄSTERBOTTENS LÄN</t>
        </is>
      </c>
      <c r="E948" t="inlineStr">
        <is>
          <t>VILHELMINA</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46547-2023</t>
        </is>
      </c>
      <c r="B949" s="1" t="n">
        <v>45198</v>
      </c>
      <c r="C949" s="1" t="n">
        <v>45672</v>
      </c>
      <c r="D949" t="inlineStr">
        <is>
          <t>VÄSTERBOTTENS LÄN</t>
        </is>
      </c>
      <c r="E949" t="inlineStr">
        <is>
          <t>VILHELMINA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46824-2023</t>
        </is>
      </c>
      <c r="B950" s="1" t="n">
        <v>45199</v>
      </c>
      <c r="C950" s="1" t="n">
        <v>45672</v>
      </c>
      <c r="D950" t="inlineStr">
        <is>
          <t>VÄSTERBOTTENS LÄN</t>
        </is>
      </c>
      <c r="E950" t="inlineStr">
        <is>
          <t>VILHELMINA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46823-2023</t>
        </is>
      </c>
      <c r="B951" s="1" t="n">
        <v>45199</v>
      </c>
      <c r="C951" s="1" t="n">
        <v>45672</v>
      </c>
      <c r="D951" t="inlineStr">
        <is>
          <t>VÄSTERBOTTENS LÄN</t>
        </is>
      </c>
      <c r="E951" t="inlineStr">
        <is>
          <t>VILHELMINA</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47482-2023</t>
        </is>
      </c>
      <c r="B952" s="1" t="n">
        <v>45203</v>
      </c>
      <c r="C952" s="1" t="n">
        <v>45672</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47481-2023</t>
        </is>
      </c>
      <c r="B953" s="1" t="n">
        <v>45203</v>
      </c>
      <c r="C953" s="1" t="n">
        <v>45672</v>
      </c>
      <c r="D953" t="inlineStr">
        <is>
          <t>VÄSTERBOTTENS LÄN</t>
        </is>
      </c>
      <c r="E953" t="inlineStr">
        <is>
          <t>VILHELMINA</t>
        </is>
      </c>
      <c r="F953" t="inlineStr">
        <is>
          <t>SCA</t>
        </is>
      </c>
      <c r="G953" t="n">
        <v>16.4</v>
      </c>
      <c r="H953" t="n">
        <v>0</v>
      </c>
      <c r="I953" t="n">
        <v>0</v>
      </c>
      <c r="J953" t="n">
        <v>0</v>
      </c>
      <c r="K953" t="n">
        <v>0</v>
      </c>
      <c r="L953" t="n">
        <v>0</v>
      </c>
      <c r="M953" t="n">
        <v>0</v>
      </c>
      <c r="N953" t="n">
        <v>0</v>
      </c>
      <c r="O953" t="n">
        <v>0</v>
      </c>
      <c r="P953" t="n">
        <v>0</v>
      </c>
      <c r="Q953" t="n">
        <v>0</v>
      </c>
      <c r="R953" s="2" t="inlineStr"/>
    </row>
    <row r="954" ht="15" customHeight="1">
      <c r="A954" t="inlineStr">
        <is>
          <t>A 47480-2023</t>
        </is>
      </c>
      <c r="B954" s="1" t="n">
        <v>45203</v>
      </c>
      <c r="C954" s="1" t="n">
        <v>45672</v>
      </c>
      <c r="D954" t="inlineStr">
        <is>
          <t>VÄSTERBOTTENS LÄN</t>
        </is>
      </c>
      <c r="E954" t="inlineStr">
        <is>
          <t>VILHELMINA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47479-2023</t>
        </is>
      </c>
      <c r="B955" s="1" t="n">
        <v>45203</v>
      </c>
      <c r="C955" s="1" t="n">
        <v>45672</v>
      </c>
      <c r="D955" t="inlineStr">
        <is>
          <t>VÄSTERBOTTENS LÄN</t>
        </is>
      </c>
      <c r="E955" t="inlineStr">
        <is>
          <t>VILHELMINA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47483-2023</t>
        </is>
      </c>
      <c r="B956" s="1" t="n">
        <v>45203</v>
      </c>
      <c r="C956" s="1" t="n">
        <v>45672</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48368-2023</t>
        </is>
      </c>
      <c r="B957" s="1" t="n">
        <v>45205</v>
      </c>
      <c r="C957" s="1" t="n">
        <v>45672</v>
      </c>
      <c r="D957" t="inlineStr">
        <is>
          <t>VÄSTERBOTTENS LÄN</t>
        </is>
      </c>
      <c r="E957" t="inlineStr">
        <is>
          <t>VILHELMINA</t>
        </is>
      </c>
      <c r="F957" t="inlineStr">
        <is>
          <t>Sveaskog</t>
        </is>
      </c>
      <c r="G957" t="n">
        <v>16.8</v>
      </c>
      <c r="H957" t="n">
        <v>0</v>
      </c>
      <c r="I957" t="n">
        <v>0</v>
      </c>
      <c r="J957" t="n">
        <v>0</v>
      </c>
      <c r="K957" t="n">
        <v>0</v>
      </c>
      <c r="L957" t="n">
        <v>0</v>
      </c>
      <c r="M957" t="n">
        <v>0</v>
      </c>
      <c r="N957" t="n">
        <v>0</v>
      </c>
      <c r="O957" t="n">
        <v>0</v>
      </c>
      <c r="P957" t="n">
        <v>0</v>
      </c>
      <c r="Q957" t="n">
        <v>0</v>
      </c>
      <c r="R957" s="2" t="inlineStr"/>
    </row>
    <row r="958" ht="15" customHeight="1">
      <c r="A958" t="inlineStr">
        <is>
          <t>A 48424-2023</t>
        </is>
      </c>
      <c r="B958" s="1" t="n">
        <v>45205</v>
      </c>
      <c r="C958" s="1" t="n">
        <v>45672</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48372-2023</t>
        </is>
      </c>
      <c r="B959" s="1" t="n">
        <v>45205</v>
      </c>
      <c r="C959" s="1" t="n">
        <v>45672</v>
      </c>
      <c r="D959" t="inlineStr">
        <is>
          <t>VÄSTERBOTTENS LÄN</t>
        </is>
      </c>
      <c r="E959" t="inlineStr">
        <is>
          <t>VILHELMINA</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45672</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48422-2023</t>
        </is>
      </c>
      <c r="B961" s="1" t="n">
        <v>45205</v>
      </c>
      <c r="C961" s="1" t="n">
        <v>45672</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48370-2023</t>
        </is>
      </c>
      <c r="B962" s="1" t="n">
        <v>45205</v>
      </c>
      <c r="C962" s="1" t="n">
        <v>45672</v>
      </c>
      <c r="D962" t="inlineStr">
        <is>
          <t>VÄSTERBOTTENS LÄN</t>
        </is>
      </c>
      <c r="E962" t="inlineStr">
        <is>
          <t>VILHELMINA</t>
        </is>
      </c>
      <c r="F962" t="inlineStr">
        <is>
          <t>Sveaskog</t>
        </is>
      </c>
      <c r="G962" t="n">
        <v>7.7</v>
      </c>
      <c r="H962" t="n">
        <v>0</v>
      </c>
      <c r="I962" t="n">
        <v>0</v>
      </c>
      <c r="J962" t="n">
        <v>0</v>
      </c>
      <c r="K962" t="n">
        <v>0</v>
      </c>
      <c r="L962" t="n">
        <v>0</v>
      </c>
      <c r="M962" t="n">
        <v>0</v>
      </c>
      <c r="N962" t="n">
        <v>0</v>
      </c>
      <c r="O962" t="n">
        <v>0</v>
      </c>
      <c r="P962" t="n">
        <v>0</v>
      </c>
      <c r="Q962" t="n">
        <v>0</v>
      </c>
      <c r="R962" s="2" t="inlineStr"/>
    </row>
    <row r="963" ht="15" customHeight="1">
      <c r="A963" t="inlineStr">
        <is>
          <t>A 48471-2023</t>
        </is>
      </c>
      <c r="B963" s="1" t="n">
        <v>45207</v>
      </c>
      <c r="C963" s="1" t="n">
        <v>45672</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48470-2023</t>
        </is>
      </c>
      <c r="B964" s="1" t="n">
        <v>45207</v>
      </c>
      <c r="C964" s="1" t="n">
        <v>45672</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48483-2023</t>
        </is>
      </c>
      <c r="B965" s="1" t="n">
        <v>45207</v>
      </c>
      <c r="C965" s="1" t="n">
        <v>45672</v>
      </c>
      <c r="D965" t="inlineStr">
        <is>
          <t>VÄSTERBOTTENS LÄN</t>
        </is>
      </c>
      <c r="E965" t="inlineStr">
        <is>
          <t>VILHELMINA</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48472-2023</t>
        </is>
      </c>
      <c r="B966" s="1" t="n">
        <v>45207</v>
      </c>
      <c r="C966" s="1" t="n">
        <v>45672</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48505-2023</t>
        </is>
      </c>
      <c r="B967" s="1" t="n">
        <v>45208</v>
      </c>
      <c r="C967" s="1" t="n">
        <v>45672</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50347-2023</t>
        </is>
      </c>
      <c r="B968" s="1" t="n">
        <v>45209</v>
      </c>
      <c r="C968" s="1" t="n">
        <v>45672</v>
      </c>
      <c r="D968" t="inlineStr">
        <is>
          <t>VÄSTERBOTTENS LÄN</t>
        </is>
      </c>
      <c r="E968" t="inlineStr">
        <is>
          <t>VILHELMINA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49310-2023</t>
        </is>
      </c>
      <c r="B969" s="1" t="n">
        <v>45210</v>
      </c>
      <c r="C969" s="1" t="n">
        <v>45672</v>
      </c>
      <c r="D969" t="inlineStr">
        <is>
          <t>VÄSTERBOTTENS LÄN</t>
        </is>
      </c>
      <c r="E969" t="inlineStr">
        <is>
          <t>VILHELMINA</t>
        </is>
      </c>
      <c r="G969" t="n">
        <v>25.1</v>
      </c>
      <c r="H969" t="n">
        <v>0</v>
      </c>
      <c r="I969" t="n">
        <v>0</v>
      </c>
      <c r="J969" t="n">
        <v>0</v>
      </c>
      <c r="K969" t="n">
        <v>0</v>
      </c>
      <c r="L969" t="n">
        <v>0</v>
      </c>
      <c r="M969" t="n">
        <v>0</v>
      </c>
      <c r="N969" t="n">
        <v>0</v>
      </c>
      <c r="O969" t="n">
        <v>0</v>
      </c>
      <c r="P969" t="n">
        <v>0</v>
      </c>
      <c r="Q969" t="n">
        <v>0</v>
      </c>
      <c r="R969" s="2" t="inlineStr"/>
    </row>
    <row r="970" ht="15" customHeight="1">
      <c r="A970" t="inlineStr">
        <is>
          <t>A 49642-2023</t>
        </is>
      </c>
      <c r="B970" s="1" t="n">
        <v>45212</v>
      </c>
      <c r="C970" s="1" t="n">
        <v>45672</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49652-2023</t>
        </is>
      </c>
      <c r="B971" s="1" t="n">
        <v>45212</v>
      </c>
      <c r="C971" s="1" t="n">
        <v>45672</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49860-2023</t>
        </is>
      </c>
      <c r="B972" s="1" t="n">
        <v>45212</v>
      </c>
      <c r="C972" s="1" t="n">
        <v>45672</v>
      </c>
      <c r="D972" t="inlineStr">
        <is>
          <t>VÄSTERBOTTENS LÄN</t>
        </is>
      </c>
      <c r="E972" t="inlineStr">
        <is>
          <t>VILHELMINA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50505-2023</t>
        </is>
      </c>
      <c r="B973" s="1" t="n">
        <v>45217</v>
      </c>
      <c r="C973" s="1" t="n">
        <v>45672</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50502-2023</t>
        </is>
      </c>
      <c r="B974" s="1" t="n">
        <v>45217</v>
      </c>
      <c r="C974" s="1" t="n">
        <v>45672</v>
      </c>
      <c r="D974" t="inlineStr">
        <is>
          <t>VÄSTERBOTTENS LÄN</t>
        </is>
      </c>
      <c r="E974" t="inlineStr">
        <is>
          <t>VILHELMINA</t>
        </is>
      </c>
      <c r="F974" t="inlineStr">
        <is>
          <t>SCA</t>
        </is>
      </c>
      <c r="G974" t="n">
        <v>30.6</v>
      </c>
      <c r="H974" t="n">
        <v>0</v>
      </c>
      <c r="I974" t="n">
        <v>0</v>
      </c>
      <c r="J974" t="n">
        <v>0</v>
      </c>
      <c r="K974" t="n">
        <v>0</v>
      </c>
      <c r="L974" t="n">
        <v>0</v>
      </c>
      <c r="M974" t="n">
        <v>0</v>
      </c>
      <c r="N974" t="n">
        <v>0</v>
      </c>
      <c r="O974" t="n">
        <v>0</v>
      </c>
      <c r="P974" t="n">
        <v>0</v>
      </c>
      <c r="Q974" t="n">
        <v>0</v>
      </c>
      <c r="R974" s="2" t="inlineStr"/>
    </row>
    <row r="975" ht="15" customHeight="1">
      <c r="A975" t="inlineStr">
        <is>
          <t>A 50506-2023</t>
        </is>
      </c>
      <c r="B975" s="1" t="n">
        <v>45217</v>
      </c>
      <c r="C975" s="1" t="n">
        <v>45672</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50499-2023</t>
        </is>
      </c>
      <c r="B976" s="1" t="n">
        <v>45217</v>
      </c>
      <c r="C976" s="1" t="n">
        <v>45672</v>
      </c>
      <c r="D976" t="inlineStr">
        <is>
          <t>VÄSTERBOTTENS LÄN</t>
        </is>
      </c>
      <c r="E976" t="inlineStr">
        <is>
          <t>VILHELMINA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50500-2023</t>
        </is>
      </c>
      <c r="B977" s="1" t="n">
        <v>45217</v>
      </c>
      <c r="C977" s="1" t="n">
        <v>45672</v>
      </c>
      <c r="D977" t="inlineStr">
        <is>
          <t>VÄSTERBOTTENS LÄN</t>
        </is>
      </c>
      <c r="E977" t="inlineStr">
        <is>
          <t>VILHELMINA</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50494-2023</t>
        </is>
      </c>
      <c r="B978" s="1" t="n">
        <v>45217</v>
      </c>
      <c r="C978" s="1" t="n">
        <v>45672</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50490-2023</t>
        </is>
      </c>
      <c r="B979" s="1" t="n">
        <v>45217</v>
      </c>
      <c r="C979" s="1" t="n">
        <v>45672</v>
      </c>
      <c r="D979" t="inlineStr">
        <is>
          <t>VÄSTERBOTTENS LÄN</t>
        </is>
      </c>
      <c r="E979" t="inlineStr">
        <is>
          <t>VILHELMINA</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45672</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50501-2023</t>
        </is>
      </c>
      <c r="B981" s="1" t="n">
        <v>45216</v>
      </c>
      <c r="C981" s="1" t="n">
        <v>45672</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50489-2023</t>
        </is>
      </c>
      <c r="B982" s="1" t="n">
        <v>45217</v>
      </c>
      <c r="C982" s="1" t="n">
        <v>45672</v>
      </c>
      <c r="D982" t="inlineStr">
        <is>
          <t>VÄSTERBOTTENS LÄN</t>
        </is>
      </c>
      <c r="E982" t="inlineStr">
        <is>
          <t>VILHELMINA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50655-2023</t>
        </is>
      </c>
      <c r="B983" s="1" t="n">
        <v>45217</v>
      </c>
      <c r="C983" s="1" t="n">
        <v>45672</v>
      </c>
      <c r="D983" t="inlineStr">
        <is>
          <t>VÄSTERBOTTENS LÄN</t>
        </is>
      </c>
      <c r="E983" t="inlineStr">
        <is>
          <t>VILHELMINA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50830-2023</t>
        </is>
      </c>
      <c r="B984" s="1" t="n">
        <v>45218</v>
      </c>
      <c r="C984" s="1" t="n">
        <v>45672</v>
      </c>
      <c r="D984" t="inlineStr">
        <is>
          <t>VÄSTERBOTTENS LÄN</t>
        </is>
      </c>
      <c r="E984" t="inlineStr">
        <is>
          <t>VILHELMINA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51825-2023</t>
        </is>
      </c>
      <c r="B985" s="1" t="n">
        <v>45222</v>
      </c>
      <c r="C985" s="1" t="n">
        <v>45672</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51826-2023</t>
        </is>
      </c>
      <c r="B986" s="1" t="n">
        <v>45223</v>
      </c>
      <c r="C986" s="1" t="n">
        <v>45672</v>
      </c>
      <c r="D986" t="inlineStr">
        <is>
          <t>VÄSTERBOTTENS LÄN</t>
        </is>
      </c>
      <c r="E986" t="inlineStr">
        <is>
          <t>VILHELMINA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52123-2023</t>
        </is>
      </c>
      <c r="B987" s="1" t="n">
        <v>45224</v>
      </c>
      <c r="C987" s="1" t="n">
        <v>45672</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52740-2023</t>
        </is>
      </c>
      <c r="B988" s="1" t="n">
        <v>45225</v>
      </c>
      <c r="C988" s="1" t="n">
        <v>45672</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52744-2023</t>
        </is>
      </c>
      <c r="B989" s="1" t="n">
        <v>45226</v>
      </c>
      <c r="C989" s="1" t="n">
        <v>45672</v>
      </c>
      <c r="D989" t="inlineStr">
        <is>
          <t>VÄSTERBOTTENS LÄN</t>
        </is>
      </c>
      <c r="E989" t="inlineStr">
        <is>
          <t>VILHELMINA</t>
        </is>
      </c>
      <c r="F989" t="inlineStr">
        <is>
          <t>SCA</t>
        </is>
      </c>
      <c r="G989" t="n">
        <v>10.5</v>
      </c>
      <c r="H989" t="n">
        <v>0</v>
      </c>
      <c r="I989" t="n">
        <v>0</v>
      </c>
      <c r="J989" t="n">
        <v>0</v>
      </c>
      <c r="K989" t="n">
        <v>0</v>
      </c>
      <c r="L989" t="n">
        <v>0</v>
      </c>
      <c r="M989" t="n">
        <v>0</v>
      </c>
      <c r="N989" t="n">
        <v>0</v>
      </c>
      <c r="O989" t="n">
        <v>0</v>
      </c>
      <c r="P989" t="n">
        <v>0</v>
      </c>
      <c r="Q989" t="n">
        <v>0</v>
      </c>
      <c r="R989" s="2" t="inlineStr"/>
    </row>
    <row r="990" ht="15" customHeight="1">
      <c r="A990" t="inlineStr">
        <is>
          <t>A 52748-2023</t>
        </is>
      </c>
      <c r="B990" s="1" t="n">
        <v>45225</v>
      </c>
      <c r="C990" s="1" t="n">
        <v>45672</v>
      </c>
      <c r="D990" t="inlineStr">
        <is>
          <t>VÄSTERBOTTENS LÄN</t>
        </is>
      </c>
      <c r="E990" t="inlineStr">
        <is>
          <t>VILHELMINA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52745-2023</t>
        </is>
      </c>
      <c r="B991" s="1" t="n">
        <v>45226</v>
      </c>
      <c r="C991" s="1" t="n">
        <v>45672</v>
      </c>
      <c r="D991" t="inlineStr">
        <is>
          <t>VÄSTERBOTTENS LÄN</t>
        </is>
      </c>
      <c r="E991" t="inlineStr">
        <is>
          <t>VILHELMINA</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52749-2023</t>
        </is>
      </c>
      <c r="B992" s="1" t="n">
        <v>45226</v>
      </c>
      <c r="C992" s="1" t="n">
        <v>45672</v>
      </c>
      <c r="D992" t="inlineStr">
        <is>
          <t>VÄSTERBOTTENS LÄN</t>
        </is>
      </c>
      <c r="E992" t="inlineStr">
        <is>
          <t>VILHELMINA</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52746-2023</t>
        </is>
      </c>
      <c r="B993" s="1" t="n">
        <v>45226</v>
      </c>
      <c r="C993" s="1" t="n">
        <v>45672</v>
      </c>
      <c r="D993" t="inlineStr">
        <is>
          <t>VÄSTERBOTTENS LÄN</t>
        </is>
      </c>
      <c r="E993" t="inlineStr">
        <is>
          <t>VILHELMINA</t>
        </is>
      </c>
      <c r="F993" t="inlineStr">
        <is>
          <t>SCA</t>
        </is>
      </c>
      <c r="G993" t="n">
        <v>10.4</v>
      </c>
      <c r="H993" t="n">
        <v>0</v>
      </c>
      <c r="I993" t="n">
        <v>0</v>
      </c>
      <c r="J993" t="n">
        <v>0</v>
      </c>
      <c r="K993" t="n">
        <v>0</v>
      </c>
      <c r="L993" t="n">
        <v>0</v>
      </c>
      <c r="M993" t="n">
        <v>0</v>
      </c>
      <c r="N993" t="n">
        <v>0</v>
      </c>
      <c r="O993" t="n">
        <v>0</v>
      </c>
      <c r="P993" t="n">
        <v>0</v>
      </c>
      <c r="Q993" t="n">
        <v>0</v>
      </c>
      <c r="R993" s="2" t="inlineStr"/>
    </row>
    <row r="994" ht="15" customHeight="1">
      <c r="A994" t="inlineStr">
        <is>
          <t>A 52747-2023</t>
        </is>
      </c>
      <c r="B994" s="1" t="n">
        <v>45226</v>
      </c>
      <c r="C994" s="1" t="n">
        <v>45672</v>
      </c>
      <c r="D994" t="inlineStr">
        <is>
          <t>VÄSTERBOTTENS LÄN</t>
        </is>
      </c>
      <c r="E994" t="inlineStr">
        <is>
          <t>VILHELMINA</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53034-2023</t>
        </is>
      </c>
      <c r="B995" s="1" t="n">
        <v>45227</v>
      </c>
      <c r="C995" s="1" t="n">
        <v>45672</v>
      </c>
      <c r="D995" t="inlineStr">
        <is>
          <t>VÄSTERBOTTENS LÄN</t>
        </is>
      </c>
      <c r="E995" t="inlineStr">
        <is>
          <t>VILHELMINA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54931-2023</t>
        </is>
      </c>
      <c r="B996" s="1" t="n">
        <v>45229</v>
      </c>
      <c r="C996" s="1" t="n">
        <v>45672</v>
      </c>
      <c r="D996" t="inlineStr">
        <is>
          <t>VÄSTERBOTTENS LÄN</t>
        </is>
      </c>
      <c r="E996" t="inlineStr">
        <is>
          <t>VILHELMINA</t>
        </is>
      </c>
      <c r="G996" t="n">
        <v>14.5</v>
      </c>
      <c r="H996" t="n">
        <v>0</v>
      </c>
      <c r="I996" t="n">
        <v>0</v>
      </c>
      <c r="J996" t="n">
        <v>0</v>
      </c>
      <c r="K996" t="n">
        <v>0</v>
      </c>
      <c r="L996" t="n">
        <v>0</v>
      </c>
      <c r="M996" t="n">
        <v>0</v>
      </c>
      <c r="N996" t="n">
        <v>0</v>
      </c>
      <c r="O996" t="n">
        <v>0</v>
      </c>
      <c r="P996" t="n">
        <v>0</v>
      </c>
      <c r="Q996" t="n">
        <v>0</v>
      </c>
      <c r="R996" s="2" t="inlineStr"/>
    </row>
    <row r="997" ht="15" customHeight="1">
      <c r="A997" t="inlineStr">
        <is>
          <t>A 55051-2023</t>
        </is>
      </c>
      <c r="B997" s="1" t="n">
        <v>45229</v>
      </c>
      <c r="C997" s="1" t="n">
        <v>45672</v>
      </c>
      <c r="D997" t="inlineStr">
        <is>
          <t>VÄSTERBOTTENS LÄN</t>
        </is>
      </c>
      <c r="E997" t="inlineStr">
        <is>
          <t>VILHELMINA</t>
        </is>
      </c>
      <c r="G997" t="n">
        <v>12.1</v>
      </c>
      <c r="H997" t="n">
        <v>0</v>
      </c>
      <c r="I997" t="n">
        <v>0</v>
      </c>
      <c r="J997" t="n">
        <v>0</v>
      </c>
      <c r="K997" t="n">
        <v>0</v>
      </c>
      <c r="L997" t="n">
        <v>0</v>
      </c>
      <c r="M997" t="n">
        <v>0</v>
      </c>
      <c r="N997" t="n">
        <v>0</v>
      </c>
      <c r="O997" t="n">
        <v>0</v>
      </c>
      <c r="P997" t="n">
        <v>0</v>
      </c>
      <c r="Q997" t="n">
        <v>0</v>
      </c>
      <c r="R997" s="2" t="inlineStr"/>
    </row>
    <row r="998" ht="15" customHeight="1">
      <c r="A998" t="inlineStr">
        <is>
          <t>A 55200-2023</t>
        </is>
      </c>
      <c r="B998" s="1" t="n">
        <v>45230</v>
      </c>
      <c r="C998" s="1" t="n">
        <v>45672</v>
      </c>
      <c r="D998" t="inlineStr">
        <is>
          <t>VÄSTERBOTTENS LÄN</t>
        </is>
      </c>
      <c r="E998" t="inlineStr">
        <is>
          <t>VILHELMINA</t>
        </is>
      </c>
      <c r="G998" t="n">
        <v>20.8</v>
      </c>
      <c r="H998" t="n">
        <v>0</v>
      </c>
      <c r="I998" t="n">
        <v>0</v>
      </c>
      <c r="J998" t="n">
        <v>0</v>
      </c>
      <c r="K998" t="n">
        <v>0</v>
      </c>
      <c r="L998" t="n">
        <v>0</v>
      </c>
      <c r="M998" t="n">
        <v>0</v>
      </c>
      <c r="N998" t="n">
        <v>0</v>
      </c>
      <c r="O998" t="n">
        <v>0</v>
      </c>
      <c r="P998" t="n">
        <v>0</v>
      </c>
      <c r="Q998" t="n">
        <v>0</v>
      </c>
      <c r="R998" s="2" t="inlineStr"/>
    </row>
    <row r="999" ht="15" customHeight="1">
      <c r="A999" t="inlineStr">
        <is>
          <t>A 55159-2023</t>
        </is>
      </c>
      <c r="B999" s="1" t="n">
        <v>45230</v>
      </c>
      <c r="C999" s="1" t="n">
        <v>45672</v>
      </c>
      <c r="D999" t="inlineStr">
        <is>
          <t>VÄSTERBOTTENS LÄN</t>
        </is>
      </c>
      <c r="E999" t="inlineStr">
        <is>
          <t>VILHELMINA</t>
        </is>
      </c>
      <c r="G999" t="n">
        <v>24.4</v>
      </c>
      <c r="H999" t="n">
        <v>0</v>
      </c>
      <c r="I999" t="n">
        <v>0</v>
      </c>
      <c r="J999" t="n">
        <v>0</v>
      </c>
      <c r="K999" t="n">
        <v>0</v>
      </c>
      <c r="L999" t="n">
        <v>0</v>
      </c>
      <c r="M999" t="n">
        <v>0</v>
      </c>
      <c r="N999" t="n">
        <v>0</v>
      </c>
      <c r="O999" t="n">
        <v>0</v>
      </c>
      <c r="P999" t="n">
        <v>0</v>
      </c>
      <c r="Q999" t="n">
        <v>0</v>
      </c>
      <c r="R999" s="2" t="inlineStr"/>
    </row>
    <row r="1000" ht="15" customHeight="1">
      <c r="A1000" t="inlineStr">
        <is>
          <t>A 54316-2023</t>
        </is>
      </c>
      <c r="B1000" s="1" t="n">
        <v>45232</v>
      </c>
      <c r="C1000" s="1" t="n">
        <v>45672</v>
      </c>
      <c r="D1000" t="inlineStr">
        <is>
          <t>VÄSTERBOTTENS LÄN</t>
        </is>
      </c>
      <c r="E1000" t="inlineStr">
        <is>
          <t>VILHELMINA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55714-2023</t>
        </is>
      </c>
      <c r="B1001" s="1" t="n">
        <v>45232</v>
      </c>
      <c r="C1001" s="1" t="n">
        <v>45672</v>
      </c>
      <c r="D1001" t="inlineStr">
        <is>
          <t>VÄSTERBOTTENS LÄN</t>
        </is>
      </c>
      <c r="E1001" t="inlineStr">
        <is>
          <t>VILHELMINA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55688-2023</t>
        </is>
      </c>
      <c r="B1002" s="1" t="n">
        <v>45232</v>
      </c>
      <c r="C1002" s="1" t="n">
        <v>45672</v>
      </c>
      <c r="D1002" t="inlineStr">
        <is>
          <t>VÄSTERBOTTENS LÄN</t>
        </is>
      </c>
      <c r="E1002" t="inlineStr">
        <is>
          <t>VILHELMINA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55722-2023</t>
        </is>
      </c>
      <c r="B1003" s="1" t="n">
        <v>45232</v>
      </c>
      <c r="C1003" s="1" t="n">
        <v>45672</v>
      </c>
      <c r="D1003" t="inlineStr">
        <is>
          <t>VÄSTERBOTTENS LÄN</t>
        </is>
      </c>
      <c r="E1003" t="inlineStr">
        <is>
          <t>VILHELMINA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55706-2023</t>
        </is>
      </c>
      <c r="B1004" s="1" t="n">
        <v>45232</v>
      </c>
      <c r="C1004" s="1" t="n">
        <v>45672</v>
      </c>
      <c r="D1004" t="inlineStr">
        <is>
          <t>VÄSTERBOTTENS LÄN</t>
        </is>
      </c>
      <c r="E1004" t="inlineStr">
        <is>
          <t>VILHELMINA</t>
        </is>
      </c>
      <c r="G1004" t="n">
        <v>17.3</v>
      </c>
      <c r="H1004" t="n">
        <v>0</v>
      </c>
      <c r="I1004" t="n">
        <v>0</v>
      </c>
      <c r="J1004" t="n">
        <v>0</v>
      </c>
      <c r="K1004" t="n">
        <v>0</v>
      </c>
      <c r="L1004" t="n">
        <v>0</v>
      </c>
      <c r="M1004" t="n">
        <v>0</v>
      </c>
      <c r="N1004" t="n">
        <v>0</v>
      </c>
      <c r="O1004" t="n">
        <v>0</v>
      </c>
      <c r="P1004" t="n">
        <v>0</v>
      </c>
      <c r="Q1004" t="n">
        <v>0</v>
      </c>
      <c r="R1004" s="2" t="inlineStr"/>
    </row>
    <row r="1005" ht="15" customHeight="1">
      <c r="A1005" t="inlineStr">
        <is>
          <t>A 54601-2023</t>
        </is>
      </c>
      <c r="B1005" s="1" t="n">
        <v>45233</v>
      </c>
      <c r="C1005" s="1" t="n">
        <v>45672</v>
      </c>
      <c r="D1005" t="inlineStr">
        <is>
          <t>VÄSTERBOTTENS LÄN</t>
        </is>
      </c>
      <c r="E1005" t="inlineStr">
        <is>
          <t>VILHELMINA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54733-2023</t>
        </is>
      </c>
      <c r="B1006" s="1" t="n">
        <v>45236</v>
      </c>
      <c r="C1006" s="1" t="n">
        <v>45672</v>
      </c>
      <c r="D1006" t="inlineStr">
        <is>
          <t>VÄSTERBOTTENS LÄN</t>
        </is>
      </c>
      <c r="E1006" t="inlineStr">
        <is>
          <t>VILHELMINA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54983-2023</t>
        </is>
      </c>
      <c r="B1007" s="1" t="n">
        <v>45237</v>
      </c>
      <c r="C1007" s="1" t="n">
        <v>45672</v>
      </c>
      <c r="D1007" t="inlineStr">
        <is>
          <t>VÄSTERBOTTENS LÄN</t>
        </is>
      </c>
      <c r="E1007" t="inlineStr">
        <is>
          <t>VILHELMINA</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54984-2023</t>
        </is>
      </c>
      <c r="B1008" s="1" t="n">
        <v>45236</v>
      </c>
      <c r="C1008" s="1" t="n">
        <v>45672</v>
      </c>
      <c r="D1008" t="inlineStr">
        <is>
          <t>VÄSTERBOTTENS LÄN</t>
        </is>
      </c>
      <c r="E1008" t="inlineStr">
        <is>
          <t>VILHELMINA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54981-2023</t>
        </is>
      </c>
      <c r="B1009" s="1" t="n">
        <v>45237</v>
      </c>
      <c r="C1009" s="1" t="n">
        <v>45672</v>
      </c>
      <c r="D1009" t="inlineStr">
        <is>
          <t>VÄSTERBOTTENS LÄN</t>
        </is>
      </c>
      <c r="E1009" t="inlineStr">
        <is>
          <t>VILHELMINA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54985-2023</t>
        </is>
      </c>
      <c r="B1010" s="1" t="n">
        <v>45236</v>
      </c>
      <c r="C1010" s="1" t="n">
        <v>45672</v>
      </c>
      <c r="D1010" t="inlineStr">
        <is>
          <t>VÄSTERBOTTENS LÄN</t>
        </is>
      </c>
      <c r="E1010" t="inlineStr">
        <is>
          <t>VILHELMINA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55325-2023</t>
        </is>
      </c>
      <c r="B1011" s="1" t="n">
        <v>45237</v>
      </c>
      <c r="C1011" s="1" t="n">
        <v>45672</v>
      </c>
      <c r="D1011" t="inlineStr">
        <is>
          <t>VÄSTERBOTTENS LÄN</t>
        </is>
      </c>
      <c r="E1011" t="inlineStr">
        <is>
          <t>VILHELMINA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55326-2023</t>
        </is>
      </c>
      <c r="B1012" s="1" t="n">
        <v>45238</v>
      </c>
      <c r="C1012" s="1" t="n">
        <v>45672</v>
      </c>
      <c r="D1012" t="inlineStr">
        <is>
          <t>VÄSTERBOTTENS LÄN</t>
        </is>
      </c>
      <c r="E1012" t="inlineStr">
        <is>
          <t>VILHELMINA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55327-2023</t>
        </is>
      </c>
      <c r="B1013" s="1" t="n">
        <v>45238</v>
      </c>
      <c r="C1013" s="1" t="n">
        <v>45672</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55335-2023</t>
        </is>
      </c>
      <c r="B1014" s="1" t="n">
        <v>45238</v>
      </c>
      <c r="C1014" s="1" t="n">
        <v>45672</v>
      </c>
      <c r="D1014" t="inlineStr">
        <is>
          <t>VÄSTERBOTTENS LÄN</t>
        </is>
      </c>
      <c r="E1014" t="inlineStr">
        <is>
          <t>VILHELMINA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56754-2023</t>
        </is>
      </c>
      <c r="B1015" s="1" t="n">
        <v>45238</v>
      </c>
      <c r="C1015" s="1" t="n">
        <v>45672</v>
      </c>
      <c r="D1015" t="inlineStr">
        <is>
          <t>VÄSTERBOTTENS LÄN</t>
        </is>
      </c>
      <c r="E1015" t="inlineStr">
        <is>
          <t>VILHELMINA</t>
        </is>
      </c>
      <c r="F1015" t="inlineStr">
        <is>
          <t>Allmännings- och besparingsskogar</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56763-2023</t>
        </is>
      </c>
      <c r="B1016" s="1" t="n">
        <v>45238</v>
      </c>
      <c r="C1016" s="1" t="n">
        <v>45672</v>
      </c>
      <c r="D1016" t="inlineStr">
        <is>
          <t>VÄSTERBOTTENS LÄN</t>
        </is>
      </c>
      <c r="E1016" t="inlineStr">
        <is>
          <t>VILHELMINA</t>
        </is>
      </c>
      <c r="F1016" t="inlineStr">
        <is>
          <t>Allmännings- och besparingsskogar</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56823-2023</t>
        </is>
      </c>
      <c r="B1017" s="1" t="n">
        <v>45238</v>
      </c>
      <c r="C1017" s="1" t="n">
        <v>45672</v>
      </c>
      <c r="D1017" t="inlineStr">
        <is>
          <t>VÄSTERBOTTENS LÄN</t>
        </is>
      </c>
      <c r="E1017" t="inlineStr">
        <is>
          <t>VILHELMINA</t>
        </is>
      </c>
      <c r="F1017" t="inlineStr">
        <is>
          <t>Allmännings- och besparingsskogar</t>
        </is>
      </c>
      <c r="G1017" t="n">
        <v>81.40000000000001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56847-2023</t>
        </is>
      </c>
      <c r="B1018" s="1" t="n">
        <v>45238</v>
      </c>
      <c r="C1018" s="1" t="n">
        <v>45672</v>
      </c>
      <c r="D1018" t="inlineStr">
        <is>
          <t>VÄSTERBOTTENS LÄN</t>
        </is>
      </c>
      <c r="E1018" t="inlineStr">
        <is>
          <t>VILHELMINA</t>
        </is>
      </c>
      <c r="F1018" t="inlineStr">
        <is>
          <t>Allmännings- och besparingsskogar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56758-2023</t>
        </is>
      </c>
      <c r="B1019" s="1" t="n">
        <v>45238</v>
      </c>
      <c r="C1019" s="1" t="n">
        <v>45672</v>
      </c>
      <c r="D1019" t="inlineStr">
        <is>
          <t>VÄSTERBOTTENS LÄN</t>
        </is>
      </c>
      <c r="E1019" t="inlineStr">
        <is>
          <t>VILHELMINA</t>
        </is>
      </c>
      <c r="F1019" t="inlineStr">
        <is>
          <t>Allmännings- och besparingsskogar</t>
        </is>
      </c>
      <c r="G1019" t="n">
        <v>371.4</v>
      </c>
      <c r="H1019" t="n">
        <v>0</v>
      </c>
      <c r="I1019" t="n">
        <v>0</v>
      </c>
      <c r="J1019" t="n">
        <v>0</v>
      </c>
      <c r="K1019" t="n">
        <v>0</v>
      </c>
      <c r="L1019" t="n">
        <v>0</v>
      </c>
      <c r="M1019" t="n">
        <v>0</v>
      </c>
      <c r="N1019" t="n">
        <v>0</v>
      </c>
      <c r="O1019" t="n">
        <v>0</v>
      </c>
      <c r="P1019" t="n">
        <v>0</v>
      </c>
      <c r="Q1019" t="n">
        <v>0</v>
      </c>
      <c r="R1019" s="2" t="inlineStr"/>
    </row>
    <row r="1020" ht="15" customHeight="1">
      <c r="A1020" t="inlineStr">
        <is>
          <t>A 56830-2023</t>
        </is>
      </c>
      <c r="B1020" s="1" t="n">
        <v>45238</v>
      </c>
      <c r="C1020" s="1" t="n">
        <v>45672</v>
      </c>
      <c r="D1020" t="inlineStr">
        <is>
          <t>VÄSTERBOTTENS LÄN</t>
        </is>
      </c>
      <c r="E1020" t="inlineStr">
        <is>
          <t>VILHELMINA</t>
        </is>
      </c>
      <c r="F1020" t="inlineStr">
        <is>
          <t>Allmännings- och besparingsskogar</t>
        </is>
      </c>
      <c r="G1020" t="n">
        <v>66.90000000000001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55643-2023</t>
        </is>
      </c>
      <c r="B1021" s="1" t="n">
        <v>45238</v>
      </c>
      <c r="C1021" s="1" t="n">
        <v>45672</v>
      </c>
      <c r="D1021" t="inlineStr">
        <is>
          <t>VÄSTERBOTTENS LÄN</t>
        </is>
      </c>
      <c r="E1021" t="inlineStr">
        <is>
          <t>VILHELMINA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56747-2023</t>
        </is>
      </c>
      <c r="B1022" s="1" t="n">
        <v>45238</v>
      </c>
      <c r="C1022" s="1" t="n">
        <v>45672</v>
      </c>
      <c r="D1022" t="inlineStr">
        <is>
          <t>VÄSTERBOTTENS LÄN</t>
        </is>
      </c>
      <c r="E1022" t="inlineStr">
        <is>
          <t>VILHELMINA</t>
        </is>
      </c>
      <c r="F1022" t="inlineStr">
        <is>
          <t>Allmännings- och besparingsskogar</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57137-2023</t>
        </is>
      </c>
      <c r="B1023" s="1" t="n">
        <v>45239</v>
      </c>
      <c r="C1023" s="1" t="n">
        <v>45672</v>
      </c>
      <c r="D1023" t="inlineStr">
        <is>
          <t>VÄSTERBOTTENS LÄN</t>
        </is>
      </c>
      <c r="E1023" t="inlineStr">
        <is>
          <t>VILHELMINA</t>
        </is>
      </c>
      <c r="G1023" t="n">
        <v>38.8</v>
      </c>
      <c r="H1023" t="n">
        <v>0</v>
      </c>
      <c r="I1023" t="n">
        <v>0</v>
      </c>
      <c r="J1023" t="n">
        <v>0</v>
      </c>
      <c r="K1023" t="n">
        <v>0</v>
      </c>
      <c r="L1023" t="n">
        <v>0</v>
      </c>
      <c r="M1023" t="n">
        <v>0</v>
      </c>
      <c r="N1023" t="n">
        <v>0</v>
      </c>
      <c r="O1023" t="n">
        <v>0</v>
      </c>
      <c r="P1023" t="n">
        <v>0</v>
      </c>
      <c r="Q1023" t="n">
        <v>0</v>
      </c>
      <c r="R1023" s="2" t="inlineStr"/>
    </row>
    <row r="1024" ht="15" customHeight="1">
      <c r="A1024" t="inlineStr">
        <is>
          <t>A 57108-2023</t>
        </is>
      </c>
      <c r="B1024" s="1" t="n">
        <v>45239</v>
      </c>
      <c r="C1024" s="1" t="n">
        <v>45672</v>
      </c>
      <c r="D1024" t="inlineStr">
        <is>
          <t>VÄSTERBOTTENS LÄN</t>
        </is>
      </c>
      <c r="E1024" t="inlineStr">
        <is>
          <t>VILHELMINA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56891-2023</t>
        </is>
      </c>
      <c r="B1025" s="1" t="n">
        <v>45239</v>
      </c>
      <c r="C1025" s="1" t="n">
        <v>45672</v>
      </c>
      <c r="D1025" t="inlineStr">
        <is>
          <t>VÄSTERBOTTENS LÄN</t>
        </is>
      </c>
      <c r="E1025" t="inlineStr">
        <is>
          <t>VILHELMINA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57123-2023</t>
        </is>
      </c>
      <c r="B1026" s="1" t="n">
        <v>45239</v>
      </c>
      <c r="C1026" s="1" t="n">
        <v>45672</v>
      </c>
      <c r="D1026" t="inlineStr">
        <is>
          <t>VÄSTERBOTTENS LÄN</t>
        </is>
      </c>
      <c r="E1026" t="inlineStr">
        <is>
          <t>VILHELMINA</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57246-2023</t>
        </is>
      </c>
      <c r="B1027" s="1" t="n">
        <v>45239</v>
      </c>
      <c r="C1027" s="1" t="n">
        <v>45672</v>
      </c>
      <c r="D1027" t="inlineStr">
        <is>
          <t>VÄSTERBOTTENS LÄN</t>
        </is>
      </c>
      <c r="E1027" t="inlineStr">
        <is>
          <t>VILHELMINA</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56245-2023</t>
        </is>
      </c>
      <c r="B1028" s="1" t="n">
        <v>45240</v>
      </c>
      <c r="C1028" s="1" t="n">
        <v>45672</v>
      </c>
      <c r="D1028" t="inlineStr">
        <is>
          <t>VÄSTERBOTTENS LÄN</t>
        </is>
      </c>
      <c r="E1028" t="inlineStr">
        <is>
          <t>VILHELMINA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56246-2023</t>
        </is>
      </c>
      <c r="B1029" s="1" t="n">
        <v>45240</v>
      </c>
      <c r="C1029" s="1" t="n">
        <v>45672</v>
      </c>
      <c r="D1029" t="inlineStr">
        <is>
          <t>VÄSTERBOTTENS LÄN</t>
        </is>
      </c>
      <c r="E1029" t="inlineStr">
        <is>
          <t>VILHELMINA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56236-2023</t>
        </is>
      </c>
      <c r="B1030" s="1" t="n">
        <v>45240</v>
      </c>
      <c r="C1030" s="1" t="n">
        <v>45672</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56235-2023</t>
        </is>
      </c>
      <c r="B1031" s="1" t="n">
        <v>45240</v>
      </c>
      <c r="C1031" s="1" t="n">
        <v>45672</v>
      </c>
      <c r="D1031" t="inlineStr">
        <is>
          <t>VÄSTERBOTTENS LÄN</t>
        </is>
      </c>
      <c r="E1031" t="inlineStr">
        <is>
          <t>VILHELMINA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56617-2023</t>
        </is>
      </c>
      <c r="B1032" s="1" t="n">
        <v>45243</v>
      </c>
      <c r="C1032" s="1" t="n">
        <v>45672</v>
      </c>
      <c r="D1032" t="inlineStr">
        <is>
          <t>VÄSTERBOTTENS LÄN</t>
        </is>
      </c>
      <c r="E1032" t="inlineStr">
        <is>
          <t>VILHELMINA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56622-2023</t>
        </is>
      </c>
      <c r="B1033" s="1" t="n">
        <v>45243</v>
      </c>
      <c r="C1033" s="1" t="n">
        <v>45672</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57691-2023</t>
        </is>
      </c>
      <c r="B1034" s="1" t="n">
        <v>45243</v>
      </c>
      <c r="C1034" s="1" t="n">
        <v>45672</v>
      </c>
      <c r="D1034" t="inlineStr">
        <is>
          <t>VÄSTERBOTTENS LÄN</t>
        </is>
      </c>
      <c r="E1034" t="inlineStr">
        <is>
          <t>VILHELMINA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57058-2023</t>
        </is>
      </c>
      <c r="B1035" s="1" t="n">
        <v>45244</v>
      </c>
      <c r="C1035" s="1" t="n">
        <v>45672</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57057-2023</t>
        </is>
      </c>
      <c r="B1036" s="1" t="n">
        <v>45244</v>
      </c>
      <c r="C1036" s="1" t="n">
        <v>45672</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58362-2023</t>
        </is>
      </c>
      <c r="B1037" s="1" t="n">
        <v>45245</v>
      </c>
      <c r="C1037" s="1" t="n">
        <v>45672</v>
      </c>
      <c r="D1037" t="inlineStr">
        <is>
          <t>VÄSTERBOTTENS LÄN</t>
        </is>
      </c>
      <c r="E1037" t="inlineStr">
        <is>
          <t>VILHELMINA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57795-2023</t>
        </is>
      </c>
      <c r="B1038" s="1" t="n">
        <v>45247</v>
      </c>
      <c r="C1038" s="1" t="n">
        <v>45672</v>
      </c>
      <c r="D1038" t="inlineStr">
        <is>
          <t>VÄSTERBOTTENS LÄN</t>
        </is>
      </c>
      <c r="E1038" t="inlineStr">
        <is>
          <t>VILHELMINA</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58833-2023</t>
        </is>
      </c>
      <c r="B1039" s="1" t="n">
        <v>45248</v>
      </c>
      <c r="C1039" s="1" t="n">
        <v>45672</v>
      </c>
      <c r="D1039" t="inlineStr">
        <is>
          <t>VÄSTERBOTTENS LÄN</t>
        </is>
      </c>
      <c r="E1039" t="inlineStr">
        <is>
          <t>VILHELMINA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58456-2023</t>
        </is>
      </c>
      <c r="B1040" s="1" t="n">
        <v>45251</v>
      </c>
      <c r="C1040" s="1" t="n">
        <v>45672</v>
      </c>
      <c r="D1040" t="inlineStr">
        <is>
          <t>VÄSTERBOTTENS LÄN</t>
        </is>
      </c>
      <c r="E1040" t="inlineStr">
        <is>
          <t>VILHELMINA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58756-2023</t>
        </is>
      </c>
      <c r="B1041" s="1" t="n">
        <v>45251</v>
      </c>
      <c r="C1041" s="1" t="n">
        <v>45672</v>
      </c>
      <c r="D1041" t="inlineStr">
        <is>
          <t>VÄSTERBOTTENS LÄN</t>
        </is>
      </c>
      <c r="E1041" t="inlineStr">
        <is>
          <t>VILHELMINA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59117-2023</t>
        </is>
      </c>
      <c r="B1042" s="1" t="n">
        <v>45251</v>
      </c>
      <c r="C1042" s="1" t="n">
        <v>45672</v>
      </c>
      <c r="D1042" t="inlineStr">
        <is>
          <t>VÄSTERBOTTENS LÄN</t>
        </is>
      </c>
      <c r="E1042" t="inlineStr">
        <is>
          <t>VILHELMINA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58749-2023</t>
        </is>
      </c>
      <c r="B1043" s="1" t="n">
        <v>45251</v>
      </c>
      <c r="C1043" s="1" t="n">
        <v>45672</v>
      </c>
      <c r="D1043" t="inlineStr">
        <is>
          <t>VÄSTERBOTTENS LÄN</t>
        </is>
      </c>
      <c r="E1043" t="inlineStr">
        <is>
          <t>VILHELMINA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59110-2023</t>
        </is>
      </c>
      <c r="B1044" s="1" t="n">
        <v>45251</v>
      </c>
      <c r="C1044" s="1" t="n">
        <v>45672</v>
      </c>
      <c r="D1044" t="inlineStr">
        <is>
          <t>VÄSTERBOTTENS LÄN</t>
        </is>
      </c>
      <c r="E1044" t="inlineStr">
        <is>
          <t>VILHELMINA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59083-2023</t>
        </is>
      </c>
      <c r="B1045" s="1" t="n">
        <v>45252</v>
      </c>
      <c r="C1045" s="1" t="n">
        <v>45672</v>
      </c>
      <c r="D1045" t="inlineStr">
        <is>
          <t>VÄSTERBOTTENS LÄN</t>
        </is>
      </c>
      <c r="E1045" t="inlineStr">
        <is>
          <t>VILHELMINA</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60035-2023</t>
        </is>
      </c>
      <c r="B1046" s="1" t="n">
        <v>45254</v>
      </c>
      <c r="C1046" s="1" t="n">
        <v>45672</v>
      </c>
      <c r="D1046" t="inlineStr">
        <is>
          <t>VÄSTERBOTTENS LÄN</t>
        </is>
      </c>
      <c r="E1046" t="inlineStr">
        <is>
          <t>VILHELMINA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59663-2023</t>
        </is>
      </c>
      <c r="B1047" s="1" t="n">
        <v>45254</v>
      </c>
      <c r="C1047" s="1" t="n">
        <v>45672</v>
      </c>
      <c r="D1047" t="inlineStr">
        <is>
          <t>VÄSTERBOTTENS LÄN</t>
        </is>
      </c>
      <c r="E1047" t="inlineStr">
        <is>
          <t>VILHELMINA</t>
        </is>
      </c>
      <c r="F1047" t="inlineStr">
        <is>
          <t>SCA</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59671-2023</t>
        </is>
      </c>
      <c r="B1048" s="1" t="n">
        <v>45255</v>
      </c>
      <c r="C1048" s="1" t="n">
        <v>45672</v>
      </c>
      <c r="D1048" t="inlineStr">
        <is>
          <t>VÄSTERBOTTENS LÄN</t>
        </is>
      </c>
      <c r="E1048" t="inlineStr">
        <is>
          <t>VILHELMINA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60782-2023</t>
        </is>
      </c>
      <c r="B1049" s="1" t="n">
        <v>45259</v>
      </c>
      <c r="C1049" s="1" t="n">
        <v>45672</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60842-2023</t>
        </is>
      </c>
      <c r="B1050" s="1" t="n">
        <v>45260</v>
      </c>
      <c r="C1050" s="1" t="n">
        <v>45672</v>
      </c>
      <c r="D1050" t="inlineStr">
        <is>
          <t>VÄSTERBOTTENS LÄN</t>
        </is>
      </c>
      <c r="E1050" t="inlineStr">
        <is>
          <t>VILHELMINA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60841-2023</t>
        </is>
      </c>
      <c r="B1051" s="1" t="n">
        <v>45260</v>
      </c>
      <c r="C1051" s="1" t="n">
        <v>45672</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61778-2023</t>
        </is>
      </c>
      <c r="B1052" s="1" t="n">
        <v>45265</v>
      </c>
      <c r="C1052" s="1" t="n">
        <v>45672</v>
      </c>
      <c r="D1052" t="inlineStr">
        <is>
          <t>VÄSTERBOTTENS LÄN</t>
        </is>
      </c>
      <c r="E1052" t="inlineStr">
        <is>
          <t>VILHELMINA</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61777-2023</t>
        </is>
      </c>
      <c r="B1053" s="1" t="n">
        <v>45265</v>
      </c>
      <c r="C1053" s="1" t="n">
        <v>45672</v>
      </c>
      <c r="D1053" t="inlineStr">
        <is>
          <t>VÄSTERBOTTENS LÄN</t>
        </is>
      </c>
      <c r="E1053" t="inlineStr">
        <is>
          <t>VILHELMINA</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61780-2023</t>
        </is>
      </c>
      <c r="B1054" s="1" t="n">
        <v>45265</v>
      </c>
      <c r="C1054" s="1" t="n">
        <v>45672</v>
      </c>
      <c r="D1054" t="inlineStr">
        <is>
          <t>VÄSTERBOTTENS LÄN</t>
        </is>
      </c>
      <c r="E1054" t="inlineStr">
        <is>
          <t>VILHELMINA</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61779-2023</t>
        </is>
      </c>
      <c r="B1055" s="1" t="n">
        <v>45265</v>
      </c>
      <c r="C1055" s="1" t="n">
        <v>45672</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62015-2023</t>
        </is>
      </c>
      <c r="B1056" s="1" t="n">
        <v>45265</v>
      </c>
      <c r="C1056" s="1" t="n">
        <v>45672</v>
      </c>
      <c r="D1056" t="inlineStr">
        <is>
          <t>VÄSTERBOTTENS LÄN</t>
        </is>
      </c>
      <c r="E1056" t="inlineStr">
        <is>
          <t>VILHELMINA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61973-2023</t>
        </is>
      </c>
      <c r="B1057" s="1" t="n">
        <v>45265</v>
      </c>
      <c r="C1057" s="1" t="n">
        <v>45672</v>
      </c>
      <c r="D1057" t="inlineStr">
        <is>
          <t>VÄSTERBOTTENS LÄN</t>
        </is>
      </c>
      <c r="E1057" t="inlineStr">
        <is>
          <t>VILHELMINA</t>
        </is>
      </c>
      <c r="G1057" t="n">
        <v>24.9</v>
      </c>
      <c r="H1057" t="n">
        <v>0</v>
      </c>
      <c r="I1057" t="n">
        <v>0</v>
      </c>
      <c r="J1057" t="n">
        <v>0</v>
      </c>
      <c r="K1057" t="n">
        <v>0</v>
      </c>
      <c r="L1057" t="n">
        <v>0</v>
      </c>
      <c r="M1057" t="n">
        <v>0</v>
      </c>
      <c r="N1057" t="n">
        <v>0</v>
      </c>
      <c r="O1057" t="n">
        <v>0</v>
      </c>
      <c r="P1057" t="n">
        <v>0</v>
      </c>
      <c r="Q1057" t="n">
        <v>0</v>
      </c>
      <c r="R1057" s="2" t="inlineStr"/>
    </row>
    <row r="1058" ht="15" customHeight="1">
      <c r="A1058" t="inlineStr">
        <is>
          <t>A 62021-2023</t>
        </is>
      </c>
      <c r="B1058" s="1" t="n">
        <v>45265</v>
      </c>
      <c r="C1058" s="1" t="n">
        <v>45672</v>
      </c>
      <c r="D1058" t="inlineStr">
        <is>
          <t>VÄSTERBOTTENS LÄN</t>
        </is>
      </c>
      <c r="E1058" t="inlineStr">
        <is>
          <t>VILHELMINA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62663-2023</t>
        </is>
      </c>
      <c r="B1059" s="1" t="n">
        <v>45267</v>
      </c>
      <c r="C1059" s="1" t="n">
        <v>45672</v>
      </c>
      <c r="D1059" t="inlineStr">
        <is>
          <t>VÄSTERBOTTENS LÄN</t>
        </is>
      </c>
      <c r="E1059" t="inlineStr">
        <is>
          <t>VILHELMINA</t>
        </is>
      </c>
      <c r="F1059" t="inlineStr">
        <is>
          <t>Allmännings- och besparingsskogar</t>
        </is>
      </c>
      <c r="G1059" t="n">
        <v>19.3</v>
      </c>
      <c r="H1059" t="n">
        <v>0</v>
      </c>
      <c r="I1059" t="n">
        <v>0</v>
      </c>
      <c r="J1059" t="n">
        <v>0</v>
      </c>
      <c r="K1059" t="n">
        <v>0</v>
      </c>
      <c r="L1059" t="n">
        <v>0</v>
      </c>
      <c r="M1059" t="n">
        <v>0</v>
      </c>
      <c r="N1059" t="n">
        <v>0</v>
      </c>
      <c r="O1059" t="n">
        <v>0</v>
      </c>
      <c r="P1059" t="n">
        <v>0</v>
      </c>
      <c r="Q1059" t="n">
        <v>0</v>
      </c>
      <c r="R1059" s="2" t="inlineStr"/>
    </row>
    <row r="1060" ht="15" customHeight="1">
      <c r="A1060" t="inlineStr">
        <is>
          <t>A 62673-2023</t>
        </is>
      </c>
      <c r="B1060" s="1" t="n">
        <v>45267</v>
      </c>
      <c r="C1060" s="1" t="n">
        <v>45672</v>
      </c>
      <c r="D1060" t="inlineStr">
        <is>
          <t>VÄSTERBOTTENS LÄN</t>
        </is>
      </c>
      <c r="E1060" t="inlineStr">
        <is>
          <t>VILHELMINA</t>
        </is>
      </c>
      <c r="F1060" t="inlineStr">
        <is>
          <t>Allmännings- och besparingsskogar</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63050-2023</t>
        </is>
      </c>
      <c r="B1061" s="1" t="n">
        <v>45272</v>
      </c>
      <c r="C1061" s="1" t="n">
        <v>45672</v>
      </c>
      <c r="D1061" t="inlineStr">
        <is>
          <t>VÄSTERBOTTENS LÄN</t>
        </is>
      </c>
      <c r="E1061" t="inlineStr">
        <is>
          <t>VILHELMINA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63049-2023</t>
        </is>
      </c>
      <c r="B1062" s="1" t="n">
        <v>45272</v>
      </c>
      <c r="C1062" s="1" t="n">
        <v>45672</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63053-2023</t>
        </is>
      </c>
      <c r="B1063" s="1" t="n">
        <v>45272</v>
      </c>
      <c r="C1063" s="1" t="n">
        <v>45672</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63563-2023</t>
        </is>
      </c>
      <c r="B1064" s="1" t="n">
        <v>45274</v>
      </c>
      <c r="C1064" s="1" t="n">
        <v>45672</v>
      </c>
      <c r="D1064" t="inlineStr">
        <is>
          <t>VÄSTERBOTTENS LÄN</t>
        </is>
      </c>
      <c r="E1064" t="inlineStr">
        <is>
          <t>VILHELMINA</t>
        </is>
      </c>
      <c r="F1064" t="inlineStr">
        <is>
          <t>Övriga Aktiebolag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63877-2023</t>
        </is>
      </c>
      <c r="B1065" s="1" t="n">
        <v>45278</v>
      </c>
      <c r="C1065" s="1" t="n">
        <v>45672</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64029-2023</t>
        </is>
      </c>
      <c r="B1066" s="1" t="n">
        <v>45278</v>
      </c>
      <c r="C1066" s="1" t="n">
        <v>45672</v>
      </c>
      <c r="D1066" t="inlineStr">
        <is>
          <t>VÄSTERBOTTENS LÄN</t>
        </is>
      </c>
      <c r="E1066" t="inlineStr">
        <is>
          <t>VILHELMINA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64028-2023</t>
        </is>
      </c>
      <c r="B1067" s="1" t="n">
        <v>45278</v>
      </c>
      <c r="C1067" s="1" t="n">
        <v>45672</v>
      </c>
      <c r="D1067" t="inlineStr">
        <is>
          <t>VÄSTERBOTTENS LÄN</t>
        </is>
      </c>
      <c r="E1067" t="inlineStr">
        <is>
          <t>VILHELMINA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64027-2023</t>
        </is>
      </c>
      <c r="B1068" s="1" t="n">
        <v>45278</v>
      </c>
      <c r="C1068" s="1" t="n">
        <v>45672</v>
      </c>
      <c r="D1068" t="inlineStr">
        <is>
          <t>VÄSTERBOTTENS LÄN</t>
        </is>
      </c>
      <c r="E1068" t="inlineStr">
        <is>
          <t>VILHELMINA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64362-2023</t>
        </is>
      </c>
      <c r="B1069" s="1" t="n">
        <v>45280</v>
      </c>
      <c r="C1069" s="1" t="n">
        <v>45672</v>
      </c>
      <c r="D1069" t="inlineStr">
        <is>
          <t>VÄSTERBOTTENS LÄN</t>
        </is>
      </c>
      <c r="E1069" t="inlineStr">
        <is>
          <t>VILHELMINA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64495-2023</t>
        </is>
      </c>
      <c r="B1070" s="1" t="n">
        <v>45280</v>
      </c>
      <c r="C1070" s="1" t="n">
        <v>45672</v>
      </c>
      <c r="D1070" t="inlineStr">
        <is>
          <t>VÄSTERBOTTENS LÄN</t>
        </is>
      </c>
      <c r="E1070" t="inlineStr">
        <is>
          <t>VILHELMINA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64421-2023</t>
        </is>
      </c>
      <c r="B1071" s="1" t="n">
        <v>45280</v>
      </c>
      <c r="C1071" s="1" t="n">
        <v>45672</v>
      </c>
      <c r="D1071" t="inlineStr">
        <is>
          <t>VÄSTERBOTTENS LÄN</t>
        </is>
      </c>
      <c r="E1071" t="inlineStr">
        <is>
          <t>VILHELMINA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64592-2023</t>
        </is>
      </c>
      <c r="B1072" s="1" t="n">
        <v>45281</v>
      </c>
      <c r="C1072" s="1" t="n">
        <v>45672</v>
      </c>
      <c r="D1072" t="inlineStr">
        <is>
          <t>VÄSTERBOTTENS LÄN</t>
        </is>
      </c>
      <c r="E1072" t="inlineStr">
        <is>
          <t>VILHELMINA</t>
        </is>
      </c>
      <c r="F1072" t="inlineStr">
        <is>
          <t>Kommuner</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65042-2023</t>
        </is>
      </c>
      <c r="B1073" s="1" t="n">
        <v>45282</v>
      </c>
      <c r="C1073" s="1" t="n">
        <v>45672</v>
      </c>
      <c r="D1073" t="inlineStr">
        <is>
          <t>VÄSTERBOTTENS LÄN</t>
        </is>
      </c>
      <c r="E1073" t="inlineStr">
        <is>
          <t>VILHELMINA</t>
        </is>
      </c>
      <c r="F1073" t="inlineStr">
        <is>
          <t>Övriga Aktiebolag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367-2024</t>
        </is>
      </c>
      <c r="B1074" s="1" t="n">
        <v>45295</v>
      </c>
      <c r="C1074" s="1" t="n">
        <v>45672</v>
      </c>
      <c r="D1074" t="inlineStr">
        <is>
          <t>VÄSTERBOTTENS LÄN</t>
        </is>
      </c>
      <c r="E1074" t="inlineStr">
        <is>
          <t>VILHELMINA</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370-2024</t>
        </is>
      </c>
      <c r="B1075" s="1" t="n">
        <v>45296</v>
      </c>
      <c r="C1075" s="1" t="n">
        <v>45672</v>
      </c>
      <c r="D1075" t="inlineStr">
        <is>
          <t>VÄSTERBOTTENS LÄN</t>
        </is>
      </c>
      <c r="E1075" t="inlineStr">
        <is>
          <t>VILHELMINA</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475-2024</t>
        </is>
      </c>
      <c r="B1076" s="1" t="n">
        <v>45297</v>
      </c>
      <c r="C1076" s="1" t="n">
        <v>45672</v>
      </c>
      <c r="D1076" t="inlineStr">
        <is>
          <t>VÄSTERBOTTENS LÄN</t>
        </is>
      </c>
      <c r="E1076" t="inlineStr">
        <is>
          <t>VILHELMINA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468-2024</t>
        </is>
      </c>
      <c r="B1077" s="1" t="n">
        <v>45297</v>
      </c>
      <c r="C1077" s="1" t="n">
        <v>45672</v>
      </c>
      <c r="D1077" t="inlineStr">
        <is>
          <t>VÄSTERBOTTENS LÄN</t>
        </is>
      </c>
      <c r="E1077" t="inlineStr">
        <is>
          <t>VILHELMINA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706-2024</t>
        </is>
      </c>
      <c r="B1078" s="1" t="n">
        <v>45300</v>
      </c>
      <c r="C1078" s="1" t="n">
        <v>45672</v>
      </c>
      <c r="D1078" t="inlineStr">
        <is>
          <t>VÄSTERBOTTENS LÄN</t>
        </is>
      </c>
      <c r="E1078" t="inlineStr">
        <is>
          <t>VILHELMINA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1780-2024</t>
        </is>
      </c>
      <c r="B1079" s="1" t="n">
        <v>45307</v>
      </c>
      <c r="C1079" s="1" t="n">
        <v>45672</v>
      </c>
      <c r="D1079" t="inlineStr">
        <is>
          <t>VÄSTERBOTTENS LÄN</t>
        </is>
      </c>
      <c r="E1079" t="inlineStr">
        <is>
          <t>VILHELMINA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1854-2024</t>
        </is>
      </c>
      <c r="B1080" s="1" t="n">
        <v>45307</v>
      </c>
      <c r="C1080" s="1" t="n">
        <v>45672</v>
      </c>
      <c r="D1080" t="inlineStr">
        <is>
          <t>VÄSTERBOTTENS LÄN</t>
        </is>
      </c>
      <c r="E1080" t="inlineStr">
        <is>
          <t>VILHELMINA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1940-2024</t>
        </is>
      </c>
      <c r="B1081" s="1" t="n">
        <v>45308</v>
      </c>
      <c r="C1081" s="1" t="n">
        <v>45672</v>
      </c>
      <c r="D1081" t="inlineStr">
        <is>
          <t>VÄSTERBOTTENS LÄN</t>
        </is>
      </c>
      <c r="E1081" t="inlineStr">
        <is>
          <t>VILHELMINA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2022-2024</t>
        </is>
      </c>
      <c r="B1082" s="1" t="n">
        <v>45308</v>
      </c>
      <c r="C1082" s="1" t="n">
        <v>45672</v>
      </c>
      <c r="D1082" t="inlineStr">
        <is>
          <t>VÄSTERBOTTENS LÄN</t>
        </is>
      </c>
      <c r="E1082" t="inlineStr">
        <is>
          <t>VILHELMINA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2023-2024</t>
        </is>
      </c>
      <c r="B1083" s="1" t="n">
        <v>45308</v>
      </c>
      <c r="C1083" s="1" t="n">
        <v>45672</v>
      </c>
      <c r="D1083" t="inlineStr">
        <is>
          <t>VÄSTERBOTTENS LÄN</t>
        </is>
      </c>
      <c r="E1083" t="inlineStr">
        <is>
          <t>VILHELMINA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3237-2024</t>
        </is>
      </c>
      <c r="B1084" s="1" t="n">
        <v>45316</v>
      </c>
      <c r="C1084" s="1" t="n">
        <v>45672</v>
      </c>
      <c r="D1084" t="inlineStr">
        <is>
          <t>VÄSTERBOTTENS LÄN</t>
        </is>
      </c>
      <c r="E1084" t="inlineStr">
        <is>
          <t>VILHELMINA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3620-2024</t>
        </is>
      </c>
      <c r="B1085" s="1" t="n">
        <v>45320</v>
      </c>
      <c r="C1085" s="1" t="n">
        <v>45672</v>
      </c>
      <c r="D1085" t="inlineStr">
        <is>
          <t>VÄSTERBOTTENS LÄN</t>
        </is>
      </c>
      <c r="E1085" t="inlineStr">
        <is>
          <t>VILHELMINA</t>
        </is>
      </c>
      <c r="F1085" t="inlineStr">
        <is>
          <t>SCA</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4291-2024</t>
        </is>
      </c>
      <c r="B1086" s="1" t="n">
        <v>45324</v>
      </c>
      <c r="C1086" s="1" t="n">
        <v>45672</v>
      </c>
      <c r="D1086" t="inlineStr">
        <is>
          <t>VÄSTERBOTTENS LÄN</t>
        </is>
      </c>
      <c r="E1086" t="inlineStr">
        <is>
          <t>VILHELMINA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5435-2024</t>
        </is>
      </c>
      <c r="B1087" s="1" t="n">
        <v>45331</v>
      </c>
      <c r="C1087" s="1" t="n">
        <v>45672</v>
      </c>
      <c r="D1087" t="inlineStr">
        <is>
          <t>VÄSTERBOTTENS LÄN</t>
        </is>
      </c>
      <c r="E1087" t="inlineStr">
        <is>
          <t>VILHELMINA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5434-2024</t>
        </is>
      </c>
      <c r="B1088" s="1" t="n">
        <v>45331</v>
      </c>
      <c r="C1088" s="1" t="n">
        <v>45672</v>
      </c>
      <c r="D1088" t="inlineStr">
        <is>
          <t>VÄSTERBOTTENS LÄN</t>
        </is>
      </c>
      <c r="E1088" t="inlineStr">
        <is>
          <t>VILHELMINA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5432-2024</t>
        </is>
      </c>
      <c r="B1089" s="1" t="n">
        <v>45331</v>
      </c>
      <c r="C1089" s="1" t="n">
        <v>45672</v>
      </c>
      <c r="D1089" t="inlineStr">
        <is>
          <t>VÄSTERBOTTENS LÄN</t>
        </is>
      </c>
      <c r="E1089" t="inlineStr">
        <is>
          <t>VILHELMINA</t>
        </is>
      </c>
      <c r="G1089" t="n">
        <v>19.6</v>
      </c>
      <c r="H1089" t="n">
        <v>0</v>
      </c>
      <c r="I1089" t="n">
        <v>0</v>
      </c>
      <c r="J1089" t="n">
        <v>0</v>
      </c>
      <c r="K1089" t="n">
        <v>0</v>
      </c>
      <c r="L1089" t="n">
        <v>0</v>
      </c>
      <c r="M1089" t="n">
        <v>0</v>
      </c>
      <c r="N1089" t="n">
        <v>0</v>
      </c>
      <c r="O1089" t="n">
        <v>0</v>
      </c>
      <c r="P1089" t="n">
        <v>0</v>
      </c>
      <c r="Q1089" t="n">
        <v>0</v>
      </c>
      <c r="R1089" s="2" t="inlineStr"/>
    </row>
    <row r="1090" ht="15" customHeight="1">
      <c r="A1090" t="inlineStr">
        <is>
          <t>A 5549-2024</t>
        </is>
      </c>
      <c r="B1090" s="1" t="n">
        <v>45332</v>
      </c>
      <c r="C1090" s="1" t="n">
        <v>45672</v>
      </c>
      <c r="D1090" t="inlineStr">
        <is>
          <t>VÄSTERBOTTENS LÄN</t>
        </is>
      </c>
      <c r="E1090" t="inlineStr">
        <is>
          <t>VILHELMINA</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5552-2024</t>
        </is>
      </c>
      <c r="B1091" s="1" t="n">
        <v>45332</v>
      </c>
      <c r="C1091" s="1" t="n">
        <v>45672</v>
      </c>
      <c r="D1091" t="inlineStr">
        <is>
          <t>VÄSTERBOTTENS LÄN</t>
        </is>
      </c>
      <c r="E1091" t="inlineStr">
        <is>
          <t>VILHELMINA</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5482-2024</t>
        </is>
      </c>
      <c r="B1092" s="1" t="n">
        <v>45333</v>
      </c>
      <c r="C1092" s="1" t="n">
        <v>45672</v>
      </c>
      <c r="D1092" t="inlineStr">
        <is>
          <t>VÄSTERBOTTENS LÄN</t>
        </is>
      </c>
      <c r="E1092" t="inlineStr">
        <is>
          <t>VILHELMINA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5497-2024</t>
        </is>
      </c>
      <c r="B1093" s="1" t="n">
        <v>45334</v>
      </c>
      <c r="C1093" s="1" t="n">
        <v>45672</v>
      </c>
      <c r="D1093" t="inlineStr">
        <is>
          <t>VÄSTERBOTTENS LÄN</t>
        </is>
      </c>
      <c r="E1093" t="inlineStr">
        <is>
          <t>VILHELMINA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6281-2024</t>
        </is>
      </c>
      <c r="B1094" s="1" t="n">
        <v>45337</v>
      </c>
      <c r="C1094" s="1" t="n">
        <v>45672</v>
      </c>
      <c r="D1094" t="inlineStr">
        <is>
          <t>VÄSTERBOTTENS LÄN</t>
        </is>
      </c>
      <c r="E1094" t="inlineStr">
        <is>
          <t>VILHELMINA</t>
        </is>
      </c>
      <c r="F1094" t="inlineStr">
        <is>
          <t>SCA</t>
        </is>
      </c>
      <c r="G1094" t="n">
        <v>17.6</v>
      </c>
      <c r="H1094" t="n">
        <v>0</v>
      </c>
      <c r="I1094" t="n">
        <v>0</v>
      </c>
      <c r="J1094" t="n">
        <v>0</v>
      </c>
      <c r="K1094" t="n">
        <v>0</v>
      </c>
      <c r="L1094" t="n">
        <v>0</v>
      </c>
      <c r="M1094" t="n">
        <v>0</v>
      </c>
      <c r="N1094" t="n">
        <v>0</v>
      </c>
      <c r="O1094" t="n">
        <v>0</v>
      </c>
      <c r="P1094" t="n">
        <v>0</v>
      </c>
      <c r="Q1094" t="n">
        <v>0</v>
      </c>
      <c r="R1094" s="2" t="inlineStr"/>
    </row>
    <row r="1095" ht="15" customHeight="1">
      <c r="A1095" t="inlineStr">
        <is>
          <t>A 6280-2024</t>
        </is>
      </c>
      <c r="B1095" s="1" t="n">
        <v>45337</v>
      </c>
      <c r="C1095" s="1" t="n">
        <v>45672</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6369-2024</t>
        </is>
      </c>
      <c r="B1096" s="1" t="n">
        <v>45338</v>
      </c>
      <c r="C1096" s="1" t="n">
        <v>45672</v>
      </c>
      <c r="D1096" t="inlineStr">
        <is>
          <t>VÄSTERBOTTENS LÄN</t>
        </is>
      </c>
      <c r="E1096" t="inlineStr">
        <is>
          <t>VILHELMINA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6358-2024</t>
        </is>
      </c>
      <c r="B1097" s="1" t="n">
        <v>45338</v>
      </c>
      <c r="C1097" s="1" t="n">
        <v>45672</v>
      </c>
      <c r="D1097" t="inlineStr">
        <is>
          <t>VÄSTERBOTTENS LÄN</t>
        </is>
      </c>
      <c r="E1097" t="inlineStr">
        <is>
          <t>VILHELMINA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7102-2024</t>
        </is>
      </c>
      <c r="B1098" s="1" t="n">
        <v>45343</v>
      </c>
      <c r="C1098" s="1" t="n">
        <v>45672</v>
      </c>
      <c r="D1098" t="inlineStr">
        <is>
          <t>VÄSTERBOTTENS LÄN</t>
        </is>
      </c>
      <c r="E1098" t="inlineStr">
        <is>
          <t>VILHELMINA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7259-2024</t>
        </is>
      </c>
      <c r="B1099" s="1" t="n">
        <v>45344</v>
      </c>
      <c r="C1099" s="1" t="n">
        <v>45672</v>
      </c>
      <c r="D1099" t="inlineStr">
        <is>
          <t>VÄSTERBOTTENS LÄN</t>
        </is>
      </c>
      <c r="E1099" t="inlineStr">
        <is>
          <t>VILHELMINA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7777-2024</t>
        </is>
      </c>
      <c r="B1100" s="1" t="n">
        <v>45349</v>
      </c>
      <c r="C1100" s="1" t="n">
        <v>45672</v>
      </c>
      <c r="D1100" t="inlineStr">
        <is>
          <t>VÄSTERBOTTENS LÄN</t>
        </is>
      </c>
      <c r="E1100" t="inlineStr">
        <is>
          <t>VILHELMINA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8544-2024</t>
        </is>
      </c>
      <c r="B1101" s="1" t="n">
        <v>45351</v>
      </c>
      <c r="C1101" s="1" t="n">
        <v>45672</v>
      </c>
      <c r="D1101" t="inlineStr">
        <is>
          <t>VÄSTERBOTTENS LÄN</t>
        </is>
      </c>
      <c r="E1101" t="inlineStr">
        <is>
          <t>VILHELMINA</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8664-2024</t>
        </is>
      </c>
      <c r="B1102" s="1" t="n">
        <v>45356</v>
      </c>
      <c r="C1102" s="1" t="n">
        <v>45672</v>
      </c>
      <c r="D1102" t="inlineStr">
        <is>
          <t>VÄSTERBOTTENS LÄN</t>
        </is>
      </c>
      <c r="E1102" t="inlineStr">
        <is>
          <t>VILHELMINA</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9815-2024</t>
        </is>
      </c>
      <c r="B1103" s="1" t="n">
        <v>45363</v>
      </c>
      <c r="C1103" s="1" t="n">
        <v>45672</v>
      </c>
      <c r="D1103" t="inlineStr">
        <is>
          <t>VÄSTERBOTTENS LÄN</t>
        </is>
      </c>
      <c r="E1103" t="inlineStr">
        <is>
          <t>VILHELMINA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10617-2024</t>
        </is>
      </c>
      <c r="B1104" s="1" t="n">
        <v>45367</v>
      </c>
      <c r="C1104" s="1" t="n">
        <v>45672</v>
      </c>
      <c r="D1104" t="inlineStr">
        <is>
          <t>VÄSTERBOTTENS LÄN</t>
        </is>
      </c>
      <c r="E1104" t="inlineStr">
        <is>
          <t>VILHELMINA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11538-2024</t>
        </is>
      </c>
      <c r="B1105" s="1" t="n">
        <v>45372</v>
      </c>
      <c r="C1105" s="1" t="n">
        <v>45672</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11806-2024</t>
        </is>
      </c>
      <c r="B1106" s="1" t="n">
        <v>45375</v>
      </c>
      <c r="C1106" s="1" t="n">
        <v>45672</v>
      </c>
      <c r="D1106" t="inlineStr">
        <is>
          <t>VÄSTERBOTTENS LÄN</t>
        </is>
      </c>
      <c r="E1106" t="inlineStr">
        <is>
          <t>VILHELMINA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12118-2024</t>
        </is>
      </c>
      <c r="B1107" s="1" t="n">
        <v>45376</v>
      </c>
      <c r="C1107" s="1" t="n">
        <v>45672</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12189-2024</t>
        </is>
      </c>
      <c r="B1108" s="1" t="n">
        <v>45377</v>
      </c>
      <c r="C1108" s="1" t="n">
        <v>45672</v>
      </c>
      <c r="D1108" t="inlineStr">
        <is>
          <t>VÄSTERBOTTENS LÄN</t>
        </is>
      </c>
      <c r="E1108" t="inlineStr">
        <is>
          <t>VILHELMINA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12192-2024</t>
        </is>
      </c>
      <c r="B1109" s="1" t="n">
        <v>45377</v>
      </c>
      <c r="C1109" s="1" t="n">
        <v>45672</v>
      </c>
      <c r="D1109" t="inlineStr">
        <is>
          <t>VÄSTERBOTTENS LÄN</t>
        </is>
      </c>
      <c r="E1109" t="inlineStr">
        <is>
          <t>VILHELMINA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12190-2024</t>
        </is>
      </c>
      <c r="B1110" s="1" t="n">
        <v>45377</v>
      </c>
      <c r="C1110" s="1" t="n">
        <v>45672</v>
      </c>
      <c r="D1110" t="inlineStr">
        <is>
          <t>VÄSTERBOTTENS LÄN</t>
        </is>
      </c>
      <c r="E1110" t="inlineStr">
        <is>
          <t>VILHELMINA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12191-2024</t>
        </is>
      </c>
      <c r="B1111" s="1" t="n">
        <v>45377</v>
      </c>
      <c r="C1111" s="1" t="n">
        <v>45672</v>
      </c>
      <c r="D1111" t="inlineStr">
        <is>
          <t>VÄSTERBOTTENS LÄN</t>
        </is>
      </c>
      <c r="E1111" t="inlineStr">
        <is>
          <t>VILHELMINA</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12373-2024</t>
        </is>
      </c>
      <c r="B1112" s="1" t="n">
        <v>45378</v>
      </c>
      <c r="C1112" s="1" t="n">
        <v>45672</v>
      </c>
      <c r="D1112" t="inlineStr">
        <is>
          <t>VÄSTERBOTTENS LÄN</t>
        </is>
      </c>
      <c r="E1112" t="inlineStr">
        <is>
          <t>VILHELMINA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12583-2024</t>
        </is>
      </c>
      <c r="B1113" s="1" t="n">
        <v>45379</v>
      </c>
      <c r="C1113" s="1" t="n">
        <v>45672</v>
      </c>
      <c r="D1113" t="inlineStr">
        <is>
          <t>VÄSTERBOTTENS LÄN</t>
        </is>
      </c>
      <c r="E1113" t="inlineStr">
        <is>
          <t>VILHELMINA</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13557-2024</t>
        </is>
      </c>
      <c r="B1114" s="1" t="n">
        <v>45388</v>
      </c>
      <c r="C1114" s="1" t="n">
        <v>45672</v>
      </c>
      <c r="D1114" t="inlineStr">
        <is>
          <t>VÄSTERBOTTENS LÄN</t>
        </is>
      </c>
      <c r="E1114" t="inlineStr">
        <is>
          <t>VILHELMINA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13768-2024</t>
        </is>
      </c>
      <c r="B1115" s="1" t="n">
        <v>45391</v>
      </c>
      <c r="C1115" s="1" t="n">
        <v>45672</v>
      </c>
      <c r="D1115" t="inlineStr">
        <is>
          <t>VÄSTERBOTTENS LÄN</t>
        </is>
      </c>
      <c r="E1115" t="inlineStr">
        <is>
          <t>VILHELMINA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14366-2024</t>
        </is>
      </c>
      <c r="B1116" s="1" t="n">
        <v>45394</v>
      </c>
      <c r="C1116" s="1" t="n">
        <v>45672</v>
      </c>
      <c r="D1116" t="inlineStr">
        <is>
          <t>VÄSTERBOTTENS LÄN</t>
        </is>
      </c>
      <c r="E1116" t="inlineStr">
        <is>
          <t>VILHELMINA</t>
        </is>
      </c>
      <c r="F1116" t="inlineStr">
        <is>
          <t>SCA</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14816-2024</t>
        </is>
      </c>
      <c r="B1117" s="1" t="n">
        <v>45397</v>
      </c>
      <c r="C1117" s="1" t="n">
        <v>45672</v>
      </c>
      <c r="D1117" t="inlineStr">
        <is>
          <t>VÄSTERBOTTENS LÄN</t>
        </is>
      </c>
      <c r="E1117" t="inlineStr">
        <is>
          <t>VILHELMINA</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14817-2024</t>
        </is>
      </c>
      <c r="B1118" s="1" t="n">
        <v>45398</v>
      </c>
      <c r="C1118" s="1" t="n">
        <v>45672</v>
      </c>
      <c r="D1118" t="inlineStr">
        <is>
          <t>VÄSTERBOTTENS LÄN</t>
        </is>
      </c>
      <c r="E1118" t="inlineStr">
        <is>
          <t>VILHELMINA</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15059-2024</t>
        </is>
      </c>
      <c r="B1119" s="1" t="n">
        <v>45399</v>
      </c>
      <c r="C1119" s="1" t="n">
        <v>45672</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15050-2024</t>
        </is>
      </c>
      <c r="B1120" s="1" t="n">
        <v>45399</v>
      </c>
      <c r="C1120" s="1" t="n">
        <v>45672</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15062-2024</t>
        </is>
      </c>
      <c r="B1121" s="1" t="n">
        <v>45399</v>
      </c>
      <c r="C1121" s="1" t="n">
        <v>45672</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15066-2024</t>
        </is>
      </c>
      <c r="B1122" s="1" t="n">
        <v>45399</v>
      </c>
      <c r="C1122" s="1" t="n">
        <v>45672</v>
      </c>
      <c r="D1122" t="inlineStr">
        <is>
          <t>VÄSTERBOTTENS LÄN</t>
        </is>
      </c>
      <c r="E1122" t="inlineStr">
        <is>
          <t>VILHELMINA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15326-2024</t>
        </is>
      </c>
      <c r="B1123" s="1" t="n">
        <v>45400</v>
      </c>
      <c r="C1123" s="1" t="n">
        <v>45672</v>
      </c>
      <c r="D1123" t="inlineStr">
        <is>
          <t>VÄSTERBOTTENS LÄN</t>
        </is>
      </c>
      <c r="E1123" t="inlineStr">
        <is>
          <t>VILHELMINA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15615-2024</t>
        </is>
      </c>
      <c r="B1124" s="1" t="n">
        <v>45402</v>
      </c>
      <c r="C1124" s="1" t="n">
        <v>45672</v>
      </c>
      <c r="D1124" t="inlineStr">
        <is>
          <t>VÄSTERBOTTENS LÄN</t>
        </is>
      </c>
      <c r="E1124" t="inlineStr">
        <is>
          <t>VILHELMINA</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15617-2024</t>
        </is>
      </c>
      <c r="B1125" s="1" t="n">
        <v>45402</v>
      </c>
      <c r="C1125" s="1" t="n">
        <v>45672</v>
      </c>
      <c r="D1125" t="inlineStr">
        <is>
          <t>VÄSTERBOTTENS LÄN</t>
        </is>
      </c>
      <c r="E1125" t="inlineStr">
        <is>
          <t>VILHELMINA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15639-2024</t>
        </is>
      </c>
      <c r="B1126" s="1" t="n">
        <v>45403</v>
      </c>
      <c r="C1126" s="1" t="n">
        <v>45672</v>
      </c>
      <c r="D1126" t="inlineStr">
        <is>
          <t>VÄSTERBOTTENS LÄN</t>
        </is>
      </c>
      <c r="E1126" t="inlineStr">
        <is>
          <t>VILHELMINA</t>
        </is>
      </c>
      <c r="G1126" t="n">
        <v>81.90000000000001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15969-2024</t>
        </is>
      </c>
      <c r="B1127" s="1" t="n">
        <v>45405</v>
      </c>
      <c r="C1127" s="1" t="n">
        <v>45672</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16608-2024</t>
        </is>
      </c>
      <c r="B1128" s="1" t="n">
        <v>45408</v>
      </c>
      <c r="C1128" s="1" t="n">
        <v>45672</v>
      </c>
      <c r="D1128" t="inlineStr">
        <is>
          <t>VÄSTERBOTTENS LÄN</t>
        </is>
      </c>
      <c r="E1128" t="inlineStr">
        <is>
          <t>VILHELMINA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16626-2024</t>
        </is>
      </c>
      <c r="B1129" s="1" t="n">
        <v>45408</v>
      </c>
      <c r="C1129" s="1" t="n">
        <v>45672</v>
      </c>
      <c r="D1129" t="inlineStr">
        <is>
          <t>VÄSTERBOTTENS LÄN</t>
        </is>
      </c>
      <c r="E1129" t="inlineStr">
        <is>
          <t>VILHELMINA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16712-2024</t>
        </is>
      </c>
      <c r="B1130" s="1" t="n">
        <v>45409</v>
      </c>
      <c r="C1130" s="1" t="n">
        <v>45672</v>
      </c>
      <c r="D1130" t="inlineStr">
        <is>
          <t>VÄSTERBOTTENS LÄN</t>
        </is>
      </c>
      <c r="E1130" t="inlineStr">
        <is>
          <t>VILHELMINA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16713-2024</t>
        </is>
      </c>
      <c r="B1131" s="1" t="n">
        <v>45409</v>
      </c>
      <c r="C1131" s="1" t="n">
        <v>45672</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17002-2024</t>
        </is>
      </c>
      <c r="B1132" s="1" t="n">
        <v>45411</v>
      </c>
      <c r="C1132" s="1" t="n">
        <v>45672</v>
      </c>
      <c r="D1132" t="inlineStr">
        <is>
          <t>VÄSTERBOTTENS LÄN</t>
        </is>
      </c>
      <c r="E1132" t="inlineStr">
        <is>
          <t>VILHELMINA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16979-2024</t>
        </is>
      </c>
      <c r="B1133" s="1" t="n">
        <v>45412</v>
      </c>
      <c r="C1133" s="1" t="n">
        <v>45672</v>
      </c>
      <c r="D1133" t="inlineStr">
        <is>
          <t>VÄSTERBOTTENS LÄN</t>
        </is>
      </c>
      <c r="E1133" t="inlineStr">
        <is>
          <t>VILHELMINA</t>
        </is>
      </c>
      <c r="F1133" t="inlineStr">
        <is>
          <t>SCA</t>
        </is>
      </c>
      <c r="G1133" t="n">
        <v>34.1</v>
      </c>
      <c r="H1133" t="n">
        <v>0</v>
      </c>
      <c r="I1133" t="n">
        <v>0</v>
      </c>
      <c r="J1133" t="n">
        <v>0</v>
      </c>
      <c r="K1133" t="n">
        <v>0</v>
      </c>
      <c r="L1133" t="n">
        <v>0</v>
      </c>
      <c r="M1133" t="n">
        <v>0</v>
      </c>
      <c r="N1133" t="n">
        <v>0</v>
      </c>
      <c r="O1133" t="n">
        <v>0</v>
      </c>
      <c r="P1133" t="n">
        <v>0</v>
      </c>
      <c r="Q1133" t="n">
        <v>0</v>
      </c>
      <c r="R1133" s="2" t="inlineStr"/>
    </row>
    <row r="1134" ht="15" customHeight="1">
      <c r="A1134" t="inlineStr">
        <is>
          <t>A 17586-2024</t>
        </is>
      </c>
      <c r="B1134" s="1" t="n">
        <v>45415</v>
      </c>
      <c r="C1134" s="1" t="n">
        <v>45672</v>
      </c>
      <c r="D1134" t="inlineStr">
        <is>
          <t>VÄSTERBOTTENS LÄN</t>
        </is>
      </c>
      <c r="E1134" t="inlineStr">
        <is>
          <t>VILHELMINA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17587-2024</t>
        </is>
      </c>
      <c r="B1135" s="1" t="n">
        <v>45416</v>
      </c>
      <c r="C1135" s="1" t="n">
        <v>45672</v>
      </c>
      <c r="D1135" t="inlineStr">
        <is>
          <t>VÄSTERBOTTENS LÄN</t>
        </is>
      </c>
      <c r="E1135" t="inlineStr">
        <is>
          <t>VILHELMINA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17723-2024</t>
        </is>
      </c>
      <c r="B1136" s="1" t="n">
        <v>45415</v>
      </c>
      <c r="C1136" s="1" t="n">
        <v>45672</v>
      </c>
      <c r="D1136" t="inlineStr">
        <is>
          <t>VÄSTERBOTTENS LÄN</t>
        </is>
      </c>
      <c r="E1136" t="inlineStr">
        <is>
          <t>VILHELMINA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17732-2024</t>
        </is>
      </c>
      <c r="B1137" s="1" t="n">
        <v>45415</v>
      </c>
      <c r="C1137" s="1" t="n">
        <v>45672</v>
      </c>
      <c r="D1137" t="inlineStr">
        <is>
          <t>VÄSTERBOTTENS LÄN</t>
        </is>
      </c>
      <c r="E1137" t="inlineStr">
        <is>
          <t>VILHELMINA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17722-2024</t>
        </is>
      </c>
      <c r="B1138" s="1" t="n">
        <v>45415</v>
      </c>
      <c r="C1138" s="1" t="n">
        <v>45672</v>
      </c>
      <c r="D1138" t="inlineStr">
        <is>
          <t>VÄSTERBOTTENS LÄN</t>
        </is>
      </c>
      <c r="E1138" t="inlineStr">
        <is>
          <t>VILHELMINA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17823-2024</t>
        </is>
      </c>
      <c r="B1139" s="1" t="n">
        <v>45419</v>
      </c>
      <c r="C1139" s="1" t="n">
        <v>45672</v>
      </c>
      <c r="D1139" t="inlineStr">
        <is>
          <t>VÄSTERBOTTENS LÄN</t>
        </is>
      </c>
      <c r="E1139" t="inlineStr">
        <is>
          <t>VILHELMINA</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17996-2024</t>
        </is>
      </c>
      <c r="B1140" s="1" t="n">
        <v>45419</v>
      </c>
      <c r="C1140" s="1" t="n">
        <v>45672</v>
      </c>
      <c r="D1140" t="inlineStr">
        <is>
          <t>VÄSTERBOTTENS LÄN</t>
        </is>
      </c>
      <c r="E1140" t="inlineStr">
        <is>
          <t>VILHELMINA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19088-2024</t>
        </is>
      </c>
      <c r="B1141" s="1" t="n">
        <v>45428</v>
      </c>
      <c r="C1141" s="1" t="n">
        <v>45672</v>
      </c>
      <c r="D1141" t="inlineStr">
        <is>
          <t>VÄSTERBOTTENS LÄN</t>
        </is>
      </c>
      <c r="E1141" t="inlineStr">
        <is>
          <t>VILHELMINA</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19083-2024</t>
        </is>
      </c>
      <c r="B1142" s="1" t="n">
        <v>45428</v>
      </c>
      <c r="C1142" s="1" t="n">
        <v>45672</v>
      </c>
      <c r="D1142" t="inlineStr">
        <is>
          <t>VÄSTERBOTTENS LÄN</t>
        </is>
      </c>
      <c r="E1142" t="inlineStr">
        <is>
          <t>VILHELMINA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19349-2024</t>
        </is>
      </c>
      <c r="B1143" s="1" t="n">
        <v>45429</v>
      </c>
      <c r="C1143" s="1" t="n">
        <v>45672</v>
      </c>
      <c r="D1143" t="inlineStr">
        <is>
          <t>VÄSTERBOTTENS LÄN</t>
        </is>
      </c>
      <c r="E1143" t="inlineStr">
        <is>
          <t>VILHELMINA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19585-2024</t>
        </is>
      </c>
      <c r="B1144" s="1" t="n">
        <v>45429</v>
      </c>
      <c r="C1144" s="1" t="n">
        <v>45672</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19873-2024</t>
        </is>
      </c>
      <c r="B1145" s="1" t="n">
        <v>45433</v>
      </c>
      <c r="C1145" s="1" t="n">
        <v>45672</v>
      </c>
      <c r="D1145" t="inlineStr">
        <is>
          <t>VÄSTERBOTTENS LÄN</t>
        </is>
      </c>
      <c r="E1145" t="inlineStr">
        <is>
          <t>VILHELMINA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20259-2024</t>
        </is>
      </c>
      <c r="B1146" s="1" t="n">
        <v>45435</v>
      </c>
      <c r="C1146" s="1" t="n">
        <v>45672</v>
      </c>
      <c r="D1146" t="inlineStr">
        <is>
          <t>VÄSTERBOTTENS LÄN</t>
        </is>
      </c>
      <c r="E1146" t="inlineStr">
        <is>
          <t>VILHELMINA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20521-2024</t>
        </is>
      </c>
      <c r="B1147" s="1" t="n">
        <v>45436</v>
      </c>
      <c r="C1147" s="1" t="n">
        <v>45672</v>
      </c>
      <c r="D1147" t="inlineStr">
        <is>
          <t>VÄSTERBOTTENS LÄN</t>
        </is>
      </c>
      <c r="E1147" t="inlineStr">
        <is>
          <t>VILHELMINA</t>
        </is>
      </c>
      <c r="F1147" t="inlineStr">
        <is>
          <t>SCA</t>
        </is>
      </c>
      <c r="G1147" t="n">
        <v>21.4</v>
      </c>
      <c r="H1147" t="n">
        <v>0</v>
      </c>
      <c r="I1147" t="n">
        <v>0</v>
      </c>
      <c r="J1147" t="n">
        <v>0</v>
      </c>
      <c r="K1147" t="n">
        <v>0</v>
      </c>
      <c r="L1147" t="n">
        <v>0</v>
      </c>
      <c r="M1147" t="n">
        <v>0</v>
      </c>
      <c r="N1147" t="n">
        <v>0</v>
      </c>
      <c r="O1147" t="n">
        <v>0</v>
      </c>
      <c r="P1147" t="n">
        <v>0</v>
      </c>
      <c r="Q1147" t="n">
        <v>0</v>
      </c>
      <c r="R1147" s="2" t="inlineStr"/>
    </row>
    <row r="1148" ht="15" customHeight="1">
      <c r="A1148" t="inlineStr">
        <is>
          <t>A 20511-2024</t>
        </is>
      </c>
      <c r="B1148" s="1" t="n">
        <v>45435</v>
      </c>
      <c r="C1148" s="1" t="n">
        <v>45672</v>
      </c>
      <c r="D1148" t="inlineStr">
        <is>
          <t>VÄSTERBOTTENS LÄN</t>
        </is>
      </c>
      <c r="E1148" t="inlineStr">
        <is>
          <t>VILHELMINA</t>
        </is>
      </c>
      <c r="F1148" t="inlineStr">
        <is>
          <t>SCA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20523-2024</t>
        </is>
      </c>
      <c r="B1149" s="1" t="n">
        <v>45436</v>
      </c>
      <c r="C1149" s="1" t="n">
        <v>45672</v>
      </c>
      <c r="D1149" t="inlineStr">
        <is>
          <t>VÄSTERBOTTENS LÄN</t>
        </is>
      </c>
      <c r="E1149" t="inlineStr">
        <is>
          <t>VILHELMINA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20510-2024</t>
        </is>
      </c>
      <c r="B1150" s="1" t="n">
        <v>45436</v>
      </c>
      <c r="C1150" s="1" t="n">
        <v>45672</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20522-2024</t>
        </is>
      </c>
      <c r="B1151" s="1" t="n">
        <v>45435</v>
      </c>
      <c r="C1151" s="1" t="n">
        <v>45672</v>
      </c>
      <c r="D1151" t="inlineStr">
        <is>
          <t>VÄSTERBOTTENS LÄN</t>
        </is>
      </c>
      <c r="E1151" t="inlineStr">
        <is>
          <t>VILHELMINA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20524-2024</t>
        </is>
      </c>
      <c r="B1152" s="1" t="n">
        <v>45436</v>
      </c>
      <c r="C1152" s="1" t="n">
        <v>45672</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20769-2024</t>
        </is>
      </c>
      <c r="B1153" s="1" t="n">
        <v>45437</v>
      </c>
      <c r="C1153" s="1" t="n">
        <v>45672</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20796-2024</t>
        </is>
      </c>
      <c r="B1154" s="1" t="n">
        <v>45439</v>
      </c>
      <c r="C1154" s="1" t="n">
        <v>45672</v>
      </c>
      <c r="D1154" t="inlineStr">
        <is>
          <t>VÄSTERBOTTENS LÄN</t>
        </is>
      </c>
      <c r="E1154" t="inlineStr">
        <is>
          <t>VILHELMINA</t>
        </is>
      </c>
      <c r="F1154" t="inlineStr">
        <is>
          <t>SCA</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20797-2024</t>
        </is>
      </c>
      <c r="B1155" s="1" t="n">
        <v>45438</v>
      </c>
      <c r="C1155" s="1" t="n">
        <v>45672</v>
      </c>
      <c r="D1155" t="inlineStr">
        <is>
          <t>VÄSTERBOTTENS LÄN</t>
        </is>
      </c>
      <c r="E1155" t="inlineStr">
        <is>
          <t>VILHELMINA</t>
        </is>
      </c>
      <c r="F1155" t="inlineStr">
        <is>
          <t>SCA</t>
        </is>
      </c>
      <c r="G1155" t="n">
        <v>26.9</v>
      </c>
      <c r="H1155" t="n">
        <v>0</v>
      </c>
      <c r="I1155" t="n">
        <v>0</v>
      </c>
      <c r="J1155" t="n">
        <v>0</v>
      </c>
      <c r="K1155" t="n">
        <v>0</v>
      </c>
      <c r="L1155" t="n">
        <v>0</v>
      </c>
      <c r="M1155" t="n">
        <v>0</v>
      </c>
      <c r="N1155" t="n">
        <v>0</v>
      </c>
      <c r="O1155" t="n">
        <v>0</v>
      </c>
      <c r="P1155" t="n">
        <v>0</v>
      </c>
      <c r="Q1155" t="n">
        <v>0</v>
      </c>
      <c r="R1155" s="2" t="inlineStr"/>
    </row>
    <row r="1156" ht="15" customHeight="1">
      <c r="A1156" t="inlineStr">
        <is>
          <t>A 21370-2024</t>
        </is>
      </c>
      <c r="B1156" s="1" t="n">
        <v>45441</v>
      </c>
      <c r="C1156" s="1" t="n">
        <v>45672</v>
      </c>
      <c r="D1156" t="inlineStr">
        <is>
          <t>VÄSTERBOTTENS LÄN</t>
        </is>
      </c>
      <c r="E1156" t="inlineStr">
        <is>
          <t>VILHELMINA</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21348-2024</t>
        </is>
      </c>
      <c r="B1157" s="1" t="n">
        <v>45440</v>
      </c>
      <c r="C1157" s="1" t="n">
        <v>45672</v>
      </c>
      <c r="D1157" t="inlineStr">
        <is>
          <t>VÄSTERBOTTENS LÄN</t>
        </is>
      </c>
      <c r="E1157" t="inlineStr">
        <is>
          <t>VILHELMINA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21368-2024</t>
        </is>
      </c>
      <c r="B1158" s="1" t="n">
        <v>45441</v>
      </c>
      <c r="C1158" s="1" t="n">
        <v>45672</v>
      </c>
      <c r="D1158" t="inlineStr">
        <is>
          <t>VÄSTERBOTTENS LÄN</t>
        </is>
      </c>
      <c r="E1158" t="inlineStr">
        <is>
          <t>VILHELMINA</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21345-2024</t>
        </is>
      </c>
      <c r="B1159" s="1" t="n">
        <v>45441</v>
      </c>
      <c r="C1159" s="1" t="n">
        <v>45672</v>
      </c>
      <c r="D1159" t="inlineStr">
        <is>
          <t>VÄSTERBOTTENS LÄN</t>
        </is>
      </c>
      <c r="E1159" t="inlineStr">
        <is>
          <t>VILHELMINA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21349-2024</t>
        </is>
      </c>
      <c r="B1160" s="1" t="n">
        <v>45440</v>
      </c>
      <c r="C1160" s="1" t="n">
        <v>45672</v>
      </c>
      <c r="D1160" t="inlineStr">
        <is>
          <t>VÄSTERBOTTENS LÄN</t>
        </is>
      </c>
      <c r="E1160" t="inlineStr">
        <is>
          <t>VILHELMINA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21369-2024</t>
        </is>
      </c>
      <c r="B1161" s="1" t="n">
        <v>45441</v>
      </c>
      <c r="C1161" s="1" t="n">
        <v>45672</v>
      </c>
      <c r="D1161" t="inlineStr">
        <is>
          <t>VÄSTERBOTTENS LÄN</t>
        </is>
      </c>
      <c r="E1161" t="inlineStr">
        <is>
          <t>VILHELMINA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21367-2024</t>
        </is>
      </c>
      <c r="B1162" s="1" t="n">
        <v>45441</v>
      </c>
      <c r="C1162" s="1" t="n">
        <v>45672</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21371-2024</t>
        </is>
      </c>
      <c r="B1163" s="1" t="n">
        <v>45441</v>
      </c>
      <c r="C1163" s="1" t="n">
        <v>45672</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21841-2024</t>
        </is>
      </c>
      <c r="B1164" s="1" t="n">
        <v>45443</v>
      </c>
      <c r="C1164" s="1" t="n">
        <v>45672</v>
      </c>
      <c r="D1164" t="inlineStr">
        <is>
          <t>VÄSTERBOTTENS LÄN</t>
        </is>
      </c>
      <c r="E1164" t="inlineStr">
        <is>
          <t>VILHELMINA</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21844-2024</t>
        </is>
      </c>
      <c r="B1165" s="1" t="n">
        <v>45442</v>
      </c>
      <c r="C1165" s="1" t="n">
        <v>45672</v>
      </c>
      <c r="D1165" t="inlineStr">
        <is>
          <t>VÄSTERBOTTENS LÄN</t>
        </is>
      </c>
      <c r="E1165" t="inlineStr">
        <is>
          <t>VILHELMINA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21842-2024</t>
        </is>
      </c>
      <c r="B1166" s="1" t="n">
        <v>45443</v>
      </c>
      <c r="C1166" s="1" t="n">
        <v>45672</v>
      </c>
      <c r="D1166" t="inlineStr">
        <is>
          <t>VÄSTERBOTTENS LÄN</t>
        </is>
      </c>
      <c r="E1166" t="inlineStr">
        <is>
          <t>VILHELMINA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21843-2024</t>
        </is>
      </c>
      <c r="B1167" s="1" t="n">
        <v>45443</v>
      </c>
      <c r="C1167" s="1" t="n">
        <v>45672</v>
      </c>
      <c r="D1167" t="inlineStr">
        <is>
          <t>VÄSTERBOTTENS LÄN</t>
        </is>
      </c>
      <c r="E1167" t="inlineStr">
        <is>
          <t>VILHELMINA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22104-2024</t>
        </is>
      </c>
      <c r="B1168" s="1" t="n">
        <v>45443</v>
      </c>
      <c r="C1168" s="1" t="n">
        <v>45672</v>
      </c>
      <c r="D1168" t="inlineStr">
        <is>
          <t>VÄSTERBOTTENS LÄN</t>
        </is>
      </c>
      <c r="E1168" t="inlineStr">
        <is>
          <t>VILHELMINA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22108-2024</t>
        </is>
      </c>
      <c r="B1169" s="1" t="n">
        <v>45443</v>
      </c>
      <c r="C1169" s="1" t="n">
        <v>45672</v>
      </c>
      <c r="D1169" t="inlineStr">
        <is>
          <t>VÄSTERBOTTENS LÄN</t>
        </is>
      </c>
      <c r="E1169" t="inlineStr">
        <is>
          <t>VILHELMINA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22105-2024</t>
        </is>
      </c>
      <c r="B1170" s="1" t="n">
        <v>45443</v>
      </c>
      <c r="C1170" s="1" t="n">
        <v>45672</v>
      </c>
      <c r="D1170" t="inlineStr">
        <is>
          <t>VÄSTERBOTTENS LÄN</t>
        </is>
      </c>
      <c r="E1170" t="inlineStr">
        <is>
          <t>VILHELMINA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22109-2024</t>
        </is>
      </c>
      <c r="B1171" s="1" t="n">
        <v>45443</v>
      </c>
      <c r="C1171" s="1" t="n">
        <v>45672</v>
      </c>
      <c r="D1171" t="inlineStr">
        <is>
          <t>VÄSTERBOTTENS LÄN</t>
        </is>
      </c>
      <c r="E1171" t="inlineStr">
        <is>
          <t>VILHELMINA</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22107-2024</t>
        </is>
      </c>
      <c r="B1172" s="1" t="n">
        <v>45443</v>
      </c>
      <c r="C1172" s="1" t="n">
        <v>45672</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22106-2024</t>
        </is>
      </c>
      <c r="B1173" s="1" t="n">
        <v>45444</v>
      </c>
      <c r="C1173" s="1" t="n">
        <v>45672</v>
      </c>
      <c r="D1173" t="inlineStr">
        <is>
          <t>VÄSTERBOTTENS LÄN</t>
        </is>
      </c>
      <c r="E1173" t="inlineStr">
        <is>
          <t>VILHELMINA</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22751-2024</t>
        </is>
      </c>
      <c r="B1174" s="1" t="n">
        <v>45448</v>
      </c>
      <c r="C1174" s="1" t="n">
        <v>45672</v>
      </c>
      <c r="D1174" t="inlineStr">
        <is>
          <t>VÄSTERBOTTENS LÄN</t>
        </is>
      </c>
      <c r="E1174" t="inlineStr">
        <is>
          <t>VILHELMINA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23176-2024</t>
        </is>
      </c>
      <c r="B1175" s="1" t="n">
        <v>45451</v>
      </c>
      <c r="C1175" s="1" t="n">
        <v>45672</v>
      </c>
      <c r="D1175" t="inlineStr">
        <is>
          <t>VÄSTERBOTTENS LÄN</t>
        </is>
      </c>
      <c r="E1175" t="inlineStr">
        <is>
          <t>VILHELMINA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23180-2024</t>
        </is>
      </c>
      <c r="B1176" s="1" t="n">
        <v>45451</v>
      </c>
      <c r="C1176" s="1" t="n">
        <v>45672</v>
      </c>
      <c r="D1176" t="inlineStr">
        <is>
          <t>VÄSTERBOTTENS LÄN</t>
        </is>
      </c>
      <c r="E1176" t="inlineStr">
        <is>
          <t>VILHELMINA</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23550-2024</t>
        </is>
      </c>
      <c r="B1177" s="1" t="n">
        <v>45454</v>
      </c>
      <c r="C1177" s="1" t="n">
        <v>45672</v>
      </c>
      <c r="D1177" t="inlineStr">
        <is>
          <t>VÄSTERBOTTENS LÄN</t>
        </is>
      </c>
      <c r="E1177" t="inlineStr">
        <is>
          <t>VILHELMINA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23538-2024</t>
        </is>
      </c>
      <c r="B1178" s="1" t="n">
        <v>45453</v>
      </c>
      <c r="C1178" s="1" t="n">
        <v>45672</v>
      </c>
      <c r="D1178" t="inlineStr">
        <is>
          <t>VÄSTERBOTTENS LÄN</t>
        </is>
      </c>
      <c r="E1178" t="inlineStr">
        <is>
          <t>VILHELMINA</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23548-2024</t>
        </is>
      </c>
      <c r="B1179" s="1" t="n">
        <v>45454</v>
      </c>
      <c r="C1179" s="1" t="n">
        <v>45672</v>
      </c>
      <c r="D1179" t="inlineStr">
        <is>
          <t>VÄSTERBOTTENS LÄN</t>
        </is>
      </c>
      <c r="E1179" t="inlineStr">
        <is>
          <t>VILHELMINA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23544-2024</t>
        </is>
      </c>
      <c r="B1180" s="1" t="n">
        <v>45454</v>
      </c>
      <c r="C1180" s="1" t="n">
        <v>45672</v>
      </c>
      <c r="D1180" t="inlineStr">
        <is>
          <t>VÄSTERBOTTENS LÄN</t>
        </is>
      </c>
      <c r="E1180" t="inlineStr">
        <is>
          <t>VILHELMINA</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23536-2024</t>
        </is>
      </c>
      <c r="B1181" s="1" t="n">
        <v>45454</v>
      </c>
      <c r="C1181" s="1" t="n">
        <v>45672</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23543-2024</t>
        </is>
      </c>
      <c r="B1182" s="1" t="n">
        <v>45453</v>
      </c>
      <c r="C1182" s="1" t="n">
        <v>45672</v>
      </c>
      <c r="D1182" t="inlineStr">
        <is>
          <t>VÄSTERBOTTENS LÄN</t>
        </is>
      </c>
      <c r="E1182" t="inlineStr">
        <is>
          <t>VILHELMINA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23545-2024</t>
        </is>
      </c>
      <c r="B1183" s="1" t="n">
        <v>45454</v>
      </c>
      <c r="C1183" s="1" t="n">
        <v>45672</v>
      </c>
      <c r="D1183" t="inlineStr">
        <is>
          <t>VÄSTERBOTTENS LÄN</t>
        </is>
      </c>
      <c r="E1183" t="inlineStr">
        <is>
          <t>VILHELMINA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23549-2024</t>
        </is>
      </c>
      <c r="B1184" s="1" t="n">
        <v>45454</v>
      </c>
      <c r="C1184" s="1" t="n">
        <v>45672</v>
      </c>
      <c r="D1184" t="inlineStr">
        <is>
          <t>VÄSTERBOTTENS LÄN</t>
        </is>
      </c>
      <c r="E1184" t="inlineStr">
        <is>
          <t>VILHELMINA</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23657-2024</t>
        </is>
      </c>
      <c r="B1185" s="1" t="n">
        <v>45454</v>
      </c>
      <c r="C1185" s="1" t="n">
        <v>45672</v>
      </c>
      <c r="D1185" t="inlineStr">
        <is>
          <t>VÄSTERBOTTENS LÄN</t>
        </is>
      </c>
      <c r="E1185" t="inlineStr">
        <is>
          <t>VILHELMINA</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24428-2024</t>
        </is>
      </c>
      <c r="B1186" s="1" t="n">
        <v>45458</v>
      </c>
      <c r="C1186" s="1" t="n">
        <v>45672</v>
      </c>
      <c r="D1186" t="inlineStr">
        <is>
          <t>VÄSTERBOTTENS LÄN</t>
        </is>
      </c>
      <c r="E1186" t="inlineStr">
        <is>
          <t>VILHELMINA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24454-2024</t>
        </is>
      </c>
      <c r="B1187" s="1" t="n">
        <v>45458</v>
      </c>
      <c r="C1187" s="1" t="n">
        <v>45672</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24427-2024</t>
        </is>
      </c>
      <c r="B1188" s="1" t="n">
        <v>45457</v>
      </c>
      <c r="C1188" s="1" t="n">
        <v>45672</v>
      </c>
      <c r="D1188" t="inlineStr">
        <is>
          <t>VÄSTERBOTTENS LÄN</t>
        </is>
      </c>
      <c r="E1188" t="inlineStr">
        <is>
          <t>VILHELMINA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24457-2024</t>
        </is>
      </c>
      <c r="B1189" s="1" t="n">
        <v>45458</v>
      </c>
      <c r="C1189" s="1" t="n">
        <v>45672</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24426-2024</t>
        </is>
      </c>
      <c r="B1190" s="1" t="n">
        <v>45457</v>
      </c>
      <c r="C1190" s="1" t="n">
        <v>45672</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24455-2024</t>
        </is>
      </c>
      <c r="B1191" s="1" t="n">
        <v>45458</v>
      </c>
      <c r="C1191" s="1" t="n">
        <v>45672</v>
      </c>
      <c r="D1191" t="inlineStr">
        <is>
          <t>VÄSTERBOTTENS LÄN</t>
        </is>
      </c>
      <c r="E1191" t="inlineStr">
        <is>
          <t>VILHELMINA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25037-2024</t>
        </is>
      </c>
      <c r="B1192" s="1" t="n">
        <v>45461</v>
      </c>
      <c r="C1192" s="1" t="n">
        <v>45672</v>
      </c>
      <c r="D1192" t="inlineStr">
        <is>
          <t>VÄSTERBOTTENS LÄN</t>
        </is>
      </c>
      <c r="E1192" t="inlineStr">
        <is>
          <t>VILHELMINA</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25078-2024</t>
        </is>
      </c>
      <c r="B1193" s="1" t="n">
        <v>45462</v>
      </c>
      <c r="C1193" s="1" t="n">
        <v>45672</v>
      </c>
      <c r="D1193" t="inlineStr">
        <is>
          <t>VÄSTERBOTTENS LÄN</t>
        </is>
      </c>
      <c r="E1193" t="inlineStr">
        <is>
          <t>VILHELMINA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25551-2024</t>
        </is>
      </c>
      <c r="B1194" s="1" t="n">
        <v>45463</v>
      </c>
      <c r="C1194" s="1" t="n">
        <v>45672</v>
      </c>
      <c r="D1194" t="inlineStr">
        <is>
          <t>VÄSTERBOTTENS LÄN</t>
        </is>
      </c>
      <c r="E1194" t="inlineStr">
        <is>
          <t>VILHELMINA</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25701-2024</t>
        </is>
      </c>
      <c r="B1195" s="1" t="n">
        <v>45464</v>
      </c>
      <c r="C1195" s="1" t="n">
        <v>45672</v>
      </c>
      <c r="D1195" t="inlineStr">
        <is>
          <t>VÄSTERBOTTENS LÄN</t>
        </is>
      </c>
      <c r="E1195" t="inlineStr">
        <is>
          <t>VILHELMINA</t>
        </is>
      </c>
      <c r="F1195" t="inlineStr">
        <is>
          <t>SCA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25819-2024</t>
        </is>
      </c>
      <c r="B1196" s="1" t="n">
        <v>45467</v>
      </c>
      <c r="C1196" s="1" t="n">
        <v>45672</v>
      </c>
      <c r="D1196" t="inlineStr">
        <is>
          <t>VÄSTERBOTTENS LÄN</t>
        </is>
      </c>
      <c r="E1196" t="inlineStr">
        <is>
          <t>VILHELMINA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25810-2024</t>
        </is>
      </c>
      <c r="B1197" s="1" t="n">
        <v>45467</v>
      </c>
      <c r="C1197" s="1" t="n">
        <v>45672</v>
      </c>
      <c r="D1197" t="inlineStr">
        <is>
          <t>VÄSTERBOTTENS LÄN</t>
        </is>
      </c>
      <c r="E1197" t="inlineStr">
        <is>
          <t>VILHELMINA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25814-2024</t>
        </is>
      </c>
      <c r="B1198" s="1" t="n">
        <v>45467</v>
      </c>
      <c r="C1198" s="1" t="n">
        <v>45672</v>
      </c>
      <c r="D1198" t="inlineStr">
        <is>
          <t>VÄSTERBOTTENS LÄN</t>
        </is>
      </c>
      <c r="E1198" t="inlineStr">
        <is>
          <t>VILHELMINA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26287-2024</t>
        </is>
      </c>
      <c r="B1199" s="1" t="n">
        <v>45468</v>
      </c>
      <c r="C1199" s="1" t="n">
        <v>45672</v>
      </c>
      <c r="D1199" t="inlineStr">
        <is>
          <t>VÄSTERBOTTENS LÄN</t>
        </is>
      </c>
      <c r="E1199" t="inlineStr">
        <is>
          <t>VILHELMINA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26137-2024</t>
        </is>
      </c>
      <c r="B1200" s="1" t="n">
        <v>45468</v>
      </c>
      <c r="C1200" s="1" t="n">
        <v>45672</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26381-2024</t>
        </is>
      </c>
      <c r="B1201" s="1" t="n">
        <v>45469</v>
      </c>
      <c r="C1201" s="1" t="n">
        <v>45672</v>
      </c>
      <c r="D1201" t="inlineStr">
        <is>
          <t>VÄSTERBOTTENS LÄN</t>
        </is>
      </c>
      <c r="E1201" t="inlineStr">
        <is>
          <t>VILHELMINA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26499-2024</t>
        </is>
      </c>
      <c r="B1202" s="1" t="n">
        <v>45469</v>
      </c>
      <c r="C1202" s="1" t="n">
        <v>45672</v>
      </c>
      <c r="D1202" t="inlineStr">
        <is>
          <t>VÄSTERBOTTENS LÄN</t>
        </is>
      </c>
      <c r="E1202" t="inlineStr">
        <is>
          <t>VILHELMINA</t>
        </is>
      </c>
      <c r="F1202" t="inlineStr">
        <is>
          <t>Sveaskog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26660-2024</t>
        </is>
      </c>
      <c r="B1203" s="1" t="n">
        <v>45470</v>
      </c>
      <c r="C1203" s="1" t="n">
        <v>45672</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26947-2024</t>
        </is>
      </c>
      <c r="B1204" s="1" t="n">
        <v>45471</v>
      </c>
      <c r="C1204" s="1" t="n">
        <v>45672</v>
      </c>
      <c r="D1204" t="inlineStr">
        <is>
          <t>VÄSTERBOTTENS LÄN</t>
        </is>
      </c>
      <c r="E1204" t="inlineStr">
        <is>
          <t>VILHELMINA</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26748-2024</t>
        </is>
      </c>
      <c r="B1205" s="1" t="n">
        <v>45470</v>
      </c>
      <c r="C1205" s="1" t="n">
        <v>45672</v>
      </c>
      <c r="D1205" t="inlineStr">
        <is>
          <t>VÄSTERBOTTENS LÄN</t>
        </is>
      </c>
      <c r="E1205" t="inlineStr">
        <is>
          <t>VILHELMINA</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27194-2024</t>
        </is>
      </c>
      <c r="B1206" s="1" t="n">
        <v>45471</v>
      </c>
      <c r="C1206" s="1" t="n">
        <v>45672</v>
      </c>
      <c r="D1206" t="inlineStr">
        <is>
          <t>VÄSTERBOTTENS LÄN</t>
        </is>
      </c>
      <c r="E1206" t="inlineStr">
        <is>
          <t>VILHELMINA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27271-2024</t>
        </is>
      </c>
      <c r="B1207" s="1" t="n">
        <v>45471</v>
      </c>
      <c r="C1207" s="1" t="n">
        <v>45672</v>
      </c>
      <c r="D1207" t="inlineStr">
        <is>
          <t>VÄSTERBOTTENS LÄN</t>
        </is>
      </c>
      <c r="E1207" t="inlineStr">
        <is>
          <t>VILHELMINA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27917-2024</t>
        </is>
      </c>
      <c r="B1208" s="1" t="n">
        <v>45476</v>
      </c>
      <c r="C1208" s="1" t="n">
        <v>45672</v>
      </c>
      <c r="D1208" t="inlineStr">
        <is>
          <t>VÄSTERBOTTENS LÄN</t>
        </is>
      </c>
      <c r="E1208" t="inlineStr">
        <is>
          <t>VILHELMINA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28695-2024</t>
        </is>
      </c>
      <c r="B1209" s="1" t="n">
        <v>45478</v>
      </c>
      <c r="C1209" s="1" t="n">
        <v>45672</v>
      </c>
      <c r="D1209" t="inlineStr">
        <is>
          <t>VÄSTERBOTTENS LÄN</t>
        </is>
      </c>
      <c r="E1209" t="inlineStr">
        <is>
          <t>VILHELMINA</t>
        </is>
      </c>
      <c r="F1209" t="inlineStr">
        <is>
          <t>Allmännings- och besparingsskogar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28869-2024</t>
        </is>
      </c>
      <c r="B1210" s="1" t="n">
        <v>45479</v>
      </c>
      <c r="C1210" s="1" t="n">
        <v>45672</v>
      </c>
      <c r="D1210" t="inlineStr">
        <is>
          <t>VÄSTERBOTTENS LÄN</t>
        </is>
      </c>
      <c r="E1210" t="inlineStr">
        <is>
          <t>VILHELMINA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28729-2024</t>
        </is>
      </c>
      <c r="B1211" s="1" t="n">
        <v>45478</v>
      </c>
      <c r="C1211" s="1" t="n">
        <v>45672</v>
      </c>
      <c r="D1211" t="inlineStr">
        <is>
          <t>VÄSTERBOTTENS LÄN</t>
        </is>
      </c>
      <c r="E1211" t="inlineStr">
        <is>
          <t>VILHELMINA</t>
        </is>
      </c>
      <c r="F1211" t="inlineStr">
        <is>
          <t>Allmännings- och besparingsskogar</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28870-2024</t>
        </is>
      </c>
      <c r="B1212" s="1" t="n">
        <v>45479</v>
      </c>
      <c r="C1212" s="1" t="n">
        <v>45672</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28656-2024</t>
        </is>
      </c>
      <c r="B1213" s="1" t="n">
        <v>45478</v>
      </c>
      <c r="C1213" s="1" t="n">
        <v>45672</v>
      </c>
      <c r="D1213" t="inlineStr">
        <is>
          <t>VÄSTERBOTTENS LÄN</t>
        </is>
      </c>
      <c r="E1213" t="inlineStr">
        <is>
          <t>VILHELMINA</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28726-2024</t>
        </is>
      </c>
      <c r="B1214" s="1" t="n">
        <v>45478</v>
      </c>
      <c r="C1214" s="1" t="n">
        <v>45672</v>
      </c>
      <c r="D1214" t="inlineStr">
        <is>
          <t>VÄSTERBOTTENS LÄN</t>
        </is>
      </c>
      <c r="E1214" t="inlineStr">
        <is>
          <t>VILHELMINA</t>
        </is>
      </c>
      <c r="F1214" t="inlineStr">
        <is>
          <t>Allmännings- och besparingsskogar</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28863-2024</t>
        </is>
      </c>
      <c r="B1215" s="1" t="n">
        <v>45479</v>
      </c>
      <c r="C1215" s="1" t="n">
        <v>45672</v>
      </c>
      <c r="D1215" t="inlineStr">
        <is>
          <t>VÄSTERBOTTENS LÄN</t>
        </is>
      </c>
      <c r="E1215" t="inlineStr">
        <is>
          <t>VILHELMINA</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28871-2024</t>
        </is>
      </c>
      <c r="B1216" s="1" t="n">
        <v>45479</v>
      </c>
      <c r="C1216" s="1" t="n">
        <v>45672</v>
      </c>
      <c r="D1216" t="inlineStr">
        <is>
          <t>VÄSTERBOTTENS LÄN</t>
        </is>
      </c>
      <c r="E1216" t="inlineStr">
        <is>
          <t>VILHELMINA</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28868-2024</t>
        </is>
      </c>
      <c r="B1217" s="1" t="n">
        <v>45479</v>
      </c>
      <c r="C1217" s="1" t="n">
        <v>45672</v>
      </c>
      <c r="D1217" t="inlineStr">
        <is>
          <t>VÄSTERBOTTENS LÄN</t>
        </is>
      </c>
      <c r="E1217" t="inlineStr">
        <is>
          <t>VILHELMINA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29104-2024</t>
        </is>
      </c>
      <c r="B1218" s="1" t="n">
        <v>45482</v>
      </c>
      <c r="C1218" s="1" t="n">
        <v>45672</v>
      </c>
      <c r="D1218" t="inlineStr">
        <is>
          <t>VÄSTERBOTTENS LÄN</t>
        </is>
      </c>
      <c r="E1218" t="inlineStr">
        <is>
          <t>VILHELMINA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28949-2024</t>
        </is>
      </c>
      <c r="B1219" s="1" t="n">
        <v>45481</v>
      </c>
      <c r="C1219" s="1" t="n">
        <v>45672</v>
      </c>
      <c r="D1219" t="inlineStr">
        <is>
          <t>VÄSTERBOTTENS LÄN</t>
        </is>
      </c>
      <c r="E1219" t="inlineStr">
        <is>
          <t>VILHELMINA</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29105-2024</t>
        </is>
      </c>
      <c r="B1220" s="1" t="n">
        <v>45482</v>
      </c>
      <c r="C1220" s="1" t="n">
        <v>45672</v>
      </c>
      <c r="D1220" t="inlineStr">
        <is>
          <t>VÄSTERBOTTENS LÄN</t>
        </is>
      </c>
      <c r="E1220" t="inlineStr">
        <is>
          <t>VILHELMINA</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29472-2024</t>
        </is>
      </c>
      <c r="B1221" s="1" t="n">
        <v>45484</v>
      </c>
      <c r="C1221" s="1" t="n">
        <v>45672</v>
      </c>
      <c r="D1221" t="inlineStr">
        <is>
          <t>VÄSTERBOTTENS LÄN</t>
        </is>
      </c>
      <c r="E1221" t="inlineStr">
        <is>
          <t>VILHELMINA</t>
        </is>
      </c>
      <c r="F1221" t="inlineStr">
        <is>
          <t>SCA</t>
        </is>
      </c>
      <c r="G1221" t="n">
        <v>23.6</v>
      </c>
      <c r="H1221" t="n">
        <v>0</v>
      </c>
      <c r="I1221" t="n">
        <v>0</v>
      </c>
      <c r="J1221" t="n">
        <v>0</v>
      </c>
      <c r="K1221" t="n">
        <v>0</v>
      </c>
      <c r="L1221" t="n">
        <v>0</v>
      </c>
      <c r="M1221" t="n">
        <v>0</v>
      </c>
      <c r="N1221" t="n">
        <v>0</v>
      </c>
      <c r="O1221" t="n">
        <v>0</v>
      </c>
      <c r="P1221" t="n">
        <v>0</v>
      </c>
      <c r="Q1221" t="n">
        <v>0</v>
      </c>
      <c r="R1221" s="2" t="inlineStr"/>
    </row>
    <row r="1222" ht="15" customHeight="1">
      <c r="A1222" t="inlineStr">
        <is>
          <t>A 29463-2024</t>
        </is>
      </c>
      <c r="B1222" s="1" t="n">
        <v>45484</v>
      </c>
      <c r="C1222" s="1" t="n">
        <v>45672</v>
      </c>
      <c r="D1222" t="inlineStr">
        <is>
          <t>VÄSTERBOTTENS LÄN</t>
        </is>
      </c>
      <c r="E1222" t="inlineStr">
        <is>
          <t>VILHELMINA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29503-2024</t>
        </is>
      </c>
      <c r="B1223" s="1" t="n">
        <v>45484</v>
      </c>
      <c r="C1223" s="1" t="n">
        <v>45672</v>
      </c>
      <c r="D1223" t="inlineStr">
        <is>
          <t>VÄSTERBOTTENS LÄN</t>
        </is>
      </c>
      <c r="E1223" t="inlineStr">
        <is>
          <t>VILHELMINA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29722-2024</t>
        </is>
      </c>
      <c r="B1224" s="1" t="n">
        <v>45485</v>
      </c>
      <c r="C1224" s="1" t="n">
        <v>45672</v>
      </c>
      <c r="D1224" t="inlineStr">
        <is>
          <t>VÄSTERBOTTENS LÄN</t>
        </is>
      </c>
      <c r="E1224" t="inlineStr">
        <is>
          <t>VILHELMINA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29732-2024</t>
        </is>
      </c>
      <c r="B1225" s="1" t="n">
        <v>45485</v>
      </c>
      <c r="C1225" s="1" t="n">
        <v>45672</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29922-2024</t>
        </is>
      </c>
      <c r="B1226" s="1" t="n">
        <v>45488</v>
      </c>
      <c r="C1226" s="1" t="n">
        <v>45672</v>
      </c>
      <c r="D1226" t="inlineStr">
        <is>
          <t>VÄSTERBOTTENS LÄN</t>
        </is>
      </c>
      <c r="E1226" t="inlineStr">
        <is>
          <t>VILHELMINA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30331-2024</t>
        </is>
      </c>
      <c r="B1227" s="1" t="n">
        <v>45491</v>
      </c>
      <c r="C1227" s="1" t="n">
        <v>45672</v>
      </c>
      <c r="D1227" t="inlineStr">
        <is>
          <t>VÄSTERBOTTENS LÄN</t>
        </is>
      </c>
      <c r="E1227" t="inlineStr">
        <is>
          <t>VILHELMINA</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30340-2024</t>
        </is>
      </c>
      <c r="B1228" s="1" t="n">
        <v>45491</v>
      </c>
      <c r="C1228" s="1" t="n">
        <v>45672</v>
      </c>
      <c r="D1228" t="inlineStr">
        <is>
          <t>VÄSTERBOTTENS LÄN</t>
        </is>
      </c>
      <c r="E1228" t="inlineStr">
        <is>
          <t>VILHELMINA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30341-2024</t>
        </is>
      </c>
      <c r="B1229" s="1" t="n">
        <v>45491</v>
      </c>
      <c r="C1229" s="1" t="n">
        <v>45672</v>
      </c>
      <c r="D1229" t="inlineStr">
        <is>
          <t>VÄSTERBOTTENS LÄN</t>
        </is>
      </c>
      <c r="E1229" t="inlineStr">
        <is>
          <t>VILHELMINA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30583-2024</t>
        </is>
      </c>
      <c r="B1230" s="1" t="n">
        <v>45493</v>
      </c>
      <c r="C1230" s="1" t="n">
        <v>45672</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30577-2024</t>
        </is>
      </c>
      <c r="B1231" s="1" t="n">
        <v>45493</v>
      </c>
      <c r="C1231" s="1" t="n">
        <v>45672</v>
      </c>
      <c r="D1231" t="inlineStr">
        <is>
          <t>VÄSTERBOTTENS LÄN</t>
        </is>
      </c>
      <c r="E1231" t="inlineStr">
        <is>
          <t>VILHELMINA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30574-2024</t>
        </is>
      </c>
      <c r="B1232" s="1" t="n">
        <v>45493</v>
      </c>
      <c r="C1232" s="1" t="n">
        <v>45672</v>
      </c>
      <c r="D1232" t="inlineStr">
        <is>
          <t>VÄSTERBOTTENS LÄN</t>
        </is>
      </c>
      <c r="E1232" t="inlineStr">
        <is>
          <t>VILHELMINA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30578-2024</t>
        </is>
      </c>
      <c r="B1233" s="1" t="n">
        <v>45493</v>
      </c>
      <c r="C1233" s="1" t="n">
        <v>45672</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30582-2024</t>
        </is>
      </c>
      <c r="B1234" s="1" t="n">
        <v>45492</v>
      </c>
      <c r="C1234" s="1" t="n">
        <v>45672</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30575-2024</t>
        </is>
      </c>
      <c r="B1235" s="1" t="n">
        <v>45493</v>
      </c>
      <c r="C1235" s="1" t="n">
        <v>45672</v>
      </c>
      <c r="D1235" t="inlineStr">
        <is>
          <t>VÄSTERBOTTENS LÄN</t>
        </is>
      </c>
      <c r="E1235" t="inlineStr">
        <is>
          <t>VILHELMINA</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30572-2024</t>
        </is>
      </c>
      <c r="B1236" s="1" t="n">
        <v>45493</v>
      </c>
      <c r="C1236" s="1" t="n">
        <v>45672</v>
      </c>
      <c r="D1236" t="inlineStr">
        <is>
          <t>VÄSTERBOTTENS LÄN</t>
        </is>
      </c>
      <c r="E1236" t="inlineStr">
        <is>
          <t>VILHELMINA</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30576-2024</t>
        </is>
      </c>
      <c r="B1237" s="1" t="n">
        <v>45493</v>
      </c>
      <c r="C1237" s="1" t="n">
        <v>45672</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30580-2024</t>
        </is>
      </c>
      <c r="B1238" s="1" t="n">
        <v>45493</v>
      </c>
      <c r="C1238" s="1" t="n">
        <v>45672</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30681-2024</t>
        </is>
      </c>
      <c r="B1239" s="1" t="n">
        <v>45496</v>
      </c>
      <c r="C1239" s="1" t="n">
        <v>45672</v>
      </c>
      <c r="D1239" t="inlineStr">
        <is>
          <t>VÄSTERBOTTENS LÄN</t>
        </is>
      </c>
      <c r="E1239" t="inlineStr">
        <is>
          <t>VILHELMINA</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30817-2024</t>
        </is>
      </c>
      <c r="B1240" s="1" t="n">
        <v>45497</v>
      </c>
      <c r="C1240" s="1" t="n">
        <v>45672</v>
      </c>
      <c r="D1240" t="inlineStr">
        <is>
          <t>VÄSTERBOTTENS LÄN</t>
        </is>
      </c>
      <c r="E1240" t="inlineStr">
        <is>
          <t>VILHELMINA</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31095-2024</t>
        </is>
      </c>
      <c r="B1241" s="1" t="n">
        <v>45502</v>
      </c>
      <c r="C1241" s="1" t="n">
        <v>45672</v>
      </c>
      <c r="D1241" t="inlineStr">
        <is>
          <t>VÄSTERBOTTENS LÄN</t>
        </is>
      </c>
      <c r="E1241" t="inlineStr">
        <is>
          <t>VILHELMINA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31458-2024</t>
        </is>
      </c>
      <c r="B1242" s="1" t="n">
        <v>45506</v>
      </c>
      <c r="C1242" s="1" t="n">
        <v>45672</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31449-2024</t>
        </is>
      </c>
      <c r="B1243" s="1" t="n">
        <v>45506</v>
      </c>
      <c r="C1243" s="1" t="n">
        <v>45672</v>
      </c>
      <c r="D1243" t="inlineStr">
        <is>
          <t>VÄSTERBOTTENS LÄN</t>
        </is>
      </c>
      <c r="E1243" t="inlineStr">
        <is>
          <t>VILHELMINA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31461-2024</t>
        </is>
      </c>
      <c r="B1244" s="1" t="n">
        <v>45506</v>
      </c>
      <c r="C1244" s="1" t="n">
        <v>45672</v>
      </c>
      <c r="D1244" t="inlineStr">
        <is>
          <t>VÄSTERBOTTENS LÄN</t>
        </is>
      </c>
      <c r="E1244" t="inlineStr">
        <is>
          <t>VILHELMINA</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31455-2024</t>
        </is>
      </c>
      <c r="B1245" s="1" t="n">
        <v>45506</v>
      </c>
      <c r="C1245" s="1" t="n">
        <v>45672</v>
      </c>
      <c r="D1245" t="inlineStr">
        <is>
          <t>VÄSTERBOTTENS LÄN</t>
        </is>
      </c>
      <c r="E1245" t="inlineStr">
        <is>
          <t>VILHELMINA</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31696-2024</t>
        </is>
      </c>
      <c r="B1246" s="1" t="n">
        <v>45508</v>
      </c>
      <c r="C1246" s="1" t="n">
        <v>45672</v>
      </c>
      <c r="D1246" t="inlineStr">
        <is>
          <t>VÄSTERBOTTENS LÄN</t>
        </is>
      </c>
      <c r="E1246" t="inlineStr">
        <is>
          <t>VILHELMINA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31851-2024</t>
        </is>
      </c>
      <c r="B1247" s="1" t="n">
        <v>45509</v>
      </c>
      <c r="C1247" s="1" t="n">
        <v>45672</v>
      </c>
      <c r="D1247" t="inlineStr">
        <is>
          <t>VÄSTERBOTTENS LÄN</t>
        </is>
      </c>
      <c r="E1247" t="inlineStr">
        <is>
          <t>VILHELMINA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31868-2024</t>
        </is>
      </c>
      <c r="B1248" s="1" t="n">
        <v>45509</v>
      </c>
      <c r="C1248" s="1" t="n">
        <v>45672</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31896-2024</t>
        </is>
      </c>
      <c r="B1249" s="1" t="n">
        <v>45510</v>
      </c>
      <c r="C1249" s="1" t="n">
        <v>45672</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31895-2024</t>
        </is>
      </c>
      <c r="B1250" s="1" t="n">
        <v>45510</v>
      </c>
      <c r="C1250" s="1" t="n">
        <v>45672</v>
      </c>
      <c r="D1250" t="inlineStr">
        <is>
          <t>VÄSTERBOTTENS LÄN</t>
        </is>
      </c>
      <c r="E1250" t="inlineStr">
        <is>
          <t>VILHELMINA</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31897-2024</t>
        </is>
      </c>
      <c r="B1251" s="1" t="n">
        <v>45509</v>
      </c>
      <c r="C1251" s="1" t="n">
        <v>45672</v>
      </c>
      <c r="D1251" t="inlineStr">
        <is>
          <t>VÄSTERBOTTENS LÄN</t>
        </is>
      </c>
      <c r="E1251" t="inlineStr">
        <is>
          <t>VILHELMINA</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32252-2024</t>
        </is>
      </c>
      <c r="B1252" s="1" t="n">
        <v>45511</v>
      </c>
      <c r="C1252" s="1" t="n">
        <v>45672</v>
      </c>
      <c r="D1252" t="inlineStr">
        <is>
          <t>VÄSTERBOTTENS LÄN</t>
        </is>
      </c>
      <c r="E1252" t="inlineStr">
        <is>
          <t>VILHELMINA</t>
        </is>
      </c>
      <c r="F1252" t="inlineStr">
        <is>
          <t>SCA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32253-2024</t>
        </is>
      </c>
      <c r="B1253" s="1" t="n">
        <v>45512</v>
      </c>
      <c r="C1253" s="1" t="n">
        <v>45672</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32455-2024</t>
        </is>
      </c>
      <c r="B1254" s="1" t="n">
        <v>45513</v>
      </c>
      <c r="C1254" s="1" t="n">
        <v>45672</v>
      </c>
      <c r="D1254" t="inlineStr">
        <is>
          <t>VÄSTERBOTTENS LÄN</t>
        </is>
      </c>
      <c r="E1254" t="inlineStr">
        <is>
          <t>VILHELMINA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32683-2024</t>
        </is>
      </c>
      <c r="B1255" s="1" t="n">
        <v>45515</v>
      </c>
      <c r="C1255" s="1" t="n">
        <v>45672</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32901-2024</t>
        </is>
      </c>
      <c r="B1256" s="1" t="n">
        <v>45517</v>
      </c>
      <c r="C1256" s="1" t="n">
        <v>45672</v>
      </c>
      <c r="D1256" t="inlineStr">
        <is>
          <t>VÄSTERBOTTENS LÄN</t>
        </is>
      </c>
      <c r="E1256" t="inlineStr">
        <is>
          <t>VILHELMINA</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32926-2024</t>
        </is>
      </c>
      <c r="B1257" s="1" t="n">
        <v>45517</v>
      </c>
      <c r="C1257" s="1" t="n">
        <v>45672</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32921-2024</t>
        </is>
      </c>
      <c r="B1258" s="1" t="n">
        <v>45517</v>
      </c>
      <c r="C1258" s="1" t="n">
        <v>45672</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32925-2024</t>
        </is>
      </c>
      <c r="B1259" s="1" t="n">
        <v>45517</v>
      </c>
      <c r="C1259" s="1" t="n">
        <v>45672</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33319-2024</t>
        </is>
      </c>
      <c r="B1260" s="1" t="n">
        <v>45518</v>
      </c>
      <c r="C1260" s="1" t="n">
        <v>45672</v>
      </c>
      <c r="D1260" t="inlineStr">
        <is>
          <t>VÄSTERBOTTENS LÄN</t>
        </is>
      </c>
      <c r="E1260" t="inlineStr">
        <is>
          <t>VILHELMINA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33320-2024</t>
        </is>
      </c>
      <c r="B1261" s="1" t="n">
        <v>45518</v>
      </c>
      <c r="C1261" s="1" t="n">
        <v>45672</v>
      </c>
      <c r="D1261" t="inlineStr">
        <is>
          <t>VÄSTERBOTTENS LÄN</t>
        </is>
      </c>
      <c r="E1261" t="inlineStr">
        <is>
          <t>VILHELMINA</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33321-2024</t>
        </is>
      </c>
      <c r="B1262" s="1" t="n">
        <v>45519</v>
      </c>
      <c r="C1262" s="1" t="n">
        <v>45672</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33322-2024</t>
        </is>
      </c>
      <c r="B1263" s="1" t="n">
        <v>45518</v>
      </c>
      <c r="C1263" s="1" t="n">
        <v>45672</v>
      </c>
      <c r="D1263" t="inlineStr">
        <is>
          <t>VÄSTERBOTTENS LÄN</t>
        </is>
      </c>
      <c r="E1263" t="inlineStr">
        <is>
          <t>VILHELMINA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33318-2024</t>
        </is>
      </c>
      <c r="B1264" s="1" t="n">
        <v>45519</v>
      </c>
      <c r="C1264" s="1" t="n">
        <v>45672</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33630-2024</t>
        </is>
      </c>
      <c r="B1265" s="1" t="n">
        <v>45520</v>
      </c>
      <c r="C1265" s="1" t="n">
        <v>45672</v>
      </c>
      <c r="D1265" t="inlineStr">
        <is>
          <t>VÄSTERBOTTENS LÄN</t>
        </is>
      </c>
      <c r="E1265" t="inlineStr">
        <is>
          <t>VILHELMINA</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33755-2024</t>
        </is>
      </c>
      <c r="B1266" s="1" t="n">
        <v>45520</v>
      </c>
      <c r="C1266" s="1" t="n">
        <v>45672</v>
      </c>
      <c r="D1266" t="inlineStr">
        <is>
          <t>VÄSTERBOTTENS LÄN</t>
        </is>
      </c>
      <c r="E1266" t="inlineStr">
        <is>
          <t>VILHELMINA</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33828-2024</t>
        </is>
      </c>
      <c r="B1267" s="1" t="n">
        <v>45520</v>
      </c>
      <c r="C1267" s="1" t="n">
        <v>45672</v>
      </c>
      <c r="D1267" t="inlineStr">
        <is>
          <t>VÄSTERBOTTENS LÄN</t>
        </is>
      </c>
      <c r="E1267" t="inlineStr">
        <is>
          <t>VILHELMINA</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33786-2024</t>
        </is>
      </c>
      <c r="B1268" s="1" t="n">
        <v>45520</v>
      </c>
      <c r="C1268" s="1" t="n">
        <v>45672</v>
      </c>
      <c r="D1268" t="inlineStr">
        <is>
          <t>VÄSTERBOTTENS LÄN</t>
        </is>
      </c>
      <c r="E1268" t="inlineStr">
        <is>
          <t>VILHELMINA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33823-2024</t>
        </is>
      </c>
      <c r="B1269" s="1" t="n">
        <v>45520</v>
      </c>
      <c r="C1269" s="1" t="n">
        <v>45672</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34135-2024</t>
        </is>
      </c>
      <c r="B1270" s="1" t="n">
        <v>45524</v>
      </c>
      <c r="C1270" s="1" t="n">
        <v>45672</v>
      </c>
      <c r="D1270" t="inlineStr">
        <is>
          <t>VÄSTERBOTTENS LÄN</t>
        </is>
      </c>
      <c r="E1270" t="inlineStr">
        <is>
          <t>VILHELMINA</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34130-2024</t>
        </is>
      </c>
      <c r="B1271" s="1" t="n">
        <v>45524</v>
      </c>
      <c r="C1271" s="1" t="n">
        <v>45672</v>
      </c>
      <c r="D1271" t="inlineStr">
        <is>
          <t>VÄSTERBOTTENS LÄN</t>
        </is>
      </c>
      <c r="E1271" t="inlineStr">
        <is>
          <t>VILHELMINA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34762-2024</t>
        </is>
      </c>
      <c r="B1272" s="1" t="n">
        <v>45526</v>
      </c>
      <c r="C1272" s="1" t="n">
        <v>45672</v>
      </c>
      <c r="D1272" t="inlineStr">
        <is>
          <t>VÄSTERBOTTENS LÄN</t>
        </is>
      </c>
      <c r="E1272" t="inlineStr">
        <is>
          <t>VILHELMINA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34819-2024</t>
        </is>
      </c>
      <c r="B1273" s="1" t="n">
        <v>45526</v>
      </c>
      <c r="C1273" s="1" t="n">
        <v>45672</v>
      </c>
      <c r="D1273" t="inlineStr">
        <is>
          <t>VÄSTERBOTTENS LÄN</t>
        </is>
      </c>
      <c r="E1273" t="inlineStr">
        <is>
          <t>VILHELMINA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34743-2024</t>
        </is>
      </c>
      <c r="B1274" s="1" t="n">
        <v>45526</v>
      </c>
      <c r="C1274" s="1" t="n">
        <v>45672</v>
      </c>
      <c r="D1274" t="inlineStr">
        <is>
          <t>VÄSTERBOTTENS LÄN</t>
        </is>
      </c>
      <c r="E1274" t="inlineStr">
        <is>
          <t>VILHELMINA</t>
        </is>
      </c>
      <c r="F1274" t="inlineStr">
        <is>
          <t>SCA</t>
        </is>
      </c>
      <c r="G1274" t="n">
        <v>28.2</v>
      </c>
      <c r="H1274" t="n">
        <v>0</v>
      </c>
      <c r="I1274" t="n">
        <v>0</v>
      </c>
      <c r="J1274" t="n">
        <v>0</v>
      </c>
      <c r="K1274" t="n">
        <v>0</v>
      </c>
      <c r="L1274" t="n">
        <v>0</v>
      </c>
      <c r="M1274" t="n">
        <v>0</v>
      </c>
      <c r="N1274" t="n">
        <v>0</v>
      </c>
      <c r="O1274" t="n">
        <v>0</v>
      </c>
      <c r="P1274" t="n">
        <v>0</v>
      </c>
      <c r="Q1274" t="n">
        <v>0</v>
      </c>
      <c r="R1274" s="2" t="inlineStr"/>
    </row>
    <row r="1275" ht="15" customHeight="1">
      <c r="A1275" t="inlineStr">
        <is>
          <t>A 34763-2024</t>
        </is>
      </c>
      <c r="B1275" s="1" t="n">
        <v>45526</v>
      </c>
      <c r="C1275" s="1" t="n">
        <v>45672</v>
      </c>
      <c r="D1275" t="inlineStr">
        <is>
          <t>VÄSTERBOTTENS LÄN</t>
        </is>
      </c>
      <c r="E1275" t="inlineStr">
        <is>
          <t>VILHELMINA</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34630-2024</t>
        </is>
      </c>
      <c r="B1276" s="1" t="n">
        <v>45526</v>
      </c>
      <c r="C1276" s="1" t="n">
        <v>45672</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34719-2024</t>
        </is>
      </c>
      <c r="B1277" s="1" t="n">
        <v>45526</v>
      </c>
      <c r="C1277" s="1" t="n">
        <v>45672</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34764-2024</t>
        </is>
      </c>
      <c r="B1278" s="1" t="n">
        <v>45526</v>
      </c>
      <c r="C1278" s="1" t="n">
        <v>45672</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35156-2024</t>
        </is>
      </c>
      <c r="B1279" s="1" t="n">
        <v>45530</v>
      </c>
      <c r="C1279" s="1" t="n">
        <v>45672</v>
      </c>
      <c r="D1279" t="inlineStr">
        <is>
          <t>VÄSTERBOTTENS LÄN</t>
        </is>
      </c>
      <c r="E1279" t="inlineStr">
        <is>
          <t>VILHELMINA</t>
        </is>
      </c>
      <c r="F1279" t="inlineStr">
        <is>
          <t>Övriga Aktiebolag</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35372-2024</t>
        </is>
      </c>
      <c r="B1280" s="1" t="n">
        <v>45531</v>
      </c>
      <c r="C1280" s="1" t="n">
        <v>45672</v>
      </c>
      <c r="D1280" t="inlineStr">
        <is>
          <t>VÄSTERBOTTENS LÄN</t>
        </is>
      </c>
      <c r="E1280" t="inlineStr">
        <is>
          <t>VILHELMINA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35377-2024</t>
        </is>
      </c>
      <c r="B1281" s="1" t="n">
        <v>45531</v>
      </c>
      <c r="C1281" s="1" t="n">
        <v>45672</v>
      </c>
      <c r="D1281" t="inlineStr">
        <is>
          <t>VÄSTERBOTTENS LÄN</t>
        </is>
      </c>
      <c r="E1281" t="inlineStr">
        <is>
          <t>VILHELMINA</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35409-2024</t>
        </is>
      </c>
      <c r="B1282" s="1" t="n">
        <v>45531</v>
      </c>
      <c r="C1282" s="1" t="n">
        <v>45672</v>
      </c>
      <c r="D1282" t="inlineStr">
        <is>
          <t>VÄSTERBOTTENS LÄN</t>
        </is>
      </c>
      <c r="E1282" t="inlineStr">
        <is>
          <t>VILHELMINA</t>
        </is>
      </c>
      <c r="F1282" t="inlineStr">
        <is>
          <t>SCA</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35473-2024</t>
        </is>
      </c>
      <c r="B1283" s="1" t="n">
        <v>45531</v>
      </c>
      <c r="C1283" s="1" t="n">
        <v>45672</v>
      </c>
      <c r="D1283" t="inlineStr">
        <is>
          <t>VÄSTERBOTTENS LÄN</t>
        </is>
      </c>
      <c r="E1283" t="inlineStr">
        <is>
          <t>VILHELMINA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35412-2024</t>
        </is>
      </c>
      <c r="B1284" s="1" t="n">
        <v>45531</v>
      </c>
      <c r="C1284" s="1" t="n">
        <v>45672</v>
      </c>
      <c r="D1284" t="inlineStr">
        <is>
          <t>VÄSTERBOTTENS LÄN</t>
        </is>
      </c>
      <c r="E1284" t="inlineStr">
        <is>
          <t>VILHELMINA</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36320-2024</t>
        </is>
      </c>
      <c r="B1285" s="1" t="n">
        <v>45534</v>
      </c>
      <c r="C1285" s="1" t="n">
        <v>45672</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36293-2024</t>
        </is>
      </c>
      <c r="B1286" s="1" t="n">
        <v>45534</v>
      </c>
      <c r="C1286" s="1" t="n">
        <v>45672</v>
      </c>
      <c r="D1286" t="inlineStr">
        <is>
          <t>VÄSTERBOTTENS LÄN</t>
        </is>
      </c>
      <c r="E1286" t="inlineStr">
        <is>
          <t>VILHELMINA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36301-2024</t>
        </is>
      </c>
      <c r="B1287" s="1" t="n">
        <v>45534</v>
      </c>
      <c r="C1287" s="1" t="n">
        <v>45672</v>
      </c>
      <c r="D1287" t="inlineStr">
        <is>
          <t>VÄSTERBOTTENS LÄN</t>
        </is>
      </c>
      <c r="E1287" t="inlineStr">
        <is>
          <t>VILHELMINA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36333-2024</t>
        </is>
      </c>
      <c r="B1288" s="1" t="n">
        <v>45534</v>
      </c>
      <c r="C1288" s="1" t="n">
        <v>45672</v>
      </c>
      <c r="D1288" t="inlineStr">
        <is>
          <t>VÄSTERBOTTENS LÄN</t>
        </is>
      </c>
      <c r="E1288" t="inlineStr">
        <is>
          <t>VILHELMINA</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36323-2024</t>
        </is>
      </c>
      <c r="B1289" s="1" t="n">
        <v>45534</v>
      </c>
      <c r="C1289" s="1" t="n">
        <v>45672</v>
      </c>
      <c r="D1289" t="inlineStr">
        <is>
          <t>VÄSTERBOTTENS LÄN</t>
        </is>
      </c>
      <c r="E1289" t="inlineStr">
        <is>
          <t>VILHELMINA</t>
        </is>
      </c>
      <c r="F1289" t="inlineStr">
        <is>
          <t>SCA</t>
        </is>
      </c>
      <c r="G1289" t="n">
        <v>29.7</v>
      </c>
      <c r="H1289" t="n">
        <v>0</v>
      </c>
      <c r="I1289" t="n">
        <v>0</v>
      </c>
      <c r="J1289" t="n">
        <v>0</v>
      </c>
      <c r="K1289" t="n">
        <v>0</v>
      </c>
      <c r="L1289" t="n">
        <v>0</v>
      </c>
      <c r="M1289" t="n">
        <v>0</v>
      </c>
      <c r="N1289" t="n">
        <v>0</v>
      </c>
      <c r="O1289" t="n">
        <v>0</v>
      </c>
      <c r="P1289" t="n">
        <v>0</v>
      </c>
      <c r="Q1289" t="n">
        <v>0</v>
      </c>
      <c r="R1289" s="2" t="inlineStr"/>
    </row>
    <row r="1290" ht="15" customHeight="1">
      <c r="A1290" t="inlineStr">
        <is>
          <t>A 36355-2024</t>
        </is>
      </c>
      <c r="B1290" s="1" t="n">
        <v>45534</v>
      </c>
      <c r="C1290" s="1" t="n">
        <v>45672</v>
      </c>
      <c r="D1290" t="inlineStr">
        <is>
          <t>VÄSTERBOTTENS LÄN</t>
        </is>
      </c>
      <c r="E1290" t="inlineStr">
        <is>
          <t>VILHELMINA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36349-2024</t>
        </is>
      </c>
      <c r="B1291" s="1" t="n">
        <v>45534</v>
      </c>
      <c r="C1291" s="1" t="n">
        <v>45672</v>
      </c>
      <c r="D1291" t="inlineStr">
        <is>
          <t>VÄSTERBOTTENS LÄN</t>
        </is>
      </c>
      <c r="E1291" t="inlineStr">
        <is>
          <t>VILHELMINA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36348-2024</t>
        </is>
      </c>
      <c r="B1292" s="1" t="n">
        <v>45534</v>
      </c>
      <c r="C1292" s="1" t="n">
        <v>45672</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36788-2024</t>
        </is>
      </c>
      <c r="B1293" s="1" t="n">
        <v>45538</v>
      </c>
      <c r="C1293" s="1" t="n">
        <v>45672</v>
      </c>
      <c r="D1293" t="inlineStr">
        <is>
          <t>VÄSTERBOTTENS LÄN</t>
        </is>
      </c>
      <c r="E1293" t="inlineStr">
        <is>
          <t>VILHELMINA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36909-2024</t>
        </is>
      </c>
      <c r="B1294" s="1" t="n">
        <v>45538</v>
      </c>
      <c r="C1294" s="1" t="n">
        <v>45672</v>
      </c>
      <c r="D1294" t="inlineStr">
        <is>
          <t>VÄSTERBOTTENS LÄN</t>
        </is>
      </c>
      <c r="E1294" t="inlineStr">
        <is>
          <t>VILHELMINA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37272-2024</t>
        </is>
      </c>
      <c r="B1295" s="1" t="n">
        <v>45540</v>
      </c>
      <c r="C1295" s="1" t="n">
        <v>45672</v>
      </c>
      <c r="D1295" t="inlineStr">
        <is>
          <t>VÄSTERBOTTENS LÄN</t>
        </is>
      </c>
      <c r="E1295" t="inlineStr">
        <is>
          <t>VILHELMINA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37346-2024</t>
        </is>
      </c>
      <c r="B1296" s="1" t="n">
        <v>45540</v>
      </c>
      <c r="C1296" s="1" t="n">
        <v>45672</v>
      </c>
      <c r="D1296" t="inlineStr">
        <is>
          <t>VÄSTERBOTTENS LÄN</t>
        </is>
      </c>
      <c r="E1296" t="inlineStr">
        <is>
          <t>VILHELMINA</t>
        </is>
      </c>
      <c r="G1296" t="n">
        <v>100.3</v>
      </c>
      <c r="H1296" t="n">
        <v>0</v>
      </c>
      <c r="I1296" t="n">
        <v>0</v>
      </c>
      <c r="J1296" t="n">
        <v>0</v>
      </c>
      <c r="K1296" t="n">
        <v>0</v>
      </c>
      <c r="L1296" t="n">
        <v>0</v>
      </c>
      <c r="M1296" t="n">
        <v>0</v>
      </c>
      <c r="N1296" t="n">
        <v>0</v>
      </c>
      <c r="O1296" t="n">
        <v>0</v>
      </c>
      <c r="P1296" t="n">
        <v>0</v>
      </c>
      <c r="Q1296" t="n">
        <v>0</v>
      </c>
      <c r="R1296" s="2" t="inlineStr"/>
    </row>
    <row r="1297" ht="15" customHeight="1">
      <c r="A1297" t="inlineStr">
        <is>
          <t>A 37514-2024</t>
        </is>
      </c>
      <c r="B1297" s="1" t="n">
        <v>45541</v>
      </c>
      <c r="C1297" s="1" t="n">
        <v>45672</v>
      </c>
      <c r="D1297" t="inlineStr">
        <is>
          <t>VÄSTERBOTTENS LÄN</t>
        </is>
      </c>
      <c r="E1297" t="inlineStr">
        <is>
          <t>VILHELMINA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37715-2024</t>
        </is>
      </c>
      <c r="B1298" s="1" t="n">
        <v>45541</v>
      </c>
      <c r="C1298" s="1" t="n">
        <v>45672</v>
      </c>
      <c r="D1298" t="inlineStr">
        <is>
          <t>VÄSTERBOTTENS LÄN</t>
        </is>
      </c>
      <c r="E1298" t="inlineStr">
        <is>
          <t>VILHELMINA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37714-2024</t>
        </is>
      </c>
      <c r="B1299" s="1" t="n">
        <v>45541</v>
      </c>
      <c r="C1299" s="1" t="n">
        <v>45672</v>
      </c>
      <c r="D1299" t="inlineStr">
        <is>
          <t>VÄSTERBOTTENS LÄN</t>
        </is>
      </c>
      <c r="E1299" t="inlineStr">
        <is>
          <t>VILHELMINA</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37717-2024</t>
        </is>
      </c>
      <c r="B1300" s="1" t="n">
        <v>45541</v>
      </c>
      <c r="C1300" s="1" t="n">
        <v>45672</v>
      </c>
      <c r="D1300" t="inlineStr">
        <is>
          <t>VÄSTERBOTTENS LÄN</t>
        </is>
      </c>
      <c r="E1300" t="inlineStr">
        <is>
          <t>VILHELMINA</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37716-2024</t>
        </is>
      </c>
      <c r="B1301" s="1" t="n">
        <v>45541</v>
      </c>
      <c r="C1301" s="1" t="n">
        <v>45672</v>
      </c>
      <c r="D1301" t="inlineStr">
        <is>
          <t>VÄSTERBOTTENS LÄN</t>
        </is>
      </c>
      <c r="E1301" t="inlineStr">
        <is>
          <t>VILHELMINA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38125-2024</t>
        </is>
      </c>
      <c r="B1302" s="1" t="n">
        <v>45545</v>
      </c>
      <c r="C1302" s="1" t="n">
        <v>45672</v>
      </c>
      <c r="D1302" t="inlineStr">
        <is>
          <t>VÄSTERBOTTENS LÄN</t>
        </is>
      </c>
      <c r="E1302" t="inlineStr">
        <is>
          <t>VILHELMINA</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38130-2024</t>
        </is>
      </c>
      <c r="B1303" s="1" t="n">
        <v>45545</v>
      </c>
      <c r="C1303" s="1" t="n">
        <v>45672</v>
      </c>
      <c r="D1303" t="inlineStr">
        <is>
          <t>VÄSTERBOTTENS LÄN</t>
        </is>
      </c>
      <c r="E1303" t="inlineStr">
        <is>
          <t>VILHELMINA</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38126-2024</t>
        </is>
      </c>
      <c r="B1304" s="1" t="n">
        <v>45545</v>
      </c>
      <c r="C1304" s="1" t="n">
        <v>45672</v>
      </c>
      <c r="D1304" t="inlineStr">
        <is>
          <t>VÄSTERBOTTENS LÄN</t>
        </is>
      </c>
      <c r="E1304" t="inlineStr">
        <is>
          <t>VILHELMINA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38187-2024</t>
        </is>
      </c>
      <c r="B1305" s="1" t="n">
        <v>45545</v>
      </c>
      <c r="C1305" s="1" t="n">
        <v>45672</v>
      </c>
      <c r="D1305" t="inlineStr">
        <is>
          <t>VÄSTERBOTTENS LÄN</t>
        </is>
      </c>
      <c r="E1305" t="inlineStr">
        <is>
          <t>VILHELMINA</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38173-2024</t>
        </is>
      </c>
      <c r="B1306" s="1" t="n">
        <v>45545</v>
      </c>
      <c r="C1306" s="1" t="n">
        <v>45672</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38297-2024</t>
        </is>
      </c>
      <c r="B1307" s="1" t="n">
        <v>45545</v>
      </c>
      <c r="C1307" s="1" t="n">
        <v>45672</v>
      </c>
      <c r="D1307" t="inlineStr">
        <is>
          <t>VÄSTERBOTTENS LÄN</t>
        </is>
      </c>
      <c r="E1307" t="inlineStr">
        <is>
          <t>VILHELMINA</t>
        </is>
      </c>
      <c r="G1307" t="n">
        <v>139.8</v>
      </c>
      <c r="H1307" t="n">
        <v>0</v>
      </c>
      <c r="I1307" t="n">
        <v>0</v>
      </c>
      <c r="J1307" t="n">
        <v>0</v>
      </c>
      <c r="K1307" t="n">
        <v>0</v>
      </c>
      <c r="L1307" t="n">
        <v>0</v>
      </c>
      <c r="M1307" t="n">
        <v>0</v>
      </c>
      <c r="N1307" t="n">
        <v>0</v>
      </c>
      <c r="O1307" t="n">
        <v>0</v>
      </c>
      <c r="P1307" t="n">
        <v>0</v>
      </c>
      <c r="Q1307" t="n">
        <v>0</v>
      </c>
      <c r="R1307" s="2" t="inlineStr"/>
    </row>
    <row r="1308" ht="15" customHeight="1">
      <c r="A1308" t="inlineStr">
        <is>
          <t>A 38222-2024</t>
        </is>
      </c>
      <c r="B1308" s="1" t="n">
        <v>45545</v>
      </c>
      <c r="C1308" s="1" t="n">
        <v>45672</v>
      </c>
      <c r="D1308" t="inlineStr">
        <is>
          <t>VÄSTERBOTTENS LÄN</t>
        </is>
      </c>
      <c r="E1308" t="inlineStr">
        <is>
          <t>VILHELMINA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38569-2024</t>
        </is>
      </c>
      <c r="B1309" s="1" t="n">
        <v>45546</v>
      </c>
      <c r="C1309" s="1" t="n">
        <v>45672</v>
      </c>
      <c r="D1309" t="inlineStr">
        <is>
          <t>VÄSTERBOTTENS LÄN</t>
        </is>
      </c>
      <c r="E1309" t="inlineStr">
        <is>
          <t>VILHELMINA</t>
        </is>
      </c>
      <c r="G1309" t="n">
        <v>31.5</v>
      </c>
      <c r="H1309" t="n">
        <v>0</v>
      </c>
      <c r="I1309" t="n">
        <v>0</v>
      </c>
      <c r="J1309" t="n">
        <v>0</v>
      </c>
      <c r="K1309" t="n">
        <v>0</v>
      </c>
      <c r="L1309" t="n">
        <v>0</v>
      </c>
      <c r="M1309" t="n">
        <v>0</v>
      </c>
      <c r="N1309" t="n">
        <v>0</v>
      </c>
      <c r="O1309" t="n">
        <v>0</v>
      </c>
      <c r="P1309" t="n">
        <v>0</v>
      </c>
      <c r="Q1309" t="n">
        <v>0</v>
      </c>
      <c r="R1309" s="2" t="inlineStr"/>
    </row>
    <row r="1310" ht="15" customHeight="1">
      <c r="A1310" t="inlineStr">
        <is>
          <t>A 38555-2024</t>
        </is>
      </c>
      <c r="B1310" s="1" t="n">
        <v>45546</v>
      </c>
      <c r="C1310" s="1" t="n">
        <v>45672</v>
      </c>
      <c r="D1310" t="inlineStr">
        <is>
          <t>VÄSTERBOTTENS LÄN</t>
        </is>
      </c>
      <c r="E1310" t="inlineStr">
        <is>
          <t>VILHELMINA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39035-2024</t>
        </is>
      </c>
      <c r="B1311" s="1" t="n">
        <v>45548</v>
      </c>
      <c r="C1311" s="1" t="n">
        <v>45672</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39613-2024</t>
        </is>
      </c>
      <c r="B1312" s="1" t="n">
        <v>45552</v>
      </c>
      <c r="C1312" s="1" t="n">
        <v>45672</v>
      </c>
      <c r="D1312" t="inlineStr">
        <is>
          <t>VÄSTERBOTTENS LÄN</t>
        </is>
      </c>
      <c r="E1312" t="inlineStr">
        <is>
          <t>VILHELMINA</t>
        </is>
      </c>
      <c r="G1312" t="n">
        <v>19.1</v>
      </c>
      <c r="H1312" t="n">
        <v>0</v>
      </c>
      <c r="I1312" t="n">
        <v>0</v>
      </c>
      <c r="J1312" t="n">
        <v>0</v>
      </c>
      <c r="K1312" t="n">
        <v>0</v>
      </c>
      <c r="L1312" t="n">
        <v>0</v>
      </c>
      <c r="M1312" t="n">
        <v>0</v>
      </c>
      <c r="N1312" t="n">
        <v>0</v>
      </c>
      <c r="O1312" t="n">
        <v>0</v>
      </c>
      <c r="P1312" t="n">
        <v>0</v>
      </c>
      <c r="Q1312" t="n">
        <v>0</v>
      </c>
      <c r="R1312" s="2" t="inlineStr"/>
    </row>
    <row r="1313" ht="15" customHeight="1">
      <c r="A1313" t="inlineStr">
        <is>
          <t>A 39643-2024</t>
        </is>
      </c>
      <c r="B1313" s="1" t="n">
        <v>45552</v>
      </c>
      <c r="C1313" s="1" t="n">
        <v>45672</v>
      </c>
      <c r="D1313" t="inlineStr">
        <is>
          <t>VÄSTERBOTTENS LÄN</t>
        </is>
      </c>
      <c r="E1313" t="inlineStr">
        <is>
          <t>VILHELMINA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39679-2024</t>
        </is>
      </c>
      <c r="B1314" s="1" t="n">
        <v>45552</v>
      </c>
      <c r="C1314" s="1" t="n">
        <v>45672</v>
      </c>
      <c r="D1314" t="inlineStr">
        <is>
          <t>VÄSTERBOTTENS LÄN</t>
        </is>
      </c>
      <c r="E1314" t="inlineStr">
        <is>
          <t>VILHELMINA</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39677-2024</t>
        </is>
      </c>
      <c r="B1315" s="1" t="n">
        <v>45552</v>
      </c>
      <c r="C1315" s="1" t="n">
        <v>45672</v>
      </c>
      <c r="D1315" t="inlineStr">
        <is>
          <t>VÄSTERBOTTENS LÄN</t>
        </is>
      </c>
      <c r="E1315" t="inlineStr">
        <is>
          <t>VILHELMINA</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39681-2024</t>
        </is>
      </c>
      <c r="B1316" s="1" t="n">
        <v>45552</v>
      </c>
      <c r="C1316" s="1" t="n">
        <v>45672</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39670-2024</t>
        </is>
      </c>
      <c r="B1317" s="1" t="n">
        <v>45552</v>
      </c>
      <c r="C1317" s="1" t="n">
        <v>45672</v>
      </c>
      <c r="D1317" t="inlineStr">
        <is>
          <t>VÄSTERBOTTENS LÄN</t>
        </is>
      </c>
      <c r="E1317" t="inlineStr">
        <is>
          <t>VILHELMINA</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39676-2024</t>
        </is>
      </c>
      <c r="B1318" s="1" t="n">
        <v>45552</v>
      </c>
      <c r="C1318" s="1" t="n">
        <v>45672</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39680-2024</t>
        </is>
      </c>
      <c r="B1319" s="1" t="n">
        <v>45552</v>
      </c>
      <c r="C1319" s="1" t="n">
        <v>45672</v>
      </c>
      <c r="D1319" t="inlineStr">
        <is>
          <t>VÄSTERBOTTENS LÄN</t>
        </is>
      </c>
      <c r="E1319" t="inlineStr">
        <is>
          <t>VILHELMINA</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40505-2024</t>
        </is>
      </c>
      <c r="B1320" s="1" t="n">
        <v>45555</v>
      </c>
      <c r="C1320" s="1" t="n">
        <v>45672</v>
      </c>
      <c r="D1320" t="inlineStr">
        <is>
          <t>VÄSTERBOTTENS LÄN</t>
        </is>
      </c>
      <c r="E1320" t="inlineStr">
        <is>
          <t>VILHELMINA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40462-2024</t>
        </is>
      </c>
      <c r="B1321" s="1" t="n">
        <v>45555</v>
      </c>
      <c r="C1321" s="1" t="n">
        <v>45672</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40726-2024</t>
        </is>
      </c>
      <c r="B1322" s="1" t="n">
        <v>45558</v>
      </c>
      <c r="C1322" s="1" t="n">
        <v>45672</v>
      </c>
      <c r="D1322" t="inlineStr">
        <is>
          <t>VÄSTERBOTTENS LÄN</t>
        </is>
      </c>
      <c r="E1322" t="inlineStr">
        <is>
          <t>VILHELMINA</t>
        </is>
      </c>
      <c r="F1322" t="inlineStr">
        <is>
          <t>Allmännings- och besparingsskogar</t>
        </is>
      </c>
      <c r="G1322" t="n">
        <v>73.59999999999999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40796-2024</t>
        </is>
      </c>
      <c r="B1323" s="1" t="n">
        <v>45558</v>
      </c>
      <c r="C1323" s="1" t="n">
        <v>45672</v>
      </c>
      <c r="D1323" t="inlineStr">
        <is>
          <t>VÄSTERBOTTENS LÄN</t>
        </is>
      </c>
      <c r="E1323" t="inlineStr">
        <is>
          <t>VILHELMINA</t>
        </is>
      </c>
      <c r="F1323" t="inlineStr">
        <is>
          <t>Allmännings- och besparingsskogar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40732-2024</t>
        </is>
      </c>
      <c r="B1324" s="1" t="n">
        <v>45558</v>
      </c>
      <c r="C1324" s="1" t="n">
        <v>45672</v>
      </c>
      <c r="D1324" t="inlineStr">
        <is>
          <t>VÄSTERBOTTENS LÄN</t>
        </is>
      </c>
      <c r="E1324" t="inlineStr">
        <is>
          <t>VILHELMINA</t>
        </is>
      </c>
      <c r="F1324" t="inlineStr">
        <is>
          <t>Allmännings- och besparingsskogar</t>
        </is>
      </c>
      <c r="G1324" t="n">
        <v>89.59999999999999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41644-2024</t>
        </is>
      </c>
      <c r="B1325" s="1" t="n">
        <v>45560</v>
      </c>
      <c r="C1325" s="1" t="n">
        <v>45672</v>
      </c>
      <c r="D1325" t="inlineStr">
        <is>
          <t>VÄSTERBOTTENS LÄN</t>
        </is>
      </c>
      <c r="E1325" t="inlineStr">
        <is>
          <t>VILHELMINA</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42674-2024</t>
        </is>
      </c>
      <c r="B1326" s="1" t="n">
        <v>45565</v>
      </c>
      <c r="C1326" s="1" t="n">
        <v>45672</v>
      </c>
      <c r="D1326" t="inlineStr">
        <is>
          <t>VÄSTERBOTTENS LÄN</t>
        </is>
      </c>
      <c r="E1326" t="inlineStr">
        <is>
          <t>VILHELMINA</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42478-2024</t>
        </is>
      </c>
      <c r="B1327" s="1" t="n">
        <v>45565</v>
      </c>
      <c r="C1327" s="1" t="n">
        <v>45672</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42976-2024</t>
        </is>
      </c>
      <c r="B1328" s="1" t="n">
        <v>45567</v>
      </c>
      <c r="C1328" s="1" t="n">
        <v>45672</v>
      </c>
      <c r="D1328" t="inlineStr">
        <is>
          <t>VÄSTERBOTTENS LÄN</t>
        </is>
      </c>
      <c r="E1328" t="inlineStr">
        <is>
          <t>VILHELMINA</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43251-2024</t>
        </is>
      </c>
      <c r="B1329" s="1" t="n">
        <v>45568</v>
      </c>
      <c r="C1329" s="1" t="n">
        <v>45672</v>
      </c>
      <c r="D1329" t="inlineStr">
        <is>
          <t>VÄSTERBOTTENS LÄN</t>
        </is>
      </c>
      <c r="E1329" t="inlineStr">
        <is>
          <t>VILHELMINA</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43792-2024</t>
        </is>
      </c>
      <c r="B1330" s="1" t="n">
        <v>45571</v>
      </c>
      <c r="C1330" s="1" t="n">
        <v>45672</v>
      </c>
      <c r="D1330" t="inlineStr">
        <is>
          <t>VÄSTERBOTTENS LÄN</t>
        </is>
      </c>
      <c r="E1330" t="inlineStr">
        <is>
          <t>VILHELMINA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43791-2024</t>
        </is>
      </c>
      <c r="B1331" s="1" t="n">
        <v>45571</v>
      </c>
      <c r="C1331" s="1" t="n">
        <v>45672</v>
      </c>
      <c r="D1331" t="inlineStr">
        <is>
          <t>VÄSTERBOTTENS LÄN</t>
        </is>
      </c>
      <c r="E1331" t="inlineStr">
        <is>
          <t>VILHELMINA</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43907-2024</t>
        </is>
      </c>
      <c r="B1332" s="1" t="n">
        <v>45572</v>
      </c>
      <c r="C1332" s="1" t="n">
        <v>45672</v>
      </c>
      <c r="D1332" t="inlineStr">
        <is>
          <t>VÄSTERBOTTENS LÄN</t>
        </is>
      </c>
      <c r="E1332" t="inlineStr">
        <is>
          <t>VILHELMINA</t>
        </is>
      </c>
      <c r="F1332" t="inlineStr">
        <is>
          <t>SCA</t>
        </is>
      </c>
      <c r="G1332" t="n">
        <v>21.5</v>
      </c>
      <c r="H1332" t="n">
        <v>0</v>
      </c>
      <c r="I1332" t="n">
        <v>0</v>
      </c>
      <c r="J1332" t="n">
        <v>0</v>
      </c>
      <c r="K1332" t="n">
        <v>0</v>
      </c>
      <c r="L1332" t="n">
        <v>0</v>
      </c>
      <c r="M1332" t="n">
        <v>0</v>
      </c>
      <c r="N1332" t="n">
        <v>0</v>
      </c>
      <c r="O1332" t="n">
        <v>0</v>
      </c>
      <c r="P1332" t="n">
        <v>0</v>
      </c>
      <c r="Q1332" t="n">
        <v>0</v>
      </c>
      <c r="R1332" s="2" t="inlineStr"/>
    </row>
    <row r="1333" ht="15" customHeight="1">
      <c r="A1333" t="inlineStr">
        <is>
          <t>A 43987-2024</t>
        </is>
      </c>
      <c r="B1333" s="1" t="n">
        <v>45572</v>
      </c>
      <c r="C1333" s="1" t="n">
        <v>45672</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44373-2024</t>
        </is>
      </c>
      <c r="B1334" s="1" t="n">
        <v>45573</v>
      </c>
      <c r="C1334" s="1" t="n">
        <v>45672</v>
      </c>
      <c r="D1334" t="inlineStr">
        <is>
          <t>VÄSTERBOTTENS LÄN</t>
        </is>
      </c>
      <c r="E1334" t="inlineStr">
        <is>
          <t>VILHELMINA</t>
        </is>
      </c>
      <c r="F1334" t="inlineStr">
        <is>
          <t>SCA</t>
        </is>
      </c>
      <c r="G1334" t="n">
        <v>35.1</v>
      </c>
      <c r="H1334" t="n">
        <v>0</v>
      </c>
      <c r="I1334" t="n">
        <v>0</v>
      </c>
      <c r="J1334" t="n">
        <v>0</v>
      </c>
      <c r="K1334" t="n">
        <v>0</v>
      </c>
      <c r="L1334" t="n">
        <v>0</v>
      </c>
      <c r="M1334" t="n">
        <v>0</v>
      </c>
      <c r="N1334" t="n">
        <v>0</v>
      </c>
      <c r="O1334" t="n">
        <v>0</v>
      </c>
      <c r="P1334" t="n">
        <v>0</v>
      </c>
      <c r="Q1334" t="n">
        <v>0</v>
      </c>
      <c r="R1334" s="2" t="inlineStr"/>
    </row>
    <row r="1335" ht="15" customHeight="1">
      <c r="A1335" t="inlineStr">
        <is>
          <t>A 44368-2024</t>
        </is>
      </c>
      <c r="B1335" s="1" t="n">
        <v>45573</v>
      </c>
      <c r="C1335" s="1" t="n">
        <v>45672</v>
      </c>
      <c r="D1335" t="inlineStr">
        <is>
          <t>VÄSTERBOTTENS LÄN</t>
        </is>
      </c>
      <c r="E1335" t="inlineStr">
        <is>
          <t>VILHELMINA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44374-2024</t>
        </is>
      </c>
      <c r="B1336" s="1" t="n">
        <v>45573</v>
      </c>
      <c r="C1336" s="1" t="n">
        <v>45672</v>
      </c>
      <c r="D1336" t="inlineStr">
        <is>
          <t>VÄSTERBOTTENS LÄN</t>
        </is>
      </c>
      <c r="E1336" t="inlineStr">
        <is>
          <t>VILHELMINA</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44370-2024</t>
        </is>
      </c>
      <c r="B1337" s="1" t="n">
        <v>45573</v>
      </c>
      <c r="C1337" s="1" t="n">
        <v>45672</v>
      </c>
      <c r="D1337" t="inlineStr">
        <is>
          <t>VÄSTERBOTTENS LÄN</t>
        </is>
      </c>
      <c r="E1337" t="inlineStr">
        <is>
          <t>VILHELMINA</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44285-2024</t>
        </is>
      </c>
      <c r="B1338" s="1" t="n">
        <v>45573</v>
      </c>
      <c r="C1338" s="1" t="n">
        <v>45672</v>
      </c>
      <c r="D1338" t="inlineStr">
        <is>
          <t>VÄSTERBOTTENS LÄN</t>
        </is>
      </c>
      <c r="E1338" t="inlineStr">
        <is>
          <t>VILHELMINA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44375-2024</t>
        </is>
      </c>
      <c r="B1339" s="1" t="n">
        <v>45573</v>
      </c>
      <c r="C1339" s="1" t="n">
        <v>45672</v>
      </c>
      <c r="D1339" t="inlineStr">
        <is>
          <t>VÄSTERBOTTENS LÄN</t>
        </is>
      </c>
      <c r="E1339" t="inlineStr">
        <is>
          <t>VILHELMINA</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44371-2024</t>
        </is>
      </c>
      <c r="B1340" s="1" t="n">
        <v>45573</v>
      </c>
      <c r="C1340" s="1" t="n">
        <v>45672</v>
      </c>
      <c r="D1340" t="inlineStr">
        <is>
          <t>VÄSTERBOTTENS LÄN</t>
        </is>
      </c>
      <c r="E1340" t="inlineStr">
        <is>
          <t>VILHELMINA</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44516-2024</t>
        </is>
      </c>
      <c r="B1341" s="1" t="n">
        <v>45574</v>
      </c>
      <c r="C1341" s="1" t="n">
        <v>45672</v>
      </c>
      <c r="D1341" t="inlineStr">
        <is>
          <t>VÄSTERBOTTENS LÄN</t>
        </is>
      </c>
      <c r="E1341" t="inlineStr">
        <is>
          <t>VILHELMINA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44444-2024</t>
        </is>
      </c>
      <c r="B1342" s="1" t="n">
        <v>45574</v>
      </c>
      <c r="C1342" s="1" t="n">
        <v>45672</v>
      </c>
      <c r="D1342" t="inlineStr">
        <is>
          <t>VÄSTERBOTTENS LÄN</t>
        </is>
      </c>
      <c r="E1342" t="inlineStr">
        <is>
          <t>VILHELMINA</t>
        </is>
      </c>
      <c r="F1342" t="inlineStr">
        <is>
          <t>SCA</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44505-2024</t>
        </is>
      </c>
      <c r="B1343" s="1" t="n">
        <v>45574</v>
      </c>
      <c r="C1343" s="1" t="n">
        <v>45672</v>
      </c>
      <c r="D1343" t="inlineStr">
        <is>
          <t>VÄSTERBOTTENS LÄN</t>
        </is>
      </c>
      <c r="E1343" t="inlineStr">
        <is>
          <t>VILHELMINA</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44828-2024</t>
        </is>
      </c>
      <c r="B1344" s="1" t="n">
        <v>45574</v>
      </c>
      <c r="C1344" s="1" t="n">
        <v>45672</v>
      </c>
      <c r="D1344" t="inlineStr">
        <is>
          <t>VÄSTERBOTTENS LÄN</t>
        </is>
      </c>
      <c r="E1344" t="inlineStr">
        <is>
          <t>VILHELMINA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44634-2024</t>
        </is>
      </c>
      <c r="B1345" s="1" t="n">
        <v>45574</v>
      </c>
      <c r="C1345" s="1" t="n">
        <v>45672</v>
      </c>
      <c r="D1345" t="inlineStr">
        <is>
          <t>VÄSTERBOTTENS LÄN</t>
        </is>
      </c>
      <c r="E1345" t="inlineStr">
        <is>
          <t>VILHELMINA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45108-2024</t>
        </is>
      </c>
      <c r="B1346" s="1" t="n">
        <v>45575</v>
      </c>
      <c r="C1346" s="1" t="n">
        <v>45672</v>
      </c>
      <c r="D1346" t="inlineStr">
        <is>
          <t>VÄSTERBOTTENS LÄN</t>
        </is>
      </c>
      <c r="E1346" t="inlineStr">
        <is>
          <t>VILHELMINA</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45153-2024</t>
        </is>
      </c>
      <c r="B1347" s="1" t="n">
        <v>45575</v>
      </c>
      <c r="C1347" s="1" t="n">
        <v>45672</v>
      </c>
      <c r="D1347" t="inlineStr">
        <is>
          <t>VÄSTERBOTTENS LÄN</t>
        </is>
      </c>
      <c r="E1347" t="inlineStr">
        <is>
          <t>VILHELMINA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45007-2024</t>
        </is>
      </c>
      <c r="B1348" s="1" t="n">
        <v>45575</v>
      </c>
      <c r="C1348" s="1" t="n">
        <v>45672</v>
      </c>
      <c r="D1348" t="inlineStr">
        <is>
          <t>VÄSTERBOTTENS LÄN</t>
        </is>
      </c>
      <c r="E1348" t="inlineStr">
        <is>
          <t>VILHELMINA</t>
        </is>
      </c>
      <c r="F1348" t="inlineStr">
        <is>
          <t>SCA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45004-2024</t>
        </is>
      </c>
      <c r="B1349" s="1" t="n">
        <v>45575</v>
      </c>
      <c r="C1349" s="1" t="n">
        <v>45672</v>
      </c>
      <c r="D1349" t="inlineStr">
        <is>
          <t>VÄSTERBOTTENS LÄN</t>
        </is>
      </c>
      <c r="E1349" t="inlineStr">
        <is>
          <t>VILHELMINA</t>
        </is>
      </c>
      <c r="F1349" t="inlineStr">
        <is>
          <t>SCA</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44926-2024</t>
        </is>
      </c>
      <c r="B1350" s="1" t="n">
        <v>45575</v>
      </c>
      <c r="C1350" s="1" t="n">
        <v>45672</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45258-2024</t>
        </is>
      </c>
      <c r="B1351" s="1" t="n">
        <v>45576</v>
      </c>
      <c r="C1351" s="1" t="n">
        <v>45672</v>
      </c>
      <c r="D1351" t="inlineStr">
        <is>
          <t>VÄSTERBOTTENS LÄN</t>
        </is>
      </c>
      <c r="E1351" t="inlineStr">
        <is>
          <t>VILHELMINA</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45308-2024</t>
        </is>
      </c>
      <c r="B1352" s="1" t="n">
        <v>45576</v>
      </c>
      <c r="C1352" s="1" t="n">
        <v>45672</v>
      </c>
      <c r="D1352" t="inlineStr">
        <is>
          <t>VÄSTERBOTTENS LÄN</t>
        </is>
      </c>
      <c r="E1352" t="inlineStr">
        <is>
          <t>VILHELMINA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45764-2024</t>
        </is>
      </c>
      <c r="B1353" s="1" t="n">
        <v>45579</v>
      </c>
      <c r="C1353" s="1" t="n">
        <v>45672</v>
      </c>
      <c r="D1353" t="inlineStr">
        <is>
          <t>VÄSTERBOTTENS LÄN</t>
        </is>
      </c>
      <c r="E1353" t="inlineStr">
        <is>
          <t>VILHELMINA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45593-2024</t>
        </is>
      </c>
      <c r="B1354" s="1" t="n">
        <v>45579</v>
      </c>
      <c r="C1354" s="1" t="n">
        <v>45672</v>
      </c>
      <c r="D1354" t="inlineStr">
        <is>
          <t>VÄSTERBOTTENS LÄN</t>
        </is>
      </c>
      <c r="E1354" t="inlineStr">
        <is>
          <t>VILHELMINA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46014-2024</t>
        </is>
      </c>
      <c r="B1355" s="1" t="n">
        <v>45580</v>
      </c>
      <c r="C1355" s="1" t="n">
        <v>45672</v>
      </c>
      <c r="D1355" t="inlineStr">
        <is>
          <t>VÄSTERBOTTENS LÄN</t>
        </is>
      </c>
      <c r="E1355" t="inlineStr">
        <is>
          <t>VILHELMINA</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46404-2024</t>
        </is>
      </c>
      <c r="B1356" s="1" t="n">
        <v>45582</v>
      </c>
      <c r="C1356" s="1" t="n">
        <v>45672</v>
      </c>
      <c r="D1356" t="inlineStr">
        <is>
          <t>VÄSTERBOTTENS LÄN</t>
        </is>
      </c>
      <c r="E1356" t="inlineStr">
        <is>
          <t>VILHELMINA</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46392-2024</t>
        </is>
      </c>
      <c r="B1357" s="1" t="n">
        <v>45582</v>
      </c>
      <c r="C1357" s="1" t="n">
        <v>45672</v>
      </c>
      <c r="D1357" t="inlineStr">
        <is>
          <t>VÄSTERBOTTENS LÄN</t>
        </is>
      </c>
      <c r="E1357" t="inlineStr">
        <is>
          <t>VILHELMINA</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46908-2024</t>
        </is>
      </c>
      <c r="B1358" s="1" t="n">
        <v>45583</v>
      </c>
      <c r="C1358" s="1" t="n">
        <v>45672</v>
      </c>
      <c r="D1358" t="inlineStr">
        <is>
          <t>VÄSTERBOTTENS LÄN</t>
        </is>
      </c>
      <c r="E1358" t="inlineStr">
        <is>
          <t>VILHELMINA</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47010-2024</t>
        </is>
      </c>
      <c r="B1359" s="1" t="n">
        <v>45586</v>
      </c>
      <c r="C1359" s="1" t="n">
        <v>45672</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47011-2024</t>
        </is>
      </c>
      <c r="B1360" s="1" t="n">
        <v>45586</v>
      </c>
      <c r="C1360" s="1" t="n">
        <v>45672</v>
      </c>
      <c r="D1360" t="inlineStr">
        <is>
          <t>VÄSTERBOTTENS LÄN</t>
        </is>
      </c>
      <c r="E1360" t="inlineStr">
        <is>
          <t>VILHELMINA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47242-2024</t>
        </is>
      </c>
      <c r="B1361" s="1" t="n">
        <v>45586</v>
      </c>
      <c r="C1361" s="1" t="n">
        <v>45672</v>
      </c>
      <c r="D1361" t="inlineStr">
        <is>
          <t>VÄSTERBOTTENS LÄN</t>
        </is>
      </c>
      <c r="E1361" t="inlineStr">
        <is>
          <t>VILHELMINA</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47548-2024</t>
        </is>
      </c>
      <c r="B1362" s="1" t="n">
        <v>45587</v>
      </c>
      <c r="C1362" s="1" t="n">
        <v>45672</v>
      </c>
      <c r="D1362" t="inlineStr">
        <is>
          <t>VÄSTERBOTTENS LÄN</t>
        </is>
      </c>
      <c r="E1362" t="inlineStr">
        <is>
          <t>VILHELMINA</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47297-2024</t>
        </is>
      </c>
      <c r="B1363" s="1" t="n">
        <v>45587</v>
      </c>
      <c r="C1363" s="1" t="n">
        <v>45672</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47440-2024</t>
        </is>
      </c>
      <c r="B1364" s="1" t="n">
        <v>45587</v>
      </c>
      <c r="C1364" s="1" t="n">
        <v>45672</v>
      </c>
      <c r="D1364" t="inlineStr">
        <is>
          <t>VÄSTERBOTTENS LÄN</t>
        </is>
      </c>
      <c r="E1364" t="inlineStr">
        <is>
          <t>VILHELMINA</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48062-2024</t>
        </is>
      </c>
      <c r="B1365" s="1" t="n">
        <v>45589</v>
      </c>
      <c r="C1365" s="1" t="n">
        <v>45672</v>
      </c>
      <c r="D1365" t="inlineStr">
        <is>
          <t>VÄSTERBOTTENS LÄN</t>
        </is>
      </c>
      <c r="E1365" t="inlineStr">
        <is>
          <t>VILHELMINA</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48088-2024</t>
        </is>
      </c>
      <c r="B1366" s="1" t="n">
        <v>45589</v>
      </c>
      <c r="C1366" s="1" t="n">
        <v>45672</v>
      </c>
      <c r="D1366" t="inlineStr">
        <is>
          <t>VÄSTERBOTTENS LÄN</t>
        </is>
      </c>
      <c r="E1366" t="inlineStr">
        <is>
          <t>VILHELMINA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48098-2024</t>
        </is>
      </c>
      <c r="B1367" s="1" t="n">
        <v>45589</v>
      </c>
      <c r="C1367" s="1" t="n">
        <v>45672</v>
      </c>
      <c r="D1367" t="inlineStr">
        <is>
          <t>VÄSTERBOTTENS LÄN</t>
        </is>
      </c>
      <c r="E1367" t="inlineStr">
        <is>
          <t>VILHELMINA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48455-2024</t>
        </is>
      </c>
      <c r="B1368" s="1" t="n">
        <v>45590</v>
      </c>
      <c r="C1368" s="1" t="n">
        <v>45672</v>
      </c>
      <c r="D1368" t="inlineStr">
        <is>
          <t>VÄSTERBOTTENS LÄN</t>
        </is>
      </c>
      <c r="E1368" t="inlineStr">
        <is>
          <t>VILHELMINA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48229-2024</t>
        </is>
      </c>
      <c r="B1369" s="1" t="n">
        <v>45590</v>
      </c>
      <c r="C1369" s="1" t="n">
        <v>45672</v>
      </c>
      <c r="D1369" t="inlineStr">
        <is>
          <t>VÄSTERBOTTENS LÄN</t>
        </is>
      </c>
      <c r="E1369" t="inlineStr">
        <is>
          <t>VILHELMINA</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48387-2024</t>
        </is>
      </c>
      <c r="B1370" s="1" t="n">
        <v>45590</v>
      </c>
      <c r="C1370" s="1" t="n">
        <v>45672</v>
      </c>
      <c r="D1370" t="inlineStr">
        <is>
          <t>VÄSTERBOTTENS LÄN</t>
        </is>
      </c>
      <c r="E1370" t="inlineStr">
        <is>
          <t>VILHELMINA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49184-2024</t>
        </is>
      </c>
      <c r="B1371" s="1" t="n">
        <v>45595</v>
      </c>
      <c r="C1371" s="1" t="n">
        <v>45672</v>
      </c>
      <c r="D1371" t="inlineStr">
        <is>
          <t>VÄSTERBOTTENS LÄN</t>
        </is>
      </c>
      <c r="E1371" t="inlineStr">
        <is>
          <t>VILHELMINA</t>
        </is>
      </c>
      <c r="F1371" t="inlineStr">
        <is>
          <t>SCA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49221-2024</t>
        </is>
      </c>
      <c r="B1372" s="1" t="n">
        <v>45595</v>
      </c>
      <c r="C1372" s="1" t="n">
        <v>45672</v>
      </c>
      <c r="D1372" t="inlineStr">
        <is>
          <t>VÄSTERBOTTENS LÄN</t>
        </is>
      </c>
      <c r="E1372" t="inlineStr">
        <is>
          <t>VILHELMINA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49236-2024</t>
        </is>
      </c>
      <c r="B1373" s="1" t="n">
        <v>45595</v>
      </c>
      <c r="C1373" s="1" t="n">
        <v>45672</v>
      </c>
      <c r="D1373" t="inlineStr">
        <is>
          <t>VÄSTERBOTTENS LÄN</t>
        </is>
      </c>
      <c r="E1373" t="inlineStr">
        <is>
          <t>VILHELMINA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49246-2024</t>
        </is>
      </c>
      <c r="B1374" s="1" t="n">
        <v>45595</v>
      </c>
      <c r="C1374" s="1" t="n">
        <v>45672</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49241-2024</t>
        </is>
      </c>
      <c r="B1375" s="1" t="n">
        <v>45595</v>
      </c>
      <c r="C1375" s="1" t="n">
        <v>45672</v>
      </c>
      <c r="D1375" t="inlineStr">
        <is>
          <t>VÄSTERBOTTENS LÄN</t>
        </is>
      </c>
      <c r="E1375" t="inlineStr">
        <is>
          <t>VILHELMINA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49888-2024</t>
        </is>
      </c>
      <c r="B1376" s="1" t="n">
        <v>45597</v>
      </c>
      <c r="C1376" s="1" t="n">
        <v>45672</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49886-2024</t>
        </is>
      </c>
      <c r="B1377" s="1" t="n">
        <v>45597</v>
      </c>
      <c r="C1377" s="1" t="n">
        <v>45672</v>
      </c>
      <c r="D1377" t="inlineStr">
        <is>
          <t>VÄSTERBOTTENS LÄN</t>
        </is>
      </c>
      <c r="E1377" t="inlineStr">
        <is>
          <t>VILHELMINA</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50885-2024</t>
        </is>
      </c>
      <c r="B1378" s="1" t="n">
        <v>45602</v>
      </c>
      <c r="C1378" s="1" t="n">
        <v>45672</v>
      </c>
      <c r="D1378" t="inlineStr">
        <is>
          <t>VÄSTERBOTTENS LÄN</t>
        </is>
      </c>
      <c r="E1378" t="inlineStr">
        <is>
          <t>VILHELMINA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51134-2024</t>
        </is>
      </c>
      <c r="B1379" s="1" t="n">
        <v>45603</v>
      </c>
      <c r="C1379" s="1" t="n">
        <v>45672</v>
      </c>
      <c r="D1379" t="inlineStr">
        <is>
          <t>VÄSTERBOTTENS LÄN</t>
        </is>
      </c>
      <c r="E1379" t="inlineStr">
        <is>
          <t>VILHELMINA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51131-2024</t>
        </is>
      </c>
      <c r="B1380" s="1" t="n">
        <v>45603</v>
      </c>
      <c r="C1380" s="1" t="n">
        <v>45672</v>
      </c>
      <c r="D1380" t="inlineStr">
        <is>
          <t>VÄSTERBOTTENS LÄN</t>
        </is>
      </c>
      <c r="E1380" t="inlineStr">
        <is>
          <t>VILHELMINA</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51850-2024</t>
        </is>
      </c>
      <c r="B1381" s="1" t="n">
        <v>45605</v>
      </c>
      <c r="C1381" s="1" t="n">
        <v>45672</v>
      </c>
      <c r="D1381" t="inlineStr">
        <is>
          <t>VÄSTERBOTTENS LÄN</t>
        </is>
      </c>
      <c r="E1381" t="inlineStr">
        <is>
          <t>VILHELMINA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52155-2024</t>
        </is>
      </c>
      <c r="B1382" s="1" t="n">
        <v>45608</v>
      </c>
      <c r="C1382" s="1" t="n">
        <v>45672</v>
      </c>
      <c r="D1382" t="inlineStr">
        <is>
          <t>VÄSTERBOTTENS LÄN</t>
        </is>
      </c>
      <c r="E1382" t="inlineStr">
        <is>
          <t>VILHELMINA</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52457-2024</t>
        </is>
      </c>
      <c r="B1383" s="1" t="n">
        <v>45609</v>
      </c>
      <c r="C1383" s="1" t="n">
        <v>45672</v>
      </c>
      <c r="D1383" t="inlineStr">
        <is>
          <t>VÄSTERBOTTENS LÄN</t>
        </is>
      </c>
      <c r="E1383" t="inlineStr">
        <is>
          <t>VILHELMINA</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52646-2024</t>
        </is>
      </c>
      <c r="B1384" s="1" t="n">
        <v>45610</v>
      </c>
      <c r="C1384" s="1" t="n">
        <v>45672</v>
      </c>
      <c r="D1384" t="inlineStr">
        <is>
          <t>VÄSTERBOTTENS LÄN</t>
        </is>
      </c>
      <c r="E1384" t="inlineStr">
        <is>
          <t>VILHELMINA</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52866-2024</t>
        </is>
      </c>
      <c r="B1385" s="1" t="n">
        <v>45610</v>
      </c>
      <c r="C1385" s="1" t="n">
        <v>45672</v>
      </c>
      <c r="D1385" t="inlineStr">
        <is>
          <t>VÄSTERBOTTENS LÄN</t>
        </is>
      </c>
      <c r="E1385" t="inlineStr">
        <is>
          <t>VILHELMINA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53081-2024</t>
        </is>
      </c>
      <c r="B1386" s="1" t="n">
        <v>45611</v>
      </c>
      <c r="C1386" s="1" t="n">
        <v>45672</v>
      </c>
      <c r="D1386" t="inlineStr">
        <is>
          <t>VÄSTERBOTTENS LÄN</t>
        </is>
      </c>
      <c r="E1386" t="inlineStr">
        <is>
          <t>VILHELMINA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53606-2024</t>
        </is>
      </c>
      <c r="B1387" s="1" t="n">
        <v>45614</v>
      </c>
      <c r="C1387" s="1" t="n">
        <v>45672</v>
      </c>
      <c r="D1387" t="inlineStr">
        <is>
          <t>VÄSTERBOTTENS LÄN</t>
        </is>
      </c>
      <c r="E1387" t="inlineStr">
        <is>
          <t>VILHELMINA</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54430-2024</t>
        </is>
      </c>
      <c r="B1388" s="1" t="n">
        <v>45617</v>
      </c>
      <c r="C1388" s="1" t="n">
        <v>45672</v>
      </c>
      <c r="D1388" t="inlineStr">
        <is>
          <t>VÄSTERBOTTENS LÄN</t>
        </is>
      </c>
      <c r="E1388" t="inlineStr">
        <is>
          <t>VILHELMINA</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54387-2024</t>
        </is>
      </c>
      <c r="B1389" s="1" t="n">
        <v>45617</v>
      </c>
      <c r="C1389" s="1" t="n">
        <v>45672</v>
      </c>
      <c r="D1389" t="inlineStr">
        <is>
          <t>VÄSTERBOTTENS LÄN</t>
        </is>
      </c>
      <c r="E1389" t="inlineStr">
        <is>
          <t>VILHELMINA</t>
        </is>
      </c>
      <c r="F1389" t="inlineStr">
        <is>
          <t>SCA</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54459-2024</t>
        </is>
      </c>
      <c r="B1390" s="1" t="n">
        <v>45617</v>
      </c>
      <c r="C1390" s="1" t="n">
        <v>45672</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54457-2024</t>
        </is>
      </c>
      <c r="B1391" s="1" t="n">
        <v>45617</v>
      </c>
      <c r="C1391" s="1" t="n">
        <v>45672</v>
      </c>
      <c r="D1391" t="inlineStr">
        <is>
          <t>VÄSTERBOTTENS LÄN</t>
        </is>
      </c>
      <c r="E1391" t="inlineStr">
        <is>
          <t>VILHELMINA</t>
        </is>
      </c>
      <c r="F1391" t="inlineStr">
        <is>
          <t>SCA</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54804-2024</t>
        </is>
      </c>
      <c r="B1392" s="1" t="n">
        <v>45618</v>
      </c>
      <c r="C1392" s="1" t="n">
        <v>45672</v>
      </c>
      <c r="D1392" t="inlineStr">
        <is>
          <t>VÄSTERBOTTENS LÄN</t>
        </is>
      </c>
      <c r="E1392" t="inlineStr">
        <is>
          <t>VILHELMINA</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54727-2024</t>
        </is>
      </c>
      <c r="B1393" s="1" t="n">
        <v>45618</v>
      </c>
      <c r="C1393" s="1" t="n">
        <v>45672</v>
      </c>
      <c r="D1393" t="inlineStr">
        <is>
          <t>VÄSTERBOTTENS LÄN</t>
        </is>
      </c>
      <c r="E1393" t="inlineStr">
        <is>
          <t>VILHELMINA</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54724-2024</t>
        </is>
      </c>
      <c r="B1394" s="1" t="n">
        <v>45618</v>
      </c>
      <c r="C1394" s="1" t="n">
        <v>45672</v>
      </c>
      <c r="D1394" t="inlineStr">
        <is>
          <t>VÄSTERBOTTENS LÄN</t>
        </is>
      </c>
      <c r="E1394" t="inlineStr">
        <is>
          <t>VILHELMINA</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55695-2024</t>
        </is>
      </c>
      <c r="B1395" s="1" t="n">
        <v>45622</v>
      </c>
      <c r="C1395" s="1" t="n">
        <v>45672</v>
      </c>
      <c r="D1395" t="inlineStr">
        <is>
          <t>VÄSTERBOTTENS LÄN</t>
        </is>
      </c>
      <c r="E1395" t="inlineStr">
        <is>
          <t>VILHELMINA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55620-2024</t>
        </is>
      </c>
      <c r="B1396" s="1" t="n">
        <v>45622</v>
      </c>
      <c r="C1396" s="1" t="n">
        <v>45672</v>
      </c>
      <c r="D1396" t="inlineStr">
        <is>
          <t>VÄSTERBOTTENS LÄN</t>
        </is>
      </c>
      <c r="E1396" t="inlineStr">
        <is>
          <t>VILHELMINA</t>
        </is>
      </c>
      <c r="F1396" t="inlineStr">
        <is>
          <t>SCA</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55697-2024</t>
        </is>
      </c>
      <c r="B1397" s="1" t="n">
        <v>45622</v>
      </c>
      <c r="C1397" s="1" t="n">
        <v>45672</v>
      </c>
      <c r="D1397" t="inlineStr">
        <is>
          <t>VÄSTERBOTTENS LÄN</t>
        </is>
      </c>
      <c r="E1397" t="inlineStr">
        <is>
          <t>VILHELMINA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55978-2024</t>
        </is>
      </c>
      <c r="B1398" s="1" t="n">
        <v>45623</v>
      </c>
      <c r="C1398" s="1" t="n">
        <v>45672</v>
      </c>
      <c r="D1398" t="inlineStr">
        <is>
          <t>VÄSTERBOTTENS LÄN</t>
        </is>
      </c>
      <c r="E1398" t="inlineStr">
        <is>
          <t>VILHELMINA</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56624-2024</t>
        </is>
      </c>
      <c r="B1399" s="1" t="n">
        <v>45625</v>
      </c>
      <c r="C1399" s="1" t="n">
        <v>45672</v>
      </c>
      <c r="D1399" t="inlineStr">
        <is>
          <t>VÄSTERBOTTENS LÄN</t>
        </is>
      </c>
      <c r="E1399" t="inlineStr">
        <is>
          <t>VILHELMINA</t>
        </is>
      </c>
      <c r="F1399" t="inlineStr">
        <is>
          <t>Allmännings- och besparingsskogar</t>
        </is>
      </c>
      <c r="G1399" t="n">
        <v>17.8</v>
      </c>
      <c r="H1399" t="n">
        <v>0</v>
      </c>
      <c r="I1399" t="n">
        <v>0</v>
      </c>
      <c r="J1399" t="n">
        <v>0</v>
      </c>
      <c r="K1399" t="n">
        <v>0</v>
      </c>
      <c r="L1399" t="n">
        <v>0</v>
      </c>
      <c r="M1399" t="n">
        <v>0</v>
      </c>
      <c r="N1399" t="n">
        <v>0</v>
      </c>
      <c r="O1399" t="n">
        <v>0</v>
      </c>
      <c r="P1399" t="n">
        <v>0</v>
      </c>
      <c r="Q1399" t="n">
        <v>0</v>
      </c>
      <c r="R1399" s="2" t="inlineStr"/>
    </row>
    <row r="1400" ht="15" customHeight="1">
      <c r="A1400" t="inlineStr">
        <is>
          <t>A 56632-2024</t>
        </is>
      </c>
      <c r="B1400" s="1" t="n">
        <v>45625</v>
      </c>
      <c r="C1400" s="1" t="n">
        <v>45672</v>
      </c>
      <c r="D1400" t="inlineStr">
        <is>
          <t>VÄSTERBOTTENS LÄN</t>
        </is>
      </c>
      <c r="E1400" t="inlineStr">
        <is>
          <t>VILHELMINA</t>
        </is>
      </c>
      <c r="F1400" t="inlineStr">
        <is>
          <t>Allmännings- och besparingsskogar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56627-2024</t>
        </is>
      </c>
      <c r="B1401" s="1" t="n">
        <v>45625</v>
      </c>
      <c r="C1401" s="1" t="n">
        <v>45672</v>
      </c>
      <c r="D1401" t="inlineStr">
        <is>
          <t>VÄSTERBOTTENS LÄN</t>
        </is>
      </c>
      <c r="E1401" t="inlineStr">
        <is>
          <t>VILHELMINA</t>
        </is>
      </c>
      <c r="F1401" t="inlineStr">
        <is>
          <t>Allmännings- och besparingsskogar</t>
        </is>
      </c>
      <c r="G1401" t="n">
        <v>21.5</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45672</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45672</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45672</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45672</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45672</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45672</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45672</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45672</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45672</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45672</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45672</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45672</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45672</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45672</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45672</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45672</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45672</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45672</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45672</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45672</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45672</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45672</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45672</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45672</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45672</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45672</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45672</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45672</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45672</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45672</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61536-2024</t>
        </is>
      </c>
      <c r="B1432" s="1" t="n">
        <v>45646</v>
      </c>
      <c r="C1432" s="1" t="n">
        <v>45672</v>
      </c>
      <c r="D1432" t="inlineStr">
        <is>
          <t>VÄSTERBOTTENS LÄN</t>
        </is>
      </c>
      <c r="E1432" t="inlineStr">
        <is>
          <t>VILHELMINA</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61547-2024</t>
        </is>
      </c>
      <c r="B1433" s="1" t="n">
        <v>45646</v>
      </c>
      <c r="C1433" s="1" t="n">
        <v>45672</v>
      </c>
      <c r="D1433" t="inlineStr">
        <is>
          <t>VÄSTERBOTTENS LÄN</t>
        </is>
      </c>
      <c r="E1433" t="inlineStr">
        <is>
          <t>VILHELMINA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61660-2024</t>
        </is>
      </c>
      <c r="B1434" s="1" t="n">
        <v>45646</v>
      </c>
      <c r="C1434" s="1" t="n">
        <v>45672</v>
      </c>
      <c r="D1434" t="inlineStr">
        <is>
          <t>VÄSTERBOTTENS LÄN</t>
        </is>
      </c>
      <c r="E1434" t="inlineStr">
        <is>
          <t>VILHELMINA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45672</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61797-2024</t>
        </is>
      </c>
      <c r="B1436" s="1" t="n">
        <v>45649</v>
      </c>
      <c r="C1436" s="1" t="n">
        <v>45672</v>
      </c>
      <c r="D1436" t="inlineStr">
        <is>
          <t>VÄSTERBOTTENS LÄN</t>
        </is>
      </c>
      <c r="E1436" t="inlineStr">
        <is>
          <t>VILHELMINA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61801-2024</t>
        </is>
      </c>
      <c r="B1437" s="1" t="n">
        <v>45649</v>
      </c>
      <c r="C1437" s="1" t="n">
        <v>45672</v>
      </c>
      <c r="D1437" t="inlineStr">
        <is>
          <t>VÄSTERBOTTENS LÄN</t>
        </is>
      </c>
      <c r="E1437" t="inlineStr">
        <is>
          <t>VILHELMINA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45672</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62101-2024</t>
        </is>
      </c>
      <c r="B1439" s="1" t="n">
        <v>45656</v>
      </c>
      <c r="C1439" s="1" t="n">
        <v>45672</v>
      </c>
      <c r="D1439" t="inlineStr">
        <is>
          <t>VÄSTERBOTTENS LÄN</t>
        </is>
      </c>
      <c r="E1439" t="inlineStr">
        <is>
          <t>VILHELMINA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62100-2024</t>
        </is>
      </c>
      <c r="B1440" s="1" t="n">
        <v>45656</v>
      </c>
      <c r="C1440" s="1" t="n">
        <v>45672</v>
      </c>
      <c r="D1440" t="inlineStr">
        <is>
          <t>VÄSTERBOTTENS LÄN</t>
        </is>
      </c>
      <c r="E1440" t="inlineStr">
        <is>
          <t>VILHELMINA</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45672</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252-2025</t>
        </is>
      </c>
      <c r="B1442" s="1" t="n">
        <v>45660</v>
      </c>
      <c r="C1442" s="1" t="n">
        <v>45672</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242-2025</t>
        </is>
      </c>
      <c r="B1443" s="1" t="n">
        <v>45660</v>
      </c>
      <c r="C1443" s="1" t="n">
        <v>45672</v>
      </c>
      <c r="D1443" t="inlineStr">
        <is>
          <t>VÄSTERBOTTENS LÄN</t>
        </is>
      </c>
      <c r="E1443" t="inlineStr">
        <is>
          <t>VILHELMINA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45672</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248-2025</t>
        </is>
      </c>
      <c r="B1445" s="1" t="n">
        <v>45660</v>
      </c>
      <c r="C1445" s="1" t="n">
        <v>45672</v>
      </c>
      <c r="D1445" t="inlineStr">
        <is>
          <t>VÄSTERBOTTENS LÄN</t>
        </is>
      </c>
      <c r="E1445" t="inlineStr">
        <is>
          <t>VILHELMINA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296-2025</t>
        </is>
      </c>
      <c r="B1446" s="1" t="n">
        <v>45660</v>
      </c>
      <c r="C1446" s="1" t="n">
        <v>45672</v>
      </c>
      <c r="D1446" t="inlineStr">
        <is>
          <t>VÄSTERBOTTENS LÄN</t>
        </is>
      </c>
      <c r="E1446" t="inlineStr">
        <is>
          <t>VILHELMINA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45672</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45672</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45672</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c r="A1450" t="inlineStr">
        <is>
          <t>A 1668-2025</t>
        </is>
      </c>
      <c r="B1450" s="1" t="n">
        <v>45670</v>
      </c>
      <c r="C1450" s="1" t="n">
        <v>45672</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2025-01-15T15:55:09Z</dcterms:created>
  <dcterms:modified xmlns:dcterms="http://purl.org/dc/terms/" xmlns:xsi="http://www.w3.org/2001/XMLSchema-instance" xsi:type="dcterms:W3CDTF">2025-01-15T15:55:10Z</dcterms:modified>
</cp:coreProperties>
</file>