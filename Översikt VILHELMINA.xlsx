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45915</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45915</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45915</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45915</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45915</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45915</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45915</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45915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45915</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45915</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54734-2022</t>
        </is>
      </c>
      <c r="B21" s="1" t="n">
        <v>44881</v>
      </c>
      <c r="C21" s="1" t="n">
        <v>45915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45915</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45915</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45915</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45915</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45915</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45915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45915</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45915</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45915</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45915</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45915</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45915</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45915</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45915</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45915</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45915</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45915</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45915</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45915</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45915</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45915</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6658-2021</t>
        </is>
      </c>
      <c r="B46" s="1" t="n">
        <v>44235</v>
      </c>
      <c r="C46" s="1" t="n">
        <v>45915</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45915</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45915</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45915</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45915</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45915</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45915</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45915</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45915</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45915</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45915</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45915</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45915</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45915</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45915</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45915</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30810-2024</t>
        </is>
      </c>
      <c r="B62" s="1" t="n">
        <v>45497</v>
      </c>
      <c r="C62" s="1" t="n">
        <v>45915</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28799-2024</t>
        </is>
      </c>
      <c r="B63" s="1" t="n">
        <v>45478</v>
      </c>
      <c r="C63" s="1" t="n">
        <v>45915</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45915</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45915</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26191-2022</t>
        </is>
      </c>
      <c r="B67" s="1" t="n">
        <v>44735</v>
      </c>
      <c r="C67" s="1" t="n">
        <v>45915</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45915</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45915</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45915</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45915</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45915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45915</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45915</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45915</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45915</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45915</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45915</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45915</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45915</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45915</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45915</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45915</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45915</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45915</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45915</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45915</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45915</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45915</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40736-2024</t>
        </is>
      </c>
      <c r="B90" s="1" t="n">
        <v>45558</v>
      </c>
      <c r="C90" s="1" t="n">
        <v>45915</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45915</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45915</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45915</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45915</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45915</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45915</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45915</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38534-2024</t>
        </is>
      </c>
      <c r="B98" s="1" t="n">
        <v>45546</v>
      </c>
      <c r="C98" s="1" t="n">
        <v>45915</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42063-2024</t>
        </is>
      </c>
      <c r="B99" s="1" t="n">
        <v>45561</v>
      </c>
      <c r="C99" s="1" t="n">
        <v>45915</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56618-2024</t>
        </is>
      </c>
      <c r="B100" s="1" t="n">
        <v>45625</v>
      </c>
      <c r="C100" s="1" t="n">
        <v>45915</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65382-2021</t>
        </is>
      </c>
      <c r="B101" s="1" t="n">
        <v>44515</v>
      </c>
      <c r="C101" s="1" t="n">
        <v>45915</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45915</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45915</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57861-2020</t>
        </is>
      </c>
      <c r="B104" s="1" t="n">
        <v>44141</v>
      </c>
      <c r="C104" s="1" t="n">
        <v>45915</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11980-2021</t>
        </is>
      </c>
      <c r="B105" s="1" t="n">
        <v>44266</v>
      </c>
      <c r="C105" s="1" t="n">
        <v>45915</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19234-2021</t>
        </is>
      </c>
      <c r="B106" s="1" t="n">
        <v>44309</v>
      </c>
      <c r="C106" s="1" t="n">
        <v>45915</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20983-2025</t>
        </is>
      </c>
      <c r="B107" s="1" t="n">
        <v>45777.46910879629</v>
      </c>
      <c r="C107" s="1" t="n">
        <v>45915</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64030-2023</t>
        </is>
      </c>
      <c r="B108" s="1" t="n">
        <v>45278</v>
      </c>
      <c r="C108" s="1" t="n">
        <v>45915</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45915</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30717-2023</t>
        </is>
      </c>
      <c r="B110" s="1" t="n">
        <v>45112</v>
      </c>
      <c r="C110" s="1" t="n">
        <v>45915</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54779-2024</t>
        </is>
      </c>
      <c r="B111" s="1" t="n">
        <v>45618</v>
      </c>
      <c r="C111" s="1" t="n">
        <v>45915</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45915</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69626-2020</t>
        </is>
      </c>
      <c r="B113" s="1" t="n">
        <v>44195</v>
      </c>
      <c r="C113" s="1" t="n">
        <v>45915</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28012-2023</t>
        </is>
      </c>
      <c r="B114" s="1" t="n">
        <v>45098</v>
      </c>
      <c r="C114" s="1" t="n">
        <v>45915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45915</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45915</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31735-2025</t>
        </is>
      </c>
      <c r="B117" s="1" t="n">
        <v>45834.47067129629</v>
      </c>
      <c r="C117" s="1" t="n">
        <v>45915</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45915</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25037-2024</t>
        </is>
      </c>
      <c r="B119" s="1" t="n">
        <v>45461</v>
      </c>
      <c r="C119" s="1" t="n">
        <v>45915</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37785-2021</t>
        </is>
      </c>
      <c r="B120" s="1" t="n">
        <v>44401</v>
      </c>
      <c r="C120" s="1" t="n">
        <v>45915</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65586-2021</t>
        </is>
      </c>
      <c r="B121" s="1" t="n">
        <v>44518</v>
      </c>
      <c r="C121" s="1" t="n">
        <v>45915</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60379-2024</t>
        </is>
      </c>
      <c r="B122" s="1" t="n">
        <v>45643</v>
      </c>
      <c r="C122" s="1" t="n">
        <v>45915</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6704-2021</t>
        </is>
      </c>
      <c r="B123" s="1" t="n">
        <v>44235</v>
      </c>
      <c r="C123" s="1" t="n">
        <v>45915</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36998-2025</t>
        </is>
      </c>
      <c r="B124" s="1" t="n">
        <v>45874</v>
      </c>
      <c r="C124" s="1" t="n">
        <v>45915</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42274-2025</t>
        </is>
      </c>
      <c r="B125" s="1" t="n">
        <v>45903</v>
      </c>
      <c r="C125" s="1" t="n">
        <v>45915</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69915-2021</t>
        </is>
      </c>
      <c r="B126" s="1" t="n">
        <v>44532</v>
      </c>
      <c r="C126" s="1" t="n">
        <v>45915</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45915</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45915</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45915</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45915</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45915</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45915</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45915</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45915</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38282-2024</t>
        </is>
      </c>
      <c r="B135" s="1" t="n">
        <v>45545</v>
      </c>
      <c r="C135" s="1" t="n">
        <v>45915</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25977-2025</t>
        </is>
      </c>
      <c r="B136" s="1" t="n">
        <v>45804</v>
      </c>
      <c r="C136" s="1" t="n">
        <v>45915</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34730-2024</t>
        </is>
      </c>
      <c r="B137" s="1" t="n">
        <v>45526</v>
      </c>
      <c r="C137" s="1" t="n">
        <v>45915</v>
      </c>
      <c r="D137" t="inlineStr">
        <is>
          <t>VÄSTERBOTTENS LÄN</t>
        </is>
      </c>
      <c r="E137" t="inlineStr">
        <is>
          <t>VILHELMINA</t>
        </is>
      </c>
      <c r="G137" t="n">
        <v>19.2</v>
      </c>
      <c r="H137" t="n">
        <v>0</v>
      </c>
      <c r="I137" t="n">
        <v>0</v>
      </c>
      <c r="J137" t="n">
        <v>1</v>
      </c>
      <c r="K137" t="n">
        <v>0</v>
      </c>
      <c r="L137" t="n">
        <v>0</v>
      </c>
      <c r="M137" t="n">
        <v>0</v>
      </c>
      <c r="N137" t="n">
        <v>0</v>
      </c>
      <c r="O137" t="n">
        <v>1</v>
      </c>
      <c r="P137" t="n">
        <v>0</v>
      </c>
      <c r="Q137" t="n">
        <v>1</v>
      </c>
      <c r="R137" s="2" t="inlineStr">
        <is>
          <t>Ullticka</t>
        </is>
      </c>
      <c r="S137">
        <f>HYPERLINK("https://klasma.github.io/Logging_2462/artfynd/A 34730-2024 artfynd.xlsx", "A 34730-2024")</f>
        <v/>
      </c>
      <c r="T137">
        <f>HYPERLINK("https://klasma.github.io/Logging_2462/kartor/A 34730-2024 karta.png", "A 34730-2024")</f>
        <v/>
      </c>
      <c r="V137">
        <f>HYPERLINK("https://klasma.github.io/Logging_2462/klagomål/A 34730-2024 FSC-klagomål.docx", "A 34730-2024")</f>
        <v/>
      </c>
      <c r="W137">
        <f>HYPERLINK("https://klasma.github.io/Logging_2462/klagomålsmail/A 34730-2024 FSC-klagomål mail.docx", "A 34730-2024")</f>
        <v/>
      </c>
      <c r="X137">
        <f>HYPERLINK("https://klasma.github.io/Logging_2462/tillsyn/A 34730-2024 tillsynsbegäran.docx", "A 34730-2024")</f>
        <v/>
      </c>
      <c r="Y137">
        <f>HYPERLINK("https://klasma.github.io/Logging_2462/tillsynsmail/A 34730-2024 tillsynsbegäran mail.docx", "A 34730-2024")</f>
        <v/>
      </c>
    </row>
    <row r="138" ht="15" customHeight="1">
      <c r="A138" t="inlineStr">
        <is>
          <t>A 59001-2024</t>
        </is>
      </c>
      <c r="B138" s="1" t="n">
        <v>45636</v>
      </c>
      <c r="C138" s="1" t="n">
        <v>45915</v>
      </c>
      <c r="D138" t="inlineStr">
        <is>
          <t>VÄSTERBOTTENS LÄN</t>
        </is>
      </c>
      <c r="E138" t="inlineStr">
        <is>
          <t>VILHELMINA</t>
        </is>
      </c>
      <c r="F138" t="inlineStr">
        <is>
          <t>Allmännings- och besparingsskogar</t>
        </is>
      </c>
      <c r="G138" t="n">
        <v>32.5</v>
      </c>
      <c r="H138" t="n">
        <v>0</v>
      </c>
      <c r="I138" t="n">
        <v>0</v>
      </c>
      <c r="J138" t="n">
        <v>1</v>
      </c>
      <c r="K138" t="n">
        <v>0</v>
      </c>
      <c r="L138" t="n">
        <v>0</v>
      </c>
      <c r="M138" t="n">
        <v>0</v>
      </c>
      <c r="N138" t="n">
        <v>0</v>
      </c>
      <c r="O138" t="n">
        <v>1</v>
      </c>
      <c r="P138" t="n">
        <v>0</v>
      </c>
      <c r="Q138" t="n">
        <v>1</v>
      </c>
      <c r="R138" s="2" t="inlineStr">
        <is>
          <t>Gammelgransskål</t>
        </is>
      </c>
      <c r="S138">
        <f>HYPERLINK("https://klasma.github.io/Logging_2462/artfynd/A 59001-2024 artfynd.xlsx", "A 59001-2024")</f>
        <v/>
      </c>
      <c r="T138">
        <f>HYPERLINK("https://klasma.github.io/Logging_2462/kartor/A 59001-2024 karta.png", "A 59001-2024")</f>
        <v/>
      </c>
      <c r="V138">
        <f>HYPERLINK("https://klasma.github.io/Logging_2462/klagomål/A 59001-2024 FSC-klagomål.docx", "A 59001-2024")</f>
        <v/>
      </c>
      <c r="W138">
        <f>HYPERLINK("https://klasma.github.io/Logging_2462/klagomålsmail/A 59001-2024 FSC-klagomål mail.docx", "A 59001-2024")</f>
        <v/>
      </c>
      <c r="X138">
        <f>HYPERLINK("https://klasma.github.io/Logging_2462/tillsyn/A 59001-2024 tillsynsbegäran.docx", "A 59001-2024")</f>
        <v/>
      </c>
      <c r="Y138">
        <f>HYPERLINK("https://klasma.github.io/Logging_2462/tillsynsmail/A 59001-2024 tillsynsbegäran mail.docx", "A 59001-2024")</f>
        <v/>
      </c>
    </row>
    <row r="139" ht="15" customHeight="1">
      <c r="A139" t="inlineStr">
        <is>
          <t>A 34769-2024</t>
        </is>
      </c>
      <c r="B139" s="1" t="n">
        <v>45526.62043981482</v>
      </c>
      <c r="C139" s="1" t="n">
        <v>45915</v>
      </c>
      <c r="D139" t="inlineStr">
        <is>
          <t>VÄSTERBOTTENS LÄN</t>
        </is>
      </c>
      <c r="E139" t="inlineStr">
        <is>
          <t>VILHELMINA</t>
        </is>
      </c>
      <c r="F139" t="inlineStr">
        <is>
          <t>SCA</t>
        </is>
      </c>
      <c r="G139" t="n">
        <v>6.7</v>
      </c>
      <c r="H139" t="n">
        <v>0</v>
      </c>
      <c r="I139" t="n">
        <v>0</v>
      </c>
      <c r="J139" t="n">
        <v>0</v>
      </c>
      <c r="K139" t="n">
        <v>1</v>
      </c>
      <c r="L139" t="n">
        <v>0</v>
      </c>
      <c r="M139" t="n">
        <v>0</v>
      </c>
      <c r="N139" t="n">
        <v>0</v>
      </c>
      <c r="O139" t="n">
        <v>1</v>
      </c>
      <c r="P139" t="n">
        <v>1</v>
      </c>
      <c r="Q139" t="n">
        <v>1</v>
      </c>
      <c r="R139" s="2" t="inlineStr">
        <is>
          <t>Rynkskinn</t>
        </is>
      </c>
      <c r="S139">
        <f>HYPERLINK("https://klasma.github.io/Logging_2462/artfynd/A 34769-2024 artfynd.xlsx", "A 34769-2024")</f>
        <v/>
      </c>
      <c r="T139">
        <f>HYPERLINK("https://klasma.github.io/Logging_2462/kartor/A 34769-2024 karta.png", "A 34769-2024")</f>
        <v/>
      </c>
      <c r="V139">
        <f>HYPERLINK("https://klasma.github.io/Logging_2462/klagomål/A 34769-2024 FSC-klagomål.docx", "A 34769-2024")</f>
        <v/>
      </c>
      <c r="W139">
        <f>HYPERLINK("https://klasma.github.io/Logging_2462/klagomålsmail/A 34769-2024 FSC-klagomål mail.docx", "A 34769-2024")</f>
        <v/>
      </c>
      <c r="X139">
        <f>HYPERLINK("https://klasma.github.io/Logging_2462/tillsyn/A 34769-2024 tillsynsbegäran.docx", "A 34769-2024")</f>
        <v/>
      </c>
      <c r="Y139">
        <f>HYPERLINK("https://klasma.github.io/Logging_2462/tillsynsmail/A 34769-2024 tillsynsbegäran mail.docx", "A 34769-2024")</f>
        <v/>
      </c>
    </row>
    <row r="140" ht="15" customHeight="1">
      <c r="A140" t="inlineStr">
        <is>
          <t>A 29376-2021</t>
        </is>
      </c>
      <c r="B140" s="1" t="n">
        <v>44361</v>
      </c>
      <c r="C140" s="1" t="n">
        <v>45915</v>
      </c>
      <c r="D140" t="inlineStr">
        <is>
          <t>VÄSTERBOTTENS LÄN</t>
        </is>
      </c>
      <c r="E140" t="inlineStr">
        <is>
          <t>VILHELMINA</t>
        </is>
      </c>
      <c r="F140" t="inlineStr">
        <is>
          <t>Allmännings- och besparingsskogar</t>
        </is>
      </c>
      <c r="G140" t="n">
        <v>110.8</v>
      </c>
      <c r="H140" t="n">
        <v>1</v>
      </c>
      <c r="I140" t="n">
        <v>0</v>
      </c>
      <c r="J140" t="n">
        <v>0</v>
      </c>
      <c r="K140" t="n">
        <v>0</v>
      </c>
      <c r="L140" t="n">
        <v>0</v>
      </c>
      <c r="M140" t="n">
        <v>0</v>
      </c>
      <c r="N140" t="n">
        <v>0</v>
      </c>
      <c r="O140" t="n">
        <v>0</v>
      </c>
      <c r="P140" t="n">
        <v>0</v>
      </c>
      <c r="Q140" t="n">
        <v>1</v>
      </c>
      <c r="R140" s="2" t="inlineStr">
        <is>
          <t>Lavskrika</t>
        </is>
      </c>
      <c r="S140">
        <f>HYPERLINK("https://klasma.github.io/Logging_2462/artfynd/A 29376-2021 artfynd.xlsx", "A 29376-2021")</f>
        <v/>
      </c>
      <c r="T140">
        <f>HYPERLINK("https://klasma.github.io/Logging_2462/kartor/A 29376-2021 karta.png", "A 29376-2021")</f>
        <v/>
      </c>
      <c r="V140">
        <f>HYPERLINK("https://klasma.github.io/Logging_2462/klagomål/A 29376-2021 FSC-klagomål.docx", "A 29376-2021")</f>
        <v/>
      </c>
      <c r="W140">
        <f>HYPERLINK("https://klasma.github.io/Logging_2462/klagomålsmail/A 29376-2021 FSC-klagomål mail.docx", "A 29376-2021")</f>
        <v/>
      </c>
      <c r="X140">
        <f>HYPERLINK("https://klasma.github.io/Logging_2462/tillsyn/A 29376-2021 tillsynsbegäran.docx", "A 29376-2021")</f>
        <v/>
      </c>
      <c r="Y140">
        <f>HYPERLINK("https://klasma.github.io/Logging_2462/tillsynsmail/A 29376-2021 tillsynsbegäran mail.docx", "A 29376-2021")</f>
        <v/>
      </c>
      <c r="Z140">
        <f>HYPERLINK("https://klasma.github.io/Logging_2462/fåglar/A 29376-2021 prioriterade fågelarter.docx", "A 29376-2021")</f>
        <v/>
      </c>
    </row>
    <row r="141" ht="15" customHeight="1">
      <c r="A141" t="inlineStr">
        <is>
          <t>A 29317-2023</t>
        </is>
      </c>
      <c r="B141" s="1" t="n">
        <v>45105</v>
      </c>
      <c r="C141" s="1" t="n">
        <v>45915</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29121-2025</t>
        </is>
      </c>
      <c r="B142" s="1" t="n">
        <v>45821</v>
      </c>
      <c r="C142" s="1" t="n">
        <v>45915</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38131-2024</t>
        </is>
      </c>
      <c r="B143" s="1" t="n">
        <v>45545</v>
      </c>
      <c r="C143" s="1" t="n">
        <v>45915</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29434-2025</t>
        </is>
      </c>
      <c r="B144" s="1" t="n">
        <v>45824</v>
      </c>
      <c r="C144" s="1" t="n">
        <v>45915</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11832-2023</t>
        </is>
      </c>
      <c r="B145" s="1" t="n">
        <v>44994</v>
      </c>
      <c r="C145" s="1" t="n">
        <v>45915</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59664-2023</t>
        </is>
      </c>
      <c r="B146" s="1" t="n">
        <v>45254</v>
      </c>
      <c r="C146" s="1" t="n">
        <v>45915</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44286-2024</t>
        </is>
      </c>
      <c r="B147" s="1" t="n">
        <v>45573</v>
      </c>
      <c r="C147" s="1" t="n">
        <v>45915</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66924-2021</t>
        </is>
      </c>
      <c r="B148" s="1" t="n">
        <v>44522</v>
      </c>
      <c r="C148" s="1" t="n">
        <v>45915</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13523-2025</t>
        </is>
      </c>
      <c r="B149" s="1" t="n">
        <v>45736</v>
      </c>
      <c r="C149" s="1" t="n">
        <v>45915</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38929-2025</t>
        </is>
      </c>
      <c r="B150" s="1" t="n">
        <v>45887</v>
      </c>
      <c r="C150" s="1" t="n">
        <v>45915</v>
      </c>
      <c r="D150" t="inlineStr">
        <is>
          <t>VÄSTERBOTTENS LÄN</t>
        </is>
      </c>
      <c r="E150" t="inlineStr">
        <is>
          <t>VILHELMINA</t>
        </is>
      </c>
      <c r="F150" t="inlineStr">
        <is>
          <t>SCA</t>
        </is>
      </c>
      <c r="G150" t="n">
        <v>3.5</v>
      </c>
      <c r="H150" t="n">
        <v>0</v>
      </c>
      <c r="I150" t="n">
        <v>1</v>
      </c>
      <c r="J150" t="n">
        <v>0</v>
      </c>
      <c r="K150" t="n">
        <v>0</v>
      </c>
      <c r="L150" t="n">
        <v>0</v>
      </c>
      <c r="M150" t="n">
        <v>0</v>
      </c>
      <c r="N150" t="n">
        <v>0</v>
      </c>
      <c r="O150" t="n">
        <v>0</v>
      </c>
      <c r="P150" t="n">
        <v>0</v>
      </c>
      <c r="Q150" t="n">
        <v>1</v>
      </c>
      <c r="R150" s="2" t="inlineStr">
        <is>
          <t>Blodticka</t>
        </is>
      </c>
      <c r="S150">
        <f>HYPERLINK("https://klasma.github.io/Logging_2462/artfynd/A 38929-2025 artfynd.xlsx", "A 38929-2025")</f>
        <v/>
      </c>
      <c r="T150">
        <f>HYPERLINK("https://klasma.github.io/Logging_2462/kartor/A 38929-2025 karta.png", "A 38929-2025")</f>
        <v/>
      </c>
      <c r="V150">
        <f>HYPERLINK("https://klasma.github.io/Logging_2462/klagomål/A 38929-2025 FSC-klagomål.docx", "A 38929-2025")</f>
        <v/>
      </c>
      <c r="W150">
        <f>HYPERLINK("https://klasma.github.io/Logging_2462/klagomålsmail/A 38929-2025 FSC-klagomål mail.docx", "A 38929-2025")</f>
        <v/>
      </c>
      <c r="X150">
        <f>HYPERLINK("https://klasma.github.io/Logging_2462/tillsyn/A 38929-2025 tillsynsbegäran.docx", "A 38929-2025")</f>
        <v/>
      </c>
      <c r="Y150">
        <f>HYPERLINK("https://klasma.github.io/Logging_2462/tillsynsmail/A 38929-2025 tillsynsbegäran mail.docx", "A 38929-2025")</f>
        <v/>
      </c>
    </row>
    <row r="151" ht="15" customHeight="1">
      <c r="A151" t="inlineStr">
        <is>
          <t>A 32677-2021</t>
        </is>
      </c>
      <c r="B151" s="1" t="n">
        <v>44371</v>
      </c>
      <c r="C151" s="1" t="n">
        <v>45915</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45915</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45915</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45915</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45915</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45915</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45915</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45915</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45915</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45915</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45915</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45915</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45915</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45915</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45915</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45915</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45915</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45915</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45915</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45915</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45915</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45915</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45915</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45915</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45915</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45915</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45915</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45915</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45915</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45915</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45915</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45915</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45915</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45915</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45915</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45915</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45915</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45915</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45915</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45915</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45915</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45915</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45915</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45915</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45915</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45915</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45915</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45915</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45915</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45915</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45915</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45915</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45915</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45915</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45915</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45915</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45915</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45915</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45915</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45915</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2193-2021</t>
        </is>
      </c>
      <c r="B211" s="1" t="n">
        <v>44211</v>
      </c>
      <c r="C211" s="1" t="n">
        <v>45915</v>
      </c>
      <c r="D211" t="inlineStr">
        <is>
          <t>VÄSTERBOTTENS LÄN</t>
        </is>
      </c>
      <c r="E211" t="inlineStr">
        <is>
          <t>VILHELMINA</t>
        </is>
      </c>
      <c r="F211" t="inlineStr">
        <is>
          <t>Allmännings- och besparingsskogar</t>
        </is>
      </c>
      <c r="G211" t="n">
        <v>157.8</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45915</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45915</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45915</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45915</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45915</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45915</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24983-2021</t>
        </is>
      </c>
      <c r="B218" s="1" t="n">
        <v>44341</v>
      </c>
      <c r="C218" s="1" t="n">
        <v>45915</v>
      </c>
      <c r="D218" t="inlineStr">
        <is>
          <t>VÄSTERBOTTENS LÄN</t>
        </is>
      </c>
      <c r="E218" t="inlineStr">
        <is>
          <t>VILHELMINA</t>
        </is>
      </c>
      <c r="G218" t="n">
        <v>12.9</v>
      </c>
      <c r="H218" t="n">
        <v>0</v>
      </c>
      <c r="I218" t="n">
        <v>0</v>
      </c>
      <c r="J218" t="n">
        <v>0</v>
      </c>
      <c r="K218" t="n">
        <v>0</v>
      </c>
      <c r="L218" t="n">
        <v>0</v>
      </c>
      <c r="M218" t="n">
        <v>0</v>
      </c>
      <c r="N218" t="n">
        <v>0</v>
      </c>
      <c r="O218" t="n">
        <v>0</v>
      </c>
      <c r="P218" t="n">
        <v>0</v>
      </c>
      <c r="Q218" t="n">
        <v>0</v>
      </c>
      <c r="R218" s="2" t="inlineStr"/>
    </row>
    <row r="219" ht="15" customHeight="1">
      <c r="A219" t="inlineStr">
        <is>
          <t>A 64759-2020</t>
        </is>
      </c>
      <c r="B219" s="1" t="n">
        <v>44169</v>
      </c>
      <c r="C219" s="1" t="n">
        <v>45915</v>
      </c>
      <c r="D219" t="inlineStr">
        <is>
          <t>VÄSTERBOTTENS LÄN</t>
        </is>
      </c>
      <c r="E219" t="inlineStr">
        <is>
          <t>VILHELMINA</t>
        </is>
      </c>
      <c r="G219" t="n">
        <v>24.6</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45915</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45915</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45915</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45915</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57086-2021</t>
        </is>
      </c>
      <c r="B224" s="1" t="n">
        <v>44482</v>
      </c>
      <c r="C224" s="1" t="n">
        <v>45915</v>
      </c>
      <c r="D224" t="inlineStr">
        <is>
          <t>VÄSTERBOTTENS LÄN</t>
        </is>
      </c>
      <c r="E224" t="inlineStr">
        <is>
          <t>VILHELMINA</t>
        </is>
      </c>
      <c r="G224" t="n">
        <v>1.5</v>
      </c>
      <c r="H224" t="n">
        <v>0</v>
      </c>
      <c r="I224" t="n">
        <v>0</v>
      </c>
      <c r="J224" t="n">
        <v>0</v>
      </c>
      <c r="K224" t="n">
        <v>0</v>
      </c>
      <c r="L224" t="n">
        <v>0</v>
      </c>
      <c r="M224" t="n">
        <v>0</v>
      </c>
      <c r="N224" t="n">
        <v>0</v>
      </c>
      <c r="O224" t="n">
        <v>0</v>
      </c>
      <c r="P224" t="n">
        <v>0</v>
      </c>
      <c r="Q224" t="n">
        <v>0</v>
      </c>
      <c r="R224" s="2" t="inlineStr"/>
    </row>
    <row r="225" ht="15" customHeight="1">
      <c r="A225" t="inlineStr">
        <is>
          <t>A 29773-2022</t>
        </is>
      </c>
      <c r="B225" s="1" t="n">
        <v>44755.62866898148</v>
      </c>
      <c r="C225" s="1" t="n">
        <v>45915</v>
      </c>
      <c r="D225" t="inlineStr">
        <is>
          <t>VÄSTERBOTTENS LÄN</t>
        </is>
      </c>
      <c r="E225" t="inlineStr">
        <is>
          <t>VILHELMINA</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45915</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45915</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33603-2022</t>
        </is>
      </c>
      <c r="B228" s="1" t="n">
        <v>44789.49009259259</v>
      </c>
      <c r="C228" s="1" t="n">
        <v>45915</v>
      </c>
      <c r="D228" t="inlineStr">
        <is>
          <t>VÄSTERBOTTENS LÄN</t>
        </is>
      </c>
      <c r="E228" t="inlineStr">
        <is>
          <t>VILHELMINA</t>
        </is>
      </c>
      <c r="F228" t="inlineStr">
        <is>
          <t>Sveaskog</t>
        </is>
      </c>
      <c r="G228" t="n">
        <v>15.1</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45915</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45915</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8718-2025</t>
        </is>
      </c>
      <c r="B231" s="1" t="n">
        <v>45712</v>
      </c>
      <c r="C231" s="1" t="n">
        <v>45915</v>
      </c>
      <c r="D231" t="inlineStr">
        <is>
          <t>VÄSTERBOTTENS LÄN</t>
        </is>
      </c>
      <c r="E231" t="inlineStr">
        <is>
          <t>VILHELMINA</t>
        </is>
      </c>
      <c r="G231" t="n">
        <v>21.3</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45915</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45915</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45915</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27194-2024</t>
        </is>
      </c>
      <c r="B235" s="1" t="n">
        <v>45471</v>
      </c>
      <c r="C235" s="1" t="n">
        <v>45915</v>
      </c>
      <c r="D235" t="inlineStr">
        <is>
          <t>VÄSTERBOTTENS LÄN</t>
        </is>
      </c>
      <c r="E235" t="inlineStr">
        <is>
          <t>VILHELMINA</t>
        </is>
      </c>
      <c r="G235" t="n">
        <v>8.5</v>
      </c>
      <c r="H235" t="n">
        <v>0</v>
      </c>
      <c r="I235" t="n">
        <v>0</v>
      </c>
      <c r="J235" t="n">
        <v>0</v>
      </c>
      <c r="K235" t="n">
        <v>0</v>
      </c>
      <c r="L235" t="n">
        <v>0</v>
      </c>
      <c r="M235" t="n">
        <v>0</v>
      </c>
      <c r="N235" t="n">
        <v>0</v>
      </c>
      <c r="O235" t="n">
        <v>0</v>
      </c>
      <c r="P235" t="n">
        <v>0</v>
      </c>
      <c r="Q235" t="n">
        <v>0</v>
      </c>
      <c r="R235" s="2" t="inlineStr"/>
    </row>
    <row r="236" ht="15" customHeight="1">
      <c r="A236" t="inlineStr">
        <is>
          <t>A 31896-2024</t>
        </is>
      </c>
      <c r="B236" s="1" t="n">
        <v>45509</v>
      </c>
      <c r="C236" s="1" t="n">
        <v>45915</v>
      </c>
      <c r="D236" t="inlineStr">
        <is>
          <t>VÄSTERBOTTENS LÄN</t>
        </is>
      </c>
      <c r="E236" t="inlineStr">
        <is>
          <t>VILHELMINA</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27874-2022</t>
        </is>
      </c>
      <c r="B237" s="1" t="n">
        <v>44743</v>
      </c>
      <c r="C237" s="1" t="n">
        <v>45915</v>
      </c>
      <c r="D237" t="inlineStr">
        <is>
          <t>VÄSTERBOTTENS LÄN</t>
        </is>
      </c>
      <c r="E237" t="inlineStr">
        <is>
          <t>VILHELMINA</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27880-2022</t>
        </is>
      </c>
      <c r="B238" s="1" t="n">
        <v>44743</v>
      </c>
      <c r="C238" s="1" t="n">
        <v>45915</v>
      </c>
      <c r="D238" t="inlineStr">
        <is>
          <t>VÄSTERBOTTENS LÄN</t>
        </is>
      </c>
      <c r="E238" t="inlineStr">
        <is>
          <t>VILHELMINA</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45915</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45915</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45915</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45915</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45915</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45915</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45915</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45915</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12190-2024</t>
        </is>
      </c>
      <c r="B247" s="1" t="n">
        <v>45377.94954861111</v>
      </c>
      <c r="C247" s="1" t="n">
        <v>45915</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15617-2024</t>
        </is>
      </c>
      <c r="B248" s="1" t="n">
        <v>45401.94358796296</v>
      </c>
      <c r="C248" s="1" t="n">
        <v>45915</v>
      </c>
      <c r="D248" t="inlineStr">
        <is>
          <t>VÄSTERBOTTENS LÄN</t>
        </is>
      </c>
      <c r="E248" t="inlineStr">
        <is>
          <t>VILHELMINA</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17432-2025</t>
        </is>
      </c>
      <c r="B249" s="1" t="n">
        <v>45757</v>
      </c>
      <c r="C249" s="1" t="n">
        <v>45915</v>
      </c>
      <c r="D249" t="inlineStr">
        <is>
          <t>VÄSTERBOTTENS LÄN</t>
        </is>
      </c>
      <c r="E249" t="inlineStr">
        <is>
          <t>VILHELMINA</t>
        </is>
      </c>
      <c r="G249" t="n">
        <v>4.6</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45915</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54985-2023</t>
        </is>
      </c>
      <c r="B251" s="1" t="n">
        <v>45236</v>
      </c>
      <c r="C251" s="1" t="n">
        <v>45915</v>
      </c>
      <c r="D251" t="inlineStr">
        <is>
          <t>VÄSTERBOTTENS LÄN</t>
        </is>
      </c>
      <c r="E251" t="inlineStr">
        <is>
          <t>VILHELMINA</t>
        </is>
      </c>
      <c r="F251" t="inlineStr">
        <is>
          <t>SCA</t>
        </is>
      </c>
      <c r="G251" t="n">
        <v>7.5</v>
      </c>
      <c r="H251" t="n">
        <v>0</v>
      </c>
      <c r="I251" t="n">
        <v>0</v>
      </c>
      <c r="J251" t="n">
        <v>0</v>
      </c>
      <c r="K251" t="n">
        <v>0</v>
      </c>
      <c r="L251" t="n">
        <v>0</v>
      </c>
      <c r="M251" t="n">
        <v>0</v>
      </c>
      <c r="N251" t="n">
        <v>0</v>
      </c>
      <c r="O251" t="n">
        <v>0</v>
      </c>
      <c r="P251" t="n">
        <v>0</v>
      </c>
      <c r="Q251" t="n">
        <v>0</v>
      </c>
      <c r="R251" s="2" t="inlineStr"/>
    </row>
    <row r="252" ht="15" customHeight="1">
      <c r="A252" t="inlineStr">
        <is>
          <t>A 46119-2022</t>
        </is>
      </c>
      <c r="B252" s="1" t="n">
        <v>44847</v>
      </c>
      <c r="C252" s="1" t="n">
        <v>45915</v>
      </c>
      <c r="D252" t="inlineStr">
        <is>
          <t>VÄSTERBOTTENS LÄN</t>
        </is>
      </c>
      <c r="E252" t="inlineStr">
        <is>
          <t>VILHELMINA</t>
        </is>
      </c>
      <c r="G252" t="n">
        <v>12.1</v>
      </c>
      <c r="H252" t="n">
        <v>0</v>
      </c>
      <c r="I252" t="n">
        <v>0</v>
      </c>
      <c r="J252" t="n">
        <v>0</v>
      </c>
      <c r="K252" t="n">
        <v>0</v>
      </c>
      <c r="L252" t="n">
        <v>0</v>
      </c>
      <c r="M252" t="n">
        <v>0</v>
      </c>
      <c r="N252" t="n">
        <v>0</v>
      </c>
      <c r="O252" t="n">
        <v>0</v>
      </c>
      <c r="P252" t="n">
        <v>0</v>
      </c>
      <c r="Q252" t="n">
        <v>0</v>
      </c>
      <c r="R252" s="2" t="inlineStr"/>
    </row>
    <row r="253" ht="15" customHeight="1">
      <c r="A253" t="inlineStr">
        <is>
          <t>A 46121-2022</t>
        </is>
      </c>
      <c r="B253" s="1" t="n">
        <v>44847</v>
      </c>
      <c r="C253" s="1" t="n">
        <v>45915</v>
      </c>
      <c r="D253" t="inlineStr">
        <is>
          <t>VÄSTERBOTTENS LÄN</t>
        </is>
      </c>
      <c r="E253" t="inlineStr">
        <is>
          <t>VILHELMINA</t>
        </is>
      </c>
      <c r="G253" t="n">
        <v>2.6</v>
      </c>
      <c r="H253" t="n">
        <v>0</v>
      </c>
      <c r="I253" t="n">
        <v>0</v>
      </c>
      <c r="J253" t="n">
        <v>0</v>
      </c>
      <c r="K253" t="n">
        <v>0</v>
      </c>
      <c r="L253" t="n">
        <v>0</v>
      </c>
      <c r="M253" t="n">
        <v>0</v>
      </c>
      <c r="N253" t="n">
        <v>0</v>
      </c>
      <c r="O253" t="n">
        <v>0</v>
      </c>
      <c r="P253" t="n">
        <v>0</v>
      </c>
      <c r="Q253" t="n">
        <v>0</v>
      </c>
      <c r="R253" s="2" t="inlineStr"/>
    </row>
    <row r="254" ht="15" customHeight="1">
      <c r="A254" t="inlineStr">
        <is>
          <t>A 20769-2024</t>
        </is>
      </c>
      <c r="B254" s="1" t="n">
        <v>45436.94604166667</v>
      </c>
      <c r="C254" s="1" t="n">
        <v>45915</v>
      </c>
      <c r="D254" t="inlineStr">
        <is>
          <t>VÄSTERBOTTENS LÄN</t>
        </is>
      </c>
      <c r="E254" t="inlineStr">
        <is>
          <t>VILHELMINA</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49599-2022</t>
        </is>
      </c>
      <c r="B255" s="1" t="n">
        <v>44859</v>
      </c>
      <c r="C255" s="1" t="n">
        <v>45915</v>
      </c>
      <c r="D255" t="inlineStr">
        <is>
          <t>VÄSTERBOTTENS LÄN</t>
        </is>
      </c>
      <c r="E255" t="inlineStr">
        <is>
          <t>VILHELMINA</t>
        </is>
      </c>
      <c r="G255" t="n">
        <v>3.6</v>
      </c>
      <c r="H255" t="n">
        <v>0</v>
      </c>
      <c r="I255" t="n">
        <v>0</v>
      </c>
      <c r="J255" t="n">
        <v>0</v>
      </c>
      <c r="K255" t="n">
        <v>0</v>
      </c>
      <c r="L255" t="n">
        <v>0</v>
      </c>
      <c r="M255" t="n">
        <v>0</v>
      </c>
      <c r="N255" t="n">
        <v>0</v>
      </c>
      <c r="O255" t="n">
        <v>0</v>
      </c>
      <c r="P255" t="n">
        <v>0</v>
      </c>
      <c r="Q255" t="n">
        <v>0</v>
      </c>
      <c r="R255" s="2" t="inlineStr"/>
    </row>
    <row r="256" ht="15" customHeight="1">
      <c r="A256" t="inlineStr">
        <is>
          <t>A 23261-2021</t>
        </is>
      </c>
      <c r="B256" s="1" t="n">
        <v>44330</v>
      </c>
      <c r="C256" s="1" t="n">
        <v>45915</v>
      </c>
      <c r="D256" t="inlineStr">
        <is>
          <t>VÄSTERBOTTENS LÄN</t>
        </is>
      </c>
      <c r="E256" t="inlineStr">
        <is>
          <t>VILHELMINA</t>
        </is>
      </c>
      <c r="G256" t="n">
        <v>4.5</v>
      </c>
      <c r="H256" t="n">
        <v>0</v>
      </c>
      <c r="I256" t="n">
        <v>0</v>
      </c>
      <c r="J256" t="n">
        <v>0</v>
      </c>
      <c r="K256" t="n">
        <v>0</v>
      </c>
      <c r="L256" t="n">
        <v>0</v>
      </c>
      <c r="M256" t="n">
        <v>0</v>
      </c>
      <c r="N256" t="n">
        <v>0</v>
      </c>
      <c r="O256" t="n">
        <v>0</v>
      </c>
      <c r="P256" t="n">
        <v>0</v>
      </c>
      <c r="Q256" t="n">
        <v>0</v>
      </c>
      <c r="R256" s="2" t="inlineStr"/>
    </row>
    <row r="257" ht="15" customHeight="1">
      <c r="A257" t="inlineStr">
        <is>
          <t>A 2008-2025</t>
        </is>
      </c>
      <c r="B257" s="1" t="n">
        <v>45672.45302083333</v>
      </c>
      <c r="C257" s="1" t="n">
        <v>45915</v>
      </c>
      <c r="D257" t="inlineStr">
        <is>
          <t>VÄSTERBOTTENS LÄN</t>
        </is>
      </c>
      <c r="E257" t="inlineStr">
        <is>
          <t>VILHELMINA</t>
        </is>
      </c>
      <c r="G257" t="n">
        <v>0.7</v>
      </c>
      <c r="H257" t="n">
        <v>0</v>
      </c>
      <c r="I257" t="n">
        <v>0</v>
      </c>
      <c r="J257" t="n">
        <v>0</v>
      </c>
      <c r="K257" t="n">
        <v>0</v>
      </c>
      <c r="L257" t="n">
        <v>0</v>
      </c>
      <c r="M257" t="n">
        <v>0</v>
      </c>
      <c r="N257" t="n">
        <v>0</v>
      </c>
      <c r="O257" t="n">
        <v>0</v>
      </c>
      <c r="P257" t="n">
        <v>0</v>
      </c>
      <c r="Q257" t="n">
        <v>0</v>
      </c>
      <c r="R257" s="2" t="inlineStr"/>
    </row>
    <row r="258" ht="15" customHeight="1">
      <c r="A258" t="inlineStr">
        <is>
          <t>A 15050-2024</t>
        </is>
      </c>
      <c r="B258" s="1" t="n">
        <v>45399</v>
      </c>
      <c r="C258" s="1" t="n">
        <v>45915</v>
      </c>
      <c r="D258" t="inlineStr">
        <is>
          <t>VÄSTERBOTTENS LÄN</t>
        </is>
      </c>
      <c r="E258" t="inlineStr">
        <is>
          <t>VILHELMINA</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15059-2024</t>
        </is>
      </c>
      <c r="B259" s="1" t="n">
        <v>45399</v>
      </c>
      <c r="C259" s="1" t="n">
        <v>45915</v>
      </c>
      <c r="D259" t="inlineStr">
        <is>
          <t>VÄSTERBOTTENS LÄN</t>
        </is>
      </c>
      <c r="E259" t="inlineStr">
        <is>
          <t>VILHELMINA</t>
        </is>
      </c>
      <c r="G259" t="n">
        <v>0.8</v>
      </c>
      <c r="H259" t="n">
        <v>0</v>
      </c>
      <c r="I259" t="n">
        <v>0</v>
      </c>
      <c r="J259" t="n">
        <v>0</v>
      </c>
      <c r="K259" t="n">
        <v>0</v>
      </c>
      <c r="L259" t="n">
        <v>0</v>
      </c>
      <c r="M259" t="n">
        <v>0</v>
      </c>
      <c r="N259" t="n">
        <v>0</v>
      </c>
      <c r="O259" t="n">
        <v>0</v>
      </c>
      <c r="P259" t="n">
        <v>0</v>
      </c>
      <c r="Q259" t="n">
        <v>0</v>
      </c>
      <c r="R259" s="2" t="inlineStr"/>
    </row>
    <row r="260" ht="15" customHeight="1">
      <c r="A260" t="inlineStr">
        <is>
          <t>A 33412-2023</t>
        </is>
      </c>
      <c r="B260" s="1" t="n">
        <v>45117</v>
      </c>
      <c r="C260" s="1" t="n">
        <v>45915</v>
      </c>
      <c r="D260" t="inlineStr">
        <is>
          <t>VÄSTERBOTTENS LÄN</t>
        </is>
      </c>
      <c r="E260" t="inlineStr">
        <is>
          <t>VILHELMINA</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18790-2021</t>
        </is>
      </c>
      <c r="B261" s="1" t="n">
        <v>44307</v>
      </c>
      <c r="C261" s="1" t="n">
        <v>45915</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18398-2025</t>
        </is>
      </c>
      <c r="B262" s="1" t="n">
        <v>45762.59491898148</v>
      </c>
      <c r="C262" s="1" t="n">
        <v>45915</v>
      </c>
      <c r="D262" t="inlineStr">
        <is>
          <t>VÄSTERBOTTENS LÄN</t>
        </is>
      </c>
      <c r="E262" t="inlineStr">
        <is>
          <t>VILHELMINA</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57246-2023</t>
        </is>
      </c>
      <c r="B263" s="1" t="n">
        <v>45239</v>
      </c>
      <c r="C263" s="1" t="n">
        <v>45915</v>
      </c>
      <c r="D263" t="inlineStr">
        <is>
          <t>VÄSTERBOTTENS LÄN</t>
        </is>
      </c>
      <c r="E263" t="inlineStr">
        <is>
          <t>VILHELMINA</t>
        </is>
      </c>
      <c r="G263" t="n">
        <v>15.3</v>
      </c>
      <c r="H263" t="n">
        <v>0</v>
      </c>
      <c r="I263" t="n">
        <v>0</v>
      </c>
      <c r="J263" t="n">
        <v>0</v>
      </c>
      <c r="K263" t="n">
        <v>0</v>
      </c>
      <c r="L263" t="n">
        <v>0</v>
      </c>
      <c r="M263" t="n">
        <v>0</v>
      </c>
      <c r="N263" t="n">
        <v>0</v>
      </c>
      <c r="O263" t="n">
        <v>0</v>
      </c>
      <c r="P263" t="n">
        <v>0</v>
      </c>
      <c r="Q263" t="n">
        <v>0</v>
      </c>
      <c r="R263" s="2" t="inlineStr"/>
    </row>
    <row r="264" ht="15" customHeight="1">
      <c r="A264" t="inlineStr">
        <is>
          <t>A 24599-2021</t>
        </is>
      </c>
      <c r="B264" s="1" t="n">
        <v>44341</v>
      </c>
      <c r="C264" s="1" t="n">
        <v>45915</v>
      </c>
      <c r="D264" t="inlineStr">
        <is>
          <t>VÄSTERBOTTENS LÄN</t>
        </is>
      </c>
      <c r="E264" t="inlineStr">
        <is>
          <t>VILHELMINA</t>
        </is>
      </c>
      <c r="G264" t="n">
        <v>14.5</v>
      </c>
      <c r="H264" t="n">
        <v>0</v>
      </c>
      <c r="I264" t="n">
        <v>0</v>
      </c>
      <c r="J264" t="n">
        <v>0</v>
      </c>
      <c r="K264" t="n">
        <v>0</v>
      </c>
      <c r="L264" t="n">
        <v>0</v>
      </c>
      <c r="M264" t="n">
        <v>0</v>
      </c>
      <c r="N264" t="n">
        <v>0</v>
      </c>
      <c r="O264" t="n">
        <v>0</v>
      </c>
      <c r="P264" t="n">
        <v>0</v>
      </c>
      <c r="Q264" t="n">
        <v>0</v>
      </c>
      <c r="R264" s="2" t="inlineStr"/>
    </row>
    <row r="265" ht="15" customHeight="1">
      <c r="A265" t="inlineStr">
        <is>
          <t>A 36082-2022</t>
        </is>
      </c>
      <c r="B265" s="1" t="n">
        <v>44802</v>
      </c>
      <c r="C265" s="1" t="n">
        <v>45915</v>
      </c>
      <c r="D265" t="inlineStr">
        <is>
          <t>VÄSTERBOTTENS LÄN</t>
        </is>
      </c>
      <c r="E265" t="inlineStr">
        <is>
          <t>VILHELMINA</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56246-2023</t>
        </is>
      </c>
      <c r="B266" s="1" t="n">
        <v>45240</v>
      </c>
      <c r="C266" s="1" t="n">
        <v>45915</v>
      </c>
      <c r="D266" t="inlineStr">
        <is>
          <t>VÄSTERBOTTENS LÄN</t>
        </is>
      </c>
      <c r="E266" t="inlineStr">
        <is>
          <t>VILHELMINA</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12866-2023</t>
        </is>
      </c>
      <c r="B267" s="1" t="n">
        <v>45000</v>
      </c>
      <c r="C267" s="1" t="n">
        <v>45915</v>
      </c>
      <c r="D267" t="inlineStr">
        <is>
          <t>VÄSTERBOTTENS LÄN</t>
        </is>
      </c>
      <c r="E267" t="inlineStr">
        <is>
          <t>VILHELMINA</t>
        </is>
      </c>
      <c r="G267" t="n">
        <v>2.6</v>
      </c>
      <c r="H267" t="n">
        <v>0</v>
      </c>
      <c r="I267" t="n">
        <v>0</v>
      </c>
      <c r="J267" t="n">
        <v>0</v>
      </c>
      <c r="K267" t="n">
        <v>0</v>
      </c>
      <c r="L267" t="n">
        <v>0</v>
      </c>
      <c r="M267" t="n">
        <v>0</v>
      </c>
      <c r="N267" t="n">
        <v>0</v>
      </c>
      <c r="O267" t="n">
        <v>0</v>
      </c>
      <c r="P267" t="n">
        <v>0</v>
      </c>
      <c r="Q267" t="n">
        <v>0</v>
      </c>
      <c r="R267" s="2" t="inlineStr"/>
    </row>
    <row r="268" ht="15" customHeight="1">
      <c r="A268" t="inlineStr">
        <is>
          <t>A 46071-2022</t>
        </is>
      </c>
      <c r="B268" s="1" t="n">
        <v>44847</v>
      </c>
      <c r="C268" s="1" t="n">
        <v>45915</v>
      </c>
      <c r="D268" t="inlineStr">
        <is>
          <t>VÄSTERBOTTENS LÄN</t>
        </is>
      </c>
      <c r="E268" t="inlineStr">
        <is>
          <t>VILHELMINA</t>
        </is>
      </c>
      <c r="G268" t="n">
        <v>10.6</v>
      </c>
      <c r="H268" t="n">
        <v>0</v>
      </c>
      <c r="I268" t="n">
        <v>0</v>
      </c>
      <c r="J268" t="n">
        <v>0</v>
      </c>
      <c r="K268" t="n">
        <v>0</v>
      </c>
      <c r="L268" t="n">
        <v>0</v>
      </c>
      <c r="M268" t="n">
        <v>0</v>
      </c>
      <c r="N268" t="n">
        <v>0</v>
      </c>
      <c r="O268" t="n">
        <v>0</v>
      </c>
      <c r="P268" t="n">
        <v>0</v>
      </c>
      <c r="Q268" t="n">
        <v>0</v>
      </c>
      <c r="R268" s="2" t="inlineStr"/>
    </row>
    <row r="269" ht="15" customHeight="1">
      <c r="A269" t="inlineStr">
        <is>
          <t>A 72494-2021</t>
        </is>
      </c>
      <c r="B269" s="1" t="n">
        <v>44545.92059027778</v>
      </c>
      <c r="C269" s="1" t="n">
        <v>45915</v>
      </c>
      <c r="D269" t="inlineStr">
        <is>
          <t>VÄSTERBOTTENS LÄN</t>
        </is>
      </c>
      <c r="E269" t="inlineStr">
        <is>
          <t>VILHELMINA</t>
        </is>
      </c>
      <c r="G269" t="n">
        <v>4.2</v>
      </c>
      <c r="H269" t="n">
        <v>0</v>
      </c>
      <c r="I269" t="n">
        <v>0</v>
      </c>
      <c r="J269" t="n">
        <v>0</v>
      </c>
      <c r="K269" t="n">
        <v>0</v>
      </c>
      <c r="L269" t="n">
        <v>0</v>
      </c>
      <c r="M269" t="n">
        <v>0</v>
      </c>
      <c r="N269" t="n">
        <v>0</v>
      </c>
      <c r="O269" t="n">
        <v>0</v>
      </c>
      <c r="P269" t="n">
        <v>0</v>
      </c>
      <c r="Q269" t="n">
        <v>0</v>
      </c>
      <c r="R269" s="2" t="inlineStr"/>
    </row>
    <row r="270" ht="15" customHeight="1">
      <c r="A270" t="inlineStr">
        <is>
          <t>A 58207-2022</t>
        </is>
      </c>
      <c r="B270" s="1" t="n">
        <v>44901</v>
      </c>
      <c r="C270" s="1" t="n">
        <v>45915</v>
      </c>
      <c r="D270" t="inlineStr">
        <is>
          <t>VÄSTERBOTTENS LÄN</t>
        </is>
      </c>
      <c r="E270" t="inlineStr">
        <is>
          <t>VILHELMINA</t>
        </is>
      </c>
      <c r="G270" t="n">
        <v>143.2</v>
      </c>
      <c r="H270" t="n">
        <v>0</v>
      </c>
      <c r="I270" t="n">
        <v>0</v>
      </c>
      <c r="J270" t="n">
        <v>0</v>
      </c>
      <c r="K270" t="n">
        <v>0</v>
      </c>
      <c r="L270" t="n">
        <v>0</v>
      </c>
      <c r="M270" t="n">
        <v>0</v>
      </c>
      <c r="N270" t="n">
        <v>0</v>
      </c>
      <c r="O270" t="n">
        <v>0</v>
      </c>
      <c r="P270" t="n">
        <v>0</v>
      </c>
      <c r="Q270" t="n">
        <v>0</v>
      </c>
      <c r="R270" s="2" t="inlineStr"/>
    </row>
    <row r="271" ht="15" customHeight="1">
      <c r="A271" t="inlineStr">
        <is>
          <t>A 248-2025</t>
        </is>
      </c>
      <c r="B271" s="1" t="n">
        <v>45660.419375</v>
      </c>
      <c r="C271" s="1" t="n">
        <v>45915</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16721-2025</t>
        </is>
      </c>
      <c r="B272" s="1" t="n">
        <v>45754.49045138889</v>
      </c>
      <c r="C272" s="1" t="n">
        <v>45915</v>
      </c>
      <c r="D272" t="inlineStr">
        <is>
          <t>VÄSTERBOTTENS LÄN</t>
        </is>
      </c>
      <c r="E272" t="inlineStr">
        <is>
          <t>VILHELMINA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60376-2024</t>
        </is>
      </c>
      <c r="B273" s="1" t="n">
        <v>45643</v>
      </c>
      <c r="C273" s="1" t="n">
        <v>45915</v>
      </c>
      <c r="D273" t="inlineStr">
        <is>
          <t>VÄSTERBOTTENS LÄN</t>
        </is>
      </c>
      <c r="E273" t="inlineStr">
        <is>
          <t>VILHELMINA</t>
        </is>
      </c>
      <c r="F273" t="inlineStr">
        <is>
          <t>SCA</t>
        </is>
      </c>
      <c r="G273" t="n">
        <v>11.5</v>
      </c>
      <c r="H273" t="n">
        <v>0</v>
      </c>
      <c r="I273" t="n">
        <v>0</v>
      </c>
      <c r="J273" t="n">
        <v>0</v>
      </c>
      <c r="K273" t="n">
        <v>0</v>
      </c>
      <c r="L273" t="n">
        <v>0</v>
      </c>
      <c r="M273" t="n">
        <v>0</v>
      </c>
      <c r="N273" t="n">
        <v>0</v>
      </c>
      <c r="O273" t="n">
        <v>0</v>
      </c>
      <c r="P273" t="n">
        <v>0</v>
      </c>
      <c r="Q273" t="n">
        <v>0</v>
      </c>
      <c r="R273" s="2" t="inlineStr"/>
    </row>
    <row r="274" ht="15" customHeight="1">
      <c r="A274" t="inlineStr">
        <is>
          <t>A 19465-2025</t>
        </is>
      </c>
      <c r="B274" s="1" t="n">
        <v>45770</v>
      </c>
      <c r="C274" s="1" t="n">
        <v>45915</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45915</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45915</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23180-2024</t>
        </is>
      </c>
      <c r="B277" s="1" t="n">
        <v>45450.9444212963</v>
      </c>
      <c r="C277" s="1" t="n">
        <v>45915</v>
      </c>
      <c r="D277" t="inlineStr">
        <is>
          <t>VÄSTERBOTTENS LÄN</t>
        </is>
      </c>
      <c r="E277" t="inlineStr">
        <is>
          <t>VILHELMINA</t>
        </is>
      </c>
      <c r="F277" t="inlineStr">
        <is>
          <t>SCA</t>
        </is>
      </c>
      <c r="G277" t="n">
        <v>5.6</v>
      </c>
      <c r="H277" t="n">
        <v>0</v>
      </c>
      <c r="I277" t="n">
        <v>0</v>
      </c>
      <c r="J277" t="n">
        <v>0</v>
      </c>
      <c r="K277" t="n">
        <v>0</v>
      </c>
      <c r="L277" t="n">
        <v>0</v>
      </c>
      <c r="M277" t="n">
        <v>0</v>
      </c>
      <c r="N277" t="n">
        <v>0</v>
      </c>
      <c r="O277" t="n">
        <v>0</v>
      </c>
      <c r="P277" t="n">
        <v>0</v>
      </c>
      <c r="Q277" t="n">
        <v>0</v>
      </c>
      <c r="R277" s="2" t="inlineStr"/>
    </row>
    <row r="278" ht="15" customHeight="1">
      <c r="A278" t="inlineStr">
        <is>
          <t>A 52749-2023</t>
        </is>
      </c>
      <c r="B278" s="1" t="n">
        <v>45225.9678587963</v>
      </c>
      <c r="C278" s="1" t="n">
        <v>45915</v>
      </c>
      <c r="D278" t="inlineStr">
        <is>
          <t>VÄSTERBOTTENS LÄN</t>
        </is>
      </c>
      <c r="E278" t="inlineStr">
        <is>
          <t>VILHELMINA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48068-2022</t>
        </is>
      </c>
      <c r="B279" s="1" t="n">
        <v>44855</v>
      </c>
      <c r="C279" s="1" t="n">
        <v>45915</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58456-2023</t>
        </is>
      </c>
      <c r="B280" s="1" t="n">
        <v>45250.96092592592</v>
      </c>
      <c r="C280" s="1" t="n">
        <v>45915</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45915</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45915</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60549-2022</t>
        </is>
      </c>
      <c r="B283" s="1" t="n">
        <v>44911.51318287037</v>
      </c>
      <c r="C283" s="1" t="n">
        <v>45915</v>
      </c>
      <c r="D283" t="inlineStr">
        <is>
          <t>VÄSTERBOTTENS LÄN</t>
        </is>
      </c>
      <c r="E283" t="inlineStr">
        <is>
          <t>VILHELMINA</t>
        </is>
      </c>
      <c r="G283" t="n">
        <v>3.8</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45915</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12189-2024</t>
        </is>
      </c>
      <c r="B285" s="1" t="n">
        <v>45377.94945601852</v>
      </c>
      <c r="C285" s="1" t="n">
        <v>45915</v>
      </c>
      <c r="D285" t="inlineStr">
        <is>
          <t>VÄSTERBOTTENS LÄN</t>
        </is>
      </c>
      <c r="E285" t="inlineStr">
        <is>
          <t>VILHELMINA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22107-2024</t>
        </is>
      </c>
      <c r="B286" s="1" t="n">
        <v>45443</v>
      </c>
      <c r="C286" s="1" t="n">
        <v>45915</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45915</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21069-2025</t>
        </is>
      </c>
      <c r="B288" s="1" t="n">
        <v>45777.59427083333</v>
      </c>
      <c r="C288" s="1" t="n">
        <v>45915</v>
      </c>
      <c r="D288" t="inlineStr">
        <is>
          <t>VÄSTERBOTTENS LÄN</t>
        </is>
      </c>
      <c r="E288" t="inlineStr">
        <is>
          <t>VILHELMINA</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61048-2022</t>
        </is>
      </c>
      <c r="B289" s="1" t="n">
        <v>44914</v>
      </c>
      <c r="C289" s="1" t="n">
        <v>45915</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45915</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12229-2022</t>
        </is>
      </c>
      <c r="B291" s="1" t="n">
        <v>44637</v>
      </c>
      <c r="C291" s="1" t="n">
        <v>45915</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45007-2024</t>
        </is>
      </c>
      <c r="B292" s="1" t="n">
        <v>45575.49100694444</v>
      </c>
      <c r="C292" s="1" t="n">
        <v>45915</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21410-2025</t>
        </is>
      </c>
      <c r="B293" s="1" t="n">
        <v>45782</v>
      </c>
      <c r="C293" s="1" t="n">
        <v>45915</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2382-2023</t>
        </is>
      </c>
      <c r="B294" s="1" t="n">
        <v>44942</v>
      </c>
      <c r="C294" s="1" t="n">
        <v>45915</v>
      </c>
      <c r="D294" t="inlineStr">
        <is>
          <t>VÄSTERBOTTENS LÄN</t>
        </is>
      </c>
      <c r="E294" t="inlineStr">
        <is>
          <t>VILHELMINA</t>
        </is>
      </c>
      <c r="G294" t="n">
        <v>29.7</v>
      </c>
      <c r="H294" t="n">
        <v>0</v>
      </c>
      <c r="I294" t="n">
        <v>0</v>
      </c>
      <c r="J294" t="n">
        <v>0</v>
      </c>
      <c r="K294" t="n">
        <v>0</v>
      </c>
      <c r="L294" t="n">
        <v>0</v>
      </c>
      <c r="M294" t="n">
        <v>0</v>
      </c>
      <c r="N294" t="n">
        <v>0</v>
      </c>
      <c r="O294" t="n">
        <v>0</v>
      </c>
      <c r="P294" t="n">
        <v>0</v>
      </c>
      <c r="Q294" t="n">
        <v>0</v>
      </c>
      <c r="R294" s="2" t="inlineStr"/>
    </row>
    <row r="295" ht="15" customHeight="1">
      <c r="A295" t="inlineStr">
        <is>
          <t>A 3745-2023</t>
        </is>
      </c>
      <c r="B295" s="1" t="n">
        <v>44949</v>
      </c>
      <c r="C295" s="1" t="n">
        <v>45915</v>
      </c>
      <c r="D295" t="inlineStr">
        <is>
          <t>VÄSTERBOTTENS LÄN</t>
        </is>
      </c>
      <c r="E295" t="inlineStr">
        <is>
          <t>VILHELMINA</t>
        </is>
      </c>
      <c r="G295" t="n">
        <v>36.6</v>
      </c>
      <c r="H295" t="n">
        <v>0</v>
      </c>
      <c r="I295" t="n">
        <v>0</v>
      </c>
      <c r="J295" t="n">
        <v>0</v>
      </c>
      <c r="K295" t="n">
        <v>0</v>
      </c>
      <c r="L295" t="n">
        <v>0</v>
      </c>
      <c r="M295" t="n">
        <v>0</v>
      </c>
      <c r="N295" t="n">
        <v>0</v>
      </c>
      <c r="O295" t="n">
        <v>0</v>
      </c>
      <c r="P295" t="n">
        <v>0</v>
      </c>
      <c r="Q295" t="n">
        <v>0</v>
      </c>
      <c r="R295" s="2" t="inlineStr"/>
    </row>
    <row r="296" ht="15" customHeight="1">
      <c r="A296" t="inlineStr">
        <is>
          <t>A 21205-2025</t>
        </is>
      </c>
      <c r="B296" s="1" t="n">
        <v>45779</v>
      </c>
      <c r="C296" s="1" t="n">
        <v>45915</v>
      </c>
      <c r="D296" t="inlineStr">
        <is>
          <t>VÄSTERBOTTENS LÄN</t>
        </is>
      </c>
      <c r="E296" t="inlineStr">
        <is>
          <t>VILHELMINA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21448-2025</t>
        </is>
      </c>
      <c r="B297" s="1" t="n">
        <v>45782.55241898148</v>
      </c>
      <c r="C297" s="1" t="n">
        <v>45915</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70849-2021</t>
        </is>
      </c>
      <c r="B298" s="1" t="n">
        <v>44532</v>
      </c>
      <c r="C298" s="1" t="n">
        <v>45915</v>
      </c>
      <c r="D298" t="inlineStr">
        <is>
          <t>VÄSTERBOTTENS LÄN</t>
        </is>
      </c>
      <c r="E298" t="inlineStr">
        <is>
          <t>VILHELMINA</t>
        </is>
      </c>
      <c r="G298" t="n">
        <v>21.4</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45915</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21924-2025</t>
        </is>
      </c>
      <c r="B300" s="1" t="n">
        <v>45784</v>
      </c>
      <c r="C300" s="1" t="n">
        <v>45915</v>
      </c>
      <c r="D300" t="inlineStr">
        <is>
          <t>VÄSTERBOTTENS LÄN</t>
        </is>
      </c>
      <c r="E300" t="inlineStr">
        <is>
          <t>VILHELMINA</t>
        </is>
      </c>
      <c r="G300" t="n">
        <v>10.2</v>
      </c>
      <c r="H300" t="n">
        <v>0</v>
      </c>
      <c r="I300" t="n">
        <v>0</v>
      </c>
      <c r="J300" t="n">
        <v>0</v>
      </c>
      <c r="K300" t="n">
        <v>0</v>
      </c>
      <c r="L300" t="n">
        <v>0</v>
      </c>
      <c r="M300" t="n">
        <v>0</v>
      </c>
      <c r="N300" t="n">
        <v>0</v>
      </c>
      <c r="O300" t="n">
        <v>0</v>
      </c>
      <c r="P300" t="n">
        <v>0</v>
      </c>
      <c r="Q300" t="n">
        <v>0</v>
      </c>
      <c r="R300" s="2" t="inlineStr"/>
    </row>
    <row r="301" ht="15" customHeight="1">
      <c r="A301" t="inlineStr">
        <is>
          <t>A 23544-2024</t>
        </is>
      </c>
      <c r="B301" s="1" t="n">
        <v>45453.95314814815</v>
      </c>
      <c r="C301" s="1" t="n">
        <v>45915</v>
      </c>
      <c r="D301" t="inlineStr">
        <is>
          <t>VÄSTERBOTTENS LÄN</t>
        </is>
      </c>
      <c r="E301" t="inlineStr">
        <is>
          <t>VILHELMINA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23545-2024</t>
        </is>
      </c>
      <c r="B302" s="1" t="n">
        <v>45453.95326388889</v>
      </c>
      <c r="C302" s="1" t="n">
        <v>45915</v>
      </c>
      <c r="D302" t="inlineStr">
        <is>
          <t>VÄSTERBOTTENS LÄN</t>
        </is>
      </c>
      <c r="E302" t="inlineStr">
        <is>
          <t>VILHELMINA</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50482-2023</t>
        </is>
      </c>
      <c r="B303" s="1" t="n">
        <v>45216</v>
      </c>
      <c r="C303" s="1" t="n">
        <v>45915</v>
      </c>
      <c r="D303" t="inlineStr">
        <is>
          <t>VÄSTERBOTTENS LÄN</t>
        </is>
      </c>
      <c r="E303" t="inlineStr">
        <is>
          <t>VILHELMINA</t>
        </is>
      </c>
      <c r="G303" t="n">
        <v>3.5</v>
      </c>
      <c r="H303" t="n">
        <v>0</v>
      </c>
      <c r="I303" t="n">
        <v>0</v>
      </c>
      <c r="J303" t="n">
        <v>0</v>
      </c>
      <c r="K303" t="n">
        <v>0</v>
      </c>
      <c r="L303" t="n">
        <v>0</v>
      </c>
      <c r="M303" t="n">
        <v>0</v>
      </c>
      <c r="N303" t="n">
        <v>0</v>
      </c>
      <c r="O303" t="n">
        <v>0</v>
      </c>
      <c r="P303" t="n">
        <v>0</v>
      </c>
      <c r="Q303" t="n">
        <v>0</v>
      </c>
      <c r="R303" s="2" t="inlineStr"/>
    </row>
    <row r="304" ht="15" customHeight="1">
      <c r="A304" t="inlineStr">
        <is>
          <t>A 38674-2023</t>
        </is>
      </c>
      <c r="B304" s="1" t="n">
        <v>45162.94335648148</v>
      </c>
      <c r="C304" s="1" t="n">
        <v>45915</v>
      </c>
      <c r="D304" t="inlineStr">
        <is>
          <t>VÄSTERBOTTENS LÄN</t>
        </is>
      </c>
      <c r="E304" t="inlineStr">
        <is>
          <t>VILHELMINA</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63218-2021</t>
        </is>
      </c>
      <c r="B305" s="1" t="n">
        <v>44505</v>
      </c>
      <c r="C305" s="1" t="n">
        <v>45915</v>
      </c>
      <c r="D305" t="inlineStr">
        <is>
          <t>VÄSTERBOTTENS LÄN</t>
        </is>
      </c>
      <c r="E305" t="inlineStr">
        <is>
          <t>VILHELMINA</t>
        </is>
      </c>
      <c r="G305" t="n">
        <v>6.8</v>
      </c>
      <c r="H305" t="n">
        <v>0</v>
      </c>
      <c r="I305" t="n">
        <v>0</v>
      </c>
      <c r="J305" t="n">
        <v>0</v>
      </c>
      <c r="K305" t="n">
        <v>0</v>
      </c>
      <c r="L305" t="n">
        <v>0</v>
      </c>
      <c r="M305" t="n">
        <v>0</v>
      </c>
      <c r="N305" t="n">
        <v>0</v>
      </c>
      <c r="O305" t="n">
        <v>0</v>
      </c>
      <c r="P305" t="n">
        <v>0</v>
      </c>
      <c r="Q305" t="n">
        <v>0</v>
      </c>
      <c r="R305" s="2" t="inlineStr"/>
    </row>
    <row r="306" ht="15" customHeight="1">
      <c r="A306" t="inlineStr">
        <is>
          <t>A 21999-2025</t>
        </is>
      </c>
      <c r="B306" s="1" t="n">
        <v>45784</v>
      </c>
      <c r="C306" s="1" t="n">
        <v>45915</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21950-2025</t>
        </is>
      </c>
      <c r="B307" s="1" t="n">
        <v>45784.59418981482</v>
      </c>
      <c r="C307" s="1" t="n">
        <v>45915</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21623-2025</t>
        </is>
      </c>
      <c r="B308" s="1" t="n">
        <v>45783</v>
      </c>
      <c r="C308" s="1" t="n">
        <v>45915</v>
      </c>
      <c r="D308" t="inlineStr">
        <is>
          <t>VÄSTERBOTTENS LÄN</t>
        </is>
      </c>
      <c r="E308" t="inlineStr">
        <is>
          <t>VILHELMINA</t>
        </is>
      </c>
      <c r="F308" t="inlineStr">
        <is>
          <t>SCA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21670-2025</t>
        </is>
      </c>
      <c r="B309" s="1" t="n">
        <v>45783.46917824074</v>
      </c>
      <c r="C309" s="1" t="n">
        <v>45915</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11544-2023</t>
        </is>
      </c>
      <c r="B310" s="1" t="n">
        <v>44993.94818287037</v>
      </c>
      <c r="C310" s="1" t="n">
        <v>45915</v>
      </c>
      <c r="D310" t="inlineStr">
        <is>
          <t>VÄSTERBOTTENS LÄN</t>
        </is>
      </c>
      <c r="E310" t="inlineStr">
        <is>
          <t>VILHELMINA</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21972-2025</t>
        </is>
      </c>
      <c r="B311" s="1" t="n">
        <v>45784.63592592593</v>
      </c>
      <c r="C311" s="1" t="n">
        <v>45915</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58377-2021</t>
        </is>
      </c>
      <c r="B312" s="1" t="n">
        <v>44488</v>
      </c>
      <c r="C312" s="1" t="n">
        <v>45915</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45915</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15326-2024</t>
        </is>
      </c>
      <c r="B314" s="1" t="n">
        <v>45400</v>
      </c>
      <c r="C314" s="1" t="n">
        <v>45915</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22048-2025</t>
        </is>
      </c>
      <c r="B315" s="1" t="n">
        <v>45785.3443287037</v>
      </c>
      <c r="C315" s="1" t="n">
        <v>45915</v>
      </c>
      <c r="D315" t="inlineStr">
        <is>
          <t>VÄSTERBOTTENS LÄN</t>
        </is>
      </c>
      <c r="E315" t="inlineStr">
        <is>
          <t>VILHELMINA</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43791-2024</t>
        </is>
      </c>
      <c r="B316" s="1" t="n">
        <v>45571</v>
      </c>
      <c r="C316" s="1" t="n">
        <v>45915</v>
      </c>
      <c r="D316" t="inlineStr">
        <is>
          <t>VÄSTERBOTTENS LÄN</t>
        </is>
      </c>
      <c r="E316" t="inlineStr">
        <is>
          <t>VILHELMINA</t>
        </is>
      </c>
      <c r="G316" t="n">
        <v>30.3</v>
      </c>
      <c r="H316" t="n">
        <v>0</v>
      </c>
      <c r="I316" t="n">
        <v>0</v>
      </c>
      <c r="J316" t="n">
        <v>0</v>
      </c>
      <c r="K316" t="n">
        <v>0</v>
      </c>
      <c r="L316" t="n">
        <v>0</v>
      </c>
      <c r="M316" t="n">
        <v>0</v>
      </c>
      <c r="N316" t="n">
        <v>0</v>
      </c>
      <c r="O316" t="n">
        <v>0</v>
      </c>
      <c r="P316" t="n">
        <v>0</v>
      </c>
      <c r="Q316" t="n">
        <v>0</v>
      </c>
      <c r="R316" s="2" t="inlineStr"/>
    </row>
    <row r="317" ht="15" customHeight="1">
      <c r="A317" t="inlineStr">
        <is>
          <t>A 43792-2024</t>
        </is>
      </c>
      <c r="B317" s="1" t="n">
        <v>45571</v>
      </c>
      <c r="C317" s="1" t="n">
        <v>45915</v>
      </c>
      <c r="D317" t="inlineStr">
        <is>
          <t>VÄSTERBOTTENS LÄN</t>
        </is>
      </c>
      <c r="E317" t="inlineStr">
        <is>
          <t>VILHELMINA</t>
        </is>
      </c>
      <c r="G317" t="n">
        <v>25.3</v>
      </c>
      <c r="H317" t="n">
        <v>0</v>
      </c>
      <c r="I317" t="n">
        <v>0</v>
      </c>
      <c r="J317" t="n">
        <v>0</v>
      </c>
      <c r="K317" t="n">
        <v>0</v>
      </c>
      <c r="L317" t="n">
        <v>0</v>
      </c>
      <c r="M317" t="n">
        <v>0</v>
      </c>
      <c r="N317" t="n">
        <v>0</v>
      </c>
      <c r="O317" t="n">
        <v>0</v>
      </c>
      <c r="P317" t="n">
        <v>0</v>
      </c>
      <c r="Q317" t="n">
        <v>0</v>
      </c>
      <c r="R317" s="2" t="inlineStr"/>
    </row>
    <row r="318" ht="15" customHeight="1">
      <c r="A318" t="inlineStr">
        <is>
          <t>A 32655-2021</t>
        </is>
      </c>
      <c r="B318" s="1" t="n">
        <v>44371</v>
      </c>
      <c r="C318" s="1" t="n">
        <v>45915</v>
      </c>
      <c r="D318" t="inlineStr">
        <is>
          <t>VÄSTERBOTTENS LÄN</t>
        </is>
      </c>
      <c r="E318" t="inlineStr">
        <is>
          <t>VILHELMINA</t>
        </is>
      </c>
      <c r="G318" t="n">
        <v>0.2</v>
      </c>
      <c r="H318" t="n">
        <v>0</v>
      </c>
      <c r="I318" t="n">
        <v>0</v>
      </c>
      <c r="J318" t="n">
        <v>0</v>
      </c>
      <c r="K318" t="n">
        <v>0</v>
      </c>
      <c r="L318" t="n">
        <v>0</v>
      </c>
      <c r="M318" t="n">
        <v>0</v>
      </c>
      <c r="N318" t="n">
        <v>0</v>
      </c>
      <c r="O318" t="n">
        <v>0</v>
      </c>
      <c r="P318" t="n">
        <v>0</v>
      </c>
      <c r="Q318" t="n">
        <v>0</v>
      </c>
      <c r="R318" s="2" t="inlineStr"/>
    </row>
    <row r="319" ht="15" customHeight="1">
      <c r="A319" t="inlineStr">
        <is>
          <t>A 26137-2024</t>
        </is>
      </c>
      <c r="B319" s="1" t="n">
        <v>45468</v>
      </c>
      <c r="C319" s="1" t="n">
        <v>45915</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36376-2023</t>
        </is>
      </c>
      <c r="B320" s="1" t="n">
        <v>45152</v>
      </c>
      <c r="C320" s="1" t="n">
        <v>45915</v>
      </c>
      <c r="D320" t="inlineStr">
        <is>
          <t>VÄSTERBOTTENS LÄN</t>
        </is>
      </c>
      <c r="E320" t="inlineStr">
        <is>
          <t>VILHELMINA</t>
        </is>
      </c>
      <c r="G320" t="n">
        <v>12.7</v>
      </c>
      <c r="H320" t="n">
        <v>0</v>
      </c>
      <c r="I320" t="n">
        <v>0</v>
      </c>
      <c r="J320" t="n">
        <v>0</v>
      </c>
      <c r="K320" t="n">
        <v>0</v>
      </c>
      <c r="L320" t="n">
        <v>0</v>
      </c>
      <c r="M320" t="n">
        <v>0</v>
      </c>
      <c r="N320" t="n">
        <v>0</v>
      </c>
      <c r="O320" t="n">
        <v>0</v>
      </c>
      <c r="P320" t="n">
        <v>0</v>
      </c>
      <c r="Q320" t="n">
        <v>0</v>
      </c>
      <c r="R320" s="2" t="inlineStr"/>
    </row>
    <row r="321" ht="15" customHeight="1">
      <c r="A321" t="inlineStr">
        <is>
          <t>A 30575-2024</t>
        </is>
      </c>
      <c r="B321" s="1" t="n">
        <v>45492.95818287037</v>
      </c>
      <c r="C321" s="1" t="n">
        <v>45915</v>
      </c>
      <c r="D321" t="inlineStr">
        <is>
          <t>VÄSTERBOTTENS LÄN</t>
        </is>
      </c>
      <c r="E321" t="inlineStr">
        <is>
          <t>VILHELMINA</t>
        </is>
      </c>
      <c r="F321" t="inlineStr">
        <is>
          <t>SCA</t>
        </is>
      </c>
      <c r="G321" t="n">
        <v>6.5</v>
      </c>
      <c r="H321" t="n">
        <v>0</v>
      </c>
      <c r="I321" t="n">
        <v>0</v>
      </c>
      <c r="J321" t="n">
        <v>0</v>
      </c>
      <c r="K321" t="n">
        <v>0</v>
      </c>
      <c r="L321" t="n">
        <v>0</v>
      </c>
      <c r="M321" t="n">
        <v>0</v>
      </c>
      <c r="N321" t="n">
        <v>0</v>
      </c>
      <c r="O321" t="n">
        <v>0</v>
      </c>
      <c r="P321" t="n">
        <v>0</v>
      </c>
      <c r="Q321" t="n">
        <v>0</v>
      </c>
      <c r="R321" s="2" t="inlineStr"/>
    </row>
    <row r="322" ht="15" customHeight="1">
      <c r="A322" t="inlineStr">
        <is>
          <t>A 30578-2024</t>
        </is>
      </c>
      <c r="B322" s="1" t="n">
        <v>45492.95939814814</v>
      </c>
      <c r="C322" s="1" t="n">
        <v>45915</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30580-2024</t>
        </is>
      </c>
      <c r="B323" s="1" t="n">
        <v>45492.95981481481</v>
      </c>
      <c r="C323" s="1" t="n">
        <v>45915</v>
      </c>
      <c r="D323" t="inlineStr">
        <is>
          <t>VÄSTERBOTTENS LÄN</t>
        </is>
      </c>
      <c r="E323" t="inlineStr">
        <is>
          <t>VILHELMINA</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72153-2021</t>
        </is>
      </c>
      <c r="B324" s="1" t="n">
        <v>44543</v>
      </c>
      <c r="C324" s="1" t="n">
        <v>45915</v>
      </c>
      <c r="D324" t="inlineStr">
        <is>
          <t>VÄSTERBOTTENS LÄN</t>
        </is>
      </c>
      <c r="E324" t="inlineStr">
        <is>
          <t>VILHELMINA</t>
        </is>
      </c>
      <c r="G324" t="n">
        <v>6.7</v>
      </c>
      <c r="H324" t="n">
        <v>0</v>
      </c>
      <c r="I324" t="n">
        <v>0</v>
      </c>
      <c r="J324" t="n">
        <v>0</v>
      </c>
      <c r="K324" t="n">
        <v>0</v>
      </c>
      <c r="L324" t="n">
        <v>0</v>
      </c>
      <c r="M324" t="n">
        <v>0</v>
      </c>
      <c r="N324" t="n">
        <v>0</v>
      </c>
      <c r="O324" t="n">
        <v>0</v>
      </c>
      <c r="P324" t="n">
        <v>0</v>
      </c>
      <c r="Q324" t="n">
        <v>0</v>
      </c>
      <c r="R324" s="2" t="inlineStr"/>
    </row>
    <row r="325" ht="15" customHeight="1">
      <c r="A325" t="inlineStr">
        <is>
          <t>A 35983-2023</t>
        </is>
      </c>
      <c r="B325" s="1" t="n">
        <v>45148.96185185185</v>
      </c>
      <c r="C325" s="1" t="n">
        <v>45915</v>
      </c>
      <c r="D325" t="inlineStr">
        <is>
          <t>VÄSTERBOTTENS LÄN</t>
        </is>
      </c>
      <c r="E325" t="inlineStr">
        <is>
          <t>VILHELMINA</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23536-2024</t>
        </is>
      </c>
      <c r="B326" s="1" t="n">
        <v>45453.95199074074</v>
      </c>
      <c r="C326" s="1" t="n">
        <v>45915</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19506-2025</t>
        </is>
      </c>
      <c r="B327" s="1" t="n">
        <v>45770</v>
      </c>
      <c r="C327" s="1" t="n">
        <v>45915</v>
      </c>
      <c r="D327" t="inlineStr">
        <is>
          <t>VÄSTERBOTTENS LÄN</t>
        </is>
      </c>
      <c r="E327" t="inlineStr">
        <is>
          <t>VILHELMINA</t>
        </is>
      </c>
      <c r="G327" t="n">
        <v>22.4</v>
      </c>
      <c r="H327" t="n">
        <v>0</v>
      </c>
      <c r="I327" t="n">
        <v>0</v>
      </c>
      <c r="J327" t="n">
        <v>0</v>
      </c>
      <c r="K327" t="n">
        <v>0</v>
      </c>
      <c r="L327" t="n">
        <v>0</v>
      </c>
      <c r="M327" t="n">
        <v>0</v>
      </c>
      <c r="N327" t="n">
        <v>0</v>
      </c>
      <c r="O327" t="n">
        <v>0</v>
      </c>
      <c r="P327" t="n">
        <v>0</v>
      </c>
      <c r="Q327" t="n">
        <v>0</v>
      </c>
      <c r="R327" s="2" t="inlineStr"/>
    </row>
    <row r="328" ht="15" customHeight="1">
      <c r="A328" t="inlineStr">
        <is>
          <t>A 44368-2024</t>
        </is>
      </c>
      <c r="B328" s="1" t="n">
        <v>45573</v>
      </c>
      <c r="C328" s="1" t="n">
        <v>45915</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66917-2021</t>
        </is>
      </c>
      <c r="B329" s="1" t="n">
        <v>44522</v>
      </c>
      <c r="C329" s="1" t="n">
        <v>45915</v>
      </c>
      <c r="D329" t="inlineStr">
        <is>
          <t>VÄSTERBOTTENS LÄN</t>
        </is>
      </c>
      <c r="E329" t="inlineStr">
        <is>
          <t>VILHELMINA</t>
        </is>
      </c>
      <c r="F329" t="inlineStr">
        <is>
          <t>Allmännings- och besparingsskogar</t>
        </is>
      </c>
      <c r="G329" t="n">
        <v>11.7</v>
      </c>
      <c r="H329" t="n">
        <v>0</v>
      </c>
      <c r="I329" t="n">
        <v>0</v>
      </c>
      <c r="J329" t="n">
        <v>0</v>
      </c>
      <c r="K329" t="n">
        <v>0</v>
      </c>
      <c r="L329" t="n">
        <v>0</v>
      </c>
      <c r="M329" t="n">
        <v>0</v>
      </c>
      <c r="N329" t="n">
        <v>0</v>
      </c>
      <c r="O329" t="n">
        <v>0</v>
      </c>
      <c r="P329" t="n">
        <v>0</v>
      </c>
      <c r="Q329" t="n">
        <v>0</v>
      </c>
      <c r="R329" s="2" t="inlineStr"/>
    </row>
    <row r="330" ht="15" customHeight="1">
      <c r="A330" t="inlineStr">
        <is>
          <t>A 8652-2023</t>
        </is>
      </c>
      <c r="B330" s="1" t="n">
        <v>44977.98401620371</v>
      </c>
      <c r="C330" s="1" t="n">
        <v>45915</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8653-2023</t>
        </is>
      </c>
      <c r="B331" s="1" t="n">
        <v>44977</v>
      </c>
      <c r="C331" s="1" t="n">
        <v>45915</v>
      </c>
      <c r="D331" t="inlineStr">
        <is>
          <t>VÄSTERBOTTENS LÄN</t>
        </is>
      </c>
      <c r="E331" t="inlineStr">
        <is>
          <t>VILHELMINA</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5955-2023</t>
        </is>
      </c>
      <c r="B332" s="1" t="n">
        <v>44963.93989583333</v>
      </c>
      <c r="C332" s="1" t="n">
        <v>45915</v>
      </c>
      <c r="D332" t="inlineStr">
        <is>
          <t>VÄSTERBOTTENS LÄN</t>
        </is>
      </c>
      <c r="E332" t="inlineStr">
        <is>
          <t>VILHELMINA</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32921-2024</t>
        </is>
      </c>
      <c r="B333" s="1" t="n">
        <v>45516.9525462963</v>
      </c>
      <c r="C333" s="1" t="n">
        <v>45915</v>
      </c>
      <c r="D333" t="inlineStr">
        <is>
          <t>VÄSTERBOTTENS LÄN</t>
        </is>
      </c>
      <c r="E333" t="inlineStr">
        <is>
          <t>VILHELMINA</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25701-2024</t>
        </is>
      </c>
      <c r="B334" s="1" t="n">
        <v>45463.94247685185</v>
      </c>
      <c r="C334" s="1" t="n">
        <v>45915</v>
      </c>
      <c r="D334" t="inlineStr">
        <is>
          <t>VÄSTERBOTTENS LÄN</t>
        </is>
      </c>
      <c r="E334" t="inlineStr">
        <is>
          <t>VILHELMINA</t>
        </is>
      </c>
      <c r="F334" t="inlineStr">
        <is>
          <t>SCA</t>
        </is>
      </c>
      <c r="G334" t="n">
        <v>8.6</v>
      </c>
      <c r="H334" t="n">
        <v>0</v>
      </c>
      <c r="I334" t="n">
        <v>0</v>
      </c>
      <c r="J334" t="n">
        <v>0</v>
      </c>
      <c r="K334" t="n">
        <v>0</v>
      </c>
      <c r="L334" t="n">
        <v>0</v>
      </c>
      <c r="M334" t="n">
        <v>0</v>
      </c>
      <c r="N334" t="n">
        <v>0</v>
      </c>
      <c r="O334" t="n">
        <v>0</v>
      </c>
      <c r="P334" t="n">
        <v>0</v>
      </c>
      <c r="Q334" t="n">
        <v>0</v>
      </c>
      <c r="R334" s="2" t="inlineStr"/>
    </row>
    <row r="335" ht="15" customHeight="1">
      <c r="A335" t="inlineStr">
        <is>
          <t>A 34135-2024</t>
        </is>
      </c>
      <c r="B335" s="1" t="n">
        <v>45524.35605324074</v>
      </c>
      <c r="C335" s="1" t="n">
        <v>45915</v>
      </c>
      <c r="D335" t="inlineStr">
        <is>
          <t>VÄSTERBOTTENS LÄN</t>
        </is>
      </c>
      <c r="E335" t="inlineStr">
        <is>
          <t>VILHELMINA</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42478-2024</t>
        </is>
      </c>
      <c r="B336" s="1" t="n">
        <v>45565.4912962963</v>
      </c>
      <c r="C336" s="1" t="n">
        <v>45915</v>
      </c>
      <c r="D336" t="inlineStr">
        <is>
          <t>VÄSTERBOTTENS LÄN</t>
        </is>
      </c>
      <c r="E336" t="inlineStr">
        <is>
          <t>VILHELMINA</t>
        </is>
      </c>
      <c r="F336" t="inlineStr">
        <is>
          <t>SCA</t>
        </is>
      </c>
      <c r="G336" t="n">
        <v>6.6</v>
      </c>
      <c r="H336" t="n">
        <v>0</v>
      </c>
      <c r="I336" t="n">
        <v>0</v>
      </c>
      <c r="J336" t="n">
        <v>0</v>
      </c>
      <c r="K336" t="n">
        <v>0</v>
      </c>
      <c r="L336" t="n">
        <v>0</v>
      </c>
      <c r="M336" t="n">
        <v>0</v>
      </c>
      <c r="N336" t="n">
        <v>0</v>
      </c>
      <c r="O336" t="n">
        <v>0</v>
      </c>
      <c r="P336" t="n">
        <v>0</v>
      </c>
      <c r="Q336" t="n">
        <v>0</v>
      </c>
      <c r="R336" s="2" t="inlineStr"/>
    </row>
    <row r="337" ht="15" customHeight="1">
      <c r="A337" t="inlineStr">
        <is>
          <t>A 6653-2021</t>
        </is>
      </c>
      <c r="B337" s="1" t="n">
        <v>44235</v>
      </c>
      <c r="C337" s="1" t="n">
        <v>45915</v>
      </c>
      <c r="D337" t="inlineStr">
        <is>
          <t>VÄSTERBOTTENS LÄN</t>
        </is>
      </c>
      <c r="E337" t="inlineStr">
        <is>
          <t>VILHELMINA</t>
        </is>
      </c>
      <c r="G337" t="n">
        <v>18</v>
      </c>
      <c r="H337" t="n">
        <v>0</v>
      </c>
      <c r="I337" t="n">
        <v>0</v>
      </c>
      <c r="J337" t="n">
        <v>0</v>
      </c>
      <c r="K337" t="n">
        <v>0</v>
      </c>
      <c r="L337" t="n">
        <v>0</v>
      </c>
      <c r="M337" t="n">
        <v>0</v>
      </c>
      <c r="N337" t="n">
        <v>0</v>
      </c>
      <c r="O337" t="n">
        <v>0</v>
      </c>
      <c r="P337" t="n">
        <v>0</v>
      </c>
      <c r="Q337" t="n">
        <v>0</v>
      </c>
      <c r="R337" s="2" t="inlineStr"/>
    </row>
    <row r="338" ht="15" customHeight="1">
      <c r="A338" t="inlineStr">
        <is>
          <t>A 6669-2021</t>
        </is>
      </c>
      <c r="B338" s="1" t="n">
        <v>44235</v>
      </c>
      <c r="C338" s="1" t="n">
        <v>45915</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9732-2022</t>
        </is>
      </c>
      <c r="B339" s="1" t="n">
        <v>44617.9343287037</v>
      </c>
      <c r="C339" s="1" t="n">
        <v>45915</v>
      </c>
      <c r="D339" t="inlineStr">
        <is>
          <t>VÄSTERBOTTENS LÄN</t>
        </is>
      </c>
      <c r="E339" t="inlineStr">
        <is>
          <t>VILHELMINA</t>
        </is>
      </c>
      <c r="F339" t="inlineStr">
        <is>
          <t>SCA</t>
        </is>
      </c>
      <c r="G339" t="n">
        <v>6.9</v>
      </c>
      <c r="H339" t="n">
        <v>0</v>
      </c>
      <c r="I339" t="n">
        <v>0</v>
      </c>
      <c r="J339" t="n">
        <v>0</v>
      </c>
      <c r="K339" t="n">
        <v>0</v>
      </c>
      <c r="L339" t="n">
        <v>0</v>
      </c>
      <c r="M339" t="n">
        <v>0</v>
      </c>
      <c r="N339" t="n">
        <v>0</v>
      </c>
      <c r="O339" t="n">
        <v>0</v>
      </c>
      <c r="P339" t="n">
        <v>0</v>
      </c>
      <c r="Q339" t="n">
        <v>0</v>
      </c>
      <c r="R339" s="2" t="inlineStr"/>
    </row>
    <row r="340" ht="15" customHeight="1">
      <c r="A340" t="inlineStr">
        <is>
          <t>A 2189-2021</t>
        </is>
      </c>
      <c r="B340" s="1" t="n">
        <v>44211</v>
      </c>
      <c r="C340" s="1" t="n">
        <v>45915</v>
      </c>
      <c r="D340" t="inlineStr">
        <is>
          <t>VÄSTERBOTTENS LÄN</t>
        </is>
      </c>
      <c r="E340" t="inlineStr">
        <is>
          <t>VILHELMINA</t>
        </is>
      </c>
      <c r="F340" t="inlineStr">
        <is>
          <t>Allmännings- och besparingsskogar</t>
        </is>
      </c>
      <c r="G340" t="n">
        <v>20.1</v>
      </c>
      <c r="H340" t="n">
        <v>0</v>
      </c>
      <c r="I340" t="n">
        <v>0</v>
      </c>
      <c r="J340" t="n">
        <v>0</v>
      </c>
      <c r="K340" t="n">
        <v>0</v>
      </c>
      <c r="L340" t="n">
        <v>0</v>
      </c>
      <c r="M340" t="n">
        <v>0</v>
      </c>
      <c r="N340" t="n">
        <v>0</v>
      </c>
      <c r="O340" t="n">
        <v>0</v>
      </c>
      <c r="P340" t="n">
        <v>0</v>
      </c>
      <c r="Q340" t="n">
        <v>0</v>
      </c>
      <c r="R340" s="2" t="inlineStr"/>
    </row>
    <row r="341" ht="15" customHeight="1">
      <c r="A341" t="inlineStr">
        <is>
          <t>A 34762-2024</t>
        </is>
      </c>
      <c r="B341" s="1" t="n">
        <v>45526.61637731481</v>
      </c>
      <c r="C341" s="1" t="n">
        <v>45915</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58749-2023</t>
        </is>
      </c>
      <c r="B342" s="1" t="n">
        <v>45251.92947916667</v>
      </c>
      <c r="C342" s="1" t="n">
        <v>45915</v>
      </c>
      <c r="D342" t="inlineStr">
        <is>
          <t>VÄSTERBOTTENS LÄN</t>
        </is>
      </c>
      <c r="E342" t="inlineStr">
        <is>
          <t>VILHELMINA</t>
        </is>
      </c>
      <c r="G342" t="n">
        <v>2.8</v>
      </c>
      <c r="H342" t="n">
        <v>0</v>
      </c>
      <c r="I342" t="n">
        <v>0</v>
      </c>
      <c r="J342" t="n">
        <v>0</v>
      </c>
      <c r="K342" t="n">
        <v>0</v>
      </c>
      <c r="L342" t="n">
        <v>0</v>
      </c>
      <c r="M342" t="n">
        <v>0</v>
      </c>
      <c r="N342" t="n">
        <v>0</v>
      </c>
      <c r="O342" t="n">
        <v>0</v>
      </c>
      <c r="P342" t="n">
        <v>0</v>
      </c>
      <c r="Q342" t="n">
        <v>0</v>
      </c>
      <c r="R342" s="2" t="inlineStr"/>
    </row>
    <row r="343" ht="15" customHeight="1">
      <c r="A343" t="inlineStr">
        <is>
          <t>A 38361-2023</t>
        </is>
      </c>
      <c r="B343" s="1" t="n">
        <v>45161.94315972222</v>
      </c>
      <c r="C343" s="1" t="n">
        <v>45915</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8916-2023</t>
        </is>
      </c>
      <c r="B344" s="1" t="n">
        <v>44972</v>
      </c>
      <c r="C344" s="1" t="n">
        <v>45915</v>
      </c>
      <c r="D344" t="inlineStr">
        <is>
          <t>VÄSTERBOTTENS LÄN</t>
        </is>
      </c>
      <c r="E344" t="inlineStr">
        <is>
          <t>VILHELMINA</t>
        </is>
      </c>
      <c r="F344" t="inlineStr">
        <is>
          <t>Allmännings- och besparingsskogar</t>
        </is>
      </c>
      <c r="G344" t="n">
        <v>22.1</v>
      </c>
      <c r="H344" t="n">
        <v>0</v>
      </c>
      <c r="I344" t="n">
        <v>0</v>
      </c>
      <c r="J344" t="n">
        <v>0</v>
      </c>
      <c r="K344" t="n">
        <v>0</v>
      </c>
      <c r="L344" t="n">
        <v>0</v>
      </c>
      <c r="M344" t="n">
        <v>0</v>
      </c>
      <c r="N344" t="n">
        <v>0</v>
      </c>
      <c r="O344" t="n">
        <v>0</v>
      </c>
      <c r="P344" t="n">
        <v>0</v>
      </c>
      <c r="Q344" t="n">
        <v>0</v>
      </c>
      <c r="R344" s="2" t="inlineStr"/>
    </row>
    <row r="345" ht="15" customHeight="1">
      <c r="A345" t="inlineStr">
        <is>
          <t>A 58824-2024</t>
        </is>
      </c>
      <c r="B345" s="1" t="n">
        <v>45636.36488425926</v>
      </c>
      <c r="C345" s="1" t="n">
        <v>45915</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60377-2024</t>
        </is>
      </c>
      <c r="B346" s="1" t="n">
        <v>45643</v>
      </c>
      <c r="C346" s="1" t="n">
        <v>45915</v>
      </c>
      <c r="D346" t="inlineStr">
        <is>
          <t>VÄSTERBOTTENS LÄN</t>
        </is>
      </c>
      <c r="E346" t="inlineStr">
        <is>
          <t>VILHELMINA</t>
        </is>
      </c>
      <c r="F346" t="inlineStr">
        <is>
          <t>SCA</t>
        </is>
      </c>
      <c r="G346" t="n">
        <v>16.2</v>
      </c>
      <c r="H346" t="n">
        <v>0</v>
      </c>
      <c r="I346" t="n">
        <v>0</v>
      </c>
      <c r="J346" t="n">
        <v>0</v>
      </c>
      <c r="K346" t="n">
        <v>0</v>
      </c>
      <c r="L346" t="n">
        <v>0</v>
      </c>
      <c r="M346" t="n">
        <v>0</v>
      </c>
      <c r="N346" t="n">
        <v>0</v>
      </c>
      <c r="O346" t="n">
        <v>0</v>
      </c>
      <c r="P346" t="n">
        <v>0</v>
      </c>
      <c r="Q346" t="n">
        <v>0</v>
      </c>
      <c r="R346" s="2" t="inlineStr"/>
    </row>
    <row r="347" ht="15" customHeight="1">
      <c r="A347" t="inlineStr">
        <is>
          <t>A 61953-2024</t>
        </is>
      </c>
      <c r="B347" s="1" t="n">
        <v>45653.5150462963</v>
      </c>
      <c r="C347" s="1" t="n">
        <v>45915</v>
      </c>
      <c r="D347" t="inlineStr">
        <is>
          <t>VÄSTERBOTTENS LÄN</t>
        </is>
      </c>
      <c r="E347" t="inlineStr">
        <is>
          <t>VILHELMINA</t>
        </is>
      </c>
      <c r="F347" t="inlineStr">
        <is>
          <t>Kommuner</t>
        </is>
      </c>
      <c r="G347" t="n">
        <v>10.2</v>
      </c>
      <c r="H347" t="n">
        <v>0</v>
      </c>
      <c r="I347" t="n">
        <v>0</v>
      </c>
      <c r="J347" t="n">
        <v>0</v>
      </c>
      <c r="K347" t="n">
        <v>0</v>
      </c>
      <c r="L347" t="n">
        <v>0</v>
      </c>
      <c r="M347" t="n">
        <v>0</v>
      </c>
      <c r="N347" t="n">
        <v>0</v>
      </c>
      <c r="O347" t="n">
        <v>0</v>
      </c>
      <c r="P347" t="n">
        <v>0</v>
      </c>
      <c r="Q347" t="n">
        <v>0</v>
      </c>
      <c r="R347" s="2" t="inlineStr"/>
    </row>
    <row r="348" ht="15" customHeight="1">
      <c r="A348" t="inlineStr">
        <is>
          <t>A 62100-2024</t>
        </is>
      </c>
      <c r="B348" s="1" t="n">
        <v>45656</v>
      </c>
      <c r="C348" s="1" t="n">
        <v>45915</v>
      </c>
      <c r="D348" t="inlineStr">
        <is>
          <t>VÄSTERBOTTENS LÄN</t>
        </is>
      </c>
      <c r="E348" t="inlineStr">
        <is>
          <t>VILHELMINA</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15062-2024</t>
        </is>
      </c>
      <c r="B349" s="1" t="n">
        <v>45399</v>
      </c>
      <c r="C349" s="1" t="n">
        <v>45915</v>
      </c>
      <c r="D349" t="inlineStr">
        <is>
          <t>VÄSTERBOTTENS LÄN</t>
        </is>
      </c>
      <c r="E349" t="inlineStr">
        <is>
          <t>VILHELMINA</t>
        </is>
      </c>
      <c r="G349" t="n">
        <v>1.7</v>
      </c>
      <c r="H349" t="n">
        <v>0</v>
      </c>
      <c r="I349" t="n">
        <v>0</v>
      </c>
      <c r="J349" t="n">
        <v>0</v>
      </c>
      <c r="K349" t="n">
        <v>0</v>
      </c>
      <c r="L349" t="n">
        <v>0</v>
      </c>
      <c r="M349" t="n">
        <v>0</v>
      </c>
      <c r="N349" t="n">
        <v>0</v>
      </c>
      <c r="O349" t="n">
        <v>0</v>
      </c>
      <c r="P349" t="n">
        <v>0</v>
      </c>
      <c r="Q349" t="n">
        <v>0</v>
      </c>
      <c r="R349" s="2" t="inlineStr"/>
    </row>
    <row r="350" ht="15" customHeight="1">
      <c r="A350" t="inlineStr">
        <is>
          <t>A 15066-2024</t>
        </is>
      </c>
      <c r="B350" s="1" t="n">
        <v>45399</v>
      </c>
      <c r="C350" s="1" t="n">
        <v>45915</v>
      </c>
      <c r="D350" t="inlineStr">
        <is>
          <t>VÄSTERBOTTENS LÄN</t>
        </is>
      </c>
      <c r="E350" t="inlineStr">
        <is>
          <t>VILHELMINA</t>
        </is>
      </c>
      <c r="G350" t="n">
        <v>4.6</v>
      </c>
      <c r="H350" t="n">
        <v>0</v>
      </c>
      <c r="I350" t="n">
        <v>0</v>
      </c>
      <c r="J350" t="n">
        <v>0</v>
      </c>
      <c r="K350" t="n">
        <v>0</v>
      </c>
      <c r="L350" t="n">
        <v>0</v>
      </c>
      <c r="M350" t="n">
        <v>0</v>
      </c>
      <c r="N350" t="n">
        <v>0</v>
      </c>
      <c r="O350" t="n">
        <v>0</v>
      </c>
      <c r="P350" t="n">
        <v>0</v>
      </c>
      <c r="Q350" t="n">
        <v>0</v>
      </c>
      <c r="R350" s="2" t="inlineStr"/>
    </row>
    <row r="351" ht="15" customHeight="1">
      <c r="A351" t="inlineStr">
        <is>
          <t>A 54729-2022</t>
        </is>
      </c>
      <c r="B351" s="1" t="n">
        <v>44881</v>
      </c>
      <c r="C351" s="1" t="n">
        <v>45915</v>
      </c>
      <c r="D351" t="inlineStr">
        <is>
          <t>VÄSTERBOTTENS LÄN</t>
        </is>
      </c>
      <c r="E351" t="inlineStr">
        <is>
          <t>VILHELMINA</t>
        </is>
      </c>
      <c r="G351" t="n">
        <v>19.2</v>
      </c>
      <c r="H351" t="n">
        <v>0</v>
      </c>
      <c r="I351" t="n">
        <v>0</v>
      </c>
      <c r="J351" t="n">
        <v>0</v>
      </c>
      <c r="K351" t="n">
        <v>0</v>
      </c>
      <c r="L351" t="n">
        <v>0</v>
      </c>
      <c r="M351" t="n">
        <v>0</v>
      </c>
      <c r="N351" t="n">
        <v>0</v>
      </c>
      <c r="O351" t="n">
        <v>0</v>
      </c>
      <c r="P351" t="n">
        <v>0</v>
      </c>
      <c r="Q351" t="n">
        <v>0</v>
      </c>
      <c r="R351" s="2" t="inlineStr"/>
    </row>
    <row r="352" ht="15" customHeight="1">
      <c r="A352" t="inlineStr">
        <is>
          <t>A 34807-2023</t>
        </is>
      </c>
      <c r="B352" s="1" t="n">
        <v>45140</v>
      </c>
      <c r="C352" s="1" t="n">
        <v>45915</v>
      </c>
      <c r="D352" t="inlineStr">
        <is>
          <t>VÄSTERBOTTENS LÄN</t>
        </is>
      </c>
      <c r="E352" t="inlineStr">
        <is>
          <t>VILHELMINA</t>
        </is>
      </c>
      <c r="G352" t="n">
        <v>8.1</v>
      </c>
      <c r="H352" t="n">
        <v>0</v>
      </c>
      <c r="I352" t="n">
        <v>0</v>
      </c>
      <c r="J352" t="n">
        <v>0</v>
      </c>
      <c r="K352" t="n">
        <v>0</v>
      </c>
      <c r="L352" t="n">
        <v>0</v>
      </c>
      <c r="M352" t="n">
        <v>0</v>
      </c>
      <c r="N352" t="n">
        <v>0</v>
      </c>
      <c r="O352" t="n">
        <v>0</v>
      </c>
      <c r="P352" t="n">
        <v>0</v>
      </c>
      <c r="Q352" t="n">
        <v>0</v>
      </c>
      <c r="R352" s="2" t="inlineStr"/>
    </row>
    <row r="353" ht="15" customHeight="1">
      <c r="A353" t="inlineStr">
        <is>
          <t>A 8229-2022</t>
        </is>
      </c>
      <c r="B353" s="1" t="n">
        <v>44609</v>
      </c>
      <c r="C353" s="1" t="n">
        <v>45915</v>
      </c>
      <c r="D353" t="inlineStr">
        <is>
          <t>VÄSTERBOTTENS LÄN</t>
        </is>
      </c>
      <c r="E353" t="inlineStr">
        <is>
          <t>VILHELMINA</t>
        </is>
      </c>
      <c r="F353" t="inlineStr">
        <is>
          <t>SCA</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22617-2025</t>
        </is>
      </c>
      <c r="B354" s="1" t="n">
        <v>45789</v>
      </c>
      <c r="C354" s="1" t="n">
        <v>45915</v>
      </c>
      <c r="D354" t="inlineStr">
        <is>
          <t>VÄSTERBOTTENS LÄN</t>
        </is>
      </c>
      <c r="E354" t="inlineStr">
        <is>
          <t>VILHELMINA</t>
        </is>
      </c>
      <c r="F354" t="inlineStr">
        <is>
          <t>SCA</t>
        </is>
      </c>
      <c r="G354" t="n">
        <v>7.3</v>
      </c>
      <c r="H354" t="n">
        <v>0</v>
      </c>
      <c r="I354" t="n">
        <v>0</v>
      </c>
      <c r="J354" t="n">
        <v>0</v>
      </c>
      <c r="K354" t="n">
        <v>0</v>
      </c>
      <c r="L354" t="n">
        <v>0</v>
      </c>
      <c r="M354" t="n">
        <v>0</v>
      </c>
      <c r="N354" t="n">
        <v>0</v>
      </c>
      <c r="O354" t="n">
        <v>0</v>
      </c>
      <c r="P354" t="n">
        <v>0</v>
      </c>
      <c r="Q354" t="n">
        <v>0</v>
      </c>
      <c r="R354" s="2" t="inlineStr"/>
    </row>
    <row r="355" ht="15" customHeight="1">
      <c r="A355" t="inlineStr">
        <is>
          <t>A 31496-2023</t>
        </is>
      </c>
      <c r="B355" s="1" t="n">
        <v>45114.94138888889</v>
      </c>
      <c r="C355" s="1" t="n">
        <v>45915</v>
      </c>
      <c r="D355" t="inlineStr">
        <is>
          <t>VÄSTERBOTTENS LÄN</t>
        </is>
      </c>
      <c r="E355" t="inlineStr">
        <is>
          <t>VILHELMINA</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64028-2023</t>
        </is>
      </c>
      <c r="B356" s="1" t="n">
        <v>45278.94263888889</v>
      </c>
      <c r="C356" s="1" t="n">
        <v>45915</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28656-2024</t>
        </is>
      </c>
      <c r="B357" s="1" t="n">
        <v>45478</v>
      </c>
      <c r="C357" s="1" t="n">
        <v>45915</v>
      </c>
      <c r="D357" t="inlineStr">
        <is>
          <t>VÄSTERBOTTENS LÄN</t>
        </is>
      </c>
      <c r="E357" t="inlineStr">
        <is>
          <t>VILHELMINA</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47254-2022</t>
        </is>
      </c>
      <c r="B358" s="1" t="n">
        <v>44852.94685185186</v>
      </c>
      <c r="C358" s="1" t="n">
        <v>45915</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22109-2024</t>
        </is>
      </c>
      <c r="B359" s="1" t="n">
        <v>45443</v>
      </c>
      <c r="C359" s="1" t="n">
        <v>45915</v>
      </c>
      <c r="D359" t="inlineStr">
        <is>
          <t>VÄSTERBOTTENS LÄN</t>
        </is>
      </c>
      <c r="E359" t="inlineStr">
        <is>
          <t>VILHELMINA</t>
        </is>
      </c>
      <c r="F359" t="inlineStr">
        <is>
          <t>SCA</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15786-2025</t>
        </is>
      </c>
      <c r="B360" s="1" t="n">
        <v>45748.62240740741</v>
      </c>
      <c r="C360" s="1" t="n">
        <v>45915</v>
      </c>
      <c r="D360" t="inlineStr">
        <is>
          <t>VÄSTERBOTTENS LÄN</t>
        </is>
      </c>
      <c r="E360" t="inlineStr">
        <is>
          <t>VILHELMINA</t>
        </is>
      </c>
      <c r="G360" t="n">
        <v>1.1</v>
      </c>
      <c r="H360" t="n">
        <v>0</v>
      </c>
      <c r="I360" t="n">
        <v>0</v>
      </c>
      <c r="J360" t="n">
        <v>0</v>
      </c>
      <c r="K360" t="n">
        <v>0</v>
      </c>
      <c r="L360" t="n">
        <v>0</v>
      </c>
      <c r="M360" t="n">
        <v>0</v>
      </c>
      <c r="N360" t="n">
        <v>0</v>
      </c>
      <c r="O360" t="n">
        <v>0</v>
      </c>
      <c r="P360" t="n">
        <v>0</v>
      </c>
      <c r="Q360" t="n">
        <v>0</v>
      </c>
      <c r="R360" s="2" t="inlineStr"/>
    </row>
    <row r="361" ht="15" customHeight="1">
      <c r="A361" t="inlineStr">
        <is>
          <t>A 45593-2024</t>
        </is>
      </c>
      <c r="B361" s="1" t="n">
        <v>45579</v>
      </c>
      <c r="C361" s="1" t="n">
        <v>45915</v>
      </c>
      <c r="D361" t="inlineStr">
        <is>
          <t>VÄSTERBOTTENS LÄN</t>
        </is>
      </c>
      <c r="E361" t="inlineStr">
        <is>
          <t>VILHELMINA</t>
        </is>
      </c>
      <c r="G361" t="n">
        <v>0.9</v>
      </c>
      <c r="H361" t="n">
        <v>0</v>
      </c>
      <c r="I361" t="n">
        <v>0</v>
      </c>
      <c r="J361" t="n">
        <v>0</v>
      </c>
      <c r="K361" t="n">
        <v>0</v>
      </c>
      <c r="L361" t="n">
        <v>0</v>
      </c>
      <c r="M361" t="n">
        <v>0</v>
      </c>
      <c r="N361" t="n">
        <v>0</v>
      </c>
      <c r="O361" t="n">
        <v>0</v>
      </c>
      <c r="P361" t="n">
        <v>0</v>
      </c>
      <c r="Q361" t="n">
        <v>0</v>
      </c>
      <c r="R361" s="2" t="inlineStr"/>
    </row>
    <row r="362" ht="15" customHeight="1">
      <c r="A362" t="inlineStr">
        <is>
          <t>A 49221-2024</t>
        </is>
      </c>
      <c r="B362" s="1" t="n">
        <v>45595.41166666667</v>
      </c>
      <c r="C362" s="1" t="n">
        <v>45915</v>
      </c>
      <c r="D362" t="inlineStr">
        <is>
          <t>VÄSTERBOTTENS LÄN</t>
        </is>
      </c>
      <c r="E362" t="inlineStr">
        <is>
          <t>VILHELMINA</t>
        </is>
      </c>
      <c r="G362" t="n">
        <v>11.4</v>
      </c>
      <c r="H362" t="n">
        <v>0</v>
      </c>
      <c r="I362" t="n">
        <v>0</v>
      </c>
      <c r="J362" t="n">
        <v>0</v>
      </c>
      <c r="K362" t="n">
        <v>0</v>
      </c>
      <c r="L362" t="n">
        <v>0</v>
      </c>
      <c r="M362" t="n">
        <v>0</v>
      </c>
      <c r="N362" t="n">
        <v>0</v>
      </c>
      <c r="O362" t="n">
        <v>0</v>
      </c>
      <c r="P362" t="n">
        <v>0</v>
      </c>
      <c r="Q362" t="n">
        <v>0</v>
      </c>
      <c r="R362" s="2" t="inlineStr"/>
    </row>
    <row r="363" ht="15" customHeight="1">
      <c r="A363" t="inlineStr">
        <is>
          <t>A 49246-2024</t>
        </is>
      </c>
      <c r="B363" s="1" t="n">
        <v>45595.4618287037</v>
      </c>
      <c r="C363" s="1" t="n">
        <v>45915</v>
      </c>
      <c r="D363" t="inlineStr">
        <is>
          <t>VÄSTERBOTTENS LÄN</t>
        </is>
      </c>
      <c r="E363" t="inlineStr">
        <is>
          <t>VILHELMINA</t>
        </is>
      </c>
      <c r="G363" t="n">
        <v>0.9</v>
      </c>
      <c r="H363" t="n">
        <v>0</v>
      </c>
      <c r="I363" t="n">
        <v>0</v>
      </c>
      <c r="J363" t="n">
        <v>0</v>
      </c>
      <c r="K363" t="n">
        <v>0</v>
      </c>
      <c r="L363" t="n">
        <v>0</v>
      </c>
      <c r="M363" t="n">
        <v>0</v>
      </c>
      <c r="N363" t="n">
        <v>0</v>
      </c>
      <c r="O363" t="n">
        <v>0</v>
      </c>
      <c r="P363" t="n">
        <v>0</v>
      </c>
      <c r="Q363" t="n">
        <v>0</v>
      </c>
      <c r="R363" s="2" t="inlineStr"/>
    </row>
    <row r="364" ht="15" customHeight="1">
      <c r="A364" t="inlineStr">
        <is>
          <t>A 47440-2024</t>
        </is>
      </c>
      <c r="B364" s="1" t="n">
        <v>45587</v>
      </c>
      <c r="C364" s="1" t="n">
        <v>45915</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48088-2024</t>
        </is>
      </c>
      <c r="B365" s="1" t="n">
        <v>45589</v>
      </c>
      <c r="C365" s="1" t="n">
        <v>45915</v>
      </c>
      <c r="D365" t="inlineStr">
        <is>
          <t>VÄSTERBOTTENS LÄN</t>
        </is>
      </c>
      <c r="E365" t="inlineStr">
        <is>
          <t>VILHELMINA</t>
        </is>
      </c>
      <c r="F365" t="inlineStr">
        <is>
          <t>SCA</t>
        </is>
      </c>
      <c r="G365" t="n">
        <v>6.9</v>
      </c>
      <c r="H365" t="n">
        <v>0</v>
      </c>
      <c r="I365" t="n">
        <v>0</v>
      </c>
      <c r="J365" t="n">
        <v>0</v>
      </c>
      <c r="K365" t="n">
        <v>0</v>
      </c>
      <c r="L365" t="n">
        <v>0</v>
      </c>
      <c r="M365" t="n">
        <v>0</v>
      </c>
      <c r="N365" t="n">
        <v>0</v>
      </c>
      <c r="O365" t="n">
        <v>0</v>
      </c>
      <c r="P365" t="n">
        <v>0</v>
      </c>
      <c r="Q365" t="n">
        <v>0</v>
      </c>
      <c r="R365" s="2" t="inlineStr"/>
    </row>
    <row r="366" ht="15" customHeight="1">
      <c r="A366" t="inlineStr">
        <is>
          <t>A 39035-2024</t>
        </is>
      </c>
      <c r="B366" s="1" t="n">
        <v>45548.46918981482</v>
      </c>
      <c r="C366" s="1" t="n">
        <v>45915</v>
      </c>
      <c r="D366" t="inlineStr">
        <is>
          <t>VÄSTERBOTTENS LÄN</t>
        </is>
      </c>
      <c r="E366" t="inlineStr">
        <is>
          <t>VILHELMINA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47548-2024</t>
        </is>
      </c>
      <c r="B367" s="1" t="n">
        <v>45587</v>
      </c>
      <c r="C367" s="1" t="n">
        <v>45915</v>
      </c>
      <c r="D367" t="inlineStr">
        <is>
          <t>VÄSTERBOTTENS LÄN</t>
        </is>
      </c>
      <c r="E367" t="inlineStr">
        <is>
          <t>VILHELMINA</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23459-2025</t>
        </is>
      </c>
      <c r="B368" s="1" t="n">
        <v>45792</v>
      </c>
      <c r="C368" s="1" t="n">
        <v>45915</v>
      </c>
      <c r="D368" t="inlineStr">
        <is>
          <t>VÄSTERBOTTENS LÄN</t>
        </is>
      </c>
      <c r="E368" t="inlineStr">
        <is>
          <t>VILHELMINA</t>
        </is>
      </c>
      <c r="F368" t="inlineStr">
        <is>
          <t>SCA</t>
        </is>
      </c>
      <c r="G368" t="n">
        <v>7.4</v>
      </c>
      <c r="H368" t="n">
        <v>0</v>
      </c>
      <c r="I368" t="n">
        <v>0</v>
      </c>
      <c r="J368" t="n">
        <v>0</v>
      </c>
      <c r="K368" t="n">
        <v>0</v>
      </c>
      <c r="L368" t="n">
        <v>0</v>
      </c>
      <c r="M368" t="n">
        <v>0</v>
      </c>
      <c r="N368" t="n">
        <v>0</v>
      </c>
      <c r="O368" t="n">
        <v>0</v>
      </c>
      <c r="P368" t="n">
        <v>0</v>
      </c>
      <c r="Q368" t="n">
        <v>0</v>
      </c>
      <c r="R368" s="2" t="inlineStr"/>
    </row>
    <row r="369" ht="15" customHeight="1">
      <c r="A369" t="inlineStr">
        <is>
          <t>A 23461-2025</t>
        </is>
      </c>
      <c r="B369" s="1" t="n">
        <v>45792</v>
      </c>
      <c r="C369" s="1" t="n">
        <v>45915</v>
      </c>
      <c r="D369" t="inlineStr">
        <is>
          <t>VÄSTERBOTTENS LÄN</t>
        </is>
      </c>
      <c r="E369" t="inlineStr">
        <is>
          <t>VILHELMINA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23281-2025</t>
        </is>
      </c>
      <c r="B370" s="1" t="n">
        <v>45791.57324074074</v>
      </c>
      <c r="C370" s="1" t="n">
        <v>45915</v>
      </c>
      <c r="D370" t="inlineStr">
        <is>
          <t>VÄSTERBOTTENS LÄN</t>
        </is>
      </c>
      <c r="E370" t="inlineStr">
        <is>
          <t>VILHELMINA</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38187-2024</t>
        </is>
      </c>
      <c r="B371" s="1" t="n">
        <v>45545.49028935185</v>
      </c>
      <c r="C371" s="1" t="n">
        <v>45915</v>
      </c>
      <c r="D371" t="inlineStr">
        <is>
          <t>VÄSTERBOTTENS LÄN</t>
        </is>
      </c>
      <c r="E371" t="inlineStr">
        <is>
          <t>VILHELMINA</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47242-2024</t>
        </is>
      </c>
      <c r="B372" s="1" t="n">
        <v>45586</v>
      </c>
      <c r="C372" s="1" t="n">
        <v>45915</v>
      </c>
      <c r="D372" t="inlineStr">
        <is>
          <t>VÄSTERBOTTENS LÄN</t>
        </is>
      </c>
      <c r="E372" t="inlineStr">
        <is>
          <t>VILHELMINA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40505-2024</t>
        </is>
      </c>
      <c r="B373" s="1" t="n">
        <v>45555.57373842593</v>
      </c>
      <c r="C373" s="1" t="n">
        <v>45915</v>
      </c>
      <c r="D373" t="inlineStr">
        <is>
          <t>VÄSTERBOTTENS LÄN</t>
        </is>
      </c>
      <c r="E373" t="inlineStr">
        <is>
          <t>VILHELMINA</t>
        </is>
      </c>
      <c r="G373" t="n">
        <v>0.3</v>
      </c>
      <c r="H373" t="n">
        <v>0</v>
      </c>
      <c r="I373" t="n">
        <v>0</v>
      </c>
      <c r="J373" t="n">
        <v>0</v>
      </c>
      <c r="K373" t="n">
        <v>0</v>
      </c>
      <c r="L373" t="n">
        <v>0</v>
      </c>
      <c r="M373" t="n">
        <v>0</v>
      </c>
      <c r="N373" t="n">
        <v>0</v>
      </c>
      <c r="O373" t="n">
        <v>0</v>
      </c>
      <c r="P373" t="n">
        <v>0</v>
      </c>
      <c r="Q373" t="n">
        <v>0</v>
      </c>
      <c r="R373" s="2" t="inlineStr"/>
    </row>
    <row r="374" ht="15" customHeight="1">
      <c r="A374" t="inlineStr">
        <is>
          <t>A 58505-2024</t>
        </is>
      </c>
      <c r="B374" s="1" t="n">
        <v>45635</v>
      </c>
      <c r="C374" s="1" t="n">
        <v>45915</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39677-2024</t>
        </is>
      </c>
      <c r="B375" s="1" t="n">
        <v>45552</v>
      </c>
      <c r="C375" s="1" t="n">
        <v>45915</v>
      </c>
      <c r="D375" t="inlineStr">
        <is>
          <t>VÄSTERBOTTENS LÄN</t>
        </is>
      </c>
      <c r="E375" t="inlineStr">
        <is>
          <t>VILHELMINA</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72488-2021</t>
        </is>
      </c>
      <c r="B376" s="1" t="n">
        <v>44545.9203587963</v>
      </c>
      <c r="C376" s="1" t="n">
        <v>45915</v>
      </c>
      <c r="D376" t="inlineStr">
        <is>
          <t>VÄSTERBOTTENS LÄN</t>
        </is>
      </c>
      <c r="E376" t="inlineStr">
        <is>
          <t>VILHELMINA</t>
        </is>
      </c>
      <c r="G376" t="n">
        <v>2</v>
      </c>
      <c r="H376" t="n">
        <v>0</v>
      </c>
      <c r="I376" t="n">
        <v>0</v>
      </c>
      <c r="J376" t="n">
        <v>0</v>
      </c>
      <c r="K376" t="n">
        <v>0</v>
      </c>
      <c r="L376" t="n">
        <v>0</v>
      </c>
      <c r="M376" t="n">
        <v>0</v>
      </c>
      <c r="N376" t="n">
        <v>0</v>
      </c>
      <c r="O376" t="n">
        <v>0</v>
      </c>
      <c r="P376" t="n">
        <v>0</v>
      </c>
      <c r="Q376" t="n">
        <v>0</v>
      </c>
      <c r="R376" s="2" t="inlineStr"/>
    </row>
    <row r="377" ht="15" customHeight="1">
      <c r="A377" t="inlineStr">
        <is>
          <t>A 72493-2021</t>
        </is>
      </c>
      <c r="B377" s="1" t="n">
        <v>44545</v>
      </c>
      <c r="C377" s="1" t="n">
        <v>45915</v>
      </c>
      <c r="D377" t="inlineStr">
        <is>
          <t>VÄSTERBOTTENS LÄN</t>
        </is>
      </c>
      <c r="E377" t="inlineStr">
        <is>
          <t>VILHELMINA</t>
        </is>
      </c>
      <c r="G377" t="n">
        <v>4.2</v>
      </c>
      <c r="H377" t="n">
        <v>0</v>
      </c>
      <c r="I377" t="n">
        <v>0</v>
      </c>
      <c r="J377" t="n">
        <v>0</v>
      </c>
      <c r="K377" t="n">
        <v>0</v>
      </c>
      <c r="L377" t="n">
        <v>0</v>
      </c>
      <c r="M377" t="n">
        <v>0</v>
      </c>
      <c r="N377" t="n">
        <v>0</v>
      </c>
      <c r="O377" t="n">
        <v>0</v>
      </c>
      <c r="P377" t="n">
        <v>0</v>
      </c>
      <c r="Q377" t="n">
        <v>0</v>
      </c>
      <c r="R377" s="2" t="inlineStr"/>
    </row>
    <row r="378" ht="15" customHeight="1">
      <c r="A378" t="inlineStr">
        <is>
          <t>A 23415-2025</t>
        </is>
      </c>
      <c r="B378" s="1" t="n">
        <v>45792.34643518519</v>
      </c>
      <c r="C378" s="1" t="n">
        <v>45915</v>
      </c>
      <c r="D378" t="inlineStr">
        <is>
          <t>VÄSTERBOTTENS LÄN</t>
        </is>
      </c>
      <c r="E378" t="inlineStr">
        <is>
          <t>VILHELMINA</t>
        </is>
      </c>
      <c r="F378" t="inlineStr">
        <is>
          <t>SCA</t>
        </is>
      </c>
      <c r="G378" t="n">
        <v>36.9</v>
      </c>
      <c r="H378" t="n">
        <v>0</v>
      </c>
      <c r="I378" t="n">
        <v>0</v>
      </c>
      <c r="J378" t="n">
        <v>0</v>
      </c>
      <c r="K378" t="n">
        <v>0</v>
      </c>
      <c r="L378" t="n">
        <v>0</v>
      </c>
      <c r="M378" t="n">
        <v>0</v>
      </c>
      <c r="N378" t="n">
        <v>0</v>
      </c>
      <c r="O378" t="n">
        <v>0</v>
      </c>
      <c r="P378" t="n">
        <v>0</v>
      </c>
      <c r="Q378" t="n">
        <v>0</v>
      </c>
      <c r="R378" s="2" t="inlineStr"/>
    </row>
    <row r="379" ht="15" customHeight="1">
      <c r="A379" t="inlineStr">
        <is>
          <t>A 48062-2024</t>
        </is>
      </c>
      <c r="B379" s="1" t="n">
        <v>45589</v>
      </c>
      <c r="C379" s="1" t="n">
        <v>45915</v>
      </c>
      <c r="D379" t="inlineStr">
        <is>
          <t>VÄSTERBOTTENS LÄN</t>
        </is>
      </c>
      <c r="E379" t="inlineStr">
        <is>
          <t>VILHELMINA</t>
        </is>
      </c>
      <c r="F379" t="inlineStr">
        <is>
          <t>SCA</t>
        </is>
      </c>
      <c r="G379" t="n">
        <v>6.2</v>
      </c>
      <c r="H379" t="n">
        <v>0</v>
      </c>
      <c r="I379" t="n">
        <v>0</v>
      </c>
      <c r="J379" t="n">
        <v>0</v>
      </c>
      <c r="K379" t="n">
        <v>0</v>
      </c>
      <c r="L379" t="n">
        <v>0</v>
      </c>
      <c r="M379" t="n">
        <v>0</v>
      </c>
      <c r="N379" t="n">
        <v>0</v>
      </c>
      <c r="O379" t="n">
        <v>0</v>
      </c>
      <c r="P379" t="n">
        <v>0</v>
      </c>
      <c r="Q379" t="n">
        <v>0</v>
      </c>
      <c r="R379" s="2" t="inlineStr"/>
    </row>
    <row r="380" ht="15" customHeight="1">
      <c r="A380" t="inlineStr">
        <is>
          <t>A 65133-2021</t>
        </is>
      </c>
      <c r="B380" s="1" t="n">
        <v>44515</v>
      </c>
      <c r="C380" s="1" t="n">
        <v>45915</v>
      </c>
      <c r="D380" t="inlineStr">
        <is>
          <t>VÄSTERBOTTENS LÄN</t>
        </is>
      </c>
      <c r="E380" t="inlineStr">
        <is>
          <t>VILHELMINA</t>
        </is>
      </c>
      <c r="G380" t="n">
        <v>16.4</v>
      </c>
      <c r="H380" t="n">
        <v>0</v>
      </c>
      <c r="I380" t="n">
        <v>0</v>
      </c>
      <c r="J380" t="n">
        <v>0</v>
      </c>
      <c r="K380" t="n">
        <v>0</v>
      </c>
      <c r="L380" t="n">
        <v>0</v>
      </c>
      <c r="M380" t="n">
        <v>0</v>
      </c>
      <c r="N380" t="n">
        <v>0</v>
      </c>
      <c r="O380" t="n">
        <v>0</v>
      </c>
      <c r="P380" t="n">
        <v>0</v>
      </c>
      <c r="Q380" t="n">
        <v>0</v>
      </c>
      <c r="R380" s="2" t="inlineStr"/>
    </row>
    <row r="381" ht="15" customHeight="1">
      <c r="A381" t="inlineStr">
        <is>
          <t>A 23406-2025</t>
        </is>
      </c>
      <c r="B381" s="1" t="n">
        <v>45792.34540509259</v>
      </c>
      <c r="C381" s="1" t="n">
        <v>45915</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13030-2025</t>
        </is>
      </c>
      <c r="B382" s="1" t="n">
        <v>45734</v>
      </c>
      <c r="C382" s="1" t="n">
        <v>45915</v>
      </c>
      <c r="D382" t="inlineStr">
        <is>
          <t>VÄSTERBOTTENS LÄN</t>
        </is>
      </c>
      <c r="E382" t="inlineStr">
        <is>
          <t>VILHELMINA</t>
        </is>
      </c>
      <c r="G382" t="n">
        <v>13.9</v>
      </c>
      <c r="H382" t="n">
        <v>0</v>
      </c>
      <c r="I382" t="n">
        <v>0</v>
      </c>
      <c r="J382" t="n">
        <v>0</v>
      </c>
      <c r="K382" t="n">
        <v>0</v>
      </c>
      <c r="L382" t="n">
        <v>0</v>
      </c>
      <c r="M382" t="n">
        <v>0</v>
      </c>
      <c r="N382" t="n">
        <v>0</v>
      </c>
      <c r="O382" t="n">
        <v>0</v>
      </c>
      <c r="P382" t="n">
        <v>0</v>
      </c>
      <c r="Q382" t="n">
        <v>0</v>
      </c>
      <c r="R382" s="2" t="inlineStr"/>
    </row>
    <row r="383" ht="15" customHeight="1">
      <c r="A383" t="inlineStr">
        <is>
          <t>A 38364-2023</t>
        </is>
      </c>
      <c r="B383" s="1" t="n">
        <v>45161</v>
      </c>
      <c r="C383" s="1" t="n">
        <v>45915</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706-2024</t>
        </is>
      </c>
      <c r="B384" s="1" t="n">
        <v>45300</v>
      </c>
      <c r="C384" s="1" t="n">
        <v>45915</v>
      </c>
      <c r="D384" t="inlineStr">
        <is>
          <t>VÄSTERBOTTENS LÄN</t>
        </is>
      </c>
      <c r="E384" t="inlineStr">
        <is>
          <t>VILHELMINA</t>
        </is>
      </c>
      <c r="G384" t="n">
        <v>2.8</v>
      </c>
      <c r="H384" t="n">
        <v>0</v>
      </c>
      <c r="I384" t="n">
        <v>0</v>
      </c>
      <c r="J384" t="n">
        <v>0</v>
      </c>
      <c r="K384" t="n">
        <v>0</v>
      </c>
      <c r="L384" t="n">
        <v>0</v>
      </c>
      <c r="M384" t="n">
        <v>0</v>
      </c>
      <c r="N384" t="n">
        <v>0</v>
      </c>
      <c r="O384" t="n">
        <v>0</v>
      </c>
      <c r="P384" t="n">
        <v>0</v>
      </c>
      <c r="Q384" t="n">
        <v>0</v>
      </c>
      <c r="R384" s="2" t="inlineStr"/>
    </row>
    <row r="385" ht="15" customHeight="1">
      <c r="A385" t="inlineStr">
        <is>
          <t>A 17467-2025</t>
        </is>
      </c>
      <c r="B385" s="1" t="n">
        <v>45757</v>
      </c>
      <c r="C385" s="1" t="n">
        <v>45915</v>
      </c>
      <c r="D385" t="inlineStr">
        <is>
          <t>VÄSTERBOTTENS LÄN</t>
        </is>
      </c>
      <c r="E385" t="inlineStr">
        <is>
          <t>VILHELMINA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146-2025</t>
        </is>
      </c>
      <c r="B386" s="1" t="n">
        <v>45659</v>
      </c>
      <c r="C386" s="1" t="n">
        <v>45915</v>
      </c>
      <c r="D386" t="inlineStr">
        <is>
          <t>VÄSTERBOTTENS LÄN</t>
        </is>
      </c>
      <c r="E386" t="inlineStr">
        <is>
          <t>VILHELMINA</t>
        </is>
      </c>
      <c r="F386" t="inlineStr">
        <is>
          <t>SCA</t>
        </is>
      </c>
      <c r="G386" t="n">
        <v>9.1</v>
      </c>
      <c r="H386" t="n">
        <v>0</v>
      </c>
      <c r="I386" t="n">
        <v>0</v>
      </c>
      <c r="J386" t="n">
        <v>0</v>
      </c>
      <c r="K386" t="n">
        <v>0</v>
      </c>
      <c r="L386" t="n">
        <v>0</v>
      </c>
      <c r="M386" t="n">
        <v>0</v>
      </c>
      <c r="N386" t="n">
        <v>0</v>
      </c>
      <c r="O386" t="n">
        <v>0</v>
      </c>
      <c r="P386" t="n">
        <v>0</v>
      </c>
      <c r="Q386" t="n">
        <v>0</v>
      </c>
      <c r="R386" s="2" t="inlineStr"/>
    </row>
    <row r="387" ht="15" customHeight="1">
      <c r="A387" t="inlineStr">
        <is>
          <t>A 19873-2024</t>
        </is>
      </c>
      <c r="B387" s="1" t="n">
        <v>45433</v>
      </c>
      <c r="C387" s="1" t="n">
        <v>45915</v>
      </c>
      <c r="D387" t="inlineStr">
        <is>
          <t>VÄSTERBOTTENS LÄN</t>
        </is>
      </c>
      <c r="E387" t="inlineStr">
        <is>
          <t>VILHELMINA</t>
        </is>
      </c>
      <c r="G387" t="n">
        <v>8.6</v>
      </c>
      <c r="H387" t="n">
        <v>0</v>
      </c>
      <c r="I387" t="n">
        <v>0</v>
      </c>
      <c r="J387" t="n">
        <v>0</v>
      </c>
      <c r="K387" t="n">
        <v>0</v>
      </c>
      <c r="L387" t="n">
        <v>0</v>
      </c>
      <c r="M387" t="n">
        <v>0</v>
      </c>
      <c r="N387" t="n">
        <v>0</v>
      </c>
      <c r="O387" t="n">
        <v>0</v>
      </c>
      <c r="P387" t="n">
        <v>0</v>
      </c>
      <c r="Q387" t="n">
        <v>0</v>
      </c>
      <c r="R387" s="2" t="inlineStr"/>
    </row>
    <row r="388" ht="15" customHeight="1">
      <c r="A388" t="inlineStr">
        <is>
          <t>A 56754-2023</t>
        </is>
      </c>
      <c r="B388" s="1" t="n">
        <v>45238</v>
      </c>
      <c r="C388" s="1" t="n">
        <v>45915</v>
      </c>
      <c r="D388" t="inlineStr">
        <is>
          <t>VÄSTERBOTTENS LÄN</t>
        </is>
      </c>
      <c r="E388" t="inlineStr">
        <is>
          <t>VILHELMINA</t>
        </is>
      </c>
      <c r="F388" t="inlineStr">
        <is>
          <t>Allmännings- och besparingsskogar</t>
        </is>
      </c>
      <c r="G388" t="n">
        <v>18</v>
      </c>
      <c r="H388" t="n">
        <v>0</v>
      </c>
      <c r="I388" t="n">
        <v>0</v>
      </c>
      <c r="J388" t="n">
        <v>0</v>
      </c>
      <c r="K388" t="n">
        <v>0</v>
      </c>
      <c r="L388" t="n">
        <v>0</v>
      </c>
      <c r="M388" t="n">
        <v>0</v>
      </c>
      <c r="N388" t="n">
        <v>0</v>
      </c>
      <c r="O388" t="n">
        <v>0</v>
      </c>
      <c r="P388" t="n">
        <v>0</v>
      </c>
      <c r="Q388" t="n">
        <v>0</v>
      </c>
      <c r="R388" s="2" t="inlineStr"/>
    </row>
    <row r="389" ht="15" customHeight="1">
      <c r="A389" t="inlineStr">
        <is>
          <t>A 25308-2025</t>
        </is>
      </c>
      <c r="B389" s="1" t="n">
        <v>45800</v>
      </c>
      <c r="C389" s="1" t="n">
        <v>45915</v>
      </c>
      <c r="D389" t="inlineStr">
        <is>
          <t>VÄSTERBOTTENS LÄN</t>
        </is>
      </c>
      <c r="E389" t="inlineStr">
        <is>
          <t>VILHELMINA</t>
        </is>
      </c>
      <c r="F389" t="inlineStr">
        <is>
          <t>SCA</t>
        </is>
      </c>
      <c r="G389" t="n">
        <v>5.9</v>
      </c>
      <c r="H389" t="n">
        <v>0</v>
      </c>
      <c r="I389" t="n">
        <v>0</v>
      </c>
      <c r="J389" t="n">
        <v>0</v>
      </c>
      <c r="K389" t="n">
        <v>0</v>
      </c>
      <c r="L389" t="n">
        <v>0</v>
      </c>
      <c r="M389" t="n">
        <v>0</v>
      </c>
      <c r="N389" t="n">
        <v>0</v>
      </c>
      <c r="O389" t="n">
        <v>0</v>
      </c>
      <c r="P389" t="n">
        <v>0</v>
      </c>
      <c r="Q389" t="n">
        <v>0</v>
      </c>
      <c r="R389" s="2" t="inlineStr"/>
    </row>
    <row r="390" ht="15" customHeight="1">
      <c r="A390" t="inlineStr">
        <is>
          <t>A 23412-2025</t>
        </is>
      </c>
      <c r="B390" s="1" t="n">
        <v>45792.34596064815</v>
      </c>
      <c r="C390" s="1" t="n">
        <v>45915</v>
      </c>
      <c r="D390" t="inlineStr">
        <is>
          <t>VÄSTERBOTTENS LÄN</t>
        </is>
      </c>
      <c r="E390" t="inlineStr">
        <is>
          <t>VILHELMINA</t>
        </is>
      </c>
      <c r="F390" t="inlineStr">
        <is>
          <t>SCA</t>
        </is>
      </c>
      <c r="G390" t="n">
        <v>10.1</v>
      </c>
      <c r="H390" t="n">
        <v>0</v>
      </c>
      <c r="I390" t="n">
        <v>0</v>
      </c>
      <c r="J390" t="n">
        <v>0</v>
      </c>
      <c r="K390" t="n">
        <v>0</v>
      </c>
      <c r="L390" t="n">
        <v>0</v>
      </c>
      <c r="M390" t="n">
        <v>0</v>
      </c>
      <c r="N390" t="n">
        <v>0</v>
      </c>
      <c r="O390" t="n">
        <v>0</v>
      </c>
      <c r="P390" t="n">
        <v>0</v>
      </c>
      <c r="Q390" t="n">
        <v>0</v>
      </c>
      <c r="R390" s="2" t="inlineStr"/>
    </row>
    <row r="391" ht="15" customHeight="1">
      <c r="A391" t="inlineStr">
        <is>
          <t>A 32925-2024</t>
        </is>
      </c>
      <c r="B391" s="1" t="n">
        <v>45516.95302083333</v>
      </c>
      <c r="C391" s="1" t="n">
        <v>45915</v>
      </c>
      <c r="D391" t="inlineStr">
        <is>
          <t>VÄSTERBOTTENS LÄN</t>
        </is>
      </c>
      <c r="E391" t="inlineStr">
        <is>
          <t>VILHELMINA</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32926-2024</t>
        </is>
      </c>
      <c r="B392" s="1" t="n">
        <v>45516.95311342592</v>
      </c>
      <c r="C392" s="1" t="n">
        <v>45915</v>
      </c>
      <c r="D392" t="inlineStr">
        <is>
          <t>VÄSTERBOTTENS LÄN</t>
        </is>
      </c>
      <c r="E392" t="inlineStr">
        <is>
          <t>VILHELMINA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44505-2024</t>
        </is>
      </c>
      <c r="B393" s="1" t="n">
        <v>45574.40974537037</v>
      </c>
      <c r="C393" s="1" t="n">
        <v>45915</v>
      </c>
      <c r="D393" t="inlineStr">
        <is>
          <t>VÄSTERBOTTENS LÄN</t>
        </is>
      </c>
      <c r="E393" t="inlineStr">
        <is>
          <t>VILHELMINA</t>
        </is>
      </c>
      <c r="G393" t="n">
        <v>15.5</v>
      </c>
      <c r="H393" t="n">
        <v>0</v>
      </c>
      <c r="I393" t="n">
        <v>0</v>
      </c>
      <c r="J393" t="n">
        <v>0</v>
      </c>
      <c r="K393" t="n">
        <v>0</v>
      </c>
      <c r="L393" t="n">
        <v>0</v>
      </c>
      <c r="M393" t="n">
        <v>0</v>
      </c>
      <c r="N393" t="n">
        <v>0</v>
      </c>
      <c r="O393" t="n">
        <v>0</v>
      </c>
      <c r="P393" t="n">
        <v>0</v>
      </c>
      <c r="Q393" t="n">
        <v>0</v>
      </c>
      <c r="R393" s="2" t="inlineStr"/>
    </row>
    <row r="394" ht="15" customHeight="1">
      <c r="A394" t="inlineStr">
        <is>
          <t>A 55714-2023</t>
        </is>
      </c>
      <c r="B394" s="1" t="n">
        <v>45232</v>
      </c>
      <c r="C394" s="1" t="n">
        <v>45915</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10548-2022</t>
        </is>
      </c>
      <c r="B395" s="1" t="n">
        <v>44623</v>
      </c>
      <c r="C395" s="1" t="n">
        <v>45915</v>
      </c>
      <c r="D395" t="inlineStr">
        <is>
          <t>VÄSTERBOTTENS LÄN</t>
        </is>
      </c>
      <c r="E395" t="inlineStr">
        <is>
          <t>VILHELMINA</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32683-2024</t>
        </is>
      </c>
      <c r="B396" s="1" t="n">
        <v>45515</v>
      </c>
      <c r="C396" s="1" t="n">
        <v>45915</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45673-2023</t>
        </is>
      </c>
      <c r="B397" s="1" t="n">
        <v>45194</v>
      </c>
      <c r="C397" s="1" t="n">
        <v>45915</v>
      </c>
      <c r="D397" t="inlineStr">
        <is>
          <t>VÄSTERBOTTENS LÄN</t>
        </is>
      </c>
      <c r="E397" t="inlineStr">
        <is>
          <t>VILHELMINA</t>
        </is>
      </c>
      <c r="G397" t="n">
        <v>13.4</v>
      </c>
      <c r="H397" t="n">
        <v>0</v>
      </c>
      <c r="I397" t="n">
        <v>0</v>
      </c>
      <c r="J397" t="n">
        <v>0</v>
      </c>
      <c r="K397" t="n">
        <v>0</v>
      </c>
      <c r="L397" t="n">
        <v>0</v>
      </c>
      <c r="M397" t="n">
        <v>0</v>
      </c>
      <c r="N397" t="n">
        <v>0</v>
      </c>
      <c r="O397" t="n">
        <v>0</v>
      </c>
      <c r="P397" t="n">
        <v>0</v>
      </c>
      <c r="Q397" t="n">
        <v>0</v>
      </c>
      <c r="R397" s="2" t="inlineStr"/>
    </row>
    <row r="398" ht="15" customHeight="1">
      <c r="A398" t="inlineStr">
        <is>
          <t>A 12065-2022</t>
        </is>
      </c>
      <c r="B398" s="1" t="n">
        <v>44637</v>
      </c>
      <c r="C398" s="1" t="n">
        <v>45915</v>
      </c>
      <c r="D398" t="inlineStr">
        <is>
          <t>VÄSTERBOTTENS LÄN</t>
        </is>
      </c>
      <c r="E398" t="inlineStr">
        <is>
          <t>VILHELMINA</t>
        </is>
      </c>
      <c r="G398" t="n">
        <v>27.7</v>
      </c>
      <c r="H398" t="n">
        <v>0</v>
      </c>
      <c r="I398" t="n">
        <v>0</v>
      </c>
      <c r="J398" t="n">
        <v>0</v>
      </c>
      <c r="K398" t="n">
        <v>0</v>
      </c>
      <c r="L398" t="n">
        <v>0</v>
      </c>
      <c r="M398" t="n">
        <v>0</v>
      </c>
      <c r="N398" t="n">
        <v>0</v>
      </c>
      <c r="O398" t="n">
        <v>0</v>
      </c>
      <c r="P398" t="n">
        <v>0</v>
      </c>
      <c r="Q398" t="n">
        <v>0</v>
      </c>
      <c r="R398" s="2" t="inlineStr"/>
    </row>
    <row r="399" ht="15" customHeight="1">
      <c r="A399" t="inlineStr">
        <is>
          <t>A 55720-2023</t>
        </is>
      </c>
      <c r="B399" s="1" t="n">
        <v>45232</v>
      </c>
      <c r="C399" s="1" t="n">
        <v>45915</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38363-2023</t>
        </is>
      </c>
      <c r="B400" s="1" t="n">
        <v>45161</v>
      </c>
      <c r="C400" s="1" t="n">
        <v>45915</v>
      </c>
      <c r="D400" t="inlineStr">
        <is>
          <t>VÄSTERBOTTENS LÄN</t>
        </is>
      </c>
      <c r="E400" t="inlineStr">
        <is>
          <t>VILHELMINA</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23826-2025</t>
        </is>
      </c>
      <c r="B401" s="1" t="n">
        <v>45793.59461805555</v>
      </c>
      <c r="C401" s="1" t="n">
        <v>45915</v>
      </c>
      <c r="D401" t="inlineStr">
        <is>
          <t>VÄSTERBOTTENS LÄN</t>
        </is>
      </c>
      <c r="E401" t="inlineStr">
        <is>
          <t>VILHELMINA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22108-2024</t>
        </is>
      </c>
      <c r="B402" s="1" t="n">
        <v>45443</v>
      </c>
      <c r="C402" s="1" t="n">
        <v>45915</v>
      </c>
      <c r="D402" t="inlineStr">
        <is>
          <t>VÄSTERBOTTENS LÄN</t>
        </is>
      </c>
      <c r="E402" t="inlineStr">
        <is>
          <t>VILHELMINA</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35760-2023</t>
        </is>
      </c>
      <c r="B403" s="1" t="n">
        <v>45147</v>
      </c>
      <c r="C403" s="1" t="n">
        <v>45915</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60317-2021</t>
        </is>
      </c>
      <c r="B404" s="1" t="n">
        <v>44495.94003472223</v>
      </c>
      <c r="C404" s="1" t="n">
        <v>45915</v>
      </c>
      <c r="D404" t="inlineStr">
        <is>
          <t>VÄSTERBOTTENS LÄN</t>
        </is>
      </c>
      <c r="E404" t="inlineStr">
        <is>
          <t>VILHELMINA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23764-2025</t>
        </is>
      </c>
      <c r="B405" s="1" t="n">
        <v>45793</v>
      </c>
      <c r="C405" s="1" t="n">
        <v>45915</v>
      </c>
      <c r="D405" t="inlineStr">
        <is>
          <t>VÄSTERBOTTENS LÄN</t>
        </is>
      </c>
      <c r="E405" t="inlineStr">
        <is>
          <t>VILHELMINA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8578-2025</t>
        </is>
      </c>
      <c r="B406" s="1" t="n">
        <v>45709</v>
      </c>
      <c r="C406" s="1" t="n">
        <v>45915</v>
      </c>
      <c r="D406" t="inlineStr">
        <is>
          <t>VÄSTERBOTTENS LÄN</t>
        </is>
      </c>
      <c r="E406" t="inlineStr">
        <is>
          <t>VILHELMINA</t>
        </is>
      </c>
      <c r="G406" t="n">
        <v>3.5</v>
      </c>
      <c r="H406" t="n">
        <v>0</v>
      </c>
      <c r="I406" t="n">
        <v>0</v>
      </c>
      <c r="J406" t="n">
        <v>0</v>
      </c>
      <c r="K406" t="n">
        <v>0</v>
      </c>
      <c r="L406" t="n">
        <v>0</v>
      </c>
      <c r="M406" t="n">
        <v>0</v>
      </c>
      <c r="N406" t="n">
        <v>0</v>
      </c>
      <c r="O406" t="n">
        <v>0</v>
      </c>
      <c r="P406" t="n">
        <v>0</v>
      </c>
      <c r="Q406" t="n">
        <v>0</v>
      </c>
      <c r="R406" s="2" t="inlineStr"/>
    </row>
    <row r="407" ht="15" customHeight="1">
      <c r="A407" t="inlineStr">
        <is>
          <t>A 33319-2024</t>
        </is>
      </c>
      <c r="B407" s="1" t="n">
        <v>45518</v>
      </c>
      <c r="C407" s="1" t="n">
        <v>45915</v>
      </c>
      <c r="D407" t="inlineStr">
        <is>
          <t>VÄSTERBOTTENS LÄN</t>
        </is>
      </c>
      <c r="E407" t="inlineStr">
        <is>
          <t>VILHELMINA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60090-2020</t>
        </is>
      </c>
      <c r="B408" s="1" t="n">
        <v>44151</v>
      </c>
      <c r="C408" s="1" t="n">
        <v>45915</v>
      </c>
      <c r="D408" t="inlineStr">
        <is>
          <t>VÄSTERBOTTENS LÄN</t>
        </is>
      </c>
      <c r="E408" t="inlineStr">
        <is>
          <t>VILHELMINA</t>
        </is>
      </c>
      <c r="G408" t="n">
        <v>9</v>
      </c>
      <c r="H408" t="n">
        <v>0</v>
      </c>
      <c r="I408" t="n">
        <v>0</v>
      </c>
      <c r="J408" t="n">
        <v>0</v>
      </c>
      <c r="K408" t="n">
        <v>0</v>
      </c>
      <c r="L408" t="n">
        <v>0</v>
      </c>
      <c r="M408" t="n">
        <v>0</v>
      </c>
      <c r="N408" t="n">
        <v>0</v>
      </c>
      <c r="O408" t="n">
        <v>0</v>
      </c>
      <c r="P408" t="n">
        <v>0</v>
      </c>
      <c r="Q408" t="n">
        <v>0</v>
      </c>
      <c r="R408" s="2" t="inlineStr"/>
    </row>
    <row r="409" ht="15" customHeight="1">
      <c r="A409" t="inlineStr">
        <is>
          <t>A 61920-2020</t>
        </is>
      </c>
      <c r="B409" s="1" t="n">
        <v>44155</v>
      </c>
      <c r="C409" s="1" t="n">
        <v>45915</v>
      </c>
      <c r="D409" t="inlineStr">
        <is>
          <t>VÄSTERBOTTENS LÄN</t>
        </is>
      </c>
      <c r="E409" t="inlineStr">
        <is>
          <t>VILHELMINA</t>
        </is>
      </c>
      <c r="G409" t="n">
        <v>7.7</v>
      </c>
      <c r="H409" t="n">
        <v>0</v>
      </c>
      <c r="I409" t="n">
        <v>0</v>
      </c>
      <c r="J409" t="n">
        <v>0</v>
      </c>
      <c r="K409" t="n">
        <v>0</v>
      </c>
      <c r="L409" t="n">
        <v>0</v>
      </c>
      <c r="M409" t="n">
        <v>0</v>
      </c>
      <c r="N409" t="n">
        <v>0</v>
      </c>
      <c r="O409" t="n">
        <v>0</v>
      </c>
      <c r="P409" t="n">
        <v>0</v>
      </c>
      <c r="Q409" t="n">
        <v>0</v>
      </c>
      <c r="R409" s="2" t="inlineStr"/>
    </row>
    <row r="410" ht="15" customHeight="1">
      <c r="A410" t="inlineStr">
        <is>
          <t>A 46392-2024</t>
        </is>
      </c>
      <c r="B410" s="1" t="n">
        <v>45582</v>
      </c>
      <c r="C410" s="1" t="n">
        <v>45915</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8726-2023</t>
        </is>
      </c>
      <c r="B411" s="1" t="n">
        <v>44972</v>
      </c>
      <c r="C411" s="1" t="n">
        <v>45915</v>
      </c>
      <c r="D411" t="inlineStr">
        <is>
          <t>VÄSTERBOTTENS LÄN</t>
        </is>
      </c>
      <c r="E411" t="inlineStr">
        <is>
          <t>VILHELMINA</t>
        </is>
      </c>
      <c r="F411" t="inlineStr">
        <is>
          <t>Allmännings- och besparingsskogar</t>
        </is>
      </c>
      <c r="G411" t="n">
        <v>50</v>
      </c>
      <c r="H411" t="n">
        <v>0</v>
      </c>
      <c r="I411" t="n">
        <v>0</v>
      </c>
      <c r="J411" t="n">
        <v>0</v>
      </c>
      <c r="K411" t="n">
        <v>0</v>
      </c>
      <c r="L411" t="n">
        <v>0</v>
      </c>
      <c r="M411" t="n">
        <v>0</v>
      </c>
      <c r="N411" t="n">
        <v>0</v>
      </c>
      <c r="O411" t="n">
        <v>0</v>
      </c>
      <c r="P411" t="n">
        <v>0</v>
      </c>
      <c r="Q411" t="n">
        <v>0</v>
      </c>
      <c r="R411" s="2" t="inlineStr"/>
    </row>
    <row r="412" ht="15" customHeight="1">
      <c r="A412" t="inlineStr">
        <is>
          <t>A 23686-2025</t>
        </is>
      </c>
      <c r="B412" s="1" t="n">
        <v>45793</v>
      </c>
      <c r="C412" s="1" t="n">
        <v>45915</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29463-2024</t>
        </is>
      </c>
      <c r="B413" s="1" t="n">
        <v>45483.96994212963</v>
      </c>
      <c r="C413" s="1" t="n">
        <v>45915</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36348-2024</t>
        </is>
      </c>
      <c r="B414" s="1" t="n">
        <v>45534.64422453703</v>
      </c>
      <c r="C414" s="1" t="n">
        <v>45915</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36355-2024</t>
        </is>
      </c>
      <c r="B415" s="1" t="n">
        <v>45534.64508101852</v>
      </c>
      <c r="C415" s="1" t="n">
        <v>45915</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36215-2023</t>
        </is>
      </c>
      <c r="B416" s="1" t="n">
        <v>45149.95266203704</v>
      </c>
      <c r="C416" s="1" t="n">
        <v>45915</v>
      </c>
      <c r="D416" t="inlineStr">
        <is>
          <t>VÄSTERBOTTENS LÄN</t>
        </is>
      </c>
      <c r="E416" t="inlineStr">
        <is>
          <t>VILHELMINA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12118-2024</t>
        </is>
      </c>
      <c r="B417" s="1" t="n">
        <v>45376</v>
      </c>
      <c r="C417" s="1" t="n">
        <v>45915</v>
      </c>
      <c r="D417" t="inlineStr">
        <is>
          <t>VÄSTERBOTTENS LÄN</t>
        </is>
      </c>
      <c r="E417" t="inlineStr">
        <is>
          <t>VILHELMINA</t>
        </is>
      </c>
      <c r="G417" t="n">
        <v>3.6</v>
      </c>
      <c r="H417" t="n">
        <v>0</v>
      </c>
      <c r="I417" t="n">
        <v>0</v>
      </c>
      <c r="J417" t="n">
        <v>0</v>
      </c>
      <c r="K417" t="n">
        <v>0</v>
      </c>
      <c r="L417" t="n">
        <v>0</v>
      </c>
      <c r="M417" t="n">
        <v>0</v>
      </c>
      <c r="N417" t="n">
        <v>0</v>
      </c>
      <c r="O417" t="n">
        <v>0</v>
      </c>
      <c r="P417" t="n">
        <v>0</v>
      </c>
      <c r="Q417" t="n">
        <v>0</v>
      </c>
      <c r="R417" s="2" t="inlineStr"/>
    </row>
    <row r="418" ht="15" customHeight="1">
      <c r="A418" t="inlineStr">
        <is>
          <t>A 37937-2023</t>
        </is>
      </c>
      <c r="B418" s="1" t="n">
        <v>45159</v>
      </c>
      <c r="C418" s="1" t="n">
        <v>45915</v>
      </c>
      <c r="D418" t="inlineStr">
        <is>
          <t>VÄSTERBOTTENS LÄN</t>
        </is>
      </c>
      <c r="E418" t="inlineStr">
        <is>
          <t>VILHELMINA</t>
        </is>
      </c>
      <c r="G418" t="n">
        <v>2.2</v>
      </c>
      <c r="H418" t="n">
        <v>0</v>
      </c>
      <c r="I418" t="n">
        <v>0</v>
      </c>
      <c r="J418" t="n">
        <v>0</v>
      </c>
      <c r="K418" t="n">
        <v>0</v>
      </c>
      <c r="L418" t="n">
        <v>0</v>
      </c>
      <c r="M418" t="n">
        <v>0</v>
      </c>
      <c r="N418" t="n">
        <v>0</v>
      </c>
      <c r="O418" t="n">
        <v>0</v>
      </c>
      <c r="P418" t="n">
        <v>0</v>
      </c>
      <c r="Q418" t="n">
        <v>0</v>
      </c>
      <c r="R418" s="2" t="inlineStr"/>
    </row>
    <row r="419" ht="15" customHeight="1">
      <c r="A419" t="inlineStr">
        <is>
          <t>A 32253-2024</t>
        </is>
      </c>
      <c r="B419" s="1" t="n">
        <v>45511.95214120371</v>
      </c>
      <c r="C419" s="1" t="n">
        <v>45915</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57795-2023</t>
        </is>
      </c>
      <c r="B420" s="1" t="n">
        <v>45246.96861111111</v>
      </c>
      <c r="C420" s="1" t="n">
        <v>45915</v>
      </c>
      <c r="D420" t="inlineStr">
        <is>
          <t>VÄSTERBOTTENS LÄN</t>
        </is>
      </c>
      <c r="E420" t="inlineStr">
        <is>
          <t>VILHELMINA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29722-2024</t>
        </is>
      </c>
      <c r="B421" s="1" t="n">
        <v>45485</v>
      </c>
      <c r="C421" s="1" t="n">
        <v>45915</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52174-2020</t>
        </is>
      </c>
      <c r="B422" s="1" t="n">
        <v>44105</v>
      </c>
      <c r="C422" s="1" t="n">
        <v>45915</v>
      </c>
      <c r="D422" t="inlineStr">
        <is>
          <t>VÄSTERBOTTENS LÄN</t>
        </is>
      </c>
      <c r="E422" t="inlineStr">
        <is>
          <t>VILHELMINA</t>
        </is>
      </c>
      <c r="G422" t="n">
        <v>3</v>
      </c>
      <c r="H422" t="n">
        <v>0</v>
      </c>
      <c r="I422" t="n">
        <v>0</v>
      </c>
      <c r="J422" t="n">
        <v>0</v>
      </c>
      <c r="K422" t="n">
        <v>0</v>
      </c>
      <c r="L422" t="n">
        <v>0</v>
      </c>
      <c r="M422" t="n">
        <v>0</v>
      </c>
      <c r="N422" t="n">
        <v>0</v>
      </c>
      <c r="O422" t="n">
        <v>0</v>
      </c>
      <c r="P422" t="n">
        <v>0</v>
      </c>
      <c r="Q422" t="n">
        <v>0</v>
      </c>
      <c r="R422" s="2" t="inlineStr"/>
    </row>
    <row r="423" ht="15" customHeight="1">
      <c r="A423" t="inlineStr">
        <is>
          <t>A 24224-2025</t>
        </is>
      </c>
      <c r="B423" s="1" t="n">
        <v>45797</v>
      </c>
      <c r="C423" s="1" t="n">
        <v>45915</v>
      </c>
      <c r="D423" t="inlineStr">
        <is>
          <t>VÄSTERBOTTENS LÄN</t>
        </is>
      </c>
      <c r="E423" t="inlineStr">
        <is>
          <t>VILHELMINA</t>
        </is>
      </c>
      <c r="G423" t="n">
        <v>27.2</v>
      </c>
      <c r="H423" t="n">
        <v>0</v>
      </c>
      <c r="I423" t="n">
        <v>0</v>
      </c>
      <c r="J423" t="n">
        <v>0</v>
      </c>
      <c r="K423" t="n">
        <v>0</v>
      </c>
      <c r="L423" t="n">
        <v>0</v>
      </c>
      <c r="M423" t="n">
        <v>0</v>
      </c>
      <c r="N423" t="n">
        <v>0</v>
      </c>
      <c r="O423" t="n">
        <v>0</v>
      </c>
      <c r="P423" t="n">
        <v>0</v>
      </c>
      <c r="Q423" t="n">
        <v>0</v>
      </c>
      <c r="R423" s="2" t="inlineStr"/>
    </row>
    <row r="424" ht="15" customHeight="1">
      <c r="A424" t="inlineStr">
        <is>
          <t>A 24988-2025</t>
        </is>
      </c>
      <c r="B424" s="1" t="n">
        <v>45799</v>
      </c>
      <c r="C424" s="1" t="n">
        <v>45915</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28380-2023</t>
        </is>
      </c>
      <c r="B425" s="1" t="n">
        <v>45099</v>
      </c>
      <c r="C425" s="1" t="n">
        <v>45915</v>
      </c>
      <c r="D425" t="inlineStr">
        <is>
          <t>VÄSTERBOTTENS LÄN</t>
        </is>
      </c>
      <c r="E425" t="inlineStr">
        <is>
          <t>VILHELMINA</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19401-2023</t>
        </is>
      </c>
      <c r="B426" s="1" t="n">
        <v>45048</v>
      </c>
      <c r="C426" s="1" t="n">
        <v>45915</v>
      </c>
      <c r="D426" t="inlineStr">
        <is>
          <t>VÄSTERBOTTENS LÄN</t>
        </is>
      </c>
      <c r="E426" t="inlineStr">
        <is>
          <t>VILHELMINA</t>
        </is>
      </c>
      <c r="G426" t="n">
        <v>5.4</v>
      </c>
      <c r="H426" t="n">
        <v>0</v>
      </c>
      <c r="I426" t="n">
        <v>0</v>
      </c>
      <c r="J426" t="n">
        <v>0</v>
      </c>
      <c r="K426" t="n">
        <v>0</v>
      </c>
      <c r="L426" t="n">
        <v>0</v>
      </c>
      <c r="M426" t="n">
        <v>0</v>
      </c>
      <c r="N426" t="n">
        <v>0</v>
      </c>
      <c r="O426" t="n">
        <v>0</v>
      </c>
      <c r="P426" t="n">
        <v>0</v>
      </c>
      <c r="Q426" t="n">
        <v>0</v>
      </c>
      <c r="R426" s="2" t="inlineStr"/>
    </row>
    <row r="427" ht="15" customHeight="1">
      <c r="A427" t="inlineStr">
        <is>
          <t>A 25180-2025</t>
        </is>
      </c>
      <c r="B427" s="1" t="n">
        <v>45800.44892361111</v>
      </c>
      <c r="C427" s="1" t="n">
        <v>45915</v>
      </c>
      <c r="D427" t="inlineStr">
        <is>
          <t>VÄSTERBOTTENS LÄN</t>
        </is>
      </c>
      <c r="E427" t="inlineStr">
        <is>
          <t>VILHELMINA</t>
        </is>
      </c>
      <c r="F427" t="inlineStr">
        <is>
          <t>SCA</t>
        </is>
      </c>
      <c r="G427" t="n">
        <v>10.8</v>
      </c>
      <c r="H427" t="n">
        <v>0</v>
      </c>
      <c r="I427" t="n">
        <v>0</v>
      </c>
      <c r="J427" t="n">
        <v>0</v>
      </c>
      <c r="K427" t="n">
        <v>0</v>
      </c>
      <c r="L427" t="n">
        <v>0</v>
      </c>
      <c r="M427" t="n">
        <v>0</v>
      </c>
      <c r="N427" t="n">
        <v>0</v>
      </c>
      <c r="O427" t="n">
        <v>0</v>
      </c>
      <c r="P427" t="n">
        <v>0</v>
      </c>
      <c r="Q427" t="n">
        <v>0</v>
      </c>
      <c r="R427" s="2" t="inlineStr"/>
    </row>
    <row r="428" ht="15" customHeight="1">
      <c r="A428" t="inlineStr">
        <is>
          <t>A 57470-2024</t>
        </is>
      </c>
      <c r="B428" s="1" t="n">
        <v>45630</v>
      </c>
      <c r="C428" s="1" t="n">
        <v>45915</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65151-2021</t>
        </is>
      </c>
      <c r="B429" s="1" t="n">
        <v>44515</v>
      </c>
      <c r="C429" s="1" t="n">
        <v>45915</v>
      </c>
      <c r="D429" t="inlineStr">
        <is>
          <t>VÄSTERBOTTENS LÄN</t>
        </is>
      </c>
      <c r="E429" t="inlineStr">
        <is>
          <t>VILHELMINA</t>
        </is>
      </c>
      <c r="G429" t="n">
        <v>11.8</v>
      </c>
      <c r="H429" t="n">
        <v>0</v>
      </c>
      <c r="I429" t="n">
        <v>0</v>
      </c>
      <c r="J429" t="n">
        <v>0</v>
      </c>
      <c r="K429" t="n">
        <v>0</v>
      </c>
      <c r="L429" t="n">
        <v>0</v>
      </c>
      <c r="M429" t="n">
        <v>0</v>
      </c>
      <c r="N429" t="n">
        <v>0</v>
      </c>
      <c r="O429" t="n">
        <v>0</v>
      </c>
      <c r="P429" t="n">
        <v>0</v>
      </c>
      <c r="Q429" t="n">
        <v>0</v>
      </c>
      <c r="R429" s="2" t="inlineStr"/>
    </row>
    <row r="430" ht="15" customHeight="1">
      <c r="A430" t="inlineStr">
        <is>
          <t>A 65159-2021</t>
        </is>
      </c>
      <c r="B430" s="1" t="n">
        <v>44515</v>
      </c>
      <c r="C430" s="1" t="n">
        <v>45915</v>
      </c>
      <c r="D430" t="inlineStr">
        <is>
          <t>VÄSTERBOTTENS LÄN</t>
        </is>
      </c>
      <c r="E430" t="inlineStr">
        <is>
          <t>VILHELMINA</t>
        </is>
      </c>
      <c r="G430" t="n">
        <v>5</v>
      </c>
      <c r="H430" t="n">
        <v>0</v>
      </c>
      <c r="I430" t="n">
        <v>0</v>
      </c>
      <c r="J430" t="n">
        <v>0</v>
      </c>
      <c r="K430" t="n">
        <v>0</v>
      </c>
      <c r="L430" t="n">
        <v>0</v>
      </c>
      <c r="M430" t="n">
        <v>0</v>
      </c>
      <c r="N430" t="n">
        <v>0</v>
      </c>
      <c r="O430" t="n">
        <v>0</v>
      </c>
      <c r="P430" t="n">
        <v>0</v>
      </c>
      <c r="Q430" t="n">
        <v>0</v>
      </c>
      <c r="R430" s="2" t="inlineStr"/>
    </row>
    <row r="431" ht="15" customHeight="1">
      <c r="A431" t="inlineStr">
        <is>
          <t>A 8555-2023</t>
        </is>
      </c>
      <c r="B431" s="1" t="n">
        <v>44972</v>
      </c>
      <c r="C431" s="1" t="n">
        <v>45915</v>
      </c>
      <c r="D431" t="inlineStr">
        <is>
          <t>VÄSTERBOTTENS LÄN</t>
        </is>
      </c>
      <c r="E431" t="inlineStr">
        <is>
          <t>VILHELMINA</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17587-2024</t>
        </is>
      </c>
      <c r="B432" s="1" t="n">
        <v>45415.94033564815</v>
      </c>
      <c r="C432" s="1" t="n">
        <v>45915</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31095-2024</t>
        </is>
      </c>
      <c r="B433" s="1" t="n">
        <v>45502</v>
      </c>
      <c r="C433" s="1" t="n">
        <v>45915</v>
      </c>
      <c r="D433" t="inlineStr">
        <is>
          <t>VÄSTERBOTTENS LÄN</t>
        </is>
      </c>
      <c r="E433" t="inlineStr">
        <is>
          <t>VILHELMINA</t>
        </is>
      </c>
      <c r="G433" t="n">
        <v>4.7</v>
      </c>
      <c r="H433" t="n">
        <v>0</v>
      </c>
      <c r="I433" t="n">
        <v>0</v>
      </c>
      <c r="J433" t="n">
        <v>0</v>
      </c>
      <c r="K433" t="n">
        <v>0</v>
      </c>
      <c r="L433" t="n">
        <v>0</v>
      </c>
      <c r="M433" t="n">
        <v>0</v>
      </c>
      <c r="N433" t="n">
        <v>0</v>
      </c>
      <c r="O433" t="n">
        <v>0</v>
      </c>
      <c r="P433" t="n">
        <v>0</v>
      </c>
      <c r="Q433" t="n">
        <v>0</v>
      </c>
      <c r="R433" s="2" t="inlineStr"/>
    </row>
    <row r="434" ht="15" customHeight="1">
      <c r="A434" t="inlineStr">
        <is>
          <t>A 24870-2025</t>
        </is>
      </c>
      <c r="B434" s="1" t="n">
        <v>45799.49025462963</v>
      </c>
      <c r="C434" s="1" t="n">
        <v>45915</v>
      </c>
      <c r="D434" t="inlineStr">
        <is>
          <t>VÄSTERBOTTENS LÄN</t>
        </is>
      </c>
      <c r="E434" t="inlineStr">
        <is>
          <t>VILHELMINA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25239-2025</t>
        </is>
      </c>
      <c r="B435" s="1" t="n">
        <v>45800</v>
      </c>
      <c r="C435" s="1" t="n">
        <v>45915</v>
      </c>
      <c r="D435" t="inlineStr">
        <is>
          <t>VÄSTERBOTTENS LÄN</t>
        </is>
      </c>
      <c r="E435" t="inlineStr">
        <is>
          <t>VILHELMINA</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25309-2025</t>
        </is>
      </c>
      <c r="B436" s="1" t="n">
        <v>45800.57380787037</v>
      </c>
      <c r="C436" s="1" t="n">
        <v>45915</v>
      </c>
      <c r="D436" t="inlineStr">
        <is>
          <t>VÄSTERBOTTENS LÄN</t>
        </is>
      </c>
      <c r="E436" t="inlineStr">
        <is>
          <t>VILHELMINA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7777-2024</t>
        </is>
      </c>
      <c r="B437" s="1" t="n">
        <v>45349</v>
      </c>
      <c r="C437" s="1" t="n">
        <v>45915</v>
      </c>
      <c r="D437" t="inlineStr">
        <is>
          <t>VÄSTERBOTTENS LÄN</t>
        </is>
      </c>
      <c r="E437" t="inlineStr">
        <is>
          <t>VILHELMINA</t>
        </is>
      </c>
      <c r="G437" t="n">
        <v>7</v>
      </c>
      <c r="H437" t="n">
        <v>0</v>
      </c>
      <c r="I437" t="n">
        <v>0</v>
      </c>
      <c r="J437" t="n">
        <v>0</v>
      </c>
      <c r="K437" t="n">
        <v>0</v>
      </c>
      <c r="L437" t="n">
        <v>0</v>
      </c>
      <c r="M437" t="n">
        <v>0</v>
      </c>
      <c r="N437" t="n">
        <v>0</v>
      </c>
      <c r="O437" t="n">
        <v>0</v>
      </c>
      <c r="P437" t="n">
        <v>0</v>
      </c>
      <c r="Q437" t="n">
        <v>0</v>
      </c>
      <c r="R437" s="2" t="inlineStr"/>
    </row>
    <row r="438" ht="15" customHeight="1">
      <c r="A438" t="inlineStr">
        <is>
          <t>A 46318-2022</t>
        </is>
      </c>
      <c r="B438" s="1" t="n">
        <v>44847</v>
      </c>
      <c r="C438" s="1" t="n">
        <v>45915</v>
      </c>
      <c r="D438" t="inlineStr">
        <is>
          <t>VÄSTERBOTTENS LÄN</t>
        </is>
      </c>
      <c r="E438" t="inlineStr">
        <is>
          <t>VILHELMINA</t>
        </is>
      </c>
      <c r="G438" t="n">
        <v>11.7</v>
      </c>
      <c r="H438" t="n">
        <v>0</v>
      </c>
      <c r="I438" t="n">
        <v>0</v>
      </c>
      <c r="J438" t="n">
        <v>0</v>
      </c>
      <c r="K438" t="n">
        <v>0</v>
      </c>
      <c r="L438" t="n">
        <v>0</v>
      </c>
      <c r="M438" t="n">
        <v>0</v>
      </c>
      <c r="N438" t="n">
        <v>0</v>
      </c>
      <c r="O438" t="n">
        <v>0</v>
      </c>
      <c r="P438" t="n">
        <v>0</v>
      </c>
      <c r="Q438" t="n">
        <v>0</v>
      </c>
      <c r="R438" s="2" t="inlineStr"/>
    </row>
    <row r="439" ht="15" customHeight="1">
      <c r="A439" t="inlineStr">
        <is>
          <t>A 24871-2025</t>
        </is>
      </c>
      <c r="B439" s="1" t="n">
        <v>45799.49028935185</v>
      </c>
      <c r="C439" s="1" t="n">
        <v>45915</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37322-2022</t>
        </is>
      </c>
      <c r="B440" s="1" t="n">
        <v>44806</v>
      </c>
      <c r="C440" s="1" t="n">
        <v>45915</v>
      </c>
      <c r="D440" t="inlineStr">
        <is>
          <t>VÄSTERBOTTENS LÄN</t>
        </is>
      </c>
      <c r="E440" t="inlineStr">
        <is>
          <t>VILHELMINA</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25062-2025</t>
        </is>
      </c>
      <c r="B441" s="1" t="n">
        <v>45799.69844907407</v>
      </c>
      <c r="C441" s="1" t="n">
        <v>45915</v>
      </c>
      <c r="D441" t="inlineStr">
        <is>
          <t>VÄSTERBOTTENS LÄN</t>
        </is>
      </c>
      <c r="E441" t="inlineStr">
        <is>
          <t>VILHELMINA</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25176-2025</t>
        </is>
      </c>
      <c r="B442" s="1" t="n">
        <v>45800.44840277778</v>
      </c>
      <c r="C442" s="1" t="n">
        <v>45915</v>
      </c>
      <c r="D442" t="inlineStr">
        <is>
          <t>VÄSTERBOTTENS LÄN</t>
        </is>
      </c>
      <c r="E442" t="inlineStr">
        <is>
          <t>VILHELMINA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48470-2023</t>
        </is>
      </c>
      <c r="B443" s="1" t="n">
        <v>45206.95747685185</v>
      </c>
      <c r="C443" s="1" t="n">
        <v>45915</v>
      </c>
      <c r="D443" t="inlineStr">
        <is>
          <t>VÄSTERBOTTENS LÄN</t>
        </is>
      </c>
      <c r="E443" t="inlineStr">
        <is>
          <t>VILHELMINA</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25524-2025</t>
        </is>
      </c>
      <c r="B444" s="1" t="n">
        <v>45803.38644675926</v>
      </c>
      <c r="C444" s="1" t="n">
        <v>45915</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60682-2022</t>
        </is>
      </c>
      <c r="B445" s="1" t="n">
        <v>44911.94</v>
      </c>
      <c r="C445" s="1" t="n">
        <v>45915</v>
      </c>
      <c r="D445" t="inlineStr">
        <is>
          <t>VÄSTERBOTTENS LÄN</t>
        </is>
      </c>
      <c r="E445" t="inlineStr">
        <is>
          <t>VILHELMINA</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25770-2025</t>
        </is>
      </c>
      <c r="B446" s="1" t="n">
        <v>45804.3449537037</v>
      </c>
      <c r="C446" s="1" t="n">
        <v>45915</v>
      </c>
      <c r="D446" t="inlineStr">
        <is>
          <t>VÄSTERBOTTENS LÄN</t>
        </is>
      </c>
      <c r="E446" t="inlineStr">
        <is>
          <t>VILHELMINA</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26018-2025</t>
        </is>
      </c>
      <c r="B447" s="1" t="n">
        <v>45804.67799768518</v>
      </c>
      <c r="C447" s="1" t="n">
        <v>45915</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37716-2024</t>
        </is>
      </c>
      <c r="B448" s="1" t="n">
        <v>45541.63592592593</v>
      </c>
      <c r="C448" s="1" t="n">
        <v>45915</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37717-2024</t>
        </is>
      </c>
      <c r="B449" s="1" t="n">
        <v>45541</v>
      </c>
      <c r="C449" s="1" t="n">
        <v>45915</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25942-2025</t>
        </is>
      </c>
      <c r="B450" s="1" t="n">
        <v>45804.59461805555</v>
      </c>
      <c r="C450" s="1" t="n">
        <v>45915</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55697-2024</t>
        </is>
      </c>
      <c r="B451" s="1" t="n">
        <v>45622</v>
      </c>
      <c r="C451" s="1" t="n">
        <v>45915</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46908-2024</t>
        </is>
      </c>
      <c r="B452" s="1" t="n">
        <v>45583</v>
      </c>
      <c r="C452" s="1" t="n">
        <v>45915</v>
      </c>
      <c r="D452" t="inlineStr">
        <is>
          <t>VÄSTERBOTTENS LÄN</t>
        </is>
      </c>
      <c r="E452" t="inlineStr">
        <is>
          <t>VILHELMINA</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59003-2024</t>
        </is>
      </c>
      <c r="B453" s="1" t="n">
        <v>45636</v>
      </c>
      <c r="C453" s="1" t="n">
        <v>45915</v>
      </c>
      <c r="D453" t="inlineStr">
        <is>
          <t>VÄSTERBOTTENS LÄN</t>
        </is>
      </c>
      <c r="E453" t="inlineStr">
        <is>
          <t>VILHELMINA</t>
        </is>
      </c>
      <c r="F453" t="inlineStr">
        <is>
          <t>Allmännings- och besparingsskogar</t>
        </is>
      </c>
      <c r="G453" t="n">
        <v>21.8</v>
      </c>
      <c r="H453" t="n">
        <v>0</v>
      </c>
      <c r="I453" t="n">
        <v>0</v>
      </c>
      <c r="J453" t="n">
        <v>0</v>
      </c>
      <c r="K453" t="n">
        <v>0</v>
      </c>
      <c r="L453" t="n">
        <v>0</v>
      </c>
      <c r="M453" t="n">
        <v>0</v>
      </c>
      <c r="N453" t="n">
        <v>0</v>
      </c>
      <c r="O453" t="n">
        <v>0</v>
      </c>
      <c r="P453" t="n">
        <v>0</v>
      </c>
      <c r="Q453" t="n">
        <v>0</v>
      </c>
      <c r="R453" s="2" t="inlineStr"/>
    </row>
    <row r="454" ht="15" customHeight="1">
      <c r="A454" t="inlineStr">
        <is>
          <t>A 56627-2024</t>
        </is>
      </c>
      <c r="B454" s="1" t="n">
        <v>45625</v>
      </c>
      <c r="C454" s="1" t="n">
        <v>45915</v>
      </c>
      <c r="D454" t="inlineStr">
        <is>
          <t>VÄSTERBOTTENS LÄN</t>
        </is>
      </c>
      <c r="E454" t="inlineStr">
        <is>
          <t>VILHELMINA</t>
        </is>
      </c>
      <c r="F454" t="inlineStr">
        <is>
          <t>Allmännings- och besparingsskogar</t>
        </is>
      </c>
      <c r="G454" t="n">
        <v>21.5</v>
      </c>
      <c r="H454" t="n">
        <v>0</v>
      </c>
      <c r="I454" t="n">
        <v>0</v>
      </c>
      <c r="J454" t="n">
        <v>0</v>
      </c>
      <c r="K454" t="n">
        <v>0</v>
      </c>
      <c r="L454" t="n">
        <v>0</v>
      </c>
      <c r="M454" t="n">
        <v>0</v>
      </c>
      <c r="N454" t="n">
        <v>0</v>
      </c>
      <c r="O454" t="n">
        <v>0</v>
      </c>
      <c r="P454" t="n">
        <v>0</v>
      </c>
      <c r="Q454" t="n">
        <v>0</v>
      </c>
      <c r="R454" s="2" t="inlineStr"/>
    </row>
    <row r="455" ht="15" customHeight="1">
      <c r="A455" t="inlineStr">
        <is>
          <t>A 26098-2025</t>
        </is>
      </c>
      <c r="B455" s="1" t="n">
        <v>45805</v>
      </c>
      <c r="C455" s="1" t="n">
        <v>45915</v>
      </c>
      <c r="D455" t="inlineStr">
        <is>
          <t>VÄSTERBOTTENS LÄN</t>
        </is>
      </c>
      <c r="E455" t="inlineStr">
        <is>
          <t>VILHELMINA</t>
        </is>
      </c>
      <c r="F455" t="inlineStr">
        <is>
          <t>Övriga statliga verk och myndigheter</t>
        </is>
      </c>
      <c r="G455" t="n">
        <v>5.4</v>
      </c>
      <c r="H455" t="n">
        <v>0</v>
      </c>
      <c r="I455" t="n">
        <v>0</v>
      </c>
      <c r="J455" t="n">
        <v>0</v>
      </c>
      <c r="K455" t="n">
        <v>0</v>
      </c>
      <c r="L455" t="n">
        <v>0</v>
      </c>
      <c r="M455" t="n">
        <v>0</v>
      </c>
      <c r="N455" t="n">
        <v>0</v>
      </c>
      <c r="O455" t="n">
        <v>0</v>
      </c>
      <c r="P455" t="n">
        <v>0</v>
      </c>
      <c r="Q455" t="n">
        <v>0</v>
      </c>
      <c r="R455" s="2" t="inlineStr"/>
    </row>
    <row r="456" ht="15" customHeight="1">
      <c r="A456" t="inlineStr">
        <is>
          <t>A 55695-2024</t>
        </is>
      </c>
      <c r="B456" s="1" t="n">
        <v>45622</v>
      </c>
      <c r="C456" s="1" t="n">
        <v>45915</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27355-2023</t>
        </is>
      </c>
      <c r="B457" s="1" t="n">
        <v>45096</v>
      </c>
      <c r="C457" s="1" t="n">
        <v>45915</v>
      </c>
      <c r="D457" t="inlineStr">
        <is>
          <t>VÄSTERBOTTENS LÄN</t>
        </is>
      </c>
      <c r="E457" t="inlineStr">
        <is>
          <t>VILHELMINA</t>
        </is>
      </c>
      <c r="G457" t="n">
        <v>2.6</v>
      </c>
      <c r="H457" t="n">
        <v>0</v>
      </c>
      <c r="I457" t="n">
        <v>0</v>
      </c>
      <c r="J457" t="n">
        <v>0</v>
      </c>
      <c r="K457" t="n">
        <v>0</v>
      </c>
      <c r="L457" t="n">
        <v>0</v>
      </c>
      <c r="M457" t="n">
        <v>0</v>
      </c>
      <c r="N457" t="n">
        <v>0</v>
      </c>
      <c r="O457" t="n">
        <v>0</v>
      </c>
      <c r="P457" t="n">
        <v>0</v>
      </c>
      <c r="Q457" t="n">
        <v>0</v>
      </c>
      <c r="R457" s="2" t="inlineStr"/>
    </row>
    <row r="458" ht="15" customHeight="1">
      <c r="A458" t="inlineStr">
        <is>
          <t>A 59018-2024</t>
        </is>
      </c>
      <c r="B458" s="1" t="n">
        <v>45636</v>
      </c>
      <c r="C458" s="1" t="n">
        <v>45915</v>
      </c>
      <c r="D458" t="inlineStr">
        <is>
          <t>VÄSTERBOTTENS LÄN</t>
        </is>
      </c>
      <c r="E458" t="inlineStr">
        <is>
          <t>VILHELMINA</t>
        </is>
      </c>
      <c r="F458" t="inlineStr">
        <is>
          <t>Allmännings- och besparingsskogar</t>
        </is>
      </c>
      <c r="G458" t="n">
        <v>13.9</v>
      </c>
      <c r="H458" t="n">
        <v>0</v>
      </c>
      <c r="I458" t="n">
        <v>0</v>
      </c>
      <c r="J458" t="n">
        <v>0</v>
      </c>
      <c r="K458" t="n">
        <v>0</v>
      </c>
      <c r="L458" t="n">
        <v>0</v>
      </c>
      <c r="M458" t="n">
        <v>0</v>
      </c>
      <c r="N458" t="n">
        <v>0</v>
      </c>
      <c r="O458" t="n">
        <v>0</v>
      </c>
      <c r="P458" t="n">
        <v>0</v>
      </c>
      <c r="Q458" t="n">
        <v>0</v>
      </c>
      <c r="R458" s="2" t="inlineStr"/>
    </row>
    <row r="459" ht="15" customHeight="1">
      <c r="A459" t="inlineStr">
        <is>
          <t>A 13829-2025</t>
        </is>
      </c>
      <c r="B459" s="1" t="n">
        <v>45737</v>
      </c>
      <c r="C459" s="1" t="n">
        <v>45915</v>
      </c>
      <c r="D459" t="inlineStr">
        <is>
          <t>VÄSTERBOTTENS LÄN</t>
        </is>
      </c>
      <c r="E459" t="inlineStr">
        <is>
          <t>VILHELMINA</t>
        </is>
      </c>
      <c r="F459" t="inlineStr">
        <is>
          <t>Övriga statliga verk och myndigheter</t>
        </is>
      </c>
      <c r="G459" t="n">
        <v>39.7</v>
      </c>
      <c r="H459" t="n">
        <v>0</v>
      </c>
      <c r="I459" t="n">
        <v>0</v>
      </c>
      <c r="J459" t="n">
        <v>0</v>
      </c>
      <c r="K459" t="n">
        <v>0</v>
      </c>
      <c r="L459" t="n">
        <v>0</v>
      </c>
      <c r="M459" t="n">
        <v>0</v>
      </c>
      <c r="N459" t="n">
        <v>0</v>
      </c>
      <c r="O459" t="n">
        <v>0</v>
      </c>
      <c r="P459" t="n">
        <v>0</v>
      </c>
      <c r="Q459" t="n">
        <v>0</v>
      </c>
      <c r="R459" s="2" t="inlineStr"/>
    </row>
    <row r="460" ht="15" customHeight="1">
      <c r="A460" t="inlineStr">
        <is>
          <t>A 45258-2024</t>
        </is>
      </c>
      <c r="B460" s="1" t="n">
        <v>45576.34444444445</v>
      </c>
      <c r="C460" s="1" t="n">
        <v>45915</v>
      </c>
      <c r="D460" t="inlineStr">
        <is>
          <t>VÄSTERBOTTENS LÄN</t>
        </is>
      </c>
      <c r="E460" t="inlineStr">
        <is>
          <t>VILHELMINA</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10941-2023</t>
        </is>
      </c>
      <c r="B461" s="1" t="n">
        <v>44985</v>
      </c>
      <c r="C461" s="1" t="n">
        <v>45915</v>
      </c>
      <c r="D461" t="inlineStr">
        <is>
          <t>VÄSTERBOTTENS LÄN</t>
        </is>
      </c>
      <c r="E461" t="inlineStr">
        <is>
          <t>VILHELMINA</t>
        </is>
      </c>
      <c r="G461" t="n">
        <v>16.7</v>
      </c>
      <c r="H461" t="n">
        <v>0</v>
      </c>
      <c r="I461" t="n">
        <v>0</v>
      </c>
      <c r="J461" t="n">
        <v>0</v>
      </c>
      <c r="K461" t="n">
        <v>0</v>
      </c>
      <c r="L461" t="n">
        <v>0</v>
      </c>
      <c r="M461" t="n">
        <v>0</v>
      </c>
      <c r="N461" t="n">
        <v>0</v>
      </c>
      <c r="O461" t="n">
        <v>0</v>
      </c>
      <c r="P461" t="n">
        <v>0</v>
      </c>
      <c r="Q461" t="n">
        <v>0</v>
      </c>
      <c r="R461" s="2" t="inlineStr"/>
    </row>
    <row r="462" ht="15" customHeight="1">
      <c r="A462" t="inlineStr">
        <is>
          <t>A 38222-2024</t>
        </is>
      </c>
      <c r="B462" s="1" t="n">
        <v>45545.53619212963</v>
      </c>
      <c r="C462" s="1" t="n">
        <v>45915</v>
      </c>
      <c r="D462" t="inlineStr">
        <is>
          <t>VÄSTERBOTTENS LÄN</t>
        </is>
      </c>
      <c r="E462" t="inlineStr">
        <is>
          <t>VILHELMINA</t>
        </is>
      </c>
      <c r="F462" t="inlineStr">
        <is>
          <t>Sveaskog</t>
        </is>
      </c>
      <c r="G462" t="n">
        <v>6</v>
      </c>
      <c r="H462" t="n">
        <v>0</v>
      </c>
      <c r="I462" t="n">
        <v>0</v>
      </c>
      <c r="J462" t="n">
        <v>0</v>
      </c>
      <c r="K462" t="n">
        <v>0</v>
      </c>
      <c r="L462" t="n">
        <v>0</v>
      </c>
      <c r="M462" t="n">
        <v>0</v>
      </c>
      <c r="N462" t="n">
        <v>0</v>
      </c>
      <c r="O462" t="n">
        <v>0</v>
      </c>
      <c r="P462" t="n">
        <v>0</v>
      </c>
      <c r="Q462" t="n">
        <v>0</v>
      </c>
      <c r="R462" s="2" t="inlineStr"/>
    </row>
    <row r="463" ht="15" customHeight="1">
      <c r="A463" t="inlineStr">
        <is>
          <t>A 5403-2025</t>
        </is>
      </c>
      <c r="B463" s="1" t="n">
        <v>45692.64475694444</v>
      </c>
      <c r="C463" s="1" t="n">
        <v>45915</v>
      </c>
      <c r="D463" t="inlineStr">
        <is>
          <t>VÄSTERBOTTENS LÄN</t>
        </is>
      </c>
      <c r="E463" t="inlineStr">
        <is>
          <t>VILHELMINA</t>
        </is>
      </c>
      <c r="F463" t="inlineStr">
        <is>
          <t>Kommuner</t>
        </is>
      </c>
      <c r="G463" t="n">
        <v>14.9</v>
      </c>
      <c r="H463" t="n">
        <v>0</v>
      </c>
      <c r="I463" t="n">
        <v>0</v>
      </c>
      <c r="J463" t="n">
        <v>0</v>
      </c>
      <c r="K463" t="n">
        <v>0</v>
      </c>
      <c r="L463" t="n">
        <v>0</v>
      </c>
      <c r="M463" t="n">
        <v>0</v>
      </c>
      <c r="N463" t="n">
        <v>0</v>
      </c>
      <c r="O463" t="n">
        <v>0</v>
      </c>
      <c r="P463" t="n">
        <v>0</v>
      </c>
      <c r="Q463" t="n">
        <v>0</v>
      </c>
      <c r="R463" s="2" t="inlineStr"/>
    </row>
    <row r="464" ht="15" customHeight="1">
      <c r="A464" t="inlineStr">
        <is>
          <t>A 3237-2024</t>
        </is>
      </c>
      <c r="B464" s="1" t="n">
        <v>45316.9474537037</v>
      </c>
      <c r="C464" s="1" t="n">
        <v>45915</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36909-2024</t>
        </is>
      </c>
      <c r="B465" s="1" t="n">
        <v>45538.63577546296</v>
      </c>
      <c r="C465" s="1" t="n">
        <v>45915</v>
      </c>
      <c r="D465" t="inlineStr">
        <is>
          <t>VÄSTERBOTTENS LÄN</t>
        </is>
      </c>
      <c r="E465" t="inlineStr">
        <is>
          <t>VILHELMINA</t>
        </is>
      </c>
      <c r="F465" t="inlineStr">
        <is>
          <t>SCA</t>
        </is>
      </c>
      <c r="G465" t="n">
        <v>16.8</v>
      </c>
      <c r="H465" t="n">
        <v>0</v>
      </c>
      <c r="I465" t="n">
        <v>0</v>
      </c>
      <c r="J465" t="n">
        <v>0</v>
      </c>
      <c r="K465" t="n">
        <v>0</v>
      </c>
      <c r="L465" t="n">
        <v>0</v>
      </c>
      <c r="M465" t="n">
        <v>0</v>
      </c>
      <c r="N465" t="n">
        <v>0</v>
      </c>
      <c r="O465" t="n">
        <v>0</v>
      </c>
      <c r="P465" t="n">
        <v>0</v>
      </c>
      <c r="Q465" t="n">
        <v>0</v>
      </c>
      <c r="R465" s="2" t="inlineStr"/>
    </row>
    <row r="466" ht="15" customHeight="1">
      <c r="A466" t="inlineStr">
        <is>
          <t>A 2054-2023</t>
        </is>
      </c>
      <c r="B466" s="1" t="n">
        <v>44939</v>
      </c>
      <c r="C466" s="1" t="n">
        <v>45915</v>
      </c>
      <c r="D466" t="inlineStr">
        <is>
          <t>VÄSTERBOTTENS LÄN</t>
        </is>
      </c>
      <c r="E466" t="inlineStr">
        <is>
          <t>VILHELMINA</t>
        </is>
      </c>
      <c r="F466" t="inlineStr">
        <is>
          <t>Sveaskog</t>
        </is>
      </c>
      <c r="G466" t="n">
        <v>19.2</v>
      </c>
      <c r="H466" t="n">
        <v>0</v>
      </c>
      <c r="I466" t="n">
        <v>0</v>
      </c>
      <c r="J466" t="n">
        <v>0</v>
      </c>
      <c r="K466" t="n">
        <v>0</v>
      </c>
      <c r="L466" t="n">
        <v>0</v>
      </c>
      <c r="M466" t="n">
        <v>0</v>
      </c>
      <c r="N466" t="n">
        <v>0</v>
      </c>
      <c r="O466" t="n">
        <v>0</v>
      </c>
      <c r="P466" t="n">
        <v>0</v>
      </c>
      <c r="Q466" t="n">
        <v>0</v>
      </c>
      <c r="R466" s="2" t="inlineStr"/>
    </row>
    <row r="467" ht="15" customHeight="1">
      <c r="A467" t="inlineStr">
        <is>
          <t>A 41644-2024</t>
        </is>
      </c>
      <c r="B467" s="1" t="n">
        <v>45560</v>
      </c>
      <c r="C467" s="1" t="n">
        <v>45915</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58946-2024</t>
        </is>
      </c>
      <c r="B468" s="1" t="n">
        <v>45636.55063657407</v>
      </c>
      <c r="C468" s="1" t="n">
        <v>45915</v>
      </c>
      <c r="D468" t="inlineStr">
        <is>
          <t>VÄSTERBOTTENS LÄN</t>
        </is>
      </c>
      <c r="E468" t="inlineStr">
        <is>
          <t>VILHELMINA</t>
        </is>
      </c>
      <c r="F468" t="inlineStr">
        <is>
          <t>Kommuner</t>
        </is>
      </c>
      <c r="G468" t="n">
        <v>4.9</v>
      </c>
      <c r="H468" t="n">
        <v>0</v>
      </c>
      <c r="I468" t="n">
        <v>0</v>
      </c>
      <c r="J468" t="n">
        <v>0</v>
      </c>
      <c r="K468" t="n">
        <v>0</v>
      </c>
      <c r="L468" t="n">
        <v>0</v>
      </c>
      <c r="M468" t="n">
        <v>0</v>
      </c>
      <c r="N468" t="n">
        <v>0</v>
      </c>
      <c r="O468" t="n">
        <v>0</v>
      </c>
      <c r="P468" t="n">
        <v>0</v>
      </c>
      <c r="Q468" t="n">
        <v>0</v>
      </c>
      <c r="R468" s="2" t="inlineStr"/>
    </row>
    <row r="469" ht="15" customHeight="1">
      <c r="A469" t="inlineStr">
        <is>
          <t>A 58999-2024</t>
        </is>
      </c>
      <c r="B469" s="1" t="n">
        <v>45636</v>
      </c>
      <c r="C469" s="1" t="n">
        <v>45915</v>
      </c>
      <c r="D469" t="inlineStr">
        <is>
          <t>VÄSTERBOTTENS LÄN</t>
        </is>
      </c>
      <c r="E469" t="inlineStr">
        <is>
          <t>VILHELMINA</t>
        </is>
      </c>
      <c r="F469" t="inlineStr">
        <is>
          <t>Allmännings- och besparingsskogar</t>
        </is>
      </c>
      <c r="G469" t="n">
        <v>12.3</v>
      </c>
      <c r="H469" t="n">
        <v>0</v>
      </c>
      <c r="I469" t="n">
        <v>0</v>
      </c>
      <c r="J469" t="n">
        <v>0</v>
      </c>
      <c r="K469" t="n">
        <v>0</v>
      </c>
      <c r="L469" t="n">
        <v>0</v>
      </c>
      <c r="M469" t="n">
        <v>0</v>
      </c>
      <c r="N469" t="n">
        <v>0</v>
      </c>
      <c r="O469" t="n">
        <v>0</v>
      </c>
      <c r="P469" t="n">
        <v>0</v>
      </c>
      <c r="Q469" t="n">
        <v>0</v>
      </c>
      <c r="R469" s="2" t="inlineStr"/>
    </row>
    <row r="470" ht="15" customHeight="1">
      <c r="A470" t="inlineStr">
        <is>
          <t>A 56629-2024</t>
        </is>
      </c>
      <c r="B470" s="1" t="n">
        <v>45625</v>
      </c>
      <c r="C470" s="1" t="n">
        <v>45915</v>
      </c>
      <c r="D470" t="inlineStr">
        <is>
          <t>VÄSTERBOTTENS LÄN</t>
        </is>
      </c>
      <c r="E470" t="inlineStr">
        <is>
          <t>VILHELMINA</t>
        </is>
      </c>
      <c r="F470" t="inlineStr">
        <is>
          <t>Allmännings- och besparingsskogar</t>
        </is>
      </c>
      <c r="G470" t="n">
        <v>19.7</v>
      </c>
      <c r="H470" t="n">
        <v>0</v>
      </c>
      <c r="I470" t="n">
        <v>0</v>
      </c>
      <c r="J470" t="n">
        <v>0</v>
      </c>
      <c r="K470" t="n">
        <v>0</v>
      </c>
      <c r="L470" t="n">
        <v>0</v>
      </c>
      <c r="M470" t="n">
        <v>0</v>
      </c>
      <c r="N470" t="n">
        <v>0</v>
      </c>
      <c r="O470" t="n">
        <v>0</v>
      </c>
      <c r="P470" t="n">
        <v>0</v>
      </c>
      <c r="Q470" t="n">
        <v>0</v>
      </c>
      <c r="R470" s="2" t="inlineStr"/>
    </row>
    <row r="471" ht="15" customHeight="1">
      <c r="A471" t="inlineStr">
        <is>
          <t>A 56624-2024</t>
        </is>
      </c>
      <c r="B471" s="1" t="n">
        <v>45625</v>
      </c>
      <c r="C471" s="1" t="n">
        <v>45915</v>
      </c>
      <c r="D471" t="inlineStr">
        <is>
          <t>VÄSTERBOTTENS LÄN</t>
        </is>
      </c>
      <c r="E471" t="inlineStr">
        <is>
          <t>VILHELMINA</t>
        </is>
      </c>
      <c r="F471" t="inlineStr">
        <is>
          <t>Allmännings- och besparingsskogar</t>
        </is>
      </c>
      <c r="G471" t="n">
        <v>17.8</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45915</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48422-2023</t>
        </is>
      </c>
      <c r="B473" s="1" t="n">
        <v>45205</v>
      </c>
      <c r="C473" s="1" t="n">
        <v>45915</v>
      </c>
      <c r="D473" t="inlineStr">
        <is>
          <t>VÄSTERBOTTENS LÄN</t>
        </is>
      </c>
      <c r="E473" t="inlineStr">
        <is>
          <t>VILHELMINA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47010-2024</t>
        </is>
      </c>
      <c r="B474" s="1" t="n">
        <v>45586</v>
      </c>
      <c r="C474" s="1" t="n">
        <v>45915</v>
      </c>
      <c r="D474" t="inlineStr">
        <is>
          <t>VÄSTERBOTTENS LÄN</t>
        </is>
      </c>
      <c r="E474" t="inlineStr">
        <is>
          <t>VILHELMINA</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48483-2023</t>
        </is>
      </c>
      <c r="B475" s="1" t="n">
        <v>45206.95854166667</v>
      </c>
      <c r="C475" s="1" t="n">
        <v>45915</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48505-2023</t>
        </is>
      </c>
      <c r="B476" s="1" t="n">
        <v>45207.93900462963</v>
      </c>
      <c r="C476" s="1" t="n">
        <v>45915</v>
      </c>
      <c r="D476" t="inlineStr">
        <is>
          <t>VÄSTERBOTTENS LÄN</t>
        </is>
      </c>
      <c r="E476" t="inlineStr">
        <is>
          <t>VILHELMINA</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50489-2023</t>
        </is>
      </c>
      <c r="B477" s="1" t="n">
        <v>45216.95556712963</v>
      </c>
      <c r="C477" s="1" t="n">
        <v>45915</v>
      </c>
      <c r="D477" t="inlineStr">
        <is>
          <t>VÄSTERBOTTENS LÄN</t>
        </is>
      </c>
      <c r="E477" t="inlineStr">
        <is>
          <t>VILHELMINA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50506-2023</t>
        </is>
      </c>
      <c r="B478" s="1" t="n">
        <v>45216.9580787037</v>
      </c>
      <c r="C478" s="1" t="n">
        <v>45915</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54459-2024</t>
        </is>
      </c>
      <c r="B479" s="1" t="n">
        <v>45617</v>
      </c>
      <c r="C479" s="1" t="n">
        <v>45915</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21345-2024</t>
        </is>
      </c>
      <c r="B480" s="1" t="n">
        <v>45440.92866898148</v>
      </c>
      <c r="C480" s="1" t="n">
        <v>45915</v>
      </c>
      <c r="D480" t="inlineStr">
        <is>
          <t>VÄSTERBOTTENS LÄN</t>
        </is>
      </c>
      <c r="E480" t="inlineStr">
        <is>
          <t>VILHELMINA</t>
        </is>
      </c>
      <c r="G480" t="n">
        <v>3</v>
      </c>
      <c r="H480" t="n">
        <v>0</v>
      </c>
      <c r="I480" t="n">
        <v>0</v>
      </c>
      <c r="J480" t="n">
        <v>0</v>
      </c>
      <c r="K480" t="n">
        <v>0</v>
      </c>
      <c r="L480" t="n">
        <v>0</v>
      </c>
      <c r="M480" t="n">
        <v>0</v>
      </c>
      <c r="N480" t="n">
        <v>0</v>
      </c>
      <c r="O480" t="n">
        <v>0</v>
      </c>
      <c r="P480" t="n">
        <v>0</v>
      </c>
      <c r="Q480" t="n">
        <v>0</v>
      </c>
      <c r="R480" s="2" t="inlineStr"/>
    </row>
    <row r="481" ht="15" customHeight="1">
      <c r="A481" t="inlineStr">
        <is>
          <t>A 31868-2024</t>
        </is>
      </c>
      <c r="B481" s="1" t="n">
        <v>45509</v>
      </c>
      <c r="C481" s="1" t="n">
        <v>45915</v>
      </c>
      <c r="D481" t="inlineStr">
        <is>
          <t>VÄSTERBOTTENS LÄN</t>
        </is>
      </c>
      <c r="E481" t="inlineStr">
        <is>
          <t>VILHELMINA</t>
        </is>
      </c>
      <c r="G481" t="n">
        <v>4.5</v>
      </c>
      <c r="H481" t="n">
        <v>0</v>
      </c>
      <c r="I481" t="n">
        <v>0</v>
      </c>
      <c r="J481" t="n">
        <v>0</v>
      </c>
      <c r="K481" t="n">
        <v>0</v>
      </c>
      <c r="L481" t="n">
        <v>0</v>
      </c>
      <c r="M481" t="n">
        <v>0</v>
      </c>
      <c r="N481" t="n">
        <v>0</v>
      </c>
      <c r="O481" t="n">
        <v>0</v>
      </c>
      <c r="P481" t="n">
        <v>0</v>
      </c>
      <c r="Q481" t="n">
        <v>0</v>
      </c>
      <c r="R481" s="2" t="inlineStr"/>
    </row>
    <row r="482" ht="15" customHeight="1">
      <c r="A482" t="inlineStr">
        <is>
          <t>A 46177-2023</t>
        </is>
      </c>
      <c r="B482" s="1" t="n">
        <v>45190</v>
      </c>
      <c r="C482" s="1" t="n">
        <v>45915</v>
      </c>
      <c r="D482" t="inlineStr">
        <is>
          <t>VÄSTERBOTTENS LÄN</t>
        </is>
      </c>
      <c r="E482" t="inlineStr">
        <is>
          <t>VILHELMINA</t>
        </is>
      </c>
      <c r="F482" t="inlineStr">
        <is>
          <t>Övriga Aktiebolag</t>
        </is>
      </c>
      <c r="G482" t="n">
        <v>7.7</v>
      </c>
      <c r="H482" t="n">
        <v>0</v>
      </c>
      <c r="I482" t="n">
        <v>0</v>
      </c>
      <c r="J482" t="n">
        <v>0</v>
      </c>
      <c r="K482" t="n">
        <v>0</v>
      </c>
      <c r="L482" t="n">
        <v>0</v>
      </c>
      <c r="M482" t="n">
        <v>0</v>
      </c>
      <c r="N482" t="n">
        <v>0</v>
      </c>
      <c r="O482" t="n">
        <v>0</v>
      </c>
      <c r="P482" t="n">
        <v>0</v>
      </c>
      <c r="Q482" t="n">
        <v>0</v>
      </c>
      <c r="R482" s="2" t="inlineStr"/>
    </row>
    <row r="483" ht="15" customHeight="1">
      <c r="A483" t="inlineStr">
        <is>
          <t>A 8859-2023</t>
        </is>
      </c>
      <c r="B483" s="1" t="n">
        <v>44978</v>
      </c>
      <c r="C483" s="1" t="n">
        <v>45915</v>
      </c>
      <c r="D483" t="inlineStr">
        <is>
          <t>VÄSTERBOTTENS LÄN</t>
        </is>
      </c>
      <c r="E483" t="inlineStr">
        <is>
          <t>VILHELMINA</t>
        </is>
      </c>
      <c r="G483" t="n">
        <v>6.3</v>
      </c>
      <c r="H483" t="n">
        <v>0</v>
      </c>
      <c r="I483" t="n">
        <v>0</v>
      </c>
      <c r="J483" t="n">
        <v>0</v>
      </c>
      <c r="K483" t="n">
        <v>0</v>
      </c>
      <c r="L483" t="n">
        <v>0</v>
      </c>
      <c r="M483" t="n">
        <v>0</v>
      </c>
      <c r="N483" t="n">
        <v>0</v>
      </c>
      <c r="O483" t="n">
        <v>0</v>
      </c>
      <c r="P483" t="n">
        <v>0</v>
      </c>
      <c r="Q483" t="n">
        <v>0</v>
      </c>
      <c r="R483" s="2" t="inlineStr"/>
    </row>
    <row r="484" ht="15" customHeight="1">
      <c r="A484" t="inlineStr">
        <is>
          <t>A 26722-2025</t>
        </is>
      </c>
      <c r="B484" s="1" t="n">
        <v>45810</v>
      </c>
      <c r="C484" s="1" t="n">
        <v>45915</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20846-2025</t>
        </is>
      </c>
      <c r="B485" s="1" t="n">
        <v>45777</v>
      </c>
      <c r="C485" s="1" t="n">
        <v>45915</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38569-2024</t>
        </is>
      </c>
      <c r="B486" s="1" t="n">
        <v>45546.63689814815</v>
      </c>
      <c r="C486" s="1" t="n">
        <v>45915</v>
      </c>
      <c r="D486" t="inlineStr">
        <is>
          <t>VÄSTERBOTTENS LÄN</t>
        </is>
      </c>
      <c r="E486" t="inlineStr">
        <is>
          <t>VILHELMINA</t>
        </is>
      </c>
      <c r="G486" t="n">
        <v>31.5</v>
      </c>
      <c r="H486" t="n">
        <v>0</v>
      </c>
      <c r="I486" t="n">
        <v>0</v>
      </c>
      <c r="J486" t="n">
        <v>0</v>
      </c>
      <c r="K486" t="n">
        <v>0</v>
      </c>
      <c r="L486" t="n">
        <v>0</v>
      </c>
      <c r="M486" t="n">
        <v>0</v>
      </c>
      <c r="N486" t="n">
        <v>0</v>
      </c>
      <c r="O486" t="n">
        <v>0</v>
      </c>
      <c r="P486" t="n">
        <v>0</v>
      </c>
      <c r="Q486" t="n">
        <v>0</v>
      </c>
      <c r="R486" s="2" t="inlineStr"/>
    </row>
    <row r="487" ht="15" customHeight="1">
      <c r="A487" t="inlineStr">
        <is>
          <t>A 26744-2025</t>
        </is>
      </c>
      <c r="B487" s="1" t="n">
        <v>45810.53185185185</v>
      </c>
      <c r="C487" s="1" t="n">
        <v>45915</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59030-2022</t>
        </is>
      </c>
      <c r="B488" s="1" t="n">
        <v>44903</v>
      </c>
      <c r="C488" s="1" t="n">
        <v>45915</v>
      </c>
      <c r="D488" t="inlineStr">
        <is>
          <t>VÄSTERBOTTENS LÄN</t>
        </is>
      </c>
      <c r="E488" t="inlineStr">
        <is>
          <t>VILHELMINA</t>
        </is>
      </c>
      <c r="G488" t="n">
        <v>17.8</v>
      </c>
      <c r="H488" t="n">
        <v>0</v>
      </c>
      <c r="I488" t="n">
        <v>0</v>
      </c>
      <c r="J488" t="n">
        <v>0</v>
      </c>
      <c r="K488" t="n">
        <v>0</v>
      </c>
      <c r="L488" t="n">
        <v>0</v>
      </c>
      <c r="M488" t="n">
        <v>0</v>
      </c>
      <c r="N488" t="n">
        <v>0</v>
      </c>
      <c r="O488" t="n">
        <v>0</v>
      </c>
      <c r="P488" t="n">
        <v>0</v>
      </c>
      <c r="Q488" t="n">
        <v>0</v>
      </c>
      <c r="R488" s="2" t="inlineStr"/>
    </row>
    <row r="489" ht="15" customHeight="1">
      <c r="A489" t="inlineStr">
        <is>
          <t>A 51826-2023</t>
        </is>
      </c>
      <c r="B489" s="1" t="n">
        <v>45222.9678125</v>
      </c>
      <c r="C489" s="1" t="n">
        <v>45915</v>
      </c>
      <c r="D489" t="inlineStr">
        <is>
          <t>VÄSTERBOTTENS LÄN</t>
        </is>
      </c>
      <c r="E489" t="inlineStr">
        <is>
          <t>VILHELMINA</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18394-2025</t>
        </is>
      </c>
      <c r="B490" s="1" t="n">
        <v>45762</v>
      </c>
      <c r="C490" s="1" t="n">
        <v>45915</v>
      </c>
      <c r="D490" t="inlineStr">
        <is>
          <t>VÄSTERBOTTENS LÄN</t>
        </is>
      </c>
      <c r="E490" t="inlineStr">
        <is>
          <t>VILHELMINA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20524-2024</t>
        </is>
      </c>
      <c r="B491" s="1" t="n">
        <v>45435.94567129629</v>
      </c>
      <c r="C491" s="1" t="n">
        <v>45915</v>
      </c>
      <c r="D491" t="inlineStr">
        <is>
          <t>VÄSTERBOTTENS LÄN</t>
        </is>
      </c>
      <c r="E491" t="inlineStr">
        <is>
          <t>VILHELMINA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26790-2025</t>
        </is>
      </c>
      <c r="B492" s="1" t="n">
        <v>45810.59417824074</v>
      </c>
      <c r="C492" s="1" t="n">
        <v>45915</v>
      </c>
      <c r="D492" t="inlineStr">
        <is>
          <t>VÄSTERBOTTENS LÄN</t>
        </is>
      </c>
      <c r="E492" t="inlineStr">
        <is>
          <t>VILHELMINA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33318-2024</t>
        </is>
      </c>
      <c r="B493" s="1" t="n">
        <v>45518.97211805556</v>
      </c>
      <c r="C493" s="1" t="n">
        <v>45915</v>
      </c>
      <c r="D493" t="inlineStr">
        <is>
          <t>VÄSTERBOTTENS LÄN</t>
        </is>
      </c>
      <c r="E493" t="inlineStr">
        <is>
          <t>VILHELMINA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33321-2024</t>
        </is>
      </c>
      <c r="B494" s="1" t="n">
        <v>45518.97256944444</v>
      </c>
      <c r="C494" s="1" t="n">
        <v>45915</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15884-2025</t>
        </is>
      </c>
      <c r="B495" s="1" t="n">
        <v>45749</v>
      </c>
      <c r="C495" s="1" t="n">
        <v>45915</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26745-2025</t>
        </is>
      </c>
      <c r="B496" s="1" t="n">
        <v>45810.53188657408</v>
      </c>
      <c r="C496" s="1" t="n">
        <v>45915</v>
      </c>
      <c r="D496" t="inlineStr">
        <is>
          <t>VÄSTERBOTTENS LÄN</t>
        </is>
      </c>
      <c r="E496" t="inlineStr">
        <is>
          <t>VILHELMINA</t>
        </is>
      </c>
      <c r="F496" t="inlineStr">
        <is>
          <t>SCA</t>
        </is>
      </c>
      <c r="G496" t="n">
        <v>0.3</v>
      </c>
      <c r="H496" t="n">
        <v>0</v>
      </c>
      <c r="I496" t="n">
        <v>0</v>
      </c>
      <c r="J496" t="n">
        <v>0</v>
      </c>
      <c r="K496" t="n">
        <v>0</v>
      </c>
      <c r="L496" t="n">
        <v>0</v>
      </c>
      <c r="M496" t="n">
        <v>0</v>
      </c>
      <c r="N496" t="n">
        <v>0</v>
      </c>
      <c r="O496" t="n">
        <v>0</v>
      </c>
      <c r="P496" t="n">
        <v>0</v>
      </c>
      <c r="Q496" t="n">
        <v>0</v>
      </c>
      <c r="R496" s="2" t="inlineStr"/>
    </row>
    <row r="497" ht="15" customHeight="1">
      <c r="A497" t="inlineStr">
        <is>
          <t>A 62630-2022</t>
        </is>
      </c>
      <c r="B497" s="1" t="n">
        <v>44917</v>
      </c>
      <c r="C497" s="1" t="n">
        <v>45915</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50494-2023</t>
        </is>
      </c>
      <c r="B498" s="1" t="n">
        <v>45216.95604166666</v>
      </c>
      <c r="C498" s="1" t="n">
        <v>45915</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16626-2024</t>
        </is>
      </c>
      <c r="B499" s="1" t="n">
        <v>45408</v>
      </c>
      <c r="C499" s="1" t="n">
        <v>45915</v>
      </c>
      <c r="D499" t="inlineStr">
        <is>
          <t>VÄSTERBOTTENS LÄN</t>
        </is>
      </c>
      <c r="E499" t="inlineStr">
        <is>
          <t>VILHELMINA</t>
        </is>
      </c>
      <c r="G499" t="n">
        <v>15.5</v>
      </c>
      <c r="H499" t="n">
        <v>0</v>
      </c>
      <c r="I499" t="n">
        <v>0</v>
      </c>
      <c r="J499" t="n">
        <v>0</v>
      </c>
      <c r="K499" t="n">
        <v>0</v>
      </c>
      <c r="L499" t="n">
        <v>0</v>
      </c>
      <c r="M499" t="n">
        <v>0</v>
      </c>
      <c r="N499" t="n">
        <v>0</v>
      </c>
      <c r="O499" t="n">
        <v>0</v>
      </c>
      <c r="P499" t="n">
        <v>0</v>
      </c>
      <c r="Q499" t="n">
        <v>0</v>
      </c>
      <c r="R499" s="2" t="inlineStr"/>
    </row>
    <row r="500" ht="15" customHeight="1">
      <c r="A500" t="inlineStr">
        <is>
          <t>A 8566-2025</t>
        </is>
      </c>
      <c r="B500" s="1" t="n">
        <v>45709</v>
      </c>
      <c r="C500" s="1" t="n">
        <v>45915</v>
      </c>
      <c r="D500" t="inlineStr">
        <is>
          <t>VÄSTERBOTTENS LÄN</t>
        </is>
      </c>
      <c r="E500" t="inlineStr">
        <is>
          <t>VILHELMINA</t>
        </is>
      </c>
      <c r="G500" t="n">
        <v>10.5</v>
      </c>
      <c r="H500" t="n">
        <v>0</v>
      </c>
      <c r="I500" t="n">
        <v>0</v>
      </c>
      <c r="J500" t="n">
        <v>0</v>
      </c>
      <c r="K500" t="n">
        <v>0</v>
      </c>
      <c r="L500" t="n">
        <v>0</v>
      </c>
      <c r="M500" t="n">
        <v>0</v>
      </c>
      <c r="N500" t="n">
        <v>0</v>
      </c>
      <c r="O500" t="n">
        <v>0</v>
      </c>
      <c r="P500" t="n">
        <v>0</v>
      </c>
      <c r="Q500" t="n">
        <v>0</v>
      </c>
      <c r="R500" s="2" t="inlineStr"/>
    </row>
    <row r="501" ht="15" customHeight="1">
      <c r="A501" t="inlineStr">
        <is>
          <t>A 8585-2025</t>
        </is>
      </c>
      <c r="B501" s="1" t="n">
        <v>45709</v>
      </c>
      <c r="C501" s="1" t="n">
        <v>45915</v>
      </c>
      <c r="D501" t="inlineStr">
        <is>
          <t>VÄSTERBOTTENS LÄN</t>
        </is>
      </c>
      <c r="E501" t="inlineStr">
        <is>
          <t>VILHELMINA</t>
        </is>
      </c>
      <c r="G501" t="n">
        <v>3.4</v>
      </c>
      <c r="H501" t="n">
        <v>0</v>
      </c>
      <c r="I501" t="n">
        <v>0</v>
      </c>
      <c r="J501" t="n">
        <v>0</v>
      </c>
      <c r="K501" t="n">
        <v>0</v>
      </c>
      <c r="L501" t="n">
        <v>0</v>
      </c>
      <c r="M501" t="n">
        <v>0</v>
      </c>
      <c r="N501" t="n">
        <v>0</v>
      </c>
      <c r="O501" t="n">
        <v>0</v>
      </c>
      <c r="P501" t="n">
        <v>0</v>
      </c>
      <c r="Q501" t="n">
        <v>0</v>
      </c>
      <c r="R501" s="2" t="inlineStr"/>
    </row>
    <row r="502" ht="15" customHeight="1">
      <c r="A502" t="inlineStr">
        <is>
          <t>A 19585-2024</t>
        </is>
      </c>
      <c r="B502" s="1" t="n">
        <v>45429</v>
      </c>
      <c r="C502" s="1" t="n">
        <v>45915</v>
      </c>
      <c r="D502" t="inlineStr">
        <is>
          <t>VÄSTERBOTTENS LÄN</t>
        </is>
      </c>
      <c r="E502" t="inlineStr">
        <is>
          <t>VILHELMINA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2043-2023</t>
        </is>
      </c>
      <c r="B503" s="1" t="n">
        <v>44939</v>
      </c>
      <c r="C503" s="1" t="n">
        <v>45915</v>
      </c>
      <c r="D503" t="inlineStr">
        <is>
          <t>VÄSTERBOTTENS LÄN</t>
        </is>
      </c>
      <c r="E503" t="inlineStr">
        <is>
          <t>VILHELMINA</t>
        </is>
      </c>
      <c r="F503" t="inlineStr">
        <is>
          <t>Sveaskog</t>
        </is>
      </c>
      <c r="G503" t="n">
        <v>10.5</v>
      </c>
      <c r="H503" t="n">
        <v>0</v>
      </c>
      <c r="I503" t="n">
        <v>0</v>
      </c>
      <c r="J503" t="n">
        <v>0</v>
      </c>
      <c r="K503" t="n">
        <v>0</v>
      </c>
      <c r="L503" t="n">
        <v>0</v>
      </c>
      <c r="M503" t="n">
        <v>0</v>
      </c>
      <c r="N503" t="n">
        <v>0</v>
      </c>
      <c r="O503" t="n">
        <v>0</v>
      </c>
      <c r="P503" t="n">
        <v>0</v>
      </c>
      <c r="Q503" t="n">
        <v>0</v>
      </c>
      <c r="R503" s="2" t="inlineStr"/>
    </row>
    <row r="504" ht="15" customHeight="1">
      <c r="A504" t="inlineStr">
        <is>
          <t>A 55870-2022</t>
        </is>
      </c>
      <c r="B504" s="1" t="n">
        <v>44888</v>
      </c>
      <c r="C504" s="1" t="n">
        <v>45915</v>
      </c>
      <c r="D504" t="inlineStr">
        <is>
          <t>VÄSTERBOTTENS LÄN</t>
        </is>
      </c>
      <c r="E504" t="inlineStr">
        <is>
          <t>VILHELMINA</t>
        </is>
      </c>
      <c r="G504" t="n">
        <v>13.6</v>
      </c>
      <c r="H504" t="n">
        <v>0</v>
      </c>
      <c r="I504" t="n">
        <v>0</v>
      </c>
      <c r="J504" t="n">
        <v>0</v>
      </c>
      <c r="K504" t="n">
        <v>0</v>
      </c>
      <c r="L504" t="n">
        <v>0</v>
      </c>
      <c r="M504" t="n">
        <v>0</v>
      </c>
      <c r="N504" t="n">
        <v>0</v>
      </c>
      <c r="O504" t="n">
        <v>0</v>
      </c>
      <c r="P504" t="n">
        <v>0</v>
      </c>
      <c r="Q504" t="n">
        <v>0</v>
      </c>
      <c r="R504" s="2" t="inlineStr"/>
    </row>
    <row r="505" ht="15" customHeight="1">
      <c r="A505" t="inlineStr">
        <is>
          <t>A 34805-2023</t>
        </is>
      </c>
      <c r="B505" s="1" t="n">
        <v>45140</v>
      </c>
      <c r="C505" s="1" t="n">
        <v>45915</v>
      </c>
      <c r="D505" t="inlineStr">
        <is>
          <t>VÄSTERBOTTENS LÄN</t>
        </is>
      </c>
      <c r="E505" t="inlineStr">
        <is>
          <t>VILHELMINA</t>
        </is>
      </c>
      <c r="G505" t="n">
        <v>4.3</v>
      </c>
      <c r="H505" t="n">
        <v>0</v>
      </c>
      <c r="I505" t="n">
        <v>0</v>
      </c>
      <c r="J505" t="n">
        <v>0</v>
      </c>
      <c r="K505" t="n">
        <v>0</v>
      </c>
      <c r="L505" t="n">
        <v>0</v>
      </c>
      <c r="M505" t="n">
        <v>0</v>
      </c>
      <c r="N505" t="n">
        <v>0</v>
      </c>
      <c r="O505" t="n">
        <v>0</v>
      </c>
      <c r="P505" t="n">
        <v>0</v>
      </c>
      <c r="Q505" t="n">
        <v>0</v>
      </c>
      <c r="R505" s="2" t="inlineStr"/>
    </row>
    <row r="506" ht="15" customHeight="1">
      <c r="A506" t="inlineStr">
        <is>
          <t>A 69621-2020</t>
        </is>
      </c>
      <c r="B506" s="1" t="n">
        <v>44195</v>
      </c>
      <c r="C506" s="1" t="n">
        <v>45915</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43987-2024</t>
        </is>
      </c>
      <c r="B507" s="1" t="n">
        <v>45572.51092592593</v>
      </c>
      <c r="C507" s="1" t="n">
        <v>45915</v>
      </c>
      <c r="D507" t="inlineStr">
        <is>
          <t>VÄSTERBOTTENS LÄN</t>
        </is>
      </c>
      <c r="E507" t="inlineStr">
        <is>
          <t>VILHELMINA</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27601-2025</t>
        </is>
      </c>
      <c r="B508" s="1" t="n">
        <v>45813.52791666667</v>
      </c>
      <c r="C508" s="1" t="n">
        <v>45915</v>
      </c>
      <c r="D508" t="inlineStr">
        <is>
          <t>VÄSTERBOTTENS LÄN</t>
        </is>
      </c>
      <c r="E508" t="inlineStr">
        <is>
          <t>VILHELMINA</t>
        </is>
      </c>
      <c r="F508" t="inlineStr">
        <is>
          <t>Övriga statliga verk och myndigheter</t>
        </is>
      </c>
      <c r="G508" t="n">
        <v>36.5</v>
      </c>
      <c r="H508" t="n">
        <v>0</v>
      </c>
      <c r="I508" t="n">
        <v>0</v>
      </c>
      <c r="J508" t="n">
        <v>0</v>
      </c>
      <c r="K508" t="n">
        <v>0</v>
      </c>
      <c r="L508" t="n">
        <v>0</v>
      </c>
      <c r="M508" t="n">
        <v>0</v>
      </c>
      <c r="N508" t="n">
        <v>0</v>
      </c>
      <c r="O508" t="n">
        <v>0</v>
      </c>
      <c r="P508" t="n">
        <v>0</v>
      </c>
      <c r="Q508" t="n">
        <v>0</v>
      </c>
      <c r="R508" s="2" t="inlineStr"/>
    </row>
    <row r="509" ht="15" customHeight="1">
      <c r="A509" t="inlineStr">
        <is>
          <t>A 31449-2024</t>
        </is>
      </c>
      <c r="B509" s="1" t="n">
        <v>45505.9299537037</v>
      </c>
      <c r="C509" s="1" t="n">
        <v>45915</v>
      </c>
      <c r="D509" t="inlineStr">
        <is>
          <t>VÄSTERBOTTENS LÄN</t>
        </is>
      </c>
      <c r="E509" t="inlineStr">
        <is>
          <t>VILHELMINA</t>
        </is>
      </c>
      <c r="G509" t="n">
        <v>3.5</v>
      </c>
      <c r="H509" t="n">
        <v>0</v>
      </c>
      <c r="I509" t="n">
        <v>0</v>
      </c>
      <c r="J509" t="n">
        <v>0</v>
      </c>
      <c r="K509" t="n">
        <v>0</v>
      </c>
      <c r="L509" t="n">
        <v>0</v>
      </c>
      <c r="M509" t="n">
        <v>0</v>
      </c>
      <c r="N509" t="n">
        <v>0</v>
      </c>
      <c r="O509" t="n">
        <v>0</v>
      </c>
      <c r="P509" t="n">
        <v>0</v>
      </c>
      <c r="Q509" t="n">
        <v>0</v>
      </c>
      <c r="R509" s="2" t="inlineStr"/>
    </row>
    <row r="510" ht="15" customHeight="1">
      <c r="A510" t="inlineStr">
        <is>
          <t>A 664-2022</t>
        </is>
      </c>
      <c r="B510" s="1" t="n">
        <v>44568</v>
      </c>
      <c r="C510" s="1" t="n">
        <v>45915</v>
      </c>
      <c r="D510" t="inlineStr">
        <is>
          <t>VÄSTERBOTTENS LÄN</t>
        </is>
      </c>
      <c r="E510" t="inlineStr">
        <is>
          <t>VILHELMINA</t>
        </is>
      </c>
      <c r="G510" t="n">
        <v>1.8</v>
      </c>
      <c r="H510" t="n">
        <v>0</v>
      </c>
      <c r="I510" t="n">
        <v>0</v>
      </c>
      <c r="J510" t="n">
        <v>0</v>
      </c>
      <c r="K510" t="n">
        <v>0</v>
      </c>
      <c r="L510" t="n">
        <v>0</v>
      </c>
      <c r="M510" t="n">
        <v>0</v>
      </c>
      <c r="N510" t="n">
        <v>0</v>
      </c>
      <c r="O510" t="n">
        <v>0</v>
      </c>
      <c r="P510" t="n">
        <v>0</v>
      </c>
      <c r="Q510" t="n">
        <v>0</v>
      </c>
      <c r="R510" s="2" t="inlineStr"/>
    </row>
    <row r="511" ht="15" customHeight="1">
      <c r="A511" t="inlineStr">
        <is>
          <t>A 27945-2025</t>
        </is>
      </c>
      <c r="B511" s="1" t="n">
        <v>45817</v>
      </c>
      <c r="C511" s="1" t="n">
        <v>45915</v>
      </c>
      <c r="D511" t="inlineStr">
        <is>
          <t>VÄSTERBOTTENS LÄN</t>
        </is>
      </c>
      <c r="E511" t="inlineStr">
        <is>
          <t>VILHELMINA</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11538-2024</t>
        </is>
      </c>
      <c r="B512" s="1" t="n">
        <v>45372</v>
      </c>
      <c r="C512" s="1" t="n">
        <v>45915</v>
      </c>
      <c r="D512" t="inlineStr">
        <is>
          <t>VÄSTERBOTTENS LÄN</t>
        </is>
      </c>
      <c r="E512" t="inlineStr">
        <is>
          <t>VILHELMINA</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51825-2023</t>
        </is>
      </c>
      <c r="B513" s="1" t="n">
        <v>45222</v>
      </c>
      <c r="C513" s="1" t="n">
        <v>45915</v>
      </c>
      <c r="D513" t="inlineStr">
        <is>
          <t>VÄSTERBOTTENS LÄN</t>
        </is>
      </c>
      <c r="E513" t="inlineStr">
        <is>
          <t>VILHELMINA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45915</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35409-2024</t>
        </is>
      </c>
      <c r="B515" s="1" t="n">
        <v>45531</v>
      </c>
      <c r="C515" s="1" t="n">
        <v>45915</v>
      </c>
      <c r="D515" t="inlineStr">
        <is>
          <t>VÄSTERBOTTENS LÄN</t>
        </is>
      </c>
      <c r="E515" t="inlineStr">
        <is>
          <t>VILHELMINA</t>
        </is>
      </c>
      <c r="F515" t="inlineStr">
        <is>
          <t>SCA</t>
        </is>
      </c>
      <c r="G515" t="n">
        <v>13.1</v>
      </c>
      <c r="H515" t="n">
        <v>0</v>
      </c>
      <c r="I515" t="n">
        <v>0</v>
      </c>
      <c r="J515" t="n">
        <v>0</v>
      </c>
      <c r="K515" t="n">
        <v>0</v>
      </c>
      <c r="L515" t="n">
        <v>0</v>
      </c>
      <c r="M515" t="n">
        <v>0</v>
      </c>
      <c r="N515" t="n">
        <v>0</v>
      </c>
      <c r="O515" t="n">
        <v>0</v>
      </c>
      <c r="P515" t="n">
        <v>0</v>
      </c>
      <c r="Q515" t="n">
        <v>0</v>
      </c>
      <c r="R515" s="2" t="inlineStr"/>
    </row>
    <row r="516" ht="15" customHeight="1">
      <c r="A516" t="inlineStr">
        <is>
          <t>A 21965-2025</t>
        </is>
      </c>
      <c r="B516" s="1" t="n">
        <v>45784</v>
      </c>
      <c r="C516" s="1" t="n">
        <v>45915</v>
      </c>
      <c r="D516" t="inlineStr">
        <is>
          <t>VÄSTERBOTTENS LÄN</t>
        </is>
      </c>
      <c r="E516" t="inlineStr">
        <is>
          <t>VILHELMINA</t>
        </is>
      </c>
      <c r="G516" t="n">
        <v>7.4</v>
      </c>
      <c r="H516" t="n">
        <v>0</v>
      </c>
      <c r="I516" t="n">
        <v>0</v>
      </c>
      <c r="J516" t="n">
        <v>0</v>
      </c>
      <c r="K516" t="n">
        <v>0</v>
      </c>
      <c r="L516" t="n">
        <v>0</v>
      </c>
      <c r="M516" t="n">
        <v>0</v>
      </c>
      <c r="N516" t="n">
        <v>0</v>
      </c>
      <c r="O516" t="n">
        <v>0</v>
      </c>
      <c r="P516" t="n">
        <v>0</v>
      </c>
      <c r="Q516" t="n">
        <v>0</v>
      </c>
      <c r="R516" s="2" t="inlineStr"/>
    </row>
    <row r="517" ht="15" customHeight="1">
      <c r="A517" t="inlineStr">
        <is>
          <t>A 28019-2025</t>
        </is>
      </c>
      <c r="B517" s="1" t="n">
        <v>45817.61545138889</v>
      </c>
      <c r="C517" s="1" t="n">
        <v>45915</v>
      </c>
      <c r="D517" t="inlineStr">
        <is>
          <t>VÄSTERBOTTENS LÄN</t>
        </is>
      </c>
      <c r="E517" t="inlineStr">
        <is>
          <t>VILHELMINA</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27943-2025</t>
        </is>
      </c>
      <c r="B518" s="1" t="n">
        <v>45817.51078703703</v>
      </c>
      <c r="C518" s="1" t="n">
        <v>45915</v>
      </c>
      <c r="D518" t="inlineStr">
        <is>
          <t>VÄSTERBOTTENS LÄN</t>
        </is>
      </c>
      <c r="E518" t="inlineStr">
        <is>
          <t>VILHELMINA</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27952-2025</t>
        </is>
      </c>
      <c r="B519" s="1" t="n">
        <v>45817.53157407408</v>
      </c>
      <c r="C519" s="1" t="n">
        <v>45915</v>
      </c>
      <c r="D519" t="inlineStr">
        <is>
          <t>VÄSTERBOTTENS LÄN</t>
        </is>
      </c>
      <c r="E519" t="inlineStr">
        <is>
          <t>VILHELMINA</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20591-2025</t>
        </is>
      </c>
      <c r="B520" s="1" t="n">
        <v>45775</v>
      </c>
      <c r="C520" s="1" t="n">
        <v>45915</v>
      </c>
      <c r="D520" t="inlineStr">
        <is>
          <t>VÄSTERBOTTENS LÄN</t>
        </is>
      </c>
      <c r="E520" t="inlineStr">
        <is>
          <t>VILHELMINA</t>
        </is>
      </c>
      <c r="F520" t="inlineStr">
        <is>
          <t>SCA</t>
        </is>
      </c>
      <c r="G520" t="n">
        <v>27.4</v>
      </c>
      <c r="H520" t="n">
        <v>0</v>
      </c>
      <c r="I520" t="n">
        <v>0</v>
      </c>
      <c r="J520" t="n">
        <v>0</v>
      </c>
      <c r="K520" t="n">
        <v>0</v>
      </c>
      <c r="L520" t="n">
        <v>0</v>
      </c>
      <c r="M520" t="n">
        <v>0</v>
      </c>
      <c r="N520" t="n">
        <v>0</v>
      </c>
      <c r="O520" t="n">
        <v>0</v>
      </c>
      <c r="P520" t="n">
        <v>0</v>
      </c>
      <c r="Q520" t="n">
        <v>0</v>
      </c>
      <c r="R520" s="2" t="inlineStr"/>
    </row>
    <row r="521" ht="15" customHeight="1">
      <c r="A521" t="inlineStr">
        <is>
          <t>A 38125-2024</t>
        </is>
      </c>
      <c r="B521" s="1" t="n">
        <v>45545.40717592592</v>
      </c>
      <c r="C521" s="1" t="n">
        <v>45915</v>
      </c>
      <c r="D521" t="inlineStr">
        <is>
          <t>VÄSTERBOTTENS LÄN</t>
        </is>
      </c>
      <c r="E521" t="inlineStr">
        <is>
          <t>VILHELMINA</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38126-2024</t>
        </is>
      </c>
      <c r="B522" s="1" t="n">
        <v>45545</v>
      </c>
      <c r="C522" s="1" t="n">
        <v>45915</v>
      </c>
      <c r="D522" t="inlineStr">
        <is>
          <t>VÄSTERBOTTENS LÄN</t>
        </is>
      </c>
      <c r="E522" t="inlineStr">
        <is>
          <t>VILHELMINA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38130-2024</t>
        </is>
      </c>
      <c r="B523" s="1" t="n">
        <v>45545</v>
      </c>
      <c r="C523" s="1" t="n">
        <v>45915</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33636-2021</t>
        </is>
      </c>
      <c r="B524" s="1" t="n">
        <v>44378</v>
      </c>
      <c r="C524" s="1" t="n">
        <v>45915</v>
      </c>
      <c r="D524" t="inlineStr">
        <is>
          <t>VÄSTERBOTTENS LÄN</t>
        </is>
      </c>
      <c r="E524" t="inlineStr">
        <is>
          <t>VILHELMINA</t>
        </is>
      </c>
      <c r="G524" t="n">
        <v>1.6</v>
      </c>
      <c r="H524" t="n">
        <v>0</v>
      </c>
      <c r="I524" t="n">
        <v>0</v>
      </c>
      <c r="J524" t="n">
        <v>0</v>
      </c>
      <c r="K524" t="n">
        <v>0</v>
      </c>
      <c r="L524" t="n">
        <v>0</v>
      </c>
      <c r="M524" t="n">
        <v>0</v>
      </c>
      <c r="N524" t="n">
        <v>0</v>
      </c>
      <c r="O524" t="n">
        <v>0</v>
      </c>
      <c r="P524" t="n">
        <v>0</v>
      </c>
      <c r="Q524" t="n">
        <v>0</v>
      </c>
      <c r="R524" s="2" t="inlineStr"/>
    </row>
    <row r="525" ht="15" customHeight="1">
      <c r="A525" t="inlineStr">
        <is>
          <t>A 28016-2025</t>
        </is>
      </c>
      <c r="B525" s="1" t="n">
        <v>45817.61506944444</v>
      </c>
      <c r="C525" s="1" t="n">
        <v>45915</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28050-2025</t>
        </is>
      </c>
      <c r="B526" s="1" t="n">
        <v>45817.65658564815</v>
      </c>
      <c r="C526" s="1" t="n">
        <v>45915</v>
      </c>
      <c r="D526" t="inlineStr">
        <is>
          <t>VÄSTERBOTTENS LÄN</t>
        </is>
      </c>
      <c r="E526" t="inlineStr">
        <is>
          <t>VILHELMINA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39670-2024</t>
        </is>
      </c>
      <c r="B527" s="1" t="n">
        <v>45552.5315162037</v>
      </c>
      <c r="C527" s="1" t="n">
        <v>45915</v>
      </c>
      <c r="D527" t="inlineStr">
        <is>
          <t>VÄSTERBOTTENS LÄN</t>
        </is>
      </c>
      <c r="E527" t="inlineStr">
        <is>
          <t>VILHELMINA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28144-2025</t>
        </is>
      </c>
      <c r="B528" s="1" t="n">
        <v>45818</v>
      </c>
      <c r="C528" s="1" t="n">
        <v>45915</v>
      </c>
      <c r="D528" t="inlineStr">
        <is>
          <t>VÄSTERBOTTENS LÄN</t>
        </is>
      </c>
      <c r="E528" t="inlineStr">
        <is>
          <t>VILHELMINA</t>
        </is>
      </c>
      <c r="F528" t="inlineStr">
        <is>
          <t>SCA</t>
        </is>
      </c>
      <c r="G528" t="n">
        <v>10.8</v>
      </c>
      <c r="H528" t="n">
        <v>0</v>
      </c>
      <c r="I528" t="n">
        <v>0</v>
      </c>
      <c r="J528" t="n">
        <v>0</v>
      </c>
      <c r="K528" t="n">
        <v>0</v>
      </c>
      <c r="L528" t="n">
        <v>0</v>
      </c>
      <c r="M528" t="n">
        <v>0</v>
      </c>
      <c r="N528" t="n">
        <v>0</v>
      </c>
      <c r="O528" t="n">
        <v>0</v>
      </c>
      <c r="P528" t="n">
        <v>0</v>
      </c>
      <c r="Q528" t="n">
        <v>0</v>
      </c>
      <c r="R528" s="2" t="inlineStr"/>
    </row>
    <row r="529" ht="15" customHeight="1">
      <c r="A529" t="inlineStr">
        <is>
          <t>A 35984-2023</t>
        </is>
      </c>
      <c r="B529" s="1" t="n">
        <v>45148.96195601852</v>
      </c>
      <c r="C529" s="1" t="n">
        <v>45915</v>
      </c>
      <c r="D529" t="inlineStr">
        <is>
          <t>VÄSTERBOTTENS LÄN</t>
        </is>
      </c>
      <c r="E529" t="inlineStr">
        <is>
          <t>VILHELMINA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18564-2022</t>
        </is>
      </c>
      <c r="B530" s="1" t="n">
        <v>44686</v>
      </c>
      <c r="C530" s="1" t="n">
        <v>45915</v>
      </c>
      <c r="D530" t="inlineStr">
        <is>
          <t>VÄSTERBOTTENS LÄN</t>
        </is>
      </c>
      <c r="E530" t="inlineStr">
        <is>
          <t>VILHELMINA</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64254-2020</t>
        </is>
      </c>
      <c r="B531" s="1" t="n">
        <v>44168</v>
      </c>
      <c r="C531" s="1" t="n">
        <v>45915</v>
      </c>
      <c r="D531" t="inlineStr">
        <is>
          <t>VÄSTERBOTTENS LÄN</t>
        </is>
      </c>
      <c r="E531" t="inlineStr">
        <is>
          <t>VILHELMINA</t>
        </is>
      </c>
      <c r="G531" t="n">
        <v>17.6</v>
      </c>
      <c r="H531" t="n">
        <v>0</v>
      </c>
      <c r="I531" t="n">
        <v>0</v>
      </c>
      <c r="J531" t="n">
        <v>0</v>
      </c>
      <c r="K531" t="n">
        <v>0</v>
      </c>
      <c r="L531" t="n">
        <v>0</v>
      </c>
      <c r="M531" t="n">
        <v>0</v>
      </c>
      <c r="N531" t="n">
        <v>0</v>
      </c>
      <c r="O531" t="n">
        <v>0</v>
      </c>
      <c r="P531" t="n">
        <v>0</v>
      </c>
      <c r="Q531" t="n">
        <v>0</v>
      </c>
      <c r="R531" s="2" t="inlineStr"/>
    </row>
    <row r="532" ht="15" customHeight="1">
      <c r="A532" t="inlineStr">
        <is>
          <t>A 28071-2025</t>
        </is>
      </c>
      <c r="B532" s="1" t="n">
        <v>45817.67755787037</v>
      </c>
      <c r="C532" s="1" t="n">
        <v>45915</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22457-2025</t>
        </is>
      </c>
      <c r="B533" s="1" t="n">
        <v>45786</v>
      </c>
      <c r="C533" s="1" t="n">
        <v>45915</v>
      </c>
      <c r="D533" t="inlineStr">
        <is>
          <t>VÄSTERBOTTENS LÄN</t>
        </is>
      </c>
      <c r="E533" t="inlineStr">
        <is>
          <t>VILHELMINA</t>
        </is>
      </c>
      <c r="G533" t="n">
        <v>10.8</v>
      </c>
      <c r="H533" t="n">
        <v>0</v>
      </c>
      <c r="I533" t="n">
        <v>0</v>
      </c>
      <c r="J533" t="n">
        <v>0</v>
      </c>
      <c r="K533" t="n">
        <v>0</v>
      </c>
      <c r="L533" t="n">
        <v>0</v>
      </c>
      <c r="M533" t="n">
        <v>0</v>
      </c>
      <c r="N533" t="n">
        <v>0</v>
      </c>
      <c r="O533" t="n">
        <v>0</v>
      </c>
      <c r="P533" t="n">
        <v>0</v>
      </c>
      <c r="Q533" t="n">
        <v>0</v>
      </c>
      <c r="R533" s="2" t="inlineStr"/>
    </row>
    <row r="534" ht="15" customHeight="1">
      <c r="A534" t="inlineStr">
        <is>
          <t>A 28897-2025</t>
        </is>
      </c>
      <c r="B534" s="1" t="n">
        <v>45820.6360300926</v>
      </c>
      <c r="C534" s="1" t="n">
        <v>45915</v>
      </c>
      <c r="D534" t="inlineStr">
        <is>
          <t>VÄSTERBOTTENS LÄN</t>
        </is>
      </c>
      <c r="E534" t="inlineStr">
        <is>
          <t>VILHELMINA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35753-2023</t>
        </is>
      </c>
      <c r="B535" s="1" t="n">
        <v>45147.95390046296</v>
      </c>
      <c r="C535" s="1" t="n">
        <v>45915</v>
      </c>
      <c r="D535" t="inlineStr">
        <is>
          <t>VÄSTERBOTTENS LÄN</t>
        </is>
      </c>
      <c r="E535" t="inlineStr">
        <is>
          <t>VILHELMINA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52746-2023</t>
        </is>
      </c>
      <c r="B536" s="1" t="n">
        <v>45225.96753472222</v>
      </c>
      <c r="C536" s="1" t="n">
        <v>45915</v>
      </c>
      <c r="D536" t="inlineStr">
        <is>
          <t>VÄSTERBOTTENS LÄN</t>
        </is>
      </c>
      <c r="E536" t="inlineStr">
        <is>
          <t>VILHELMINA</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37514-2024</t>
        </is>
      </c>
      <c r="B537" s="1" t="n">
        <v>45541.38586805556</v>
      </c>
      <c r="C537" s="1" t="n">
        <v>45915</v>
      </c>
      <c r="D537" t="inlineStr">
        <is>
          <t>VÄSTERBOTTENS LÄN</t>
        </is>
      </c>
      <c r="E537" t="inlineStr">
        <is>
          <t>VILHELMINA</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55326-2023</t>
        </is>
      </c>
      <c r="B538" s="1" t="n">
        <v>45237.97364583334</v>
      </c>
      <c r="C538" s="1" t="n">
        <v>45915</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21370-2024</t>
        </is>
      </c>
      <c r="B539" s="1" t="n">
        <v>45440.95310185185</v>
      </c>
      <c r="C539" s="1" t="n">
        <v>45915</v>
      </c>
      <c r="D539" t="inlineStr">
        <is>
          <t>VÄSTERBOTTENS LÄN</t>
        </is>
      </c>
      <c r="E539" t="inlineStr">
        <is>
          <t>VILHELMINA</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27918-2022</t>
        </is>
      </c>
      <c r="B540" s="1" t="n">
        <v>44743.94145833333</v>
      </c>
      <c r="C540" s="1" t="n">
        <v>45915</v>
      </c>
      <c r="D540" t="inlineStr">
        <is>
          <t>VÄSTERBOTTENS LÄN</t>
        </is>
      </c>
      <c r="E540" t="inlineStr">
        <is>
          <t>VILHELMINA</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19423-2022</t>
        </is>
      </c>
      <c r="B541" s="1" t="n">
        <v>44693.32515046297</v>
      </c>
      <c r="C541" s="1" t="n">
        <v>45915</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29203-2025</t>
        </is>
      </c>
      <c r="B542" s="1" t="n">
        <v>45823</v>
      </c>
      <c r="C542" s="1" t="n">
        <v>45915</v>
      </c>
      <c r="D542" t="inlineStr">
        <is>
          <t>VÄSTERBOTTENS LÄN</t>
        </is>
      </c>
      <c r="E542" t="inlineStr">
        <is>
          <t>VILHELMINA</t>
        </is>
      </c>
      <c r="G542" t="n">
        <v>2.3</v>
      </c>
      <c r="H542" t="n">
        <v>0</v>
      </c>
      <c r="I542" t="n">
        <v>0</v>
      </c>
      <c r="J542" t="n">
        <v>0</v>
      </c>
      <c r="K542" t="n">
        <v>0</v>
      </c>
      <c r="L542" t="n">
        <v>0</v>
      </c>
      <c r="M542" t="n">
        <v>0</v>
      </c>
      <c r="N542" t="n">
        <v>0</v>
      </c>
      <c r="O542" t="n">
        <v>0</v>
      </c>
      <c r="P542" t="n">
        <v>0</v>
      </c>
      <c r="Q542" t="n">
        <v>0</v>
      </c>
      <c r="R542" s="2" t="inlineStr"/>
    </row>
    <row r="543" ht="15" customHeight="1">
      <c r="A543" t="inlineStr">
        <is>
          <t>A 29120-2025</t>
        </is>
      </c>
      <c r="B543" s="1" t="n">
        <v>45821</v>
      </c>
      <c r="C543" s="1" t="n">
        <v>45915</v>
      </c>
      <c r="D543" t="inlineStr">
        <is>
          <t>VÄSTERBOTTENS LÄN</t>
        </is>
      </c>
      <c r="E543" t="inlineStr">
        <is>
          <t>VILHELMINA</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15805-2025</t>
        </is>
      </c>
      <c r="B544" s="1" t="n">
        <v>45748</v>
      </c>
      <c r="C544" s="1" t="n">
        <v>45915</v>
      </c>
      <c r="D544" t="inlineStr">
        <is>
          <t>VÄSTERBOTTENS LÄN</t>
        </is>
      </c>
      <c r="E544" t="inlineStr">
        <is>
          <t>VILHELMINA</t>
        </is>
      </c>
      <c r="G544" t="n">
        <v>1.4</v>
      </c>
      <c r="H544" t="n">
        <v>0</v>
      </c>
      <c r="I544" t="n">
        <v>0</v>
      </c>
      <c r="J544" t="n">
        <v>0</v>
      </c>
      <c r="K544" t="n">
        <v>0</v>
      </c>
      <c r="L544" t="n">
        <v>0</v>
      </c>
      <c r="M544" t="n">
        <v>0</v>
      </c>
      <c r="N544" t="n">
        <v>0</v>
      </c>
      <c r="O544" t="n">
        <v>0</v>
      </c>
      <c r="P544" t="n">
        <v>0</v>
      </c>
      <c r="Q544" t="n">
        <v>0</v>
      </c>
      <c r="R544" s="2" t="inlineStr"/>
    </row>
    <row r="545" ht="15" customHeight="1">
      <c r="A545" t="inlineStr">
        <is>
          <t>A 58833-2023</t>
        </is>
      </c>
      <c r="B545" s="1" t="n">
        <v>45248</v>
      </c>
      <c r="C545" s="1" t="n">
        <v>45915</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29234-2025</t>
        </is>
      </c>
      <c r="B546" s="1" t="n">
        <v>45824.34478009259</v>
      </c>
      <c r="C546" s="1" t="n">
        <v>45915</v>
      </c>
      <c r="D546" t="inlineStr">
        <is>
          <t>VÄSTERBOTTENS LÄN</t>
        </is>
      </c>
      <c r="E546" t="inlineStr">
        <is>
          <t>VILHELMINA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34719-2024</t>
        </is>
      </c>
      <c r="B547" s="1" t="n">
        <v>45526.56435185186</v>
      </c>
      <c r="C547" s="1" t="n">
        <v>45915</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60035-2023</t>
        </is>
      </c>
      <c r="B548" s="1" t="n">
        <v>45254</v>
      </c>
      <c r="C548" s="1" t="n">
        <v>45915</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34630-2024</t>
        </is>
      </c>
      <c r="B549" s="1" t="n">
        <v>45526.46234953704</v>
      </c>
      <c r="C549" s="1" t="n">
        <v>45915</v>
      </c>
      <c r="D549" t="inlineStr">
        <is>
          <t>VÄSTERBOTTENS LÄN</t>
        </is>
      </c>
      <c r="E549" t="inlineStr">
        <is>
          <t>VILHELMINA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29468-2025</t>
        </is>
      </c>
      <c r="B550" s="1" t="n">
        <v>45824.69888888889</v>
      </c>
      <c r="C550" s="1" t="n">
        <v>45915</v>
      </c>
      <c r="D550" t="inlineStr">
        <is>
          <t>VÄSTERBOTTENS LÄN</t>
        </is>
      </c>
      <c r="E550" t="inlineStr">
        <is>
          <t>VILHELMINA</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29466-2025</t>
        </is>
      </c>
      <c r="B551" s="1" t="n">
        <v>45824.69865740741</v>
      </c>
      <c r="C551" s="1" t="n">
        <v>45915</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29940-2025</t>
        </is>
      </c>
      <c r="B552" s="1" t="n">
        <v>45826.45104166667</v>
      </c>
      <c r="C552" s="1" t="n">
        <v>45915</v>
      </c>
      <c r="D552" t="inlineStr">
        <is>
          <t>VÄSTERBOTTENS LÄN</t>
        </is>
      </c>
      <c r="E552" t="inlineStr">
        <is>
          <t>VILHELMINA</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29942-2025</t>
        </is>
      </c>
      <c r="B553" s="1" t="n">
        <v>45826.45702546297</v>
      </c>
      <c r="C553" s="1" t="n">
        <v>45915</v>
      </c>
      <c r="D553" t="inlineStr">
        <is>
          <t>VÄSTERBOTTENS LÄN</t>
        </is>
      </c>
      <c r="E553" t="inlineStr">
        <is>
          <t>VILHELMINA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45672-2023</t>
        </is>
      </c>
      <c r="B554" s="1" t="n">
        <v>45194</v>
      </c>
      <c r="C554" s="1" t="n">
        <v>45915</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7102-2024</t>
        </is>
      </c>
      <c r="B555" s="1" t="n">
        <v>45343</v>
      </c>
      <c r="C555" s="1" t="n">
        <v>45915</v>
      </c>
      <c r="D555" t="inlineStr">
        <is>
          <t>VÄSTERBOTTENS LÄN</t>
        </is>
      </c>
      <c r="E555" t="inlineStr">
        <is>
          <t>VILHELMINA</t>
        </is>
      </c>
      <c r="G555" t="n">
        <v>3.2</v>
      </c>
      <c r="H555" t="n">
        <v>0</v>
      </c>
      <c r="I555" t="n">
        <v>0</v>
      </c>
      <c r="J555" t="n">
        <v>0</v>
      </c>
      <c r="K555" t="n">
        <v>0</v>
      </c>
      <c r="L555" t="n">
        <v>0</v>
      </c>
      <c r="M555" t="n">
        <v>0</v>
      </c>
      <c r="N555" t="n">
        <v>0</v>
      </c>
      <c r="O555" t="n">
        <v>0</v>
      </c>
      <c r="P555" t="n">
        <v>0</v>
      </c>
      <c r="Q555" t="n">
        <v>0</v>
      </c>
      <c r="R555" s="2" t="inlineStr"/>
    </row>
    <row r="556" ht="15" customHeight="1">
      <c r="A556" t="inlineStr">
        <is>
          <t>A 28486-2022</t>
        </is>
      </c>
      <c r="B556" s="1" t="n">
        <v>44747</v>
      </c>
      <c r="C556" s="1" t="n">
        <v>45915</v>
      </c>
      <c r="D556" t="inlineStr">
        <is>
          <t>VÄSTERBOTTENS LÄN</t>
        </is>
      </c>
      <c r="E556" t="inlineStr">
        <is>
          <t>VILHELMINA</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26663-2023</t>
        </is>
      </c>
      <c r="B557" s="1" t="n">
        <v>45092.94042824074</v>
      </c>
      <c r="C557" s="1" t="n">
        <v>45915</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2488-2023</t>
        </is>
      </c>
      <c r="B558" s="1" t="n">
        <v>44943</v>
      </c>
      <c r="C558" s="1" t="n">
        <v>45915</v>
      </c>
      <c r="D558" t="inlineStr">
        <is>
          <t>VÄSTERBOTTENS LÄN</t>
        </is>
      </c>
      <c r="E558" t="inlineStr">
        <is>
          <t>VILHELMINA</t>
        </is>
      </c>
      <c r="G558" t="n">
        <v>69.3</v>
      </c>
      <c r="H558" t="n">
        <v>0</v>
      </c>
      <c r="I558" t="n">
        <v>0</v>
      </c>
      <c r="J558" t="n">
        <v>0</v>
      </c>
      <c r="K558" t="n">
        <v>0</v>
      </c>
      <c r="L558" t="n">
        <v>0</v>
      </c>
      <c r="M558" t="n">
        <v>0</v>
      </c>
      <c r="N558" t="n">
        <v>0</v>
      </c>
      <c r="O558" t="n">
        <v>0</v>
      </c>
      <c r="P558" t="n">
        <v>0</v>
      </c>
      <c r="Q558" t="n">
        <v>0</v>
      </c>
      <c r="R558" s="2" t="inlineStr"/>
    </row>
    <row r="559" ht="15" customHeight="1">
      <c r="A559" t="inlineStr">
        <is>
          <t>A 63877-2023</t>
        </is>
      </c>
      <c r="B559" s="1" t="n">
        <v>45278</v>
      </c>
      <c r="C559" s="1" t="n">
        <v>45915</v>
      </c>
      <c r="D559" t="inlineStr">
        <is>
          <t>VÄSTERBOTTENS LÄN</t>
        </is>
      </c>
      <c r="E559" t="inlineStr">
        <is>
          <t>VILHELMINA</t>
        </is>
      </c>
      <c r="G559" t="n">
        <v>1.2</v>
      </c>
      <c r="H559" t="n">
        <v>0</v>
      </c>
      <c r="I559" t="n">
        <v>0</v>
      </c>
      <c r="J559" t="n">
        <v>0</v>
      </c>
      <c r="K559" t="n">
        <v>0</v>
      </c>
      <c r="L559" t="n">
        <v>0</v>
      </c>
      <c r="M559" t="n">
        <v>0</v>
      </c>
      <c r="N559" t="n">
        <v>0</v>
      </c>
      <c r="O559" t="n">
        <v>0</v>
      </c>
      <c r="P559" t="n">
        <v>0</v>
      </c>
      <c r="Q559" t="n">
        <v>0</v>
      </c>
      <c r="R559" s="2" t="inlineStr"/>
    </row>
    <row r="560" ht="15" customHeight="1">
      <c r="A560" t="inlineStr">
        <is>
          <t>A 26401-2022</t>
        </is>
      </c>
      <c r="B560" s="1" t="n">
        <v>44735</v>
      </c>
      <c r="C560" s="1" t="n">
        <v>45915</v>
      </c>
      <c r="D560" t="inlineStr">
        <is>
          <t>VÄSTERBOTTENS LÄN</t>
        </is>
      </c>
      <c r="E560" t="inlineStr">
        <is>
          <t>VILHELMINA</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48472-2023</t>
        </is>
      </c>
      <c r="B561" s="1" t="n">
        <v>45206.95761574074</v>
      </c>
      <c r="C561" s="1" t="n">
        <v>45915</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43637-2023</t>
        </is>
      </c>
      <c r="B562" s="1" t="n">
        <v>45186.51590277778</v>
      </c>
      <c r="C562" s="1" t="n">
        <v>45915</v>
      </c>
      <c r="D562" t="inlineStr">
        <is>
          <t>VÄSTERBOTTENS LÄN</t>
        </is>
      </c>
      <c r="E562" t="inlineStr">
        <is>
          <t>VILHELMINA</t>
        </is>
      </c>
      <c r="G562" t="n">
        <v>3.3</v>
      </c>
      <c r="H562" t="n">
        <v>0</v>
      </c>
      <c r="I562" t="n">
        <v>0</v>
      </c>
      <c r="J562" t="n">
        <v>0</v>
      </c>
      <c r="K562" t="n">
        <v>0</v>
      </c>
      <c r="L562" t="n">
        <v>0</v>
      </c>
      <c r="M562" t="n">
        <v>0</v>
      </c>
      <c r="N562" t="n">
        <v>0</v>
      </c>
      <c r="O562" t="n">
        <v>0</v>
      </c>
      <c r="P562" t="n">
        <v>0</v>
      </c>
      <c r="Q562" t="n">
        <v>0</v>
      </c>
      <c r="R562" s="2" t="inlineStr"/>
    </row>
    <row r="563" ht="15" customHeight="1">
      <c r="A563" t="inlineStr">
        <is>
          <t>A 16608-2024</t>
        </is>
      </c>
      <c r="B563" s="1" t="n">
        <v>45408</v>
      </c>
      <c r="C563" s="1" t="n">
        <v>45915</v>
      </c>
      <c r="D563" t="inlineStr">
        <is>
          <t>VÄSTERBOTTENS LÄN</t>
        </is>
      </c>
      <c r="E563" t="inlineStr">
        <is>
          <t>VILHELMINA</t>
        </is>
      </c>
      <c r="G563" t="n">
        <v>17.5</v>
      </c>
      <c r="H563" t="n">
        <v>0</v>
      </c>
      <c r="I563" t="n">
        <v>0</v>
      </c>
      <c r="J563" t="n">
        <v>0</v>
      </c>
      <c r="K563" t="n">
        <v>0</v>
      </c>
      <c r="L563" t="n">
        <v>0</v>
      </c>
      <c r="M563" t="n">
        <v>0</v>
      </c>
      <c r="N563" t="n">
        <v>0</v>
      </c>
      <c r="O563" t="n">
        <v>0</v>
      </c>
      <c r="P563" t="n">
        <v>0</v>
      </c>
      <c r="Q563" t="n">
        <v>0</v>
      </c>
      <c r="R563" s="2" t="inlineStr"/>
    </row>
    <row r="564" ht="15" customHeight="1">
      <c r="A564" t="inlineStr">
        <is>
          <t>A 9534-2023</t>
        </is>
      </c>
      <c r="B564" s="1" t="n">
        <v>44981.72646990741</v>
      </c>
      <c r="C564" s="1" t="n">
        <v>45915</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56747-2023</t>
        </is>
      </c>
      <c r="B565" s="1" t="n">
        <v>45238</v>
      </c>
      <c r="C565" s="1" t="n">
        <v>45915</v>
      </c>
      <c r="D565" t="inlineStr">
        <is>
          <t>VÄSTERBOTTENS LÄN</t>
        </is>
      </c>
      <c r="E565" t="inlineStr">
        <is>
          <t>VILHELMINA</t>
        </is>
      </c>
      <c r="F565" t="inlineStr">
        <is>
          <t>Allmännings- och besparingsskogar</t>
        </is>
      </c>
      <c r="G565" t="n">
        <v>16.2</v>
      </c>
      <c r="H565" t="n">
        <v>0</v>
      </c>
      <c r="I565" t="n">
        <v>0</v>
      </c>
      <c r="J565" t="n">
        <v>0</v>
      </c>
      <c r="K565" t="n">
        <v>0</v>
      </c>
      <c r="L565" t="n">
        <v>0</v>
      </c>
      <c r="M565" t="n">
        <v>0</v>
      </c>
      <c r="N565" t="n">
        <v>0</v>
      </c>
      <c r="O565" t="n">
        <v>0</v>
      </c>
      <c r="P565" t="n">
        <v>0</v>
      </c>
      <c r="Q565" t="n">
        <v>0</v>
      </c>
      <c r="R565" s="2" t="inlineStr"/>
    </row>
    <row r="566" ht="15" customHeight="1">
      <c r="A566" t="inlineStr">
        <is>
          <t>A 56758-2023</t>
        </is>
      </c>
      <c r="B566" s="1" t="n">
        <v>45238</v>
      </c>
      <c r="C566" s="1" t="n">
        <v>45915</v>
      </c>
      <c r="D566" t="inlineStr">
        <is>
          <t>VÄSTERBOTTENS LÄN</t>
        </is>
      </c>
      <c r="E566" t="inlineStr">
        <is>
          <t>VILHELMINA</t>
        </is>
      </c>
      <c r="F566" t="inlineStr">
        <is>
          <t>Allmännings- och besparingsskogar</t>
        </is>
      </c>
      <c r="G566" t="n">
        <v>371.4</v>
      </c>
      <c r="H566" t="n">
        <v>0</v>
      </c>
      <c r="I566" t="n">
        <v>0</v>
      </c>
      <c r="J566" t="n">
        <v>0</v>
      </c>
      <c r="K566" t="n">
        <v>0</v>
      </c>
      <c r="L566" t="n">
        <v>0</v>
      </c>
      <c r="M566" t="n">
        <v>0</v>
      </c>
      <c r="N566" t="n">
        <v>0</v>
      </c>
      <c r="O566" t="n">
        <v>0</v>
      </c>
      <c r="P566" t="n">
        <v>0</v>
      </c>
      <c r="Q566" t="n">
        <v>0</v>
      </c>
      <c r="R566" s="2" t="inlineStr"/>
    </row>
    <row r="567" ht="15" customHeight="1">
      <c r="A567" t="inlineStr">
        <is>
          <t>A 30553-2025</t>
        </is>
      </c>
      <c r="B567" s="1" t="n">
        <v>45831.38579861111</v>
      </c>
      <c r="C567" s="1" t="n">
        <v>45915</v>
      </c>
      <c r="D567" t="inlineStr">
        <is>
          <t>VÄSTERBOTTENS LÄN</t>
        </is>
      </c>
      <c r="E567" t="inlineStr">
        <is>
          <t>VILHELMINA</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36944-2025</t>
        </is>
      </c>
      <c r="B568" s="1" t="n">
        <v>45874.59450231482</v>
      </c>
      <c r="C568" s="1" t="n">
        <v>45915</v>
      </c>
      <c r="D568" t="inlineStr">
        <is>
          <t>VÄSTERBOTTENS LÄN</t>
        </is>
      </c>
      <c r="E568" t="inlineStr">
        <is>
          <t>VILHELMINA</t>
        </is>
      </c>
      <c r="F568" t="inlineStr">
        <is>
          <t>SCA</t>
        </is>
      </c>
      <c r="G568" t="n">
        <v>17.4</v>
      </c>
      <c r="H568" t="n">
        <v>0</v>
      </c>
      <c r="I568" t="n">
        <v>0</v>
      </c>
      <c r="J568" t="n">
        <v>0</v>
      </c>
      <c r="K568" t="n">
        <v>0</v>
      </c>
      <c r="L568" t="n">
        <v>0</v>
      </c>
      <c r="M568" t="n">
        <v>0</v>
      </c>
      <c r="N568" t="n">
        <v>0</v>
      </c>
      <c r="O568" t="n">
        <v>0</v>
      </c>
      <c r="P568" t="n">
        <v>0</v>
      </c>
      <c r="Q568" t="n">
        <v>0</v>
      </c>
      <c r="R568" s="2" t="inlineStr"/>
    </row>
    <row r="569" ht="15" customHeight="1">
      <c r="A569" t="inlineStr">
        <is>
          <t>A 26381-2024</t>
        </is>
      </c>
      <c r="B569" s="1" t="n">
        <v>45469</v>
      </c>
      <c r="C569" s="1" t="n">
        <v>45915</v>
      </c>
      <c r="D569" t="inlineStr">
        <is>
          <t>VÄSTERBOTTENS LÄN</t>
        </is>
      </c>
      <c r="E569" t="inlineStr">
        <is>
          <t>VILHELMINA</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47483-2023</t>
        </is>
      </c>
      <c r="B570" s="1" t="n">
        <v>45202.9413425926</v>
      </c>
      <c r="C570" s="1" t="n">
        <v>45915</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9916-2021</t>
        </is>
      </c>
      <c r="B571" s="1" t="n">
        <v>44253</v>
      </c>
      <c r="C571" s="1" t="n">
        <v>45915</v>
      </c>
      <c r="D571" t="inlineStr">
        <is>
          <t>VÄSTERBOTTENS LÄN</t>
        </is>
      </c>
      <c r="E571" t="inlineStr">
        <is>
          <t>VILHELMINA</t>
        </is>
      </c>
      <c r="G571" t="n">
        <v>1</v>
      </c>
      <c r="H571" t="n">
        <v>0</v>
      </c>
      <c r="I571" t="n">
        <v>0</v>
      </c>
      <c r="J571" t="n">
        <v>0</v>
      </c>
      <c r="K571" t="n">
        <v>0</v>
      </c>
      <c r="L571" t="n">
        <v>0</v>
      </c>
      <c r="M571" t="n">
        <v>0</v>
      </c>
      <c r="N571" t="n">
        <v>0</v>
      </c>
      <c r="O571" t="n">
        <v>0</v>
      </c>
      <c r="P571" t="n">
        <v>0</v>
      </c>
      <c r="Q571" t="n">
        <v>0</v>
      </c>
      <c r="R571" s="2" t="inlineStr"/>
    </row>
    <row r="572" ht="15" customHeight="1">
      <c r="A572" t="inlineStr">
        <is>
          <t>A 3435-2021</t>
        </is>
      </c>
      <c r="B572" s="1" t="n">
        <v>44216</v>
      </c>
      <c r="C572" s="1" t="n">
        <v>45915</v>
      </c>
      <c r="D572" t="inlineStr">
        <is>
          <t>VÄSTERBOTTENS LÄN</t>
        </is>
      </c>
      <c r="E572" t="inlineStr">
        <is>
          <t>VILHELMINA</t>
        </is>
      </c>
      <c r="G572" t="n">
        <v>20.5</v>
      </c>
      <c r="H572" t="n">
        <v>0</v>
      </c>
      <c r="I572" t="n">
        <v>0</v>
      </c>
      <c r="J572" t="n">
        <v>0</v>
      </c>
      <c r="K572" t="n">
        <v>0</v>
      </c>
      <c r="L572" t="n">
        <v>0</v>
      </c>
      <c r="M572" t="n">
        <v>0</v>
      </c>
      <c r="N572" t="n">
        <v>0</v>
      </c>
      <c r="O572" t="n">
        <v>0</v>
      </c>
      <c r="P572" t="n">
        <v>0</v>
      </c>
      <c r="Q572" t="n">
        <v>0</v>
      </c>
      <c r="R572" s="2" t="inlineStr"/>
    </row>
    <row r="573" ht="15" customHeight="1">
      <c r="A573" t="inlineStr">
        <is>
          <t>A 12990-2025</t>
        </is>
      </c>
      <c r="B573" s="1" t="n">
        <v>45734</v>
      </c>
      <c r="C573" s="1" t="n">
        <v>45915</v>
      </c>
      <c r="D573" t="inlineStr">
        <is>
          <t>VÄSTERBOTTENS LÄN</t>
        </is>
      </c>
      <c r="E573" t="inlineStr">
        <is>
          <t>VILHELMINA</t>
        </is>
      </c>
      <c r="G573" t="n">
        <v>11.2</v>
      </c>
      <c r="H573" t="n">
        <v>0</v>
      </c>
      <c r="I573" t="n">
        <v>0</v>
      </c>
      <c r="J573" t="n">
        <v>0</v>
      </c>
      <c r="K573" t="n">
        <v>0</v>
      </c>
      <c r="L573" t="n">
        <v>0</v>
      </c>
      <c r="M573" t="n">
        <v>0</v>
      </c>
      <c r="N573" t="n">
        <v>0</v>
      </c>
      <c r="O573" t="n">
        <v>0</v>
      </c>
      <c r="P573" t="n">
        <v>0</v>
      </c>
      <c r="Q573" t="n">
        <v>0</v>
      </c>
      <c r="R573" s="2" t="inlineStr"/>
    </row>
    <row r="574" ht="15" customHeight="1">
      <c r="A574" t="inlineStr">
        <is>
          <t>A 36973-2025</t>
        </is>
      </c>
      <c r="B574" s="1" t="n">
        <v>45874.63747685185</v>
      </c>
      <c r="C574" s="1" t="n">
        <v>45915</v>
      </c>
      <c r="D574" t="inlineStr">
        <is>
          <t>VÄSTERBOTTENS LÄN</t>
        </is>
      </c>
      <c r="E574" t="inlineStr">
        <is>
          <t>VILHELMINA</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30746-2025</t>
        </is>
      </c>
      <c r="B575" s="1" t="n">
        <v>45831.58256944444</v>
      </c>
      <c r="C575" s="1" t="n">
        <v>45915</v>
      </c>
      <c r="D575" t="inlineStr">
        <is>
          <t>VÄSTERBOTTENS LÄN</t>
        </is>
      </c>
      <c r="E575" t="inlineStr">
        <is>
          <t>VILHELMINA</t>
        </is>
      </c>
      <c r="G575" t="n">
        <v>5.7</v>
      </c>
      <c r="H575" t="n">
        <v>0</v>
      </c>
      <c r="I575" t="n">
        <v>0</v>
      </c>
      <c r="J575" t="n">
        <v>0</v>
      </c>
      <c r="K575" t="n">
        <v>0</v>
      </c>
      <c r="L575" t="n">
        <v>0</v>
      </c>
      <c r="M575" t="n">
        <v>0</v>
      </c>
      <c r="N575" t="n">
        <v>0</v>
      </c>
      <c r="O575" t="n">
        <v>0</v>
      </c>
      <c r="P575" t="n">
        <v>0</v>
      </c>
      <c r="Q575" t="n">
        <v>0</v>
      </c>
      <c r="R575" s="2" t="inlineStr"/>
    </row>
    <row r="576" ht="15" customHeight="1">
      <c r="A576" t="inlineStr">
        <is>
          <t>A 17186-2025</t>
        </is>
      </c>
      <c r="B576" s="1" t="n">
        <v>45756</v>
      </c>
      <c r="C576" s="1" t="n">
        <v>45915</v>
      </c>
      <c r="D576" t="inlineStr">
        <is>
          <t>VÄSTERBOTTENS LÄN</t>
        </is>
      </c>
      <c r="E576" t="inlineStr">
        <is>
          <t>VILHELMINA</t>
        </is>
      </c>
      <c r="F576" t="inlineStr">
        <is>
          <t>SCA</t>
        </is>
      </c>
      <c r="G576" t="n">
        <v>12.3</v>
      </c>
      <c r="H576" t="n">
        <v>0</v>
      </c>
      <c r="I576" t="n">
        <v>0</v>
      </c>
      <c r="J576" t="n">
        <v>0</v>
      </c>
      <c r="K576" t="n">
        <v>0</v>
      </c>
      <c r="L576" t="n">
        <v>0</v>
      </c>
      <c r="M576" t="n">
        <v>0</v>
      </c>
      <c r="N576" t="n">
        <v>0</v>
      </c>
      <c r="O576" t="n">
        <v>0</v>
      </c>
      <c r="P576" t="n">
        <v>0</v>
      </c>
      <c r="Q576" t="n">
        <v>0</v>
      </c>
      <c r="R576" s="2" t="inlineStr"/>
    </row>
    <row r="577" ht="15" customHeight="1">
      <c r="A577" t="inlineStr">
        <is>
          <t>A 55327-2023</t>
        </is>
      </c>
      <c r="B577" s="1" t="n">
        <v>45237.97375</v>
      </c>
      <c r="C577" s="1" t="n">
        <v>45915</v>
      </c>
      <c r="D577" t="inlineStr">
        <is>
          <t>VÄSTERBOTTENS LÄN</t>
        </is>
      </c>
      <c r="E577" t="inlineStr">
        <is>
          <t>VILHELMINA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37015-2025</t>
        </is>
      </c>
      <c r="B578" s="1" t="n">
        <v>45874.71912037037</v>
      </c>
      <c r="C578" s="1" t="n">
        <v>45915</v>
      </c>
      <c r="D578" t="inlineStr">
        <is>
          <t>VÄSTERBOTTENS LÄN</t>
        </is>
      </c>
      <c r="E578" t="inlineStr">
        <is>
          <t>VILHELMINA</t>
        </is>
      </c>
      <c r="F578" t="inlineStr">
        <is>
          <t>SCA</t>
        </is>
      </c>
      <c r="G578" t="n">
        <v>7.9</v>
      </c>
      <c r="H578" t="n">
        <v>0</v>
      </c>
      <c r="I578" t="n">
        <v>0</v>
      </c>
      <c r="J578" t="n">
        <v>0</v>
      </c>
      <c r="K578" t="n">
        <v>0</v>
      </c>
      <c r="L578" t="n">
        <v>0</v>
      </c>
      <c r="M578" t="n">
        <v>0</v>
      </c>
      <c r="N578" t="n">
        <v>0</v>
      </c>
      <c r="O578" t="n">
        <v>0</v>
      </c>
      <c r="P578" t="n">
        <v>0</v>
      </c>
      <c r="Q578" t="n">
        <v>0</v>
      </c>
      <c r="R578" s="2" t="inlineStr"/>
    </row>
    <row r="579" ht="15" customHeight="1">
      <c r="A579" t="inlineStr">
        <is>
          <t>A 17302-2025</t>
        </is>
      </c>
      <c r="B579" s="1" t="n">
        <v>45756</v>
      </c>
      <c r="C579" s="1" t="n">
        <v>45915</v>
      </c>
      <c r="D579" t="inlineStr">
        <is>
          <t>VÄSTERBOTTENS LÄN</t>
        </is>
      </c>
      <c r="E579" t="inlineStr">
        <is>
          <t>VILHELMINA</t>
        </is>
      </c>
      <c r="G579" t="n">
        <v>6.6</v>
      </c>
      <c r="H579" t="n">
        <v>0</v>
      </c>
      <c r="I579" t="n">
        <v>0</v>
      </c>
      <c r="J579" t="n">
        <v>0</v>
      </c>
      <c r="K579" t="n">
        <v>0</v>
      </c>
      <c r="L579" t="n">
        <v>0</v>
      </c>
      <c r="M579" t="n">
        <v>0</v>
      </c>
      <c r="N579" t="n">
        <v>0</v>
      </c>
      <c r="O579" t="n">
        <v>0</v>
      </c>
      <c r="P579" t="n">
        <v>0</v>
      </c>
      <c r="Q579" t="n">
        <v>0</v>
      </c>
      <c r="R579" s="2" t="inlineStr"/>
    </row>
    <row r="580" ht="15" customHeight="1">
      <c r="A580" t="inlineStr">
        <is>
          <t>A 17314-2025</t>
        </is>
      </c>
      <c r="B580" s="1" t="n">
        <v>45756</v>
      </c>
      <c r="C580" s="1" t="n">
        <v>45915</v>
      </c>
      <c r="D580" t="inlineStr">
        <is>
          <t>VÄSTERBOTTENS LÄN</t>
        </is>
      </c>
      <c r="E580" t="inlineStr">
        <is>
          <t>VILHELMINA</t>
        </is>
      </c>
      <c r="G580" t="n">
        <v>3.4</v>
      </c>
      <c r="H580" t="n">
        <v>0</v>
      </c>
      <c r="I580" t="n">
        <v>0</v>
      </c>
      <c r="J580" t="n">
        <v>0</v>
      </c>
      <c r="K580" t="n">
        <v>0</v>
      </c>
      <c r="L580" t="n">
        <v>0</v>
      </c>
      <c r="M580" t="n">
        <v>0</v>
      </c>
      <c r="N580" t="n">
        <v>0</v>
      </c>
      <c r="O580" t="n">
        <v>0</v>
      </c>
      <c r="P580" t="n">
        <v>0</v>
      </c>
      <c r="Q580" t="n">
        <v>0</v>
      </c>
      <c r="R580" s="2" t="inlineStr"/>
    </row>
    <row r="581" ht="15" customHeight="1">
      <c r="A581" t="inlineStr">
        <is>
          <t>A 31724-2025</t>
        </is>
      </c>
      <c r="B581" s="1" t="n">
        <v>45834</v>
      </c>
      <c r="C581" s="1" t="n">
        <v>45915</v>
      </c>
      <c r="D581" t="inlineStr">
        <is>
          <t>VÄSTERBOTTENS LÄN</t>
        </is>
      </c>
      <c r="E581" t="inlineStr">
        <is>
          <t>VILHELMINA</t>
        </is>
      </c>
      <c r="G581" t="n">
        <v>19.7</v>
      </c>
      <c r="H581" t="n">
        <v>0</v>
      </c>
      <c r="I581" t="n">
        <v>0</v>
      </c>
      <c r="J581" t="n">
        <v>0</v>
      </c>
      <c r="K581" t="n">
        <v>0</v>
      </c>
      <c r="L581" t="n">
        <v>0</v>
      </c>
      <c r="M581" t="n">
        <v>0</v>
      </c>
      <c r="N581" t="n">
        <v>0</v>
      </c>
      <c r="O581" t="n">
        <v>0</v>
      </c>
      <c r="P581" t="n">
        <v>0</v>
      </c>
      <c r="Q581" t="n">
        <v>0</v>
      </c>
      <c r="R581" s="2" t="inlineStr"/>
    </row>
    <row r="582" ht="15" customHeight="1">
      <c r="A582" t="inlineStr">
        <is>
          <t>A 31730-2025</t>
        </is>
      </c>
      <c r="B582" s="1" t="n">
        <v>45834</v>
      </c>
      <c r="C582" s="1" t="n">
        <v>45915</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48229-2024</t>
        </is>
      </c>
      <c r="B583" s="1" t="n">
        <v>45590.37554398148</v>
      </c>
      <c r="C583" s="1" t="n">
        <v>45915</v>
      </c>
      <c r="D583" t="inlineStr">
        <is>
          <t>VÄSTERBOTTENS LÄN</t>
        </is>
      </c>
      <c r="E583" t="inlineStr">
        <is>
          <t>VILHELMINA</t>
        </is>
      </c>
      <c r="G583" t="n">
        <v>11.6</v>
      </c>
      <c r="H583" t="n">
        <v>0</v>
      </c>
      <c r="I583" t="n">
        <v>0</v>
      </c>
      <c r="J583" t="n">
        <v>0</v>
      </c>
      <c r="K583" t="n">
        <v>0</v>
      </c>
      <c r="L583" t="n">
        <v>0</v>
      </c>
      <c r="M583" t="n">
        <v>0</v>
      </c>
      <c r="N583" t="n">
        <v>0</v>
      </c>
      <c r="O583" t="n">
        <v>0</v>
      </c>
      <c r="P583" t="n">
        <v>0</v>
      </c>
      <c r="Q583" t="n">
        <v>0</v>
      </c>
      <c r="R583" s="2" t="inlineStr"/>
    </row>
    <row r="584" ht="15" customHeight="1">
      <c r="A584" t="inlineStr">
        <is>
          <t>A 31307-2025</t>
        </is>
      </c>
      <c r="B584" s="1" t="n">
        <v>45833</v>
      </c>
      <c r="C584" s="1" t="n">
        <v>45915</v>
      </c>
      <c r="D584" t="inlineStr">
        <is>
          <t>VÄSTERBOTTENS LÄN</t>
        </is>
      </c>
      <c r="E584" t="inlineStr">
        <is>
          <t>VILHELMINA</t>
        </is>
      </c>
      <c r="G584" t="n">
        <v>9.9</v>
      </c>
      <c r="H584" t="n">
        <v>0</v>
      </c>
      <c r="I584" t="n">
        <v>0</v>
      </c>
      <c r="J584" t="n">
        <v>0</v>
      </c>
      <c r="K584" t="n">
        <v>0</v>
      </c>
      <c r="L584" t="n">
        <v>0</v>
      </c>
      <c r="M584" t="n">
        <v>0</v>
      </c>
      <c r="N584" t="n">
        <v>0</v>
      </c>
      <c r="O584" t="n">
        <v>0</v>
      </c>
      <c r="P584" t="n">
        <v>0</v>
      </c>
      <c r="Q584" t="n">
        <v>0</v>
      </c>
      <c r="R584" s="2" t="inlineStr"/>
    </row>
    <row r="585" ht="15" customHeight="1">
      <c r="A585" t="inlineStr">
        <is>
          <t>A 31485-2025</t>
        </is>
      </c>
      <c r="B585" s="1" t="n">
        <v>45833</v>
      </c>
      <c r="C585" s="1" t="n">
        <v>45915</v>
      </c>
      <c r="D585" t="inlineStr">
        <is>
          <t>VÄSTERBOTTENS LÄN</t>
        </is>
      </c>
      <c r="E585" t="inlineStr">
        <is>
          <t>VILHELMINA</t>
        </is>
      </c>
      <c r="G585" t="n">
        <v>2.8</v>
      </c>
      <c r="H585" t="n">
        <v>0</v>
      </c>
      <c r="I585" t="n">
        <v>0</v>
      </c>
      <c r="J585" t="n">
        <v>0</v>
      </c>
      <c r="K585" t="n">
        <v>0</v>
      </c>
      <c r="L585" t="n">
        <v>0</v>
      </c>
      <c r="M585" t="n">
        <v>0</v>
      </c>
      <c r="N585" t="n">
        <v>0</v>
      </c>
      <c r="O585" t="n">
        <v>0</v>
      </c>
      <c r="P585" t="n">
        <v>0</v>
      </c>
      <c r="Q585" t="n">
        <v>0</v>
      </c>
      <c r="R585" s="2" t="inlineStr"/>
    </row>
    <row r="586" ht="15" customHeight="1">
      <c r="A586" t="inlineStr">
        <is>
          <t>A 31733-2025</t>
        </is>
      </c>
      <c r="B586" s="1" t="n">
        <v>45834.47035879629</v>
      </c>
      <c r="C586" s="1" t="n">
        <v>45915</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31308-2025</t>
        </is>
      </c>
      <c r="B587" s="1" t="n">
        <v>45833</v>
      </c>
      <c r="C587" s="1" t="n">
        <v>45915</v>
      </c>
      <c r="D587" t="inlineStr">
        <is>
          <t>VÄSTERBOTTENS LÄN</t>
        </is>
      </c>
      <c r="E587" t="inlineStr">
        <is>
          <t>VILHELMINA</t>
        </is>
      </c>
      <c r="G587" t="n">
        <v>3.2</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45915</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25551-2024</t>
        </is>
      </c>
      <c r="B589" s="1" t="n">
        <v>45463</v>
      </c>
      <c r="C589" s="1" t="n">
        <v>45915</v>
      </c>
      <c r="D589" t="inlineStr">
        <is>
          <t>VÄSTERBOTTENS LÄN</t>
        </is>
      </c>
      <c r="E589" t="inlineStr">
        <is>
          <t>VILHELMINA</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29954-2023</t>
        </is>
      </c>
      <c r="B590" s="1" t="n">
        <v>45107</v>
      </c>
      <c r="C590" s="1" t="n">
        <v>45915</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37714-2024</t>
        </is>
      </c>
      <c r="B591" s="1" t="n">
        <v>45541.63569444444</v>
      </c>
      <c r="C591" s="1" t="n">
        <v>45915</v>
      </c>
      <c r="D591" t="inlineStr">
        <is>
          <t>VÄSTERBOTTENS LÄN</t>
        </is>
      </c>
      <c r="E591" t="inlineStr">
        <is>
          <t>VILHELMINA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37715-2024</t>
        </is>
      </c>
      <c r="B592" s="1" t="n">
        <v>45541.63581018519</v>
      </c>
      <c r="C592" s="1" t="n">
        <v>45915</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44285-2024</t>
        </is>
      </c>
      <c r="B593" s="1" t="n">
        <v>45573</v>
      </c>
      <c r="C593" s="1" t="n">
        <v>45915</v>
      </c>
      <c r="D593" t="inlineStr">
        <is>
          <t>VÄSTERBOTTENS LÄN</t>
        </is>
      </c>
      <c r="E593" t="inlineStr">
        <is>
          <t>VILHELMINA</t>
        </is>
      </c>
      <c r="G593" t="n">
        <v>30.9</v>
      </c>
      <c r="H593" t="n">
        <v>0</v>
      </c>
      <c r="I593" t="n">
        <v>0</v>
      </c>
      <c r="J593" t="n">
        <v>0</v>
      </c>
      <c r="K593" t="n">
        <v>0</v>
      </c>
      <c r="L593" t="n">
        <v>0</v>
      </c>
      <c r="M593" t="n">
        <v>0</v>
      </c>
      <c r="N593" t="n">
        <v>0</v>
      </c>
      <c r="O593" t="n">
        <v>0</v>
      </c>
      <c r="P593" t="n">
        <v>0</v>
      </c>
      <c r="Q593" t="n">
        <v>0</v>
      </c>
      <c r="R593" s="2" t="inlineStr"/>
    </row>
    <row r="594" ht="15" customHeight="1">
      <c r="A594" t="inlineStr">
        <is>
          <t>A 64421-2023</t>
        </is>
      </c>
      <c r="B594" s="1" t="n">
        <v>45280</v>
      </c>
      <c r="C594" s="1" t="n">
        <v>45915</v>
      </c>
      <c r="D594" t="inlineStr">
        <is>
          <t>VÄSTERBOTTENS LÄN</t>
        </is>
      </c>
      <c r="E594" t="inlineStr">
        <is>
          <t>VILHELMINA</t>
        </is>
      </c>
      <c r="G594" t="n">
        <v>4.9</v>
      </c>
      <c r="H594" t="n">
        <v>0</v>
      </c>
      <c r="I594" t="n">
        <v>0</v>
      </c>
      <c r="J594" t="n">
        <v>0</v>
      </c>
      <c r="K594" t="n">
        <v>0</v>
      </c>
      <c r="L594" t="n">
        <v>0</v>
      </c>
      <c r="M594" t="n">
        <v>0</v>
      </c>
      <c r="N594" t="n">
        <v>0</v>
      </c>
      <c r="O594" t="n">
        <v>0</v>
      </c>
      <c r="P594" t="n">
        <v>0</v>
      </c>
      <c r="Q594" t="n">
        <v>0</v>
      </c>
      <c r="R594" s="2" t="inlineStr"/>
    </row>
    <row r="595" ht="15" customHeight="1">
      <c r="A595" t="inlineStr">
        <is>
          <t>A 24828-2023</t>
        </is>
      </c>
      <c r="B595" s="1" t="n">
        <v>45084</v>
      </c>
      <c r="C595" s="1" t="n">
        <v>45915</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6664-2021</t>
        </is>
      </c>
      <c r="B596" s="1" t="n">
        <v>44235</v>
      </c>
      <c r="C596" s="1" t="n">
        <v>45915</v>
      </c>
      <c r="D596" t="inlineStr">
        <is>
          <t>VÄSTERBOTTENS LÄN</t>
        </is>
      </c>
      <c r="E596" t="inlineStr">
        <is>
          <t>VILHELMINA</t>
        </is>
      </c>
      <c r="G596" t="n">
        <v>2.5</v>
      </c>
      <c r="H596" t="n">
        <v>0</v>
      </c>
      <c r="I596" t="n">
        <v>0</v>
      </c>
      <c r="J596" t="n">
        <v>0</v>
      </c>
      <c r="K596" t="n">
        <v>0</v>
      </c>
      <c r="L596" t="n">
        <v>0</v>
      </c>
      <c r="M596" t="n">
        <v>0</v>
      </c>
      <c r="N596" t="n">
        <v>0</v>
      </c>
      <c r="O596" t="n">
        <v>0</v>
      </c>
      <c r="P596" t="n">
        <v>0</v>
      </c>
      <c r="Q596" t="n">
        <v>0</v>
      </c>
      <c r="R596" s="2" t="inlineStr"/>
    </row>
    <row r="597" ht="15" customHeight="1">
      <c r="A597" t="inlineStr">
        <is>
          <t>A 6699-2021</t>
        </is>
      </c>
      <c r="B597" s="1" t="n">
        <v>44235</v>
      </c>
      <c r="C597" s="1" t="n">
        <v>45915</v>
      </c>
      <c r="D597" t="inlineStr">
        <is>
          <t>VÄSTERBOTTENS LÄN</t>
        </is>
      </c>
      <c r="E597" t="inlineStr">
        <is>
          <t>VILHELMINA</t>
        </is>
      </c>
      <c r="G597" t="n">
        <v>6.9</v>
      </c>
      <c r="H597" t="n">
        <v>0</v>
      </c>
      <c r="I597" t="n">
        <v>0</v>
      </c>
      <c r="J597" t="n">
        <v>0</v>
      </c>
      <c r="K597" t="n">
        <v>0</v>
      </c>
      <c r="L597" t="n">
        <v>0</v>
      </c>
      <c r="M597" t="n">
        <v>0</v>
      </c>
      <c r="N597" t="n">
        <v>0</v>
      </c>
      <c r="O597" t="n">
        <v>0</v>
      </c>
      <c r="P597" t="n">
        <v>0</v>
      </c>
      <c r="Q597" t="n">
        <v>0</v>
      </c>
      <c r="R597" s="2" t="inlineStr"/>
    </row>
    <row r="598" ht="15" customHeight="1">
      <c r="A598" t="inlineStr">
        <is>
          <t>A 61779-2023</t>
        </is>
      </c>
      <c r="B598" s="1" t="n">
        <v>45265.95677083333</v>
      </c>
      <c r="C598" s="1" t="n">
        <v>45915</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45915</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45915</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45915</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8215-2023</t>
        </is>
      </c>
      <c r="B602" s="1" t="n">
        <v>44971</v>
      </c>
      <c r="C602" s="1" t="n">
        <v>45915</v>
      </c>
      <c r="D602" t="inlineStr">
        <is>
          <t>VÄSTERBOTTENS LÄN</t>
        </is>
      </c>
      <c r="E602" t="inlineStr">
        <is>
          <t>VILHELMINA</t>
        </is>
      </c>
      <c r="G602" t="n">
        <v>0.8</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45915</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48754-2021</t>
        </is>
      </c>
      <c r="B604" s="1" t="n">
        <v>44452</v>
      </c>
      <c r="C604" s="1" t="n">
        <v>45915</v>
      </c>
      <c r="D604" t="inlineStr">
        <is>
          <t>VÄSTERBOTTENS LÄN</t>
        </is>
      </c>
      <c r="E604" t="inlineStr">
        <is>
          <t>VILHELMINA</t>
        </is>
      </c>
      <c r="G604" t="n">
        <v>5.6</v>
      </c>
      <c r="H604" t="n">
        <v>0</v>
      </c>
      <c r="I604" t="n">
        <v>0</v>
      </c>
      <c r="J604" t="n">
        <v>0</v>
      </c>
      <c r="K604" t="n">
        <v>0</v>
      </c>
      <c r="L604" t="n">
        <v>0</v>
      </c>
      <c r="M604" t="n">
        <v>0</v>
      </c>
      <c r="N604" t="n">
        <v>0</v>
      </c>
      <c r="O604" t="n">
        <v>0</v>
      </c>
      <c r="P604" t="n">
        <v>0</v>
      </c>
      <c r="Q604" t="n">
        <v>0</v>
      </c>
      <c r="R604" s="2" t="inlineStr"/>
    </row>
    <row r="605" ht="15" customHeight="1">
      <c r="A605" t="inlineStr">
        <is>
          <t>A 48756-2021</t>
        </is>
      </c>
      <c r="B605" s="1" t="n">
        <v>44452</v>
      </c>
      <c r="C605" s="1" t="n">
        <v>45915</v>
      </c>
      <c r="D605" t="inlineStr">
        <is>
          <t>VÄSTERBOTTENS LÄN</t>
        </is>
      </c>
      <c r="E605" t="inlineStr">
        <is>
          <t>VILHELMINA</t>
        </is>
      </c>
      <c r="G605" t="n">
        <v>13.3</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45915</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45915</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20510-2024</t>
        </is>
      </c>
      <c r="B608" s="1" t="n">
        <v>45435.94324074074</v>
      </c>
      <c r="C608" s="1" t="n">
        <v>45915</v>
      </c>
      <c r="D608" t="inlineStr">
        <is>
          <t>VÄSTERBOTTENS LÄN</t>
        </is>
      </c>
      <c r="E608" t="inlineStr">
        <is>
          <t>VILHELMINA</t>
        </is>
      </c>
      <c r="F608" t="inlineStr">
        <is>
          <t>SCA</t>
        </is>
      </c>
      <c r="G608" t="n">
        <v>7.7</v>
      </c>
      <c r="H608" t="n">
        <v>0</v>
      </c>
      <c r="I608" t="n">
        <v>0</v>
      </c>
      <c r="J608" t="n">
        <v>0</v>
      </c>
      <c r="K608" t="n">
        <v>0</v>
      </c>
      <c r="L608" t="n">
        <v>0</v>
      </c>
      <c r="M608" t="n">
        <v>0</v>
      </c>
      <c r="N608" t="n">
        <v>0</v>
      </c>
      <c r="O608" t="n">
        <v>0</v>
      </c>
      <c r="P608" t="n">
        <v>0</v>
      </c>
      <c r="Q608" t="n">
        <v>0</v>
      </c>
      <c r="R608" s="2" t="inlineStr"/>
    </row>
    <row r="609" ht="15" customHeight="1">
      <c r="A609" t="inlineStr">
        <is>
          <t>A 20523-2024</t>
        </is>
      </c>
      <c r="B609" s="1" t="n">
        <v>45435.94553240741</v>
      </c>
      <c r="C609" s="1" t="n">
        <v>45915</v>
      </c>
      <c r="D609" t="inlineStr">
        <is>
          <t>VÄSTERBOTTENS LÄN</t>
        </is>
      </c>
      <c r="E609" t="inlineStr">
        <is>
          <t>VILHELMINA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32455-2024</t>
        </is>
      </c>
      <c r="B610" s="1" t="n">
        <v>45512.95870370371</v>
      </c>
      <c r="C610" s="1" t="n">
        <v>45915</v>
      </c>
      <c r="D610" t="inlineStr">
        <is>
          <t>VÄSTERBOTTENS LÄN</t>
        </is>
      </c>
      <c r="E610" t="inlineStr">
        <is>
          <t>VILHELMINA</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37368-2025</t>
        </is>
      </c>
      <c r="B611" s="1" t="n">
        <v>45877.34436342592</v>
      </c>
      <c r="C611" s="1" t="n">
        <v>45915</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37376-2025</t>
        </is>
      </c>
      <c r="B612" s="1" t="n">
        <v>45877.36513888889</v>
      </c>
      <c r="C612" s="1" t="n">
        <v>45915</v>
      </c>
      <c r="D612" t="inlineStr">
        <is>
          <t>VÄSTERBOTTENS LÄN</t>
        </is>
      </c>
      <c r="E612" t="inlineStr">
        <is>
          <t>VILHELMINA</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37302-2025</t>
        </is>
      </c>
      <c r="B613" s="1" t="n">
        <v>45876</v>
      </c>
      <c r="C613" s="1" t="n">
        <v>45915</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62405-2022</t>
        </is>
      </c>
      <c r="B614" s="1" t="n">
        <v>44923</v>
      </c>
      <c r="C614" s="1" t="n">
        <v>45915</v>
      </c>
      <c r="D614" t="inlineStr">
        <is>
          <t>VÄSTERBOTTENS LÄN</t>
        </is>
      </c>
      <c r="E614" t="inlineStr">
        <is>
          <t>VILHELMINA</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49886-2024</t>
        </is>
      </c>
      <c r="B615" s="1" t="n">
        <v>45597</v>
      </c>
      <c r="C615" s="1" t="n">
        <v>45915</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51134-2024</t>
        </is>
      </c>
      <c r="B616" s="1" t="n">
        <v>45603</v>
      </c>
      <c r="C616" s="1" t="n">
        <v>45915</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50635-2021</t>
        </is>
      </c>
      <c r="B617" s="1" t="n">
        <v>44459.71978009259</v>
      </c>
      <c r="C617" s="1" t="n">
        <v>45915</v>
      </c>
      <c r="D617" t="inlineStr">
        <is>
          <t>VÄSTERBOTTENS LÄN</t>
        </is>
      </c>
      <c r="E617" t="inlineStr">
        <is>
          <t>VILHELMINA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33142-2025</t>
        </is>
      </c>
      <c r="B618" s="1" t="n">
        <v>45840</v>
      </c>
      <c r="C618" s="1" t="n">
        <v>45915</v>
      </c>
      <c r="D618" t="inlineStr">
        <is>
          <t>VÄSTERBOTTENS LÄN</t>
        </is>
      </c>
      <c r="E618" t="inlineStr">
        <is>
          <t>VILHELMINA</t>
        </is>
      </c>
      <c r="G618" t="n">
        <v>15.2</v>
      </c>
      <c r="H618" t="n">
        <v>0</v>
      </c>
      <c r="I618" t="n">
        <v>0</v>
      </c>
      <c r="J618" t="n">
        <v>0</v>
      </c>
      <c r="K618" t="n">
        <v>0</v>
      </c>
      <c r="L618" t="n">
        <v>0</v>
      </c>
      <c r="M618" t="n">
        <v>0</v>
      </c>
      <c r="N618" t="n">
        <v>0</v>
      </c>
      <c r="O618" t="n">
        <v>0</v>
      </c>
      <c r="P618" t="n">
        <v>0</v>
      </c>
      <c r="Q618" t="n">
        <v>0</v>
      </c>
      <c r="R618" s="2" t="inlineStr"/>
    </row>
    <row r="619" ht="15" customHeight="1">
      <c r="A619" t="inlineStr">
        <is>
          <t>A 28870-2024</t>
        </is>
      </c>
      <c r="B619" s="1" t="n">
        <v>45478.94733796296</v>
      </c>
      <c r="C619" s="1" t="n">
        <v>45915</v>
      </c>
      <c r="D619" t="inlineStr">
        <is>
          <t>VÄSTERBOTTENS LÄN</t>
        </is>
      </c>
      <c r="E619" t="inlineStr">
        <is>
          <t>VILHELMINA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54727-2024</t>
        </is>
      </c>
      <c r="B620" s="1" t="n">
        <v>45618.43804398148</v>
      </c>
      <c r="C620" s="1" t="n">
        <v>45915</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54804-2024</t>
        </is>
      </c>
      <c r="B621" s="1" t="n">
        <v>45618</v>
      </c>
      <c r="C621" s="1" t="n">
        <v>45915</v>
      </c>
      <c r="D621" t="inlineStr">
        <is>
          <t>VÄSTERBOTTENS LÄN</t>
        </is>
      </c>
      <c r="E621" t="inlineStr">
        <is>
          <t>VILHELMINA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32947-2025</t>
        </is>
      </c>
      <c r="B622" s="1" t="n">
        <v>45839</v>
      </c>
      <c r="C622" s="1" t="n">
        <v>45915</v>
      </c>
      <c r="D622" t="inlineStr">
        <is>
          <t>VÄSTERBOTTENS LÄN</t>
        </is>
      </c>
      <c r="E622" t="inlineStr">
        <is>
          <t>VILHELMINA</t>
        </is>
      </c>
      <c r="G622" t="n">
        <v>19.1</v>
      </c>
      <c r="H622" t="n">
        <v>0</v>
      </c>
      <c r="I622" t="n">
        <v>0</v>
      </c>
      <c r="J622" t="n">
        <v>0</v>
      </c>
      <c r="K622" t="n">
        <v>0</v>
      </c>
      <c r="L622" t="n">
        <v>0</v>
      </c>
      <c r="M622" t="n">
        <v>0</v>
      </c>
      <c r="N622" t="n">
        <v>0</v>
      </c>
      <c r="O622" t="n">
        <v>0</v>
      </c>
      <c r="P622" t="n">
        <v>0</v>
      </c>
      <c r="Q622" t="n">
        <v>0</v>
      </c>
      <c r="R622" s="2" t="inlineStr"/>
    </row>
    <row r="623" ht="15" customHeight="1">
      <c r="A623" t="inlineStr">
        <is>
          <t>A 20653-2021</t>
        </is>
      </c>
      <c r="B623" s="1" t="n">
        <v>44316.41677083333</v>
      </c>
      <c r="C623" s="1" t="n">
        <v>45915</v>
      </c>
      <c r="D623" t="inlineStr">
        <is>
          <t>VÄSTERBOTTENS LÄN</t>
        </is>
      </c>
      <c r="E623" t="inlineStr">
        <is>
          <t>VILHELMINA</t>
        </is>
      </c>
      <c r="F623" t="inlineStr">
        <is>
          <t>Kommuner</t>
        </is>
      </c>
      <c r="G623" t="n">
        <v>2.5</v>
      </c>
      <c r="H623" t="n">
        <v>0</v>
      </c>
      <c r="I623" t="n">
        <v>0</v>
      </c>
      <c r="J623" t="n">
        <v>0</v>
      </c>
      <c r="K623" t="n">
        <v>0</v>
      </c>
      <c r="L623" t="n">
        <v>0</v>
      </c>
      <c r="M623" t="n">
        <v>0</v>
      </c>
      <c r="N623" t="n">
        <v>0</v>
      </c>
      <c r="O623" t="n">
        <v>0</v>
      </c>
      <c r="P623" t="n">
        <v>0</v>
      </c>
      <c r="Q623" t="n">
        <v>0</v>
      </c>
      <c r="R623" s="2" t="inlineStr"/>
    </row>
    <row r="624" ht="15" customHeight="1">
      <c r="A624" t="inlineStr">
        <is>
          <t>A 11114-2022</t>
        </is>
      </c>
      <c r="B624" s="1" t="n">
        <v>44628.925625</v>
      </c>
      <c r="C624" s="1" t="n">
        <v>45915</v>
      </c>
      <c r="D624" t="inlineStr">
        <is>
          <t>VÄSTERBOTTENS LÄN</t>
        </is>
      </c>
      <c r="E624" t="inlineStr">
        <is>
          <t>VILHELMINA</t>
        </is>
      </c>
      <c r="G624" t="n">
        <v>8.6</v>
      </c>
      <c r="H624" t="n">
        <v>0</v>
      </c>
      <c r="I624" t="n">
        <v>0</v>
      </c>
      <c r="J624" t="n">
        <v>0</v>
      </c>
      <c r="K624" t="n">
        <v>0</v>
      </c>
      <c r="L624" t="n">
        <v>0</v>
      </c>
      <c r="M624" t="n">
        <v>0</v>
      </c>
      <c r="N624" t="n">
        <v>0</v>
      </c>
      <c r="O624" t="n">
        <v>0</v>
      </c>
      <c r="P624" t="n">
        <v>0</v>
      </c>
      <c r="Q624" t="n">
        <v>0</v>
      </c>
      <c r="R624" s="2" t="inlineStr"/>
    </row>
    <row r="625" ht="15" customHeight="1">
      <c r="A625" t="inlineStr">
        <is>
          <t>A 26553-2023</t>
        </is>
      </c>
      <c r="B625" s="1" t="n">
        <v>45089</v>
      </c>
      <c r="C625" s="1" t="n">
        <v>45915</v>
      </c>
      <c r="D625" t="inlineStr">
        <is>
          <t>VÄSTERBOTTENS LÄN</t>
        </is>
      </c>
      <c r="E625" t="inlineStr">
        <is>
          <t>VILHELMINA</t>
        </is>
      </c>
      <c r="G625" t="n">
        <v>5.5</v>
      </c>
      <c r="H625" t="n">
        <v>0</v>
      </c>
      <c r="I625" t="n">
        <v>0</v>
      </c>
      <c r="J625" t="n">
        <v>0</v>
      </c>
      <c r="K625" t="n">
        <v>0</v>
      </c>
      <c r="L625" t="n">
        <v>0</v>
      </c>
      <c r="M625" t="n">
        <v>0</v>
      </c>
      <c r="N625" t="n">
        <v>0</v>
      </c>
      <c r="O625" t="n">
        <v>0</v>
      </c>
      <c r="P625" t="n">
        <v>0</v>
      </c>
      <c r="Q625" t="n">
        <v>0</v>
      </c>
      <c r="R625" s="2" t="inlineStr"/>
    </row>
    <row r="626" ht="15" customHeight="1">
      <c r="A626" t="inlineStr">
        <is>
          <t>A 56763-2023</t>
        </is>
      </c>
      <c r="B626" s="1" t="n">
        <v>45238</v>
      </c>
      <c r="C626" s="1" t="n">
        <v>45915</v>
      </c>
      <c r="D626" t="inlineStr">
        <is>
          <t>VÄSTERBOTTENS LÄN</t>
        </is>
      </c>
      <c r="E626" t="inlineStr">
        <is>
          <t>VILHELMINA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35757-2023</t>
        </is>
      </c>
      <c r="B627" s="1" t="n">
        <v>45147.95444444445</v>
      </c>
      <c r="C627" s="1" t="n">
        <v>45915</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72-2025</t>
        </is>
      </c>
      <c r="B628" s="1" t="n">
        <v>45659</v>
      </c>
      <c r="C628" s="1" t="n">
        <v>45915</v>
      </c>
      <c r="D628" t="inlineStr">
        <is>
          <t>VÄSTERBOTTENS LÄN</t>
        </is>
      </c>
      <c r="E628" t="inlineStr">
        <is>
          <t>VILHELMINA</t>
        </is>
      </c>
      <c r="G628" t="n">
        <v>0.9</v>
      </c>
      <c r="H628" t="n">
        <v>0</v>
      </c>
      <c r="I628" t="n">
        <v>0</v>
      </c>
      <c r="J628" t="n">
        <v>0</v>
      </c>
      <c r="K628" t="n">
        <v>0</v>
      </c>
      <c r="L628" t="n">
        <v>0</v>
      </c>
      <c r="M628" t="n">
        <v>0</v>
      </c>
      <c r="N628" t="n">
        <v>0</v>
      </c>
      <c r="O628" t="n">
        <v>0</v>
      </c>
      <c r="P628" t="n">
        <v>0</v>
      </c>
      <c r="Q628" t="n">
        <v>0</v>
      </c>
      <c r="R628" s="2" t="inlineStr"/>
    </row>
    <row r="629" ht="15" customHeight="1">
      <c r="A629" t="inlineStr">
        <is>
          <t>A 9181-2023</t>
        </is>
      </c>
      <c r="B629" s="1" t="n">
        <v>44972</v>
      </c>
      <c r="C629" s="1" t="n">
        <v>45915</v>
      </c>
      <c r="D629" t="inlineStr">
        <is>
          <t>VÄSTERBOTTENS LÄN</t>
        </is>
      </c>
      <c r="E629" t="inlineStr">
        <is>
          <t>VILHELMINA</t>
        </is>
      </c>
      <c r="F629" t="inlineStr">
        <is>
          <t>Allmännings- och besparingsskogar</t>
        </is>
      </c>
      <c r="G629" t="n">
        <v>220.1</v>
      </c>
      <c r="H629" t="n">
        <v>0</v>
      </c>
      <c r="I629" t="n">
        <v>0</v>
      </c>
      <c r="J629" t="n">
        <v>0</v>
      </c>
      <c r="K629" t="n">
        <v>0</v>
      </c>
      <c r="L629" t="n">
        <v>0</v>
      </c>
      <c r="M629" t="n">
        <v>0</v>
      </c>
      <c r="N629" t="n">
        <v>0</v>
      </c>
      <c r="O629" t="n">
        <v>0</v>
      </c>
      <c r="P629" t="n">
        <v>0</v>
      </c>
      <c r="Q629" t="n">
        <v>0</v>
      </c>
      <c r="R629" s="2" t="inlineStr"/>
    </row>
    <row r="630" ht="15" customHeight="1">
      <c r="A630" t="inlineStr">
        <is>
          <t>A 41484-2022</t>
        </is>
      </c>
      <c r="B630" s="1" t="n">
        <v>44826</v>
      </c>
      <c r="C630" s="1" t="n">
        <v>45915</v>
      </c>
      <c r="D630" t="inlineStr">
        <is>
          <t>VÄSTERBOTTENS LÄN</t>
        </is>
      </c>
      <c r="E630" t="inlineStr">
        <is>
          <t>VILHELMINA</t>
        </is>
      </c>
      <c r="F630" t="inlineStr">
        <is>
          <t>SCA</t>
        </is>
      </c>
      <c r="G630" t="n">
        <v>18.1</v>
      </c>
      <c r="H630" t="n">
        <v>0</v>
      </c>
      <c r="I630" t="n">
        <v>0</v>
      </c>
      <c r="J630" t="n">
        <v>0</v>
      </c>
      <c r="K630" t="n">
        <v>0</v>
      </c>
      <c r="L630" t="n">
        <v>0</v>
      </c>
      <c r="M630" t="n">
        <v>0</v>
      </c>
      <c r="N630" t="n">
        <v>0</v>
      </c>
      <c r="O630" t="n">
        <v>0</v>
      </c>
      <c r="P630" t="n">
        <v>0</v>
      </c>
      <c r="Q630" t="n">
        <v>0</v>
      </c>
      <c r="R630" s="2" t="inlineStr"/>
    </row>
    <row r="631" ht="15" customHeight="1">
      <c r="A631" t="inlineStr">
        <is>
          <t>A 47253-2022</t>
        </is>
      </c>
      <c r="B631" s="1" t="n">
        <v>44852</v>
      </c>
      <c r="C631" s="1" t="n">
        <v>45915</v>
      </c>
      <c r="D631" t="inlineStr">
        <is>
          <t>VÄSTERBOTTENS LÄN</t>
        </is>
      </c>
      <c r="E631" t="inlineStr">
        <is>
          <t>VILHELMINA</t>
        </is>
      </c>
      <c r="F631" t="inlineStr">
        <is>
          <t>SCA</t>
        </is>
      </c>
      <c r="G631" t="n">
        <v>0.3</v>
      </c>
      <c r="H631" t="n">
        <v>0</v>
      </c>
      <c r="I631" t="n">
        <v>0</v>
      </c>
      <c r="J631" t="n">
        <v>0</v>
      </c>
      <c r="K631" t="n">
        <v>0</v>
      </c>
      <c r="L631" t="n">
        <v>0</v>
      </c>
      <c r="M631" t="n">
        <v>0</v>
      </c>
      <c r="N631" t="n">
        <v>0</v>
      </c>
      <c r="O631" t="n">
        <v>0</v>
      </c>
      <c r="P631" t="n">
        <v>0</v>
      </c>
      <c r="Q631" t="n">
        <v>0</v>
      </c>
      <c r="R631" s="2" t="inlineStr"/>
    </row>
    <row r="632" ht="15" customHeight="1">
      <c r="A632" t="inlineStr">
        <is>
          <t>A 54457-2024</t>
        </is>
      </c>
      <c r="B632" s="1" t="n">
        <v>45617</v>
      </c>
      <c r="C632" s="1" t="n">
        <v>45915</v>
      </c>
      <c r="D632" t="inlineStr">
        <is>
          <t>VÄSTERBOTTENS LÄN</t>
        </is>
      </c>
      <c r="E632" t="inlineStr">
        <is>
          <t>VILHELMINA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31851-2024</t>
        </is>
      </c>
      <c r="B633" s="1" t="n">
        <v>45509</v>
      </c>
      <c r="C633" s="1" t="n">
        <v>45915</v>
      </c>
      <c r="D633" t="inlineStr">
        <is>
          <t>VÄSTERBOTTENS LÄN</t>
        </is>
      </c>
      <c r="E633" t="inlineStr">
        <is>
          <t>VILHELMINA</t>
        </is>
      </c>
      <c r="G633" t="n">
        <v>5.1</v>
      </c>
      <c r="H633" t="n">
        <v>0</v>
      </c>
      <c r="I633" t="n">
        <v>0</v>
      </c>
      <c r="J633" t="n">
        <v>0</v>
      </c>
      <c r="K633" t="n">
        <v>0</v>
      </c>
      <c r="L633" t="n">
        <v>0</v>
      </c>
      <c r="M633" t="n">
        <v>0</v>
      </c>
      <c r="N633" t="n">
        <v>0</v>
      </c>
      <c r="O633" t="n">
        <v>0</v>
      </c>
      <c r="P633" t="n">
        <v>0</v>
      </c>
      <c r="Q633" t="n">
        <v>0</v>
      </c>
      <c r="R633" s="2" t="inlineStr"/>
    </row>
    <row r="634" ht="15" customHeight="1">
      <c r="A634" t="inlineStr">
        <is>
          <t>A 58934-2024</t>
        </is>
      </c>
      <c r="B634" s="1" t="n">
        <v>45636</v>
      </c>
      <c r="C634" s="1" t="n">
        <v>45915</v>
      </c>
      <c r="D634" t="inlineStr">
        <is>
          <t>VÄSTERBOTTENS LÄN</t>
        </is>
      </c>
      <c r="E634" t="inlineStr">
        <is>
          <t>VILHELMINA</t>
        </is>
      </c>
      <c r="F634" t="inlineStr">
        <is>
          <t>Allmännings- och besparingsskogar</t>
        </is>
      </c>
      <c r="G634" t="n">
        <v>45.6</v>
      </c>
      <c r="H634" t="n">
        <v>0</v>
      </c>
      <c r="I634" t="n">
        <v>0</v>
      </c>
      <c r="J634" t="n">
        <v>0</v>
      </c>
      <c r="K634" t="n">
        <v>0</v>
      </c>
      <c r="L634" t="n">
        <v>0</v>
      </c>
      <c r="M634" t="n">
        <v>0</v>
      </c>
      <c r="N634" t="n">
        <v>0</v>
      </c>
      <c r="O634" t="n">
        <v>0</v>
      </c>
      <c r="P634" t="n">
        <v>0</v>
      </c>
      <c r="Q634" t="n">
        <v>0</v>
      </c>
      <c r="R634" s="2" t="inlineStr"/>
    </row>
    <row r="635" ht="15" customHeight="1">
      <c r="A635" t="inlineStr">
        <is>
          <t>A 58943-2024</t>
        </is>
      </c>
      <c r="B635" s="1" t="n">
        <v>45636.5433449074</v>
      </c>
      <c r="C635" s="1" t="n">
        <v>45915</v>
      </c>
      <c r="D635" t="inlineStr">
        <is>
          <t>VÄSTERBOTTENS LÄN</t>
        </is>
      </c>
      <c r="E635" t="inlineStr">
        <is>
          <t>VILHELMINA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74-2025</t>
        </is>
      </c>
      <c r="B636" s="1" t="n">
        <v>45659</v>
      </c>
      <c r="C636" s="1" t="n">
        <v>45915</v>
      </c>
      <c r="D636" t="inlineStr">
        <is>
          <t>VÄSTERBOTTENS LÄN</t>
        </is>
      </c>
      <c r="E636" t="inlineStr">
        <is>
          <t>VILHELMINA</t>
        </is>
      </c>
      <c r="G636" t="n">
        <v>5.9</v>
      </c>
      <c r="H636" t="n">
        <v>0</v>
      </c>
      <c r="I636" t="n">
        <v>0</v>
      </c>
      <c r="J636" t="n">
        <v>0</v>
      </c>
      <c r="K636" t="n">
        <v>0</v>
      </c>
      <c r="L636" t="n">
        <v>0</v>
      </c>
      <c r="M636" t="n">
        <v>0</v>
      </c>
      <c r="N636" t="n">
        <v>0</v>
      </c>
      <c r="O636" t="n">
        <v>0</v>
      </c>
      <c r="P636" t="n">
        <v>0</v>
      </c>
      <c r="Q636" t="n">
        <v>0</v>
      </c>
      <c r="R636" s="2" t="inlineStr"/>
    </row>
    <row r="637" ht="15" customHeight="1">
      <c r="A637" t="inlineStr">
        <is>
          <t>A 78-2025</t>
        </is>
      </c>
      <c r="B637" s="1" t="n">
        <v>45659</v>
      </c>
      <c r="C637" s="1" t="n">
        <v>45915</v>
      </c>
      <c r="D637" t="inlineStr">
        <is>
          <t>VÄSTERBOTTENS LÄN</t>
        </is>
      </c>
      <c r="E637" t="inlineStr">
        <is>
          <t>VILHELMINA</t>
        </is>
      </c>
      <c r="G637" t="n">
        <v>7.3</v>
      </c>
      <c r="H637" t="n">
        <v>0</v>
      </c>
      <c r="I637" t="n">
        <v>0</v>
      </c>
      <c r="J637" t="n">
        <v>0</v>
      </c>
      <c r="K637" t="n">
        <v>0</v>
      </c>
      <c r="L637" t="n">
        <v>0</v>
      </c>
      <c r="M637" t="n">
        <v>0</v>
      </c>
      <c r="N637" t="n">
        <v>0</v>
      </c>
      <c r="O637" t="n">
        <v>0</v>
      </c>
      <c r="P637" t="n">
        <v>0</v>
      </c>
      <c r="Q637" t="n">
        <v>0</v>
      </c>
      <c r="R637" s="2" t="inlineStr"/>
    </row>
    <row r="638" ht="15" customHeight="1">
      <c r="A638" t="inlineStr">
        <is>
          <t>A 23278-2021</t>
        </is>
      </c>
      <c r="B638" s="1" t="n">
        <v>44328</v>
      </c>
      <c r="C638" s="1" t="n">
        <v>45915</v>
      </c>
      <c r="D638" t="inlineStr">
        <is>
          <t>VÄSTERBOTTENS LÄN</t>
        </is>
      </c>
      <c r="E638" t="inlineStr">
        <is>
          <t>VILHELMINA</t>
        </is>
      </c>
      <c r="F638" t="inlineStr">
        <is>
          <t>Allmännings- och besparingsskogar</t>
        </is>
      </c>
      <c r="G638" t="n">
        <v>13.6</v>
      </c>
      <c r="H638" t="n">
        <v>0</v>
      </c>
      <c r="I638" t="n">
        <v>0</v>
      </c>
      <c r="J638" t="n">
        <v>0</v>
      </c>
      <c r="K638" t="n">
        <v>0</v>
      </c>
      <c r="L638" t="n">
        <v>0</v>
      </c>
      <c r="M638" t="n">
        <v>0</v>
      </c>
      <c r="N638" t="n">
        <v>0</v>
      </c>
      <c r="O638" t="n">
        <v>0</v>
      </c>
      <c r="P638" t="n">
        <v>0</v>
      </c>
      <c r="Q638" t="n">
        <v>0</v>
      </c>
      <c r="R638" s="2" t="inlineStr"/>
    </row>
    <row r="639" ht="15" customHeight="1">
      <c r="A639" t="inlineStr">
        <is>
          <t>A 54387-2024</t>
        </is>
      </c>
      <c r="B639" s="1" t="n">
        <v>45617</v>
      </c>
      <c r="C639" s="1" t="n">
        <v>45915</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37505-2023</t>
        </is>
      </c>
      <c r="B640" s="1" t="n">
        <v>45158.31186342592</v>
      </c>
      <c r="C640" s="1" t="n">
        <v>45915</v>
      </c>
      <c r="D640" t="inlineStr">
        <is>
          <t>VÄSTERBOTTENS LÄN</t>
        </is>
      </c>
      <c r="E640" t="inlineStr">
        <is>
          <t>VILHELMINA</t>
        </is>
      </c>
      <c r="G640" t="n">
        <v>10.5</v>
      </c>
      <c r="H640" t="n">
        <v>0</v>
      </c>
      <c r="I640" t="n">
        <v>0</v>
      </c>
      <c r="J640" t="n">
        <v>0</v>
      </c>
      <c r="K640" t="n">
        <v>0</v>
      </c>
      <c r="L640" t="n">
        <v>0</v>
      </c>
      <c r="M640" t="n">
        <v>0</v>
      </c>
      <c r="N640" t="n">
        <v>0</v>
      </c>
      <c r="O640" t="n">
        <v>0</v>
      </c>
      <c r="P640" t="n">
        <v>0</v>
      </c>
      <c r="Q640" t="n">
        <v>0</v>
      </c>
      <c r="R640" s="2" t="inlineStr"/>
    </row>
    <row r="641" ht="15" customHeight="1">
      <c r="A641" t="inlineStr">
        <is>
          <t>A 47011-2024</t>
        </is>
      </c>
      <c r="B641" s="1" t="n">
        <v>45586.38592592593</v>
      </c>
      <c r="C641" s="1" t="n">
        <v>45915</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27881-2022</t>
        </is>
      </c>
      <c r="B642" s="1" t="n">
        <v>44743</v>
      </c>
      <c r="C642" s="1" t="n">
        <v>45915</v>
      </c>
      <c r="D642" t="inlineStr">
        <is>
          <t>VÄSTERBOTTENS LÄN</t>
        </is>
      </c>
      <c r="E642" t="inlineStr">
        <is>
          <t>VILHELMINA</t>
        </is>
      </c>
      <c r="F642" t="inlineStr">
        <is>
          <t>Sveaskog</t>
        </is>
      </c>
      <c r="G642" t="n">
        <v>14.3</v>
      </c>
      <c r="H642" t="n">
        <v>0</v>
      </c>
      <c r="I642" t="n">
        <v>0</v>
      </c>
      <c r="J642" t="n">
        <v>0</v>
      </c>
      <c r="K642" t="n">
        <v>0</v>
      </c>
      <c r="L642" t="n">
        <v>0</v>
      </c>
      <c r="M642" t="n">
        <v>0</v>
      </c>
      <c r="N642" t="n">
        <v>0</v>
      </c>
      <c r="O642" t="n">
        <v>0</v>
      </c>
      <c r="P642" t="n">
        <v>0</v>
      </c>
      <c r="Q642" t="n">
        <v>0</v>
      </c>
      <c r="R642" s="2" t="inlineStr"/>
    </row>
    <row r="643" ht="15" customHeight="1">
      <c r="A643" t="inlineStr">
        <is>
          <t>A 49241-2024</t>
        </is>
      </c>
      <c r="B643" s="1" t="n">
        <v>45595</v>
      </c>
      <c r="C643" s="1" t="n">
        <v>45915</v>
      </c>
      <c r="D643" t="inlineStr">
        <is>
          <t>VÄSTERBOTTENS LÄN</t>
        </is>
      </c>
      <c r="E643" t="inlineStr">
        <is>
          <t>VILHELMINA</t>
        </is>
      </c>
      <c r="G643" t="n">
        <v>1.4</v>
      </c>
      <c r="H643" t="n">
        <v>0</v>
      </c>
      <c r="I643" t="n">
        <v>0</v>
      </c>
      <c r="J643" t="n">
        <v>0</v>
      </c>
      <c r="K643" t="n">
        <v>0</v>
      </c>
      <c r="L643" t="n">
        <v>0</v>
      </c>
      <c r="M643" t="n">
        <v>0</v>
      </c>
      <c r="N643" t="n">
        <v>0</v>
      </c>
      <c r="O643" t="n">
        <v>0</v>
      </c>
      <c r="P643" t="n">
        <v>0</v>
      </c>
      <c r="Q643" t="n">
        <v>0</v>
      </c>
      <c r="R643" s="2" t="inlineStr"/>
    </row>
    <row r="644" ht="15" customHeight="1">
      <c r="A644" t="inlineStr">
        <is>
          <t>A 35412-2024</t>
        </is>
      </c>
      <c r="B644" s="1" t="n">
        <v>45531.4075</v>
      </c>
      <c r="C644" s="1" t="n">
        <v>45915</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14961-2022</t>
        </is>
      </c>
      <c r="B645" s="1" t="n">
        <v>44657</v>
      </c>
      <c r="C645" s="1" t="n">
        <v>45915</v>
      </c>
      <c r="D645" t="inlineStr">
        <is>
          <t>VÄSTERBOTTENS LÄN</t>
        </is>
      </c>
      <c r="E645" t="inlineStr">
        <is>
          <t>VILHELMINA</t>
        </is>
      </c>
      <c r="G645" t="n">
        <v>19.9</v>
      </c>
      <c r="H645" t="n">
        <v>0</v>
      </c>
      <c r="I645" t="n">
        <v>0</v>
      </c>
      <c r="J645" t="n">
        <v>0</v>
      </c>
      <c r="K645" t="n">
        <v>0</v>
      </c>
      <c r="L645" t="n">
        <v>0</v>
      </c>
      <c r="M645" t="n">
        <v>0</v>
      </c>
      <c r="N645" t="n">
        <v>0</v>
      </c>
      <c r="O645" t="n">
        <v>0</v>
      </c>
      <c r="P645" t="n">
        <v>0</v>
      </c>
      <c r="Q645" t="n">
        <v>0</v>
      </c>
      <c r="R645" s="2" t="inlineStr"/>
    </row>
    <row r="646" ht="15" customHeight="1">
      <c r="A646" t="inlineStr">
        <is>
          <t>A 44634-2024</t>
        </is>
      </c>
      <c r="B646" s="1" t="n">
        <v>45574</v>
      </c>
      <c r="C646" s="1" t="n">
        <v>45915</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66952-2021</t>
        </is>
      </c>
      <c r="B647" s="1" t="n">
        <v>44522</v>
      </c>
      <c r="C647" s="1" t="n">
        <v>45915</v>
      </c>
      <c r="D647" t="inlineStr">
        <is>
          <t>VÄSTERBOTTENS LÄN</t>
        </is>
      </c>
      <c r="E647" t="inlineStr">
        <is>
          <t>VILHELMINA</t>
        </is>
      </c>
      <c r="F647" t="inlineStr">
        <is>
          <t>Allmännings- och besparingsskogar</t>
        </is>
      </c>
      <c r="G647" t="n">
        <v>70</v>
      </c>
      <c r="H647" t="n">
        <v>0</v>
      </c>
      <c r="I647" t="n">
        <v>0</v>
      </c>
      <c r="J647" t="n">
        <v>0</v>
      </c>
      <c r="K647" t="n">
        <v>0</v>
      </c>
      <c r="L647" t="n">
        <v>0</v>
      </c>
      <c r="M647" t="n">
        <v>0</v>
      </c>
      <c r="N647" t="n">
        <v>0</v>
      </c>
      <c r="O647" t="n">
        <v>0</v>
      </c>
      <c r="P647" t="n">
        <v>0</v>
      </c>
      <c r="Q647" t="n">
        <v>0</v>
      </c>
      <c r="R647" s="2" t="inlineStr"/>
    </row>
    <row r="648" ht="15" customHeight="1">
      <c r="A648" t="inlineStr">
        <is>
          <t>A 5575-2025</t>
        </is>
      </c>
      <c r="B648" s="1" t="n">
        <v>45693.53200231482</v>
      </c>
      <c r="C648" s="1" t="n">
        <v>45915</v>
      </c>
      <c r="D648" t="inlineStr">
        <is>
          <t>VÄSTERBOTTENS LÄN</t>
        </is>
      </c>
      <c r="E648" t="inlineStr">
        <is>
          <t>VILHELMINA</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3096-2021</t>
        </is>
      </c>
      <c r="B649" s="1" t="n">
        <v>44216.93865740741</v>
      </c>
      <c r="C649" s="1" t="n">
        <v>45915</v>
      </c>
      <c r="D649" t="inlineStr">
        <is>
          <t>VÄSTERBOTTENS LÄN</t>
        </is>
      </c>
      <c r="E649" t="inlineStr">
        <is>
          <t>VILHELMINA</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38409-2025</t>
        </is>
      </c>
      <c r="B650" s="1" t="n">
        <v>45883.59429398148</v>
      </c>
      <c r="C650" s="1" t="n">
        <v>45915</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38427-2025</t>
        </is>
      </c>
      <c r="B651" s="1" t="n">
        <v>45883.63611111111</v>
      </c>
      <c r="C651" s="1" t="n">
        <v>45915</v>
      </c>
      <c r="D651" t="inlineStr">
        <is>
          <t>VÄSTERBOTTENS LÄN</t>
        </is>
      </c>
      <c r="E651" t="inlineStr">
        <is>
          <t>VILHELMINA</t>
        </is>
      </c>
      <c r="F651" t="inlineStr">
        <is>
          <t>SCA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26000-2023</t>
        </is>
      </c>
      <c r="B652" s="1" t="n">
        <v>45090</v>
      </c>
      <c r="C652" s="1" t="n">
        <v>45915</v>
      </c>
      <c r="D652" t="inlineStr">
        <is>
          <t>VÄSTERBOTTENS LÄN</t>
        </is>
      </c>
      <c r="E652" t="inlineStr">
        <is>
          <t>VILHELMINA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38540-2025</t>
        </is>
      </c>
      <c r="B653" s="1" t="n">
        <v>45884.42768518518</v>
      </c>
      <c r="C653" s="1" t="n">
        <v>45915</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45915</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24457-2024</t>
        </is>
      </c>
      <c r="B655" s="1" t="n">
        <v>45457.96708333334</v>
      </c>
      <c r="C655" s="1" t="n">
        <v>45915</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36214-2023</t>
        </is>
      </c>
      <c r="B656" s="1" t="n">
        <v>45149.95256944445</v>
      </c>
      <c r="C656" s="1" t="n">
        <v>45915</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21726-2021</t>
        </is>
      </c>
      <c r="B657" s="1" t="n">
        <v>44322</v>
      </c>
      <c r="C657" s="1" t="n">
        <v>45915</v>
      </c>
      <c r="D657" t="inlineStr">
        <is>
          <t>VÄSTERBOTTENS LÄN</t>
        </is>
      </c>
      <c r="E657" t="inlineStr">
        <is>
          <t>VILHELMINA</t>
        </is>
      </c>
      <c r="G657" t="n">
        <v>19.6</v>
      </c>
      <c r="H657" t="n">
        <v>0</v>
      </c>
      <c r="I657" t="n">
        <v>0</v>
      </c>
      <c r="J657" t="n">
        <v>0</v>
      </c>
      <c r="K657" t="n">
        <v>0</v>
      </c>
      <c r="L657" t="n">
        <v>0</v>
      </c>
      <c r="M657" t="n">
        <v>0</v>
      </c>
      <c r="N657" t="n">
        <v>0</v>
      </c>
      <c r="O657" t="n">
        <v>0</v>
      </c>
      <c r="P657" t="n">
        <v>0</v>
      </c>
      <c r="Q657" t="n">
        <v>0</v>
      </c>
      <c r="R657" s="2" t="inlineStr"/>
    </row>
    <row r="658" ht="15" customHeight="1">
      <c r="A658" t="inlineStr">
        <is>
          <t>A 33319-2025</t>
        </is>
      </c>
      <c r="B658" s="1" t="n">
        <v>45841</v>
      </c>
      <c r="C658" s="1" t="n">
        <v>45915</v>
      </c>
      <c r="D658" t="inlineStr">
        <is>
          <t>VÄSTERBOTTENS LÄN</t>
        </is>
      </c>
      <c r="E658" t="inlineStr">
        <is>
          <t>VILHELMINA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33320-2025</t>
        </is>
      </c>
      <c r="B659" s="1" t="n">
        <v>45841.34461805555</v>
      </c>
      <c r="C659" s="1" t="n">
        <v>45915</v>
      </c>
      <c r="D659" t="inlineStr">
        <is>
          <t>VÄSTERBOTTENS LÄN</t>
        </is>
      </c>
      <c r="E659" t="inlineStr">
        <is>
          <t>VILHELMINA</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18781-2021</t>
        </is>
      </c>
      <c r="B660" s="1" t="n">
        <v>44307</v>
      </c>
      <c r="C660" s="1" t="n">
        <v>45915</v>
      </c>
      <c r="D660" t="inlineStr">
        <is>
          <t>VÄSTERBOTTENS LÄN</t>
        </is>
      </c>
      <c r="E660" t="inlineStr">
        <is>
          <t>VILHELMINA</t>
        </is>
      </c>
      <c r="G660" t="n">
        <v>3.5</v>
      </c>
      <c r="H660" t="n">
        <v>0</v>
      </c>
      <c r="I660" t="n">
        <v>0</v>
      </c>
      <c r="J660" t="n">
        <v>0</v>
      </c>
      <c r="K660" t="n">
        <v>0</v>
      </c>
      <c r="L660" t="n">
        <v>0</v>
      </c>
      <c r="M660" t="n">
        <v>0</v>
      </c>
      <c r="N660" t="n">
        <v>0</v>
      </c>
      <c r="O660" t="n">
        <v>0</v>
      </c>
      <c r="P660" t="n">
        <v>0</v>
      </c>
      <c r="Q660" t="n">
        <v>0</v>
      </c>
      <c r="R660" s="2" t="inlineStr"/>
    </row>
    <row r="661" ht="15" customHeight="1">
      <c r="A661" t="inlineStr">
        <is>
          <t>A 38543-2025</t>
        </is>
      </c>
      <c r="B661" s="1" t="n">
        <v>45884.42813657408</v>
      </c>
      <c r="C661" s="1" t="n">
        <v>45915</v>
      </c>
      <c r="D661" t="inlineStr">
        <is>
          <t>VÄSTERBOTTENS LÄN</t>
        </is>
      </c>
      <c r="E661" t="inlineStr">
        <is>
          <t>VILHELMINA</t>
        </is>
      </c>
      <c r="G661" t="n">
        <v>2.4</v>
      </c>
      <c r="H661" t="n">
        <v>0</v>
      </c>
      <c r="I661" t="n">
        <v>0</v>
      </c>
      <c r="J661" t="n">
        <v>0</v>
      </c>
      <c r="K661" t="n">
        <v>0</v>
      </c>
      <c r="L661" t="n">
        <v>0</v>
      </c>
      <c r="M661" t="n">
        <v>0</v>
      </c>
      <c r="N661" t="n">
        <v>0</v>
      </c>
      <c r="O661" t="n">
        <v>0</v>
      </c>
      <c r="P661" t="n">
        <v>0</v>
      </c>
      <c r="Q661" t="n">
        <v>0</v>
      </c>
      <c r="R661" s="2" t="inlineStr"/>
    </row>
    <row r="662" ht="15" customHeight="1">
      <c r="A662" t="inlineStr">
        <is>
          <t>A 38211-2025</t>
        </is>
      </c>
      <c r="B662" s="1" t="n">
        <v>45882.93524305556</v>
      </c>
      <c r="C662" s="1" t="n">
        <v>45915</v>
      </c>
      <c r="D662" t="inlineStr">
        <is>
          <t>VÄSTERBOTTENS LÄN</t>
        </is>
      </c>
      <c r="E662" t="inlineStr">
        <is>
          <t>VILHELMINA</t>
        </is>
      </c>
      <c r="G662" t="n">
        <v>13.8</v>
      </c>
      <c r="H662" t="n">
        <v>0</v>
      </c>
      <c r="I662" t="n">
        <v>0</v>
      </c>
      <c r="J662" t="n">
        <v>0</v>
      </c>
      <c r="K662" t="n">
        <v>0</v>
      </c>
      <c r="L662" t="n">
        <v>0</v>
      </c>
      <c r="M662" t="n">
        <v>0</v>
      </c>
      <c r="N662" t="n">
        <v>0</v>
      </c>
      <c r="O662" t="n">
        <v>0</v>
      </c>
      <c r="P662" t="n">
        <v>0</v>
      </c>
      <c r="Q662" t="n">
        <v>0</v>
      </c>
      <c r="R662" s="2" t="inlineStr"/>
    </row>
    <row r="663" ht="15" customHeight="1">
      <c r="A663" t="inlineStr">
        <is>
          <t>A 38212-2025</t>
        </is>
      </c>
      <c r="B663" s="1" t="n">
        <v>45882.95137731481</v>
      </c>
      <c r="C663" s="1" t="n">
        <v>45915</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72057-2021</t>
        </is>
      </c>
      <c r="B664" s="1" t="n">
        <v>44540</v>
      </c>
      <c r="C664" s="1" t="n">
        <v>45915</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38387-2025</t>
        </is>
      </c>
      <c r="B665" s="1" t="n">
        <v>45883.57451388889</v>
      </c>
      <c r="C665" s="1" t="n">
        <v>45915</v>
      </c>
      <c r="D665" t="inlineStr">
        <is>
          <t>VÄSTERBOTTENS LÄN</t>
        </is>
      </c>
      <c r="E665" t="inlineStr">
        <is>
          <t>VILHELMINA</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38454-2025</t>
        </is>
      </c>
      <c r="B666" s="1" t="n">
        <v>45883.67839120371</v>
      </c>
      <c r="C666" s="1" t="n">
        <v>45915</v>
      </c>
      <c r="D666" t="inlineStr">
        <is>
          <t>VÄSTERBOTTENS LÄN</t>
        </is>
      </c>
      <c r="E666" t="inlineStr">
        <is>
          <t>VILHELMINA</t>
        </is>
      </c>
      <c r="G666" t="n">
        <v>4.8</v>
      </c>
      <c r="H666" t="n">
        <v>0</v>
      </c>
      <c r="I666" t="n">
        <v>0</v>
      </c>
      <c r="J666" t="n">
        <v>0</v>
      </c>
      <c r="K666" t="n">
        <v>0</v>
      </c>
      <c r="L666" t="n">
        <v>0</v>
      </c>
      <c r="M666" t="n">
        <v>0</v>
      </c>
      <c r="N666" t="n">
        <v>0</v>
      </c>
      <c r="O666" t="n">
        <v>0</v>
      </c>
      <c r="P666" t="n">
        <v>0</v>
      </c>
      <c r="Q666" t="n">
        <v>0</v>
      </c>
      <c r="R666" s="2" t="inlineStr"/>
    </row>
    <row r="667" ht="15" customHeight="1">
      <c r="A667" t="inlineStr">
        <is>
          <t>A 38355-2025</t>
        </is>
      </c>
      <c r="B667" s="1" t="n">
        <v>45883.53228009259</v>
      </c>
      <c r="C667" s="1" t="n">
        <v>45915</v>
      </c>
      <c r="D667" t="inlineStr">
        <is>
          <t>VÄSTERBOTTENS LÄN</t>
        </is>
      </c>
      <c r="E667" t="inlineStr">
        <is>
          <t>VILHELMINA</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12593-2022</t>
        </is>
      </c>
      <c r="B668" s="1" t="n">
        <v>44640</v>
      </c>
      <c r="C668" s="1" t="n">
        <v>45915</v>
      </c>
      <c r="D668" t="inlineStr">
        <is>
          <t>VÄSTERBOTTENS LÄN</t>
        </is>
      </c>
      <c r="E668" t="inlineStr">
        <is>
          <t>VILHELMINA</t>
        </is>
      </c>
      <c r="G668" t="n">
        <v>10.4</v>
      </c>
      <c r="H668" t="n">
        <v>0</v>
      </c>
      <c r="I668" t="n">
        <v>0</v>
      </c>
      <c r="J668" t="n">
        <v>0</v>
      </c>
      <c r="K668" t="n">
        <v>0</v>
      </c>
      <c r="L668" t="n">
        <v>0</v>
      </c>
      <c r="M668" t="n">
        <v>0</v>
      </c>
      <c r="N668" t="n">
        <v>0</v>
      </c>
      <c r="O668" t="n">
        <v>0</v>
      </c>
      <c r="P668" t="n">
        <v>0</v>
      </c>
      <c r="Q668" t="n">
        <v>0</v>
      </c>
      <c r="R668" s="2" t="inlineStr"/>
    </row>
    <row r="669" ht="15" customHeight="1">
      <c r="A669" t="inlineStr">
        <is>
          <t>A 38357-2025</t>
        </is>
      </c>
      <c r="B669" s="1" t="n">
        <v>45883.53263888889</v>
      </c>
      <c r="C669" s="1" t="n">
        <v>45915</v>
      </c>
      <c r="D669" t="inlineStr">
        <is>
          <t>VÄSTERBOTTENS LÄN</t>
        </is>
      </c>
      <c r="E669" t="inlineStr">
        <is>
          <t>VILHELMINA</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38356-2025</t>
        </is>
      </c>
      <c r="B670" s="1" t="n">
        <v>45883.53247685185</v>
      </c>
      <c r="C670" s="1" t="n">
        <v>45915</v>
      </c>
      <c r="D670" t="inlineStr">
        <is>
          <t>VÄSTERBOTTENS LÄN</t>
        </is>
      </c>
      <c r="E670" t="inlineStr">
        <is>
          <t>VILHELMINA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38360-2025</t>
        </is>
      </c>
      <c r="B671" s="1" t="n">
        <v>45883.53290509259</v>
      </c>
      <c r="C671" s="1" t="n">
        <v>45915</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38243-2025</t>
        </is>
      </c>
      <c r="B672" s="1" t="n">
        <v>45883.36553240741</v>
      </c>
      <c r="C672" s="1" t="n">
        <v>45915</v>
      </c>
      <c r="D672" t="inlineStr">
        <is>
          <t>VÄSTERBOTTENS LÄN</t>
        </is>
      </c>
      <c r="E672" t="inlineStr">
        <is>
          <t>VILHELMINA</t>
        </is>
      </c>
      <c r="G672" t="n">
        <v>4.7</v>
      </c>
      <c r="H672" t="n">
        <v>0</v>
      </c>
      <c r="I672" t="n">
        <v>0</v>
      </c>
      <c r="J672" t="n">
        <v>0</v>
      </c>
      <c r="K672" t="n">
        <v>0</v>
      </c>
      <c r="L672" t="n">
        <v>0</v>
      </c>
      <c r="M672" t="n">
        <v>0</v>
      </c>
      <c r="N672" t="n">
        <v>0</v>
      </c>
      <c r="O672" t="n">
        <v>0</v>
      </c>
      <c r="P672" t="n">
        <v>0</v>
      </c>
      <c r="Q672" t="n">
        <v>0</v>
      </c>
      <c r="R672" s="2" t="inlineStr"/>
    </row>
    <row r="673" ht="15" customHeight="1">
      <c r="A673" t="inlineStr">
        <is>
          <t>A 61777-2023</t>
        </is>
      </c>
      <c r="B673" s="1" t="n">
        <v>45265</v>
      </c>
      <c r="C673" s="1" t="n">
        <v>45915</v>
      </c>
      <c r="D673" t="inlineStr">
        <is>
          <t>VÄSTERBOTTENS LÄN</t>
        </is>
      </c>
      <c r="E673" t="inlineStr">
        <is>
          <t>VILHELMINA</t>
        </is>
      </c>
      <c r="F673" t="inlineStr">
        <is>
          <t>SCA</t>
        </is>
      </c>
      <c r="G673" t="n">
        <v>20.6</v>
      </c>
      <c r="H673" t="n">
        <v>0</v>
      </c>
      <c r="I673" t="n">
        <v>0</v>
      </c>
      <c r="J673" t="n">
        <v>0</v>
      </c>
      <c r="K673" t="n">
        <v>0</v>
      </c>
      <c r="L673" t="n">
        <v>0</v>
      </c>
      <c r="M673" t="n">
        <v>0</v>
      </c>
      <c r="N673" t="n">
        <v>0</v>
      </c>
      <c r="O673" t="n">
        <v>0</v>
      </c>
      <c r="P673" t="n">
        <v>0</v>
      </c>
      <c r="Q673" t="n">
        <v>0</v>
      </c>
      <c r="R673" s="2" t="inlineStr"/>
    </row>
    <row r="674" ht="15" customHeight="1">
      <c r="A674" t="inlineStr">
        <is>
          <t>A 28695-2024</t>
        </is>
      </c>
      <c r="B674" s="1" t="n">
        <v>45478</v>
      </c>
      <c r="C674" s="1" t="n">
        <v>45915</v>
      </c>
      <c r="D674" t="inlineStr">
        <is>
          <t>VÄSTERBOTTENS LÄN</t>
        </is>
      </c>
      <c r="E674" t="inlineStr">
        <is>
          <t>VILHELMINA</t>
        </is>
      </c>
      <c r="F674" t="inlineStr">
        <is>
          <t>Allmännings- och besparingsskogar</t>
        </is>
      </c>
      <c r="G674" t="n">
        <v>3.1</v>
      </c>
      <c r="H674" t="n">
        <v>0</v>
      </c>
      <c r="I674" t="n">
        <v>0</v>
      </c>
      <c r="J674" t="n">
        <v>0</v>
      </c>
      <c r="K674" t="n">
        <v>0</v>
      </c>
      <c r="L674" t="n">
        <v>0</v>
      </c>
      <c r="M674" t="n">
        <v>0</v>
      </c>
      <c r="N674" t="n">
        <v>0</v>
      </c>
      <c r="O674" t="n">
        <v>0</v>
      </c>
      <c r="P674" t="n">
        <v>0</v>
      </c>
      <c r="Q674" t="n">
        <v>0</v>
      </c>
      <c r="R674" s="2" t="inlineStr"/>
    </row>
    <row r="675" ht="15" customHeight="1">
      <c r="A675" t="inlineStr">
        <is>
          <t>A 15782-2025</t>
        </is>
      </c>
      <c r="B675" s="1" t="n">
        <v>45748</v>
      </c>
      <c r="C675" s="1" t="n">
        <v>45915</v>
      </c>
      <c r="D675" t="inlineStr">
        <is>
          <t>VÄSTERBOTTENS LÄN</t>
        </is>
      </c>
      <c r="E675" t="inlineStr">
        <is>
          <t>VILHELMINA</t>
        </is>
      </c>
      <c r="G675" t="n">
        <v>2.5</v>
      </c>
      <c r="H675" t="n">
        <v>0</v>
      </c>
      <c r="I675" t="n">
        <v>0</v>
      </c>
      <c r="J675" t="n">
        <v>0</v>
      </c>
      <c r="K675" t="n">
        <v>0</v>
      </c>
      <c r="L675" t="n">
        <v>0</v>
      </c>
      <c r="M675" t="n">
        <v>0</v>
      </c>
      <c r="N675" t="n">
        <v>0</v>
      </c>
      <c r="O675" t="n">
        <v>0</v>
      </c>
      <c r="P675" t="n">
        <v>0</v>
      </c>
      <c r="Q675" t="n">
        <v>0</v>
      </c>
      <c r="R675" s="2" t="inlineStr"/>
    </row>
    <row r="676" ht="15" customHeight="1">
      <c r="A676" t="inlineStr">
        <is>
          <t>A 15792-2025</t>
        </is>
      </c>
      <c r="B676" s="1" t="n">
        <v>45748.63356481482</v>
      </c>
      <c r="C676" s="1" t="n">
        <v>45915</v>
      </c>
      <c r="D676" t="inlineStr">
        <is>
          <t>VÄSTERBOTTENS LÄN</t>
        </is>
      </c>
      <c r="E676" t="inlineStr">
        <is>
          <t>VILHELMINA</t>
        </is>
      </c>
      <c r="G676" t="n">
        <v>5.5</v>
      </c>
      <c r="H676" t="n">
        <v>0</v>
      </c>
      <c r="I676" t="n">
        <v>0</v>
      </c>
      <c r="J676" t="n">
        <v>0</v>
      </c>
      <c r="K676" t="n">
        <v>0</v>
      </c>
      <c r="L676" t="n">
        <v>0</v>
      </c>
      <c r="M676" t="n">
        <v>0</v>
      </c>
      <c r="N676" t="n">
        <v>0</v>
      </c>
      <c r="O676" t="n">
        <v>0</v>
      </c>
      <c r="P676" t="n">
        <v>0</v>
      </c>
      <c r="Q676" t="n">
        <v>0</v>
      </c>
      <c r="R676" s="2" t="inlineStr"/>
    </row>
    <row r="677" ht="15" customHeight="1">
      <c r="A677" t="inlineStr">
        <is>
          <t>A 23543-2024</t>
        </is>
      </c>
      <c r="B677" s="1" t="n">
        <v>45453</v>
      </c>
      <c r="C677" s="1" t="n">
        <v>45915</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40781-2023</t>
        </is>
      </c>
      <c r="B678" s="1" t="n">
        <v>45170.95747685185</v>
      </c>
      <c r="C678" s="1" t="n">
        <v>45915</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29922-2024</t>
        </is>
      </c>
      <c r="B679" s="1" t="n">
        <v>45487.9563425926</v>
      </c>
      <c r="C679" s="1" t="n">
        <v>45915</v>
      </c>
      <c r="D679" t="inlineStr">
        <is>
          <t>VÄSTERBOTTENS LÄN</t>
        </is>
      </c>
      <c r="E679" t="inlineStr">
        <is>
          <t>VILHELMINA</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19600-2025</t>
        </is>
      </c>
      <c r="B680" s="1" t="n">
        <v>45770</v>
      </c>
      <c r="C680" s="1" t="n">
        <v>45915</v>
      </c>
      <c r="D680" t="inlineStr">
        <is>
          <t>VÄSTERBOTTENS LÄN</t>
        </is>
      </c>
      <c r="E680" t="inlineStr">
        <is>
          <t>VILHELMINA</t>
        </is>
      </c>
      <c r="G680" t="n">
        <v>3.7</v>
      </c>
      <c r="H680" t="n">
        <v>0</v>
      </c>
      <c r="I680" t="n">
        <v>0</v>
      </c>
      <c r="J680" t="n">
        <v>0</v>
      </c>
      <c r="K680" t="n">
        <v>0</v>
      </c>
      <c r="L680" t="n">
        <v>0</v>
      </c>
      <c r="M680" t="n">
        <v>0</v>
      </c>
      <c r="N680" t="n">
        <v>0</v>
      </c>
      <c r="O680" t="n">
        <v>0</v>
      </c>
      <c r="P680" t="n">
        <v>0</v>
      </c>
      <c r="Q680" t="n">
        <v>0</v>
      </c>
      <c r="R680" s="2" t="inlineStr"/>
    </row>
    <row r="681" ht="15" customHeight="1">
      <c r="A681" t="inlineStr">
        <is>
          <t>A 38429-2025</t>
        </is>
      </c>
      <c r="B681" s="1" t="n">
        <v>45883.63638888889</v>
      </c>
      <c r="C681" s="1" t="n">
        <v>45915</v>
      </c>
      <c r="D681" t="inlineStr">
        <is>
          <t>VÄSTERBOTTENS LÄN</t>
        </is>
      </c>
      <c r="E681" t="inlineStr">
        <is>
          <t>VILHELMINA</t>
        </is>
      </c>
      <c r="G681" t="n">
        <v>5.5</v>
      </c>
      <c r="H681" t="n">
        <v>0</v>
      </c>
      <c r="I681" t="n">
        <v>0</v>
      </c>
      <c r="J681" t="n">
        <v>0</v>
      </c>
      <c r="K681" t="n">
        <v>0</v>
      </c>
      <c r="L681" t="n">
        <v>0</v>
      </c>
      <c r="M681" t="n">
        <v>0</v>
      </c>
      <c r="N681" t="n">
        <v>0</v>
      </c>
      <c r="O681" t="n">
        <v>0</v>
      </c>
      <c r="P681" t="n">
        <v>0</v>
      </c>
      <c r="Q681" t="n">
        <v>0</v>
      </c>
      <c r="R681" s="2" t="inlineStr"/>
    </row>
    <row r="682" ht="15" customHeight="1">
      <c r="A682" t="inlineStr">
        <is>
          <t>A 38430-2025</t>
        </is>
      </c>
      <c r="B682" s="1" t="n">
        <v>45883.6364699074</v>
      </c>
      <c r="C682" s="1" t="n">
        <v>45915</v>
      </c>
      <c r="D682" t="inlineStr">
        <is>
          <t>VÄSTERBOTTENS LÄN</t>
        </is>
      </c>
      <c r="E682" t="inlineStr">
        <is>
          <t>VILHELMINA</t>
        </is>
      </c>
      <c r="G682" t="n">
        <v>36.7</v>
      </c>
      <c r="H682" t="n">
        <v>0</v>
      </c>
      <c r="I682" t="n">
        <v>0</v>
      </c>
      <c r="J682" t="n">
        <v>0</v>
      </c>
      <c r="K682" t="n">
        <v>0</v>
      </c>
      <c r="L682" t="n">
        <v>0</v>
      </c>
      <c r="M682" t="n">
        <v>0</v>
      </c>
      <c r="N682" t="n">
        <v>0</v>
      </c>
      <c r="O682" t="n">
        <v>0</v>
      </c>
      <c r="P682" t="n">
        <v>0</v>
      </c>
      <c r="Q682" t="n">
        <v>0</v>
      </c>
      <c r="R682" s="2" t="inlineStr"/>
    </row>
    <row r="683" ht="15" customHeight="1">
      <c r="A683" t="inlineStr">
        <is>
          <t>A 62101-2024</t>
        </is>
      </c>
      <c r="B683" s="1" t="n">
        <v>45656.51119212963</v>
      </c>
      <c r="C683" s="1" t="n">
        <v>45915</v>
      </c>
      <c r="D683" t="inlineStr">
        <is>
          <t>VÄSTERBOTTENS LÄN</t>
        </is>
      </c>
      <c r="E683" t="inlineStr">
        <is>
          <t>VILHELMINA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20336-2025</t>
        </is>
      </c>
      <c r="B684" s="1" t="n">
        <v>45775.36528935185</v>
      </c>
      <c r="C684" s="1" t="n">
        <v>45915</v>
      </c>
      <c r="D684" t="inlineStr">
        <is>
          <t>VÄSTERBOTTENS LÄN</t>
        </is>
      </c>
      <c r="E684" t="inlineStr">
        <is>
          <t>VILHELMINA</t>
        </is>
      </c>
      <c r="F684" t="inlineStr">
        <is>
          <t>SCA</t>
        </is>
      </c>
      <c r="G684" t="n">
        <v>9.4</v>
      </c>
      <c r="H684" t="n">
        <v>0</v>
      </c>
      <c r="I684" t="n">
        <v>0</v>
      </c>
      <c r="J684" t="n">
        <v>0</v>
      </c>
      <c r="K684" t="n">
        <v>0</v>
      </c>
      <c r="L684" t="n">
        <v>0</v>
      </c>
      <c r="M684" t="n">
        <v>0</v>
      </c>
      <c r="N684" t="n">
        <v>0</v>
      </c>
      <c r="O684" t="n">
        <v>0</v>
      </c>
      <c r="P684" t="n">
        <v>0</v>
      </c>
      <c r="Q684" t="n">
        <v>0</v>
      </c>
      <c r="R684" s="2" t="inlineStr"/>
    </row>
    <row r="685" ht="15" customHeight="1">
      <c r="A685" t="inlineStr">
        <is>
          <t>A 237-2025</t>
        </is>
      </c>
      <c r="B685" s="1" t="n">
        <v>45660.40270833333</v>
      </c>
      <c r="C685" s="1" t="n">
        <v>45915</v>
      </c>
      <c r="D685" t="inlineStr">
        <is>
          <t>VÄSTERBOTTENS LÄN</t>
        </is>
      </c>
      <c r="E685" t="inlineStr">
        <is>
          <t>VILHELMINA</t>
        </is>
      </c>
      <c r="G685" t="n">
        <v>4.6</v>
      </c>
      <c r="H685" t="n">
        <v>0</v>
      </c>
      <c r="I685" t="n">
        <v>0</v>
      </c>
      <c r="J685" t="n">
        <v>0</v>
      </c>
      <c r="K685" t="n">
        <v>0</v>
      </c>
      <c r="L685" t="n">
        <v>0</v>
      </c>
      <c r="M685" t="n">
        <v>0</v>
      </c>
      <c r="N685" t="n">
        <v>0</v>
      </c>
      <c r="O685" t="n">
        <v>0</v>
      </c>
      <c r="P685" t="n">
        <v>0</v>
      </c>
      <c r="Q685" t="n">
        <v>0</v>
      </c>
      <c r="R685" s="2" t="inlineStr"/>
    </row>
    <row r="686" ht="15" customHeight="1">
      <c r="A686" t="inlineStr">
        <is>
          <t>A 242-2025</t>
        </is>
      </c>
      <c r="B686" s="1" t="n">
        <v>45660.41033564815</v>
      </c>
      <c r="C686" s="1" t="n">
        <v>45915</v>
      </c>
      <c r="D686" t="inlineStr">
        <is>
          <t>VÄSTERBOTTENS LÄN</t>
        </is>
      </c>
      <c r="E686" t="inlineStr">
        <is>
          <t>VILHELMINA</t>
        </is>
      </c>
      <c r="G686" t="n">
        <v>2.7</v>
      </c>
      <c r="H686" t="n">
        <v>0</v>
      </c>
      <c r="I686" t="n">
        <v>0</v>
      </c>
      <c r="J686" t="n">
        <v>0</v>
      </c>
      <c r="K686" t="n">
        <v>0</v>
      </c>
      <c r="L686" t="n">
        <v>0</v>
      </c>
      <c r="M686" t="n">
        <v>0</v>
      </c>
      <c r="N686" t="n">
        <v>0</v>
      </c>
      <c r="O686" t="n">
        <v>0</v>
      </c>
      <c r="P686" t="n">
        <v>0</v>
      </c>
      <c r="Q686" t="n">
        <v>0</v>
      </c>
      <c r="R686" s="2" t="inlineStr"/>
    </row>
    <row r="687" ht="15" customHeight="1">
      <c r="A687" t="inlineStr">
        <is>
          <t>A 296-2025</t>
        </is>
      </c>
      <c r="B687" s="1" t="n">
        <v>45660.53215277778</v>
      </c>
      <c r="C687" s="1" t="n">
        <v>45915</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468-2024</t>
        </is>
      </c>
      <c r="B688" s="1" t="n">
        <v>45297</v>
      </c>
      <c r="C688" s="1" t="n">
        <v>45915</v>
      </c>
      <c r="D688" t="inlineStr">
        <is>
          <t>VÄSTERBOTTENS LÄN</t>
        </is>
      </c>
      <c r="E688" t="inlineStr">
        <is>
          <t>VILHELMINA</t>
        </is>
      </c>
      <c r="G688" t="n">
        <v>6.7</v>
      </c>
      <c r="H688" t="n">
        <v>0</v>
      </c>
      <c r="I688" t="n">
        <v>0</v>
      </c>
      <c r="J688" t="n">
        <v>0</v>
      </c>
      <c r="K688" t="n">
        <v>0</v>
      </c>
      <c r="L688" t="n">
        <v>0</v>
      </c>
      <c r="M688" t="n">
        <v>0</v>
      </c>
      <c r="N688" t="n">
        <v>0</v>
      </c>
      <c r="O688" t="n">
        <v>0</v>
      </c>
      <c r="P688" t="n">
        <v>0</v>
      </c>
      <c r="Q688" t="n">
        <v>0</v>
      </c>
      <c r="R688" s="2" t="inlineStr"/>
    </row>
    <row r="689" ht="15" customHeight="1">
      <c r="A689" t="inlineStr">
        <is>
          <t>A 56830-2023</t>
        </is>
      </c>
      <c r="B689" s="1" t="n">
        <v>45238</v>
      </c>
      <c r="C689" s="1" t="n">
        <v>45915</v>
      </c>
      <c r="D689" t="inlineStr">
        <is>
          <t>VÄSTERBOTTENS LÄN</t>
        </is>
      </c>
      <c r="E689" t="inlineStr">
        <is>
          <t>VILHELMINA</t>
        </is>
      </c>
      <c r="F689" t="inlineStr">
        <is>
          <t>Allmännings- och besparingsskogar</t>
        </is>
      </c>
      <c r="G689" t="n">
        <v>66</v>
      </c>
      <c r="H689" t="n">
        <v>0</v>
      </c>
      <c r="I689" t="n">
        <v>0</v>
      </c>
      <c r="J689" t="n">
        <v>0</v>
      </c>
      <c r="K689" t="n">
        <v>0</v>
      </c>
      <c r="L689" t="n">
        <v>0</v>
      </c>
      <c r="M689" t="n">
        <v>0</v>
      </c>
      <c r="N689" t="n">
        <v>0</v>
      </c>
      <c r="O689" t="n">
        <v>0</v>
      </c>
      <c r="P689" t="n">
        <v>0</v>
      </c>
      <c r="Q689" t="n">
        <v>0</v>
      </c>
      <c r="R689" s="2" t="inlineStr"/>
    </row>
    <row r="690" ht="15" customHeight="1">
      <c r="A690" t="inlineStr">
        <is>
          <t>A 56847-2023</t>
        </is>
      </c>
      <c r="B690" s="1" t="n">
        <v>45238</v>
      </c>
      <c r="C690" s="1" t="n">
        <v>45915</v>
      </c>
      <c r="D690" t="inlineStr">
        <is>
          <t>VÄSTERBOTTENS LÄN</t>
        </is>
      </c>
      <c r="E690" t="inlineStr">
        <is>
          <t>VILHELMINA</t>
        </is>
      </c>
      <c r="F690" t="inlineStr">
        <is>
          <t>Allmännings- och besparingsskogar</t>
        </is>
      </c>
      <c r="G690" t="n">
        <v>41</v>
      </c>
      <c r="H690" t="n">
        <v>0</v>
      </c>
      <c r="I690" t="n">
        <v>0</v>
      </c>
      <c r="J690" t="n">
        <v>0</v>
      </c>
      <c r="K690" t="n">
        <v>0</v>
      </c>
      <c r="L690" t="n">
        <v>0</v>
      </c>
      <c r="M690" t="n">
        <v>0</v>
      </c>
      <c r="N690" t="n">
        <v>0</v>
      </c>
      <c r="O690" t="n">
        <v>0</v>
      </c>
      <c r="P690" t="n">
        <v>0</v>
      </c>
      <c r="Q690" t="n">
        <v>0</v>
      </c>
      <c r="R690" s="2" t="inlineStr"/>
    </row>
    <row r="691" ht="15" customHeight="1">
      <c r="A691" t="inlineStr">
        <is>
          <t>A 20534-2025</t>
        </is>
      </c>
      <c r="B691" s="1" t="n">
        <v>45775.61550925926</v>
      </c>
      <c r="C691" s="1" t="n">
        <v>45915</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56823-2023</t>
        </is>
      </c>
      <c r="B692" s="1" t="n">
        <v>45238</v>
      </c>
      <c r="C692" s="1" t="n">
        <v>45915</v>
      </c>
      <c r="D692" t="inlineStr">
        <is>
          <t>VÄSTERBOTTENS LÄN</t>
        </is>
      </c>
      <c r="E692" t="inlineStr">
        <is>
          <t>VILHELMINA</t>
        </is>
      </c>
      <c r="F692" t="inlineStr">
        <is>
          <t>Allmännings- och besparingsskogar</t>
        </is>
      </c>
      <c r="G692" t="n">
        <v>82</v>
      </c>
      <c r="H692" t="n">
        <v>0</v>
      </c>
      <c r="I692" t="n">
        <v>0</v>
      </c>
      <c r="J692" t="n">
        <v>0</v>
      </c>
      <c r="K692" t="n">
        <v>0</v>
      </c>
      <c r="L692" t="n">
        <v>0</v>
      </c>
      <c r="M692" t="n">
        <v>0</v>
      </c>
      <c r="N692" t="n">
        <v>0</v>
      </c>
      <c r="O692" t="n">
        <v>0</v>
      </c>
      <c r="P692" t="n">
        <v>0</v>
      </c>
      <c r="Q692" t="n">
        <v>0</v>
      </c>
      <c r="R692" s="2" t="inlineStr"/>
    </row>
    <row r="693" ht="15" customHeight="1">
      <c r="A693" t="inlineStr">
        <is>
          <t>A 12365-2025</t>
        </is>
      </c>
      <c r="B693" s="1" t="n">
        <v>45730.37549768519</v>
      </c>
      <c r="C693" s="1" t="n">
        <v>45915</v>
      </c>
      <c r="D693" t="inlineStr">
        <is>
          <t>VÄSTERBOTTENS LÄN</t>
        </is>
      </c>
      <c r="E693" t="inlineStr">
        <is>
          <t>VILHELMINA</t>
        </is>
      </c>
      <c r="F693" t="inlineStr">
        <is>
          <t>Övriga statliga verk och myndigheter</t>
        </is>
      </c>
      <c r="G693" t="n">
        <v>11.5</v>
      </c>
      <c r="H693" t="n">
        <v>0</v>
      </c>
      <c r="I693" t="n">
        <v>0</v>
      </c>
      <c r="J693" t="n">
        <v>0</v>
      </c>
      <c r="K693" t="n">
        <v>0</v>
      </c>
      <c r="L693" t="n">
        <v>0</v>
      </c>
      <c r="M693" t="n">
        <v>0</v>
      </c>
      <c r="N693" t="n">
        <v>0</v>
      </c>
      <c r="O693" t="n">
        <v>0</v>
      </c>
      <c r="P693" t="n">
        <v>0</v>
      </c>
      <c r="Q693" t="n">
        <v>0</v>
      </c>
      <c r="R693" s="2" t="inlineStr"/>
    </row>
    <row r="694" ht="15" customHeight="1">
      <c r="A694" t="inlineStr">
        <is>
          <t>A 12370-2025</t>
        </is>
      </c>
      <c r="B694" s="1" t="n">
        <v>45730.37681712963</v>
      </c>
      <c r="C694" s="1" t="n">
        <v>45915</v>
      </c>
      <c r="D694" t="inlineStr">
        <is>
          <t>VÄSTERBOTTENS LÄN</t>
        </is>
      </c>
      <c r="E694" t="inlineStr">
        <is>
          <t>VILHELMINA</t>
        </is>
      </c>
      <c r="F694" t="inlineStr">
        <is>
          <t>Övriga statliga verk och myndigheter</t>
        </is>
      </c>
      <c r="G694" t="n">
        <v>8.9</v>
      </c>
      <c r="H694" t="n">
        <v>0</v>
      </c>
      <c r="I694" t="n">
        <v>0</v>
      </c>
      <c r="J694" t="n">
        <v>0</v>
      </c>
      <c r="K694" t="n">
        <v>0</v>
      </c>
      <c r="L694" t="n">
        <v>0</v>
      </c>
      <c r="M694" t="n">
        <v>0</v>
      </c>
      <c r="N694" t="n">
        <v>0</v>
      </c>
      <c r="O694" t="n">
        <v>0</v>
      </c>
      <c r="P694" t="n">
        <v>0</v>
      </c>
      <c r="Q694" t="n">
        <v>0</v>
      </c>
      <c r="R694" s="2" t="inlineStr"/>
    </row>
    <row r="695" ht="15" customHeight="1">
      <c r="A695" t="inlineStr">
        <is>
          <t>A 60842-2023</t>
        </is>
      </c>
      <c r="B695" s="1" t="n">
        <v>45260.9258912037</v>
      </c>
      <c r="C695" s="1" t="n">
        <v>45915</v>
      </c>
      <c r="D695" t="inlineStr">
        <is>
          <t>VÄSTERBOTTENS LÄN</t>
        </is>
      </c>
      <c r="E695" t="inlineStr">
        <is>
          <t>VILHELMINA</t>
        </is>
      </c>
      <c r="G695" t="n">
        <v>2.9</v>
      </c>
      <c r="H695" t="n">
        <v>0</v>
      </c>
      <c r="I695" t="n">
        <v>0</v>
      </c>
      <c r="J695" t="n">
        <v>0</v>
      </c>
      <c r="K695" t="n">
        <v>0</v>
      </c>
      <c r="L695" t="n">
        <v>0</v>
      </c>
      <c r="M695" t="n">
        <v>0</v>
      </c>
      <c r="N695" t="n">
        <v>0</v>
      </c>
      <c r="O695" t="n">
        <v>0</v>
      </c>
      <c r="P695" t="n">
        <v>0</v>
      </c>
      <c r="Q695" t="n">
        <v>0</v>
      </c>
      <c r="R695" s="2" t="inlineStr"/>
    </row>
    <row r="696" ht="15" customHeight="1">
      <c r="A696" t="inlineStr">
        <is>
          <t>A 38242-2025</t>
        </is>
      </c>
      <c r="B696" s="1" t="n">
        <v>45883.36547453704</v>
      </c>
      <c r="C696" s="1" t="n">
        <v>45915</v>
      </c>
      <c r="D696" t="inlineStr">
        <is>
          <t>VÄSTERBOTTENS LÄN</t>
        </is>
      </c>
      <c r="E696" t="inlineStr">
        <is>
          <t>VILHELMINA</t>
        </is>
      </c>
      <c r="G696" t="n">
        <v>1.4</v>
      </c>
      <c r="H696" t="n">
        <v>0</v>
      </c>
      <c r="I696" t="n">
        <v>0</v>
      </c>
      <c r="J696" t="n">
        <v>0</v>
      </c>
      <c r="K696" t="n">
        <v>0</v>
      </c>
      <c r="L696" t="n">
        <v>0</v>
      </c>
      <c r="M696" t="n">
        <v>0</v>
      </c>
      <c r="N696" t="n">
        <v>0</v>
      </c>
      <c r="O696" t="n">
        <v>0</v>
      </c>
      <c r="P696" t="n">
        <v>0</v>
      </c>
      <c r="Q696" t="n">
        <v>0</v>
      </c>
      <c r="R696" s="2" t="inlineStr"/>
    </row>
    <row r="697" ht="15" customHeight="1">
      <c r="A697" t="inlineStr">
        <is>
          <t>A 12374-2025</t>
        </is>
      </c>
      <c r="B697" s="1" t="n">
        <v>45730</v>
      </c>
      <c r="C697" s="1" t="n">
        <v>45915</v>
      </c>
      <c r="D697" t="inlineStr">
        <is>
          <t>VÄSTERBOTTENS LÄN</t>
        </is>
      </c>
      <c r="E697" t="inlineStr">
        <is>
          <t>VILHELMINA</t>
        </is>
      </c>
      <c r="F697" t="inlineStr">
        <is>
          <t>Övriga statliga verk och myndigheter</t>
        </is>
      </c>
      <c r="G697" t="n">
        <v>18.7</v>
      </c>
      <c r="H697" t="n">
        <v>0</v>
      </c>
      <c r="I697" t="n">
        <v>0</v>
      </c>
      <c r="J697" t="n">
        <v>0</v>
      </c>
      <c r="K697" t="n">
        <v>0</v>
      </c>
      <c r="L697" t="n">
        <v>0</v>
      </c>
      <c r="M697" t="n">
        <v>0</v>
      </c>
      <c r="N697" t="n">
        <v>0</v>
      </c>
      <c r="O697" t="n">
        <v>0</v>
      </c>
      <c r="P697" t="n">
        <v>0</v>
      </c>
      <c r="Q697" t="n">
        <v>0</v>
      </c>
      <c r="R697" s="2" t="inlineStr"/>
    </row>
    <row r="698" ht="15" customHeight="1">
      <c r="A698" t="inlineStr">
        <is>
          <t>A 2022-2024</t>
        </is>
      </c>
      <c r="B698" s="1" t="n">
        <v>45308</v>
      </c>
      <c r="C698" s="1" t="n">
        <v>45915</v>
      </c>
      <c r="D698" t="inlineStr">
        <is>
          <t>VÄSTERBOTTENS LÄN</t>
        </is>
      </c>
      <c r="E698" t="inlineStr">
        <is>
          <t>VILHELMINA</t>
        </is>
      </c>
      <c r="G698" t="n">
        <v>8.5</v>
      </c>
      <c r="H698" t="n">
        <v>0</v>
      </c>
      <c r="I698" t="n">
        <v>0</v>
      </c>
      <c r="J698" t="n">
        <v>0</v>
      </c>
      <c r="K698" t="n">
        <v>0</v>
      </c>
      <c r="L698" t="n">
        <v>0</v>
      </c>
      <c r="M698" t="n">
        <v>0</v>
      </c>
      <c r="N698" t="n">
        <v>0</v>
      </c>
      <c r="O698" t="n">
        <v>0</v>
      </c>
      <c r="P698" t="n">
        <v>0</v>
      </c>
      <c r="Q698" t="n">
        <v>0</v>
      </c>
      <c r="R698" s="2" t="inlineStr"/>
    </row>
    <row r="699" ht="15" customHeight="1">
      <c r="A699" t="inlineStr">
        <is>
          <t>A 17732-2024</t>
        </is>
      </c>
      <c r="B699" s="1" t="n">
        <v>45415</v>
      </c>
      <c r="C699" s="1" t="n">
        <v>45915</v>
      </c>
      <c r="D699" t="inlineStr">
        <is>
          <t>VÄSTERBOTTENS LÄN</t>
        </is>
      </c>
      <c r="E699" t="inlineStr">
        <is>
          <t>VILHELMINA</t>
        </is>
      </c>
      <c r="G699" t="n">
        <v>0.6</v>
      </c>
      <c r="H699" t="n">
        <v>0</v>
      </c>
      <c r="I699" t="n">
        <v>0</v>
      </c>
      <c r="J699" t="n">
        <v>0</v>
      </c>
      <c r="K699" t="n">
        <v>0</v>
      </c>
      <c r="L699" t="n">
        <v>0</v>
      </c>
      <c r="M699" t="n">
        <v>0</v>
      </c>
      <c r="N699" t="n">
        <v>0</v>
      </c>
      <c r="O699" t="n">
        <v>0</v>
      </c>
      <c r="P699" t="n">
        <v>0</v>
      </c>
      <c r="Q699" t="n">
        <v>0</v>
      </c>
      <c r="R699" s="2" t="inlineStr"/>
    </row>
    <row r="700" ht="15" customHeight="1">
      <c r="A700" t="inlineStr">
        <is>
          <t>A 12375-2025</t>
        </is>
      </c>
      <c r="B700" s="1" t="n">
        <v>45730</v>
      </c>
      <c r="C700" s="1" t="n">
        <v>45915</v>
      </c>
      <c r="D700" t="inlineStr">
        <is>
          <t>VÄSTERBOTTENS LÄN</t>
        </is>
      </c>
      <c r="E700" t="inlineStr">
        <is>
          <t>VILHELMINA</t>
        </is>
      </c>
      <c r="F700" t="inlineStr">
        <is>
          <t>Övriga statliga verk och myndigheter</t>
        </is>
      </c>
      <c r="G700" t="n">
        <v>22.3</v>
      </c>
      <c r="H700" t="n">
        <v>0</v>
      </c>
      <c r="I700" t="n">
        <v>0</v>
      </c>
      <c r="J700" t="n">
        <v>0</v>
      </c>
      <c r="K700" t="n">
        <v>0</v>
      </c>
      <c r="L700" t="n">
        <v>0</v>
      </c>
      <c r="M700" t="n">
        <v>0</v>
      </c>
      <c r="N700" t="n">
        <v>0</v>
      </c>
      <c r="O700" t="n">
        <v>0</v>
      </c>
      <c r="P700" t="n">
        <v>0</v>
      </c>
      <c r="Q700" t="n">
        <v>0</v>
      </c>
      <c r="R700" s="2" t="inlineStr"/>
    </row>
    <row r="701" ht="15" customHeight="1">
      <c r="A701" t="inlineStr">
        <is>
          <t>A 33641-2025</t>
        </is>
      </c>
      <c r="B701" s="1" t="n">
        <v>45841.65045138889</v>
      </c>
      <c r="C701" s="1" t="n">
        <v>45915</v>
      </c>
      <c r="D701" t="inlineStr">
        <is>
          <t>VÄSTERBOTTENS LÄN</t>
        </is>
      </c>
      <c r="E701" t="inlineStr">
        <is>
          <t>VILHELMINA</t>
        </is>
      </c>
      <c r="G701" t="n">
        <v>7.3</v>
      </c>
      <c r="H701" t="n">
        <v>0</v>
      </c>
      <c r="I701" t="n">
        <v>0</v>
      </c>
      <c r="J701" t="n">
        <v>0</v>
      </c>
      <c r="K701" t="n">
        <v>0</v>
      </c>
      <c r="L701" t="n">
        <v>0</v>
      </c>
      <c r="M701" t="n">
        <v>0</v>
      </c>
      <c r="N701" t="n">
        <v>0</v>
      </c>
      <c r="O701" t="n">
        <v>0</v>
      </c>
      <c r="P701" t="n">
        <v>0</v>
      </c>
      <c r="Q701" t="n">
        <v>0</v>
      </c>
      <c r="R701" s="2" t="inlineStr"/>
    </row>
    <row r="702" ht="15" customHeight="1">
      <c r="A702" t="inlineStr">
        <is>
          <t>A 38597-2025</t>
        </is>
      </c>
      <c r="B702" s="1" t="n">
        <v>45884.49061342593</v>
      </c>
      <c r="C702" s="1" t="n">
        <v>45915</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34130-2024</t>
        </is>
      </c>
      <c r="B703" s="1" t="n">
        <v>45524.34668981482</v>
      </c>
      <c r="C703" s="1" t="n">
        <v>45915</v>
      </c>
      <c r="D703" t="inlineStr">
        <is>
          <t>VÄSTERBOTTENS LÄN</t>
        </is>
      </c>
      <c r="E703" t="inlineStr">
        <is>
          <t>VILHELMINA</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55688-2023</t>
        </is>
      </c>
      <c r="B704" s="1" t="n">
        <v>45232</v>
      </c>
      <c r="C704" s="1" t="n">
        <v>45915</v>
      </c>
      <c r="D704" t="inlineStr">
        <is>
          <t>VÄSTERBOTTENS LÄN</t>
        </is>
      </c>
      <c r="E704" t="inlineStr">
        <is>
          <t>VILHELMINA</t>
        </is>
      </c>
      <c r="G704" t="n">
        <v>6.4</v>
      </c>
      <c r="H704" t="n">
        <v>0</v>
      </c>
      <c r="I704" t="n">
        <v>0</v>
      </c>
      <c r="J704" t="n">
        <v>0</v>
      </c>
      <c r="K704" t="n">
        <v>0</v>
      </c>
      <c r="L704" t="n">
        <v>0</v>
      </c>
      <c r="M704" t="n">
        <v>0</v>
      </c>
      <c r="N704" t="n">
        <v>0</v>
      </c>
      <c r="O704" t="n">
        <v>0</v>
      </c>
      <c r="P704" t="n">
        <v>0</v>
      </c>
      <c r="Q704" t="n">
        <v>0</v>
      </c>
      <c r="R704" s="2" t="inlineStr"/>
    </row>
    <row r="705" ht="15" customHeight="1">
      <c r="A705" t="inlineStr">
        <is>
          <t>A 10268-2025</t>
        </is>
      </c>
      <c r="B705" s="1" t="n">
        <v>45720</v>
      </c>
      <c r="C705" s="1" t="n">
        <v>45915</v>
      </c>
      <c r="D705" t="inlineStr">
        <is>
          <t>VÄSTERBOTTENS LÄN</t>
        </is>
      </c>
      <c r="E705" t="inlineStr">
        <is>
          <t>VILHELMINA</t>
        </is>
      </c>
      <c r="G705" t="n">
        <v>1.9</v>
      </c>
      <c r="H705" t="n">
        <v>0</v>
      </c>
      <c r="I705" t="n">
        <v>0</v>
      </c>
      <c r="J705" t="n">
        <v>0</v>
      </c>
      <c r="K705" t="n">
        <v>0</v>
      </c>
      <c r="L705" t="n">
        <v>0</v>
      </c>
      <c r="M705" t="n">
        <v>0</v>
      </c>
      <c r="N705" t="n">
        <v>0</v>
      </c>
      <c r="O705" t="n">
        <v>0</v>
      </c>
      <c r="P705" t="n">
        <v>0</v>
      </c>
      <c r="Q705" t="n">
        <v>0</v>
      </c>
      <c r="R705" s="2" t="inlineStr"/>
    </row>
    <row r="706" ht="15" customHeight="1">
      <c r="A706" t="inlineStr">
        <is>
          <t>A 61270-2022</t>
        </is>
      </c>
      <c r="B706" s="1" t="n">
        <v>44909</v>
      </c>
      <c r="C706" s="1" t="n">
        <v>45915</v>
      </c>
      <c r="D706" t="inlineStr">
        <is>
          <t>VÄSTERBOTTENS LÄN</t>
        </is>
      </c>
      <c r="E706" t="inlineStr">
        <is>
          <t>VILHELMINA</t>
        </is>
      </c>
      <c r="G706" t="n">
        <v>8.9</v>
      </c>
      <c r="H706" t="n">
        <v>0</v>
      </c>
      <c r="I706" t="n">
        <v>0</v>
      </c>
      <c r="J706" t="n">
        <v>0</v>
      </c>
      <c r="K706" t="n">
        <v>0</v>
      </c>
      <c r="L706" t="n">
        <v>0</v>
      </c>
      <c r="M706" t="n">
        <v>0</v>
      </c>
      <c r="N706" t="n">
        <v>0</v>
      </c>
      <c r="O706" t="n">
        <v>0</v>
      </c>
      <c r="P706" t="n">
        <v>0</v>
      </c>
      <c r="Q706" t="n">
        <v>0</v>
      </c>
      <c r="R706" s="2" t="inlineStr"/>
    </row>
    <row r="707" ht="15" customHeight="1">
      <c r="A707" t="inlineStr">
        <is>
          <t>A 60227-2022</t>
        </is>
      </c>
      <c r="B707" s="1" t="n">
        <v>44903</v>
      </c>
      <c r="C707" s="1" t="n">
        <v>45915</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10956-2023</t>
        </is>
      </c>
      <c r="B708" s="1" t="n">
        <v>44985</v>
      </c>
      <c r="C708" s="1" t="n">
        <v>45915</v>
      </c>
      <c r="D708" t="inlineStr">
        <is>
          <t>VÄSTERBOTTENS LÄN</t>
        </is>
      </c>
      <c r="E708" t="inlineStr">
        <is>
          <t>VILHELMINA</t>
        </is>
      </c>
      <c r="G708" t="n">
        <v>3.3</v>
      </c>
      <c r="H708" t="n">
        <v>0</v>
      </c>
      <c r="I708" t="n">
        <v>0</v>
      </c>
      <c r="J708" t="n">
        <v>0</v>
      </c>
      <c r="K708" t="n">
        <v>0</v>
      </c>
      <c r="L708" t="n">
        <v>0</v>
      </c>
      <c r="M708" t="n">
        <v>0</v>
      </c>
      <c r="N708" t="n">
        <v>0</v>
      </c>
      <c r="O708" t="n">
        <v>0</v>
      </c>
      <c r="P708" t="n">
        <v>0</v>
      </c>
      <c r="Q708" t="n">
        <v>0</v>
      </c>
      <c r="R708" s="2" t="inlineStr"/>
    </row>
    <row r="709" ht="15" customHeight="1">
      <c r="A709" t="inlineStr">
        <is>
          <t>A 19223-2025</t>
        </is>
      </c>
      <c r="B709" s="1" t="n">
        <v>45769</v>
      </c>
      <c r="C709" s="1" t="n">
        <v>45915</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22440-2025</t>
        </is>
      </c>
      <c r="B710" s="1" t="n">
        <v>45786</v>
      </c>
      <c r="C710" s="1" t="n">
        <v>45915</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11139-2022</t>
        </is>
      </c>
      <c r="B711" s="1" t="n">
        <v>44628</v>
      </c>
      <c r="C711" s="1" t="n">
        <v>45915</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40468-2021</t>
        </is>
      </c>
      <c r="B712" s="1" t="n">
        <v>44419.94174768519</v>
      </c>
      <c r="C712" s="1" t="n">
        <v>45915</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16720-2025</t>
        </is>
      </c>
      <c r="B713" s="1" t="n">
        <v>45754.49039351852</v>
      </c>
      <c r="C713" s="1" t="n">
        <v>45915</v>
      </c>
      <c r="D713" t="inlineStr">
        <is>
          <t>VÄSTERBOTTENS LÄN</t>
        </is>
      </c>
      <c r="E713" t="inlineStr">
        <is>
          <t>VILHELMINA</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23176-2024</t>
        </is>
      </c>
      <c r="B714" s="1" t="n">
        <v>45450.94366898148</v>
      </c>
      <c r="C714" s="1" t="n">
        <v>45915</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38580-2025</t>
        </is>
      </c>
      <c r="B715" s="1" t="n">
        <v>45884.46951388889</v>
      </c>
      <c r="C715" s="1" t="n">
        <v>45915</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49888-2024</t>
        </is>
      </c>
      <c r="B716" s="1" t="n">
        <v>45597.5109837963</v>
      </c>
      <c r="C716" s="1" t="n">
        <v>45915</v>
      </c>
      <c r="D716" t="inlineStr">
        <is>
          <t>VÄSTERBOTTENS LÄN</t>
        </is>
      </c>
      <c r="E716" t="inlineStr">
        <is>
          <t>VILHELMINA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402-2023</t>
        </is>
      </c>
      <c r="B717" s="1" t="n">
        <v>44923</v>
      </c>
      <c r="C717" s="1" t="n">
        <v>45915</v>
      </c>
      <c r="D717" t="inlineStr">
        <is>
          <t>VÄSTERBOTTENS LÄN</t>
        </is>
      </c>
      <c r="E717" t="inlineStr">
        <is>
          <t>VILHELMINA</t>
        </is>
      </c>
      <c r="G717" t="n">
        <v>14.7</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45915</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36320-2024</t>
        </is>
      </c>
      <c r="B719" s="1" t="n">
        <v>45534.63586805556</v>
      </c>
      <c r="C719" s="1" t="n">
        <v>45915</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6638-2025</t>
        </is>
      </c>
      <c r="B720" s="1" t="n">
        <v>45700</v>
      </c>
      <c r="C720" s="1" t="n">
        <v>45915</v>
      </c>
      <c r="D720" t="inlineStr">
        <is>
          <t>VÄSTERBOTTENS LÄN</t>
        </is>
      </c>
      <c r="E720" t="inlineStr">
        <is>
          <t>VILHELMINA</t>
        </is>
      </c>
      <c r="G720" t="n">
        <v>21.5</v>
      </c>
      <c r="H720" t="n">
        <v>0</v>
      </c>
      <c r="I720" t="n">
        <v>0</v>
      </c>
      <c r="J720" t="n">
        <v>0</v>
      </c>
      <c r="K720" t="n">
        <v>0</v>
      </c>
      <c r="L720" t="n">
        <v>0</v>
      </c>
      <c r="M720" t="n">
        <v>0</v>
      </c>
      <c r="N720" t="n">
        <v>0</v>
      </c>
      <c r="O720" t="n">
        <v>0</v>
      </c>
      <c r="P720" t="n">
        <v>0</v>
      </c>
      <c r="Q720" t="n">
        <v>0</v>
      </c>
      <c r="R720" s="2" t="inlineStr"/>
    </row>
    <row r="721" ht="15" customHeight="1">
      <c r="A721" t="inlineStr">
        <is>
          <t>A 13768-2024</t>
        </is>
      </c>
      <c r="B721" s="1" t="n">
        <v>45390.95230324074</v>
      </c>
      <c r="C721" s="1" t="n">
        <v>45915</v>
      </c>
      <c r="D721" t="inlineStr">
        <is>
          <t>VÄSTERBOTTENS LÄN</t>
        </is>
      </c>
      <c r="E721" t="inlineStr">
        <is>
          <t>VILHELMINA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210-2022</t>
        </is>
      </c>
      <c r="B722" s="1" t="n">
        <v>44564.80189814815</v>
      </c>
      <c r="C722" s="1" t="n">
        <v>45915</v>
      </c>
      <c r="D722" t="inlineStr">
        <is>
          <t>VÄSTERBOTTENS LÄN</t>
        </is>
      </c>
      <c r="E722" t="inlineStr">
        <is>
          <t>VILHELMINA</t>
        </is>
      </c>
      <c r="G722" t="n">
        <v>2</v>
      </c>
      <c r="H722" t="n">
        <v>0</v>
      </c>
      <c r="I722" t="n">
        <v>0</v>
      </c>
      <c r="J722" t="n">
        <v>0</v>
      </c>
      <c r="K722" t="n">
        <v>0</v>
      </c>
      <c r="L722" t="n">
        <v>0</v>
      </c>
      <c r="M722" t="n">
        <v>0</v>
      </c>
      <c r="N722" t="n">
        <v>0</v>
      </c>
      <c r="O722" t="n">
        <v>0</v>
      </c>
      <c r="P722" t="n">
        <v>0</v>
      </c>
      <c r="Q722" t="n">
        <v>0</v>
      </c>
      <c r="R722" s="2" t="inlineStr"/>
    </row>
    <row r="723" ht="15" customHeight="1">
      <c r="A723" t="inlineStr">
        <is>
          <t>A 36408-2023</t>
        </is>
      </c>
      <c r="B723" s="1" t="n">
        <v>45152</v>
      </c>
      <c r="C723" s="1" t="n">
        <v>45915</v>
      </c>
      <c r="D723" t="inlineStr">
        <is>
          <t>VÄSTERBOTTENS LÄN</t>
        </is>
      </c>
      <c r="E723" t="inlineStr">
        <is>
          <t>VILHELMINA</t>
        </is>
      </c>
      <c r="G723" t="n">
        <v>4.4</v>
      </c>
      <c r="H723" t="n">
        <v>0</v>
      </c>
      <c r="I723" t="n">
        <v>0</v>
      </c>
      <c r="J723" t="n">
        <v>0</v>
      </c>
      <c r="K723" t="n">
        <v>0</v>
      </c>
      <c r="L723" t="n">
        <v>0</v>
      </c>
      <c r="M723" t="n">
        <v>0</v>
      </c>
      <c r="N723" t="n">
        <v>0</v>
      </c>
      <c r="O723" t="n">
        <v>0</v>
      </c>
      <c r="P723" t="n">
        <v>0</v>
      </c>
      <c r="Q723" t="n">
        <v>0</v>
      </c>
      <c r="R723" s="2" t="inlineStr"/>
    </row>
    <row r="724" ht="15" customHeight="1">
      <c r="A724" t="inlineStr">
        <is>
          <t>A 57108-2023</t>
        </is>
      </c>
      <c r="B724" s="1" t="n">
        <v>45239</v>
      </c>
      <c r="C724" s="1" t="n">
        <v>45915</v>
      </c>
      <c r="D724" t="inlineStr">
        <is>
          <t>VÄSTERBOTTENS LÄN</t>
        </is>
      </c>
      <c r="E724" t="inlineStr">
        <is>
          <t>VILHELMINA</t>
        </is>
      </c>
      <c r="G724" t="n">
        <v>0.6</v>
      </c>
      <c r="H724" t="n">
        <v>0</v>
      </c>
      <c r="I724" t="n">
        <v>0</v>
      </c>
      <c r="J724" t="n">
        <v>0</v>
      </c>
      <c r="K724" t="n">
        <v>0</v>
      </c>
      <c r="L724" t="n">
        <v>0</v>
      </c>
      <c r="M724" t="n">
        <v>0</v>
      </c>
      <c r="N724" t="n">
        <v>0</v>
      </c>
      <c r="O724" t="n">
        <v>0</v>
      </c>
      <c r="P724" t="n">
        <v>0</v>
      </c>
      <c r="Q724" t="n">
        <v>0</v>
      </c>
      <c r="R724" s="2" t="inlineStr"/>
    </row>
    <row r="725" ht="15" customHeight="1">
      <c r="A725" t="inlineStr">
        <is>
          <t>A 38555-2024</t>
        </is>
      </c>
      <c r="B725" s="1" t="n">
        <v>45546</v>
      </c>
      <c r="C725" s="1" t="n">
        <v>45915</v>
      </c>
      <c r="D725" t="inlineStr">
        <is>
          <t>VÄSTERBOTTENS LÄN</t>
        </is>
      </c>
      <c r="E725" t="inlineStr">
        <is>
          <t>VILHELMINA</t>
        </is>
      </c>
      <c r="G725" t="n">
        <v>7.8</v>
      </c>
      <c r="H725" t="n">
        <v>0</v>
      </c>
      <c r="I725" t="n">
        <v>0</v>
      </c>
      <c r="J725" t="n">
        <v>0</v>
      </c>
      <c r="K725" t="n">
        <v>0</v>
      </c>
      <c r="L725" t="n">
        <v>0</v>
      </c>
      <c r="M725" t="n">
        <v>0</v>
      </c>
      <c r="N725" t="n">
        <v>0</v>
      </c>
      <c r="O725" t="n">
        <v>0</v>
      </c>
      <c r="P725" t="n">
        <v>0</v>
      </c>
      <c r="Q725" t="n">
        <v>0</v>
      </c>
      <c r="R725" s="2" t="inlineStr"/>
    </row>
    <row r="726" ht="15" customHeight="1">
      <c r="A726" t="inlineStr">
        <is>
          <t>A 69502-2020</t>
        </is>
      </c>
      <c r="B726" s="1" t="n">
        <v>44193</v>
      </c>
      <c r="C726" s="1" t="n">
        <v>45915</v>
      </c>
      <c r="D726" t="inlineStr">
        <is>
          <t>VÄSTERBOTTENS LÄN</t>
        </is>
      </c>
      <c r="E726" t="inlineStr">
        <is>
          <t>VILHELMINA</t>
        </is>
      </c>
      <c r="G726" t="n">
        <v>19</v>
      </c>
      <c r="H726" t="n">
        <v>0</v>
      </c>
      <c r="I726" t="n">
        <v>0</v>
      </c>
      <c r="J726" t="n">
        <v>0</v>
      </c>
      <c r="K726" t="n">
        <v>0</v>
      </c>
      <c r="L726" t="n">
        <v>0</v>
      </c>
      <c r="M726" t="n">
        <v>0</v>
      </c>
      <c r="N726" t="n">
        <v>0</v>
      </c>
      <c r="O726" t="n">
        <v>0</v>
      </c>
      <c r="P726" t="n">
        <v>0</v>
      </c>
      <c r="Q726" t="n">
        <v>0</v>
      </c>
      <c r="R726" s="2" t="inlineStr"/>
    </row>
    <row r="727" ht="15" customHeight="1">
      <c r="A727" t="inlineStr">
        <is>
          <t>A 61778-2023</t>
        </is>
      </c>
      <c r="B727" s="1" t="n">
        <v>45265.95667824074</v>
      </c>
      <c r="C727" s="1" t="n">
        <v>45915</v>
      </c>
      <c r="D727" t="inlineStr">
        <is>
          <t>VÄSTERBOTTENS LÄN</t>
        </is>
      </c>
      <c r="E727" t="inlineStr">
        <is>
          <t>VILHELMINA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29104-2024</t>
        </is>
      </c>
      <c r="B728" s="1" t="n">
        <v>45481.95178240741</v>
      </c>
      <c r="C728" s="1" t="n">
        <v>45915</v>
      </c>
      <c r="D728" t="inlineStr">
        <is>
          <t>VÄSTERBOTTENS LÄN</t>
        </is>
      </c>
      <c r="E728" t="inlineStr">
        <is>
          <t>VILHELMINA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53034-2023</t>
        </is>
      </c>
      <c r="B729" s="1" t="n">
        <v>45226.96258101852</v>
      </c>
      <c r="C729" s="1" t="n">
        <v>45915</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46164-2023</t>
        </is>
      </c>
      <c r="B730" s="1" t="n">
        <v>45190</v>
      </c>
      <c r="C730" s="1" t="n">
        <v>45915</v>
      </c>
      <c r="D730" t="inlineStr">
        <is>
          <t>VÄSTERBOTTENS LÄN</t>
        </is>
      </c>
      <c r="E730" t="inlineStr">
        <is>
          <t>VILHELMINA</t>
        </is>
      </c>
      <c r="G730" t="n">
        <v>6.3</v>
      </c>
      <c r="H730" t="n">
        <v>0</v>
      </c>
      <c r="I730" t="n">
        <v>0</v>
      </c>
      <c r="J730" t="n">
        <v>0</v>
      </c>
      <c r="K730" t="n">
        <v>0</v>
      </c>
      <c r="L730" t="n">
        <v>0</v>
      </c>
      <c r="M730" t="n">
        <v>0</v>
      </c>
      <c r="N730" t="n">
        <v>0</v>
      </c>
      <c r="O730" t="n">
        <v>0</v>
      </c>
      <c r="P730" t="n">
        <v>0</v>
      </c>
      <c r="Q730" t="n">
        <v>0</v>
      </c>
      <c r="R730" s="2" t="inlineStr"/>
    </row>
    <row r="731" ht="15" customHeight="1">
      <c r="A731" t="inlineStr">
        <is>
          <t>A 34413-2025</t>
        </is>
      </c>
      <c r="B731" s="1" t="n">
        <v>45845</v>
      </c>
      <c r="C731" s="1" t="n">
        <v>45915</v>
      </c>
      <c r="D731" t="inlineStr">
        <is>
          <t>VÄSTERBOTTENS LÄN</t>
        </is>
      </c>
      <c r="E731" t="inlineStr">
        <is>
          <t>VILHELMINA</t>
        </is>
      </c>
      <c r="G731" t="n">
        <v>6.8</v>
      </c>
      <c r="H731" t="n">
        <v>0</v>
      </c>
      <c r="I731" t="n">
        <v>0</v>
      </c>
      <c r="J731" t="n">
        <v>0</v>
      </c>
      <c r="K731" t="n">
        <v>0</v>
      </c>
      <c r="L731" t="n">
        <v>0</v>
      </c>
      <c r="M731" t="n">
        <v>0</v>
      </c>
      <c r="N731" t="n">
        <v>0</v>
      </c>
      <c r="O731" t="n">
        <v>0</v>
      </c>
      <c r="P731" t="n">
        <v>0</v>
      </c>
      <c r="Q731" t="n">
        <v>0</v>
      </c>
      <c r="R731" s="2" t="inlineStr"/>
    </row>
    <row r="732" ht="15" customHeight="1">
      <c r="A732" t="inlineStr">
        <is>
          <t>A 39138-2025</t>
        </is>
      </c>
      <c r="B732" s="1" t="n">
        <v>45888.59435185185</v>
      </c>
      <c r="C732" s="1" t="n">
        <v>45915</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53987-2021</t>
        </is>
      </c>
      <c r="B733" s="1" t="n">
        <v>44470.31884259259</v>
      </c>
      <c r="C733" s="1" t="n">
        <v>45915</v>
      </c>
      <c r="D733" t="inlineStr">
        <is>
          <t>VÄSTERBOTTENS LÄN</t>
        </is>
      </c>
      <c r="E733" t="inlineStr">
        <is>
          <t>VILHELMINA</t>
        </is>
      </c>
      <c r="F733" t="inlineStr">
        <is>
          <t>Kommuner</t>
        </is>
      </c>
      <c r="G733" t="n">
        <v>10</v>
      </c>
      <c r="H733" t="n">
        <v>0</v>
      </c>
      <c r="I733" t="n">
        <v>0</v>
      </c>
      <c r="J733" t="n">
        <v>0</v>
      </c>
      <c r="K733" t="n">
        <v>0</v>
      </c>
      <c r="L733" t="n">
        <v>0</v>
      </c>
      <c r="M733" t="n">
        <v>0</v>
      </c>
      <c r="N733" t="n">
        <v>0</v>
      </c>
      <c r="O733" t="n">
        <v>0</v>
      </c>
      <c r="P733" t="n">
        <v>0</v>
      </c>
      <c r="Q733" t="n">
        <v>0</v>
      </c>
      <c r="R733" s="2" t="inlineStr"/>
    </row>
    <row r="734" ht="15" customHeight="1">
      <c r="A734" t="inlineStr">
        <is>
          <t>A 26143-2025</t>
        </is>
      </c>
      <c r="B734" s="1" t="n">
        <v>45805</v>
      </c>
      <c r="C734" s="1" t="n">
        <v>45915</v>
      </c>
      <c r="D734" t="inlineStr">
        <is>
          <t>VÄSTERBOTTENS LÄN</t>
        </is>
      </c>
      <c r="E734" t="inlineStr">
        <is>
          <t>VILHELMINA</t>
        </is>
      </c>
      <c r="G734" t="n">
        <v>20</v>
      </c>
      <c r="H734" t="n">
        <v>0</v>
      </c>
      <c r="I734" t="n">
        <v>0</v>
      </c>
      <c r="J734" t="n">
        <v>0</v>
      </c>
      <c r="K734" t="n">
        <v>0</v>
      </c>
      <c r="L734" t="n">
        <v>0</v>
      </c>
      <c r="M734" t="n">
        <v>0</v>
      </c>
      <c r="N734" t="n">
        <v>0</v>
      </c>
      <c r="O734" t="n">
        <v>0</v>
      </c>
      <c r="P734" t="n">
        <v>0</v>
      </c>
      <c r="Q734" t="n">
        <v>0</v>
      </c>
      <c r="R734" s="2" t="inlineStr"/>
    </row>
    <row r="735" ht="15" customHeight="1">
      <c r="A735" t="inlineStr">
        <is>
          <t>A 50505-2023</t>
        </is>
      </c>
      <c r="B735" s="1" t="n">
        <v>45216.95800925926</v>
      </c>
      <c r="C735" s="1" t="n">
        <v>45915</v>
      </c>
      <c r="D735" t="inlineStr">
        <is>
          <t>VÄSTERBOTTENS LÄN</t>
        </is>
      </c>
      <c r="E735" t="inlineStr">
        <is>
          <t>VILHELMINA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6369-2024</t>
        </is>
      </c>
      <c r="B736" s="1" t="n">
        <v>45338</v>
      </c>
      <c r="C736" s="1" t="n">
        <v>45915</v>
      </c>
      <c r="D736" t="inlineStr">
        <is>
          <t>VÄSTERBOTTENS LÄN</t>
        </is>
      </c>
      <c r="E736" t="inlineStr">
        <is>
          <t>VILHELMINA</t>
        </is>
      </c>
      <c r="G736" t="n">
        <v>3.6</v>
      </c>
      <c r="H736" t="n">
        <v>0</v>
      </c>
      <c r="I736" t="n">
        <v>0</v>
      </c>
      <c r="J736" t="n">
        <v>0</v>
      </c>
      <c r="K736" t="n">
        <v>0</v>
      </c>
      <c r="L736" t="n">
        <v>0</v>
      </c>
      <c r="M736" t="n">
        <v>0</v>
      </c>
      <c r="N736" t="n">
        <v>0</v>
      </c>
      <c r="O736" t="n">
        <v>0</v>
      </c>
      <c r="P736" t="n">
        <v>0</v>
      </c>
      <c r="Q736" t="n">
        <v>0</v>
      </c>
      <c r="R736" s="2" t="inlineStr"/>
    </row>
    <row r="737" ht="15" customHeight="1">
      <c r="A737" t="inlineStr">
        <is>
          <t>A 34253-2025</t>
        </is>
      </c>
      <c r="B737" s="1" t="n">
        <v>45845</v>
      </c>
      <c r="C737" s="1" t="n">
        <v>45915</v>
      </c>
      <c r="D737" t="inlineStr">
        <is>
          <t>VÄSTERBOTTENS LÄN</t>
        </is>
      </c>
      <c r="E737" t="inlineStr">
        <is>
          <t>VILHELMINA</t>
        </is>
      </c>
      <c r="G737" t="n">
        <v>14.3</v>
      </c>
      <c r="H737" t="n">
        <v>0</v>
      </c>
      <c r="I737" t="n">
        <v>0</v>
      </c>
      <c r="J737" t="n">
        <v>0</v>
      </c>
      <c r="K737" t="n">
        <v>0</v>
      </c>
      <c r="L737" t="n">
        <v>0</v>
      </c>
      <c r="M737" t="n">
        <v>0</v>
      </c>
      <c r="N737" t="n">
        <v>0</v>
      </c>
      <c r="O737" t="n">
        <v>0</v>
      </c>
      <c r="P737" t="n">
        <v>0</v>
      </c>
      <c r="Q737" t="n">
        <v>0</v>
      </c>
      <c r="R737" s="2" t="inlineStr"/>
    </row>
    <row r="738" ht="15" customHeight="1">
      <c r="A738" t="inlineStr">
        <is>
          <t>A 32658-2021</t>
        </is>
      </c>
      <c r="B738" s="1" t="n">
        <v>44371</v>
      </c>
      <c r="C738" s="1" t="n">
        <v>45915</v>
      </c>
      <c r="D738" t="inlineStr">
        <is>
          <t>VÄSTERBOTTENS LÄN</t>
        </is>
      </c>
      <c r="E738" t="inlineStr">
        <is>
          <t>VILHELMINA</t>
        </is>
      </c>
      <c r="G738" t="n">
        <v>2.2</v>
      </c>
      <c r="H738" t="n">
        <v>0</v>
      </c>
      <c r="I738" t="n">
        <v>0</v>
      </c>
      <c r="J738" t="n">
        <v>0</v>
      </c>
      <c r="K738" t="n">
        <v>0</v>
      </c>
      <c r="L738" t="n">
        <v>0</v>
      </c>
      <c r="M738" t="n">
        <v>0</v>
      </c>
      <c r="N738" t="n">
        <v>0</v>
      </c>
      <c r="O738" t="n">
        <v>0</v>
      </c>
      <c r="P738" t="n">
        <v>0</v>
      </c>
      <c r="Q738" t="n">
        <v>0</v>
      </c>
      <c r="R738" s="2" t="inlineStr"/>
    </row>
    <row r="739" ht="15" customHeight="1">
      <c r="A739" t="inlineStr">
        <is>
          <t>A 46373-2020</t>
        </is>
      </c>
      <c r="B739" s="1" t="n">
        <v>44092</v>
      </c>
      <c r="C739" s="1" t="n">
        <v>45915</v>
      </c>
      <c r="D739" t="inlineStr">
        <is>
          <t>VÄSTERBOTTENS LÄN</t>
        </is>
      </c>
      <c r="E739" t="inlineStr">
        <is>
          <t>VILHELMINA</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1470-2021</t>
        </is>
      </c>
      <c r="B740" s="1" t="n">
        <v>44208</v>
      </c>
      <c r="C740" s="1" t="n">
        <v>45915</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39320-2025</t>
        </is>
      </c>
      <c r="B741" s="1" t="n">
        <v>45889.46940972222</v>
      </c>
      <c r="C741" s="1" t="n">
        <v>45915</v>
      </c>
      <c r="D741" t="inlineStr">
        <is>
          <t>VÄSTERBOTTENS LÄN</t>
        </is>
      </c>
      <c r="E741" t="inlineStr">
        <is>
          <t>VILHELMINA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29347-2021</t>
        </is>
      </c>
      <c r="B742" s="1" t="n">
        <v>44361</v>
      </c>
      <c r="C742" s="1" t="n">
        <v>45915</v>
      </c>
      <c r="D742" t="inlineStr">
        <is>
          <t>VÄSTERBOTTENS LÄN</t>
        </is>
      </c>
      <c r="E742" t="inlineStr">
        <is>
          <t>VILHELMINA</t>
        </is>
      </c>
      <c r="F742" t="inlineStr">
        <is>
          <t>Allmännings- och besparingsskogar</t>
        </is>
      </c>
      <c r="G742" t="n">
        <v>52</v>
      </c>
      <c r="H742" t="n">
        <v>0</v>
      </c>
      <c r="I742" t="n">
        <v>0</v>
      </c>
      <c r="J742" t="n">
        <v>0</v>
      </c>
      <c r="K742" t="n">
        <v>0</v>
      </c>
      <c r="L742" t="n">
        <v>0</v>
      </c>
      <c r="M742" t="n">
        <v>0</v>
      </c>
      <c r="N742" t="n">
        <v>0</v>
      </c>
      <c r="O742" t="n">
        <v>0</v>
      </c>
      <c r="P742" t="n">
        <v>0</v>
      </c>
      <c r="Q742" t="n">
        <v>0</v>
      </c>
      <c r="R742" s="2" t="inlineStr"/>
    </row>
    <row r="743" ht="15" customHeight="1">
      <c r="A743" t="inlineStr">
        <is>
          <t>A 30574-2024</t>
        </is>
      </c>
      <c r="B743" s="1" t="n">
        <v>45492.9580324074</v>
      </c>
      <c r="C743" s="1" t="n">
        <v>45915</v>
      </c>
      <c r="D743" t="inlineStr">
        <is>
          <t>VÄSTERBOTTENS LÄN</t>
        </is>
      </c>
      <c r="E743" t="inlineStr">
        <is>
          <t>VILHELMINA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30681-2024</t>
        </is>
      </c>
      <c r="B744" s="1" t="n">
        <v>45495.9509837963</v>
      </c>
      <c r="C744" s="1" t="n">
        <v>45915</v>
      </c>
      <c r="D744" t="inlineStr">
        <is>
          <t>VÄSTERBOTTENS LÄN</t>
        </is>
      </c>
      <c r="E744" t="inlineStr">
        <is>
          <t>VILHELMINA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40462-2024</t>
        </is>
      </c>
      <c r="B745" s="1" t="n">
        <v>45555.51084490741</v>
      </c>
      <c r="C745" s="1" t="n">
        <v>45915</v>
      </c>
      <c r="D745" t="inlineStr">
        <is>
          <t>VÄSTERBOTTENS LÄN</t>
        </is>
      </c>
      <c r="E745" t="inlineStr">
        <is>
          <t>VILHELMINA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39571-2025</t>
        </is>
      </c>
      <c r="B746" s="1" t="n">
        <v>45890.49021990741</v>
      </c>
      <c r="C746" s="1" t="n">
        <v>45915</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10833-2022</t>
        </is>
      </c>
      <c r="B747" s="1" t="n">
        <v>44627</v>
      </c>
      <c r="C747" s="1" t="n">
        <v>45915</v>
      </c>
      <c r="D747" t="inlineStr">
        <is>
          <t>VÄSTERBOTTENS LÄN</t>
        </is>
      </c>
      <c r="E747" t="inlineStr">
        <is>
          <t>VILHELMINA</t>
        </is>
      </c>
      <c r="G747" t="n">
        <v>5.4</v>
      </c>
      <c r="H747" t="n">
        <v>0</v>
      </c>
      <c r="I747" t="n">
        <v>0</v>
      </c>
      <c r="J747" t="n">
        <v>0</v>
      </c>
      <c r="K747" t="n">
        <v>0</v>
      </c>
      <c r="L747" t="n">
        <v>0</v>
      </c>
      <c r="M747" t="n">
        <v>0</v>
      </c>
      <c r="N747" t="n">
        <v>0</v>
      </c>
      <c r="O747" t="n">
        <v>0</v>
      </c>
      <c r="P747" t="n">
        <v>0</v>
      </c>
      <c r="Q747" t="n">
        <v>0</v>
      </c>
      <c r="R747" s="2" t="inlineStr"/>
    </row>
    <row r="748" ht="15" customHeight="1">
      <c r="A748" t="inlineStr">
        <is>
          <t>A 39533-2025</t>
        </is>
      </c>
      <c r="B748" s="1" t="n">
        <v>45890.44863425926</v>
      </c>
      <c r="C748" s="1" t="n">
        <v>45915</v>
      </c>
      <c r="D748" t="inlineStr">
        <is>
          <t>VÄSTERBOTTENS LÄN</t>
        </is>
      </c>
      <c r="E748" t="inlineStr">
        <is>
          <t>VILHELMINA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34569-2025</t>
        </is>
      </c>
      <c r="B749" s="1" t="n">
        <v>45847.58480324074</v>
      </c>
      <c r="C749" s="1" t="n">
        <v>45915</v>
      </c>
      <c r="D749" t="inlineStr">
        <is>
          <t>VÄSTERBOTTENS LÄN</t>
        </is>
      </c>
      <c r="E749" t="inlineStr">
        <is>
          <t>VILHELMINA</t>
        </is>
      </c>
      <c r="G749" t="n">
        <v>5.3</v>
      </c>
      <c r="H749" t="n">
        <v>0</v>
      </c>
      <c r="I749" t="n">
        <v>0</v>
      </c>
      <c r="J749" t="n">
        <v>0</v>
      </c>
      <c r="K749" t="n">
        <v>0</v>
      </c>
      <c r="L749" t="n">
        <v>0</v>
      </c>
      <c r="M749" t="n">
        <v>0</v>
      </c>
      <c r="N749" t="n">
        <v>0</v>
      </c>
      <c r="O749" t="n">
        <v>0</v>
      </c>
      <c r="P749" t="n">
        <v>0</v>
      </c>
      <c r="Q749" t="n">
        <v>0</v>
      </c>
      <c r="R749" s="2" t="inlineStr"/>
    </row>
    <row r="750" ht="15" customHeight="1">
      <c r="A750" t="inlineStr">
        <is>
          <t>A 34542-2025</t>
        </is>
      </c>
      <c r="B750" s="1" t="n">
        <v>45847.53211805555</v>
      </c>
      <c r="C750" s="1" t="n">
        <v>45915</v>
      </c>
      <c r="D750" t="inlineStr">
        <is>
          <t>VÄSTERBOTTENS LÄN</t>
        </is>
      </c>
      <c r="E750" t="inlineStr">
        <is>
          <t>VILHELMINA</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46372-2021</t>
        </is>
      </c>
      <c r="B751" s="1" t="n">
        <v>44442.94226851852</v>
      </c>
      <c r="C751" s="1" t="n">
        <v>45915</v>
      </c>
      <c r="D751" t="inlineStr">
        <is>
          <t>VÄSTERBOTTENS LÄN</t>
        </is>
      </c>
      <c r="E751" t="inlineStr">
        <is>
          <t>VILHELMINA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34563-2025</t>
        </is>
      </c>
      <c r="B752" s="1" t="n">
        <v>45847.57950231482</v>
      </c>
      <c r="C752" s="1" t="n">
        <v>45915</v>
      </c>
      <c r="D752" t="inlineStr">
        <is>
          <t>VÄSTERBOTTENS LÄN</t>
        </is>
      </c>
      <c r="E752" t="inlineStr">
        <is>
          <t>VILHELMINA</t>
        </is>
      </c>
      <c r="G752" t="n">
        <v>20.6</v>
      </c>
      <c r="H752" t="n">
        <v>0</v>
      </c>
      <c r="I752" t="n">
        <v>0</v>
      </c>
      <c r="J752" t="n">
        <v>0</v>
      </c>
      <c r="K752" t="n">
        <v>0</v>
      </c>
      <c r="L752" t="n">
        <v>0</v>
      </c>
      <c r="M752" t="n">
        <v>0</v>
      </c>
      <c r="N752" t="n">
        <v>0</v>
      </c>
      <c r="O752" t="n">
        <v>0</v>
      </c>
      <c r="P752" t="n">
        <v>0</v>
      </c>
      <c r="Q752" t="n">
        <v>0</v>
      </c>
      <c r="R752" s="2" t="inlineStr"/>
    </row>
    <row r="753" ht="15" customHeight="1">
      <c r="A753" t="inlineStr">
        <is>
          <t>A 39558-2025</t>
        </is>
      </c>
      <c r="B753" s="1" t="n">
        <v>45890.46978009259</v>
      </c>
      <c r="C753" s="1" t="n">
        <v>45915</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28722-2022</t>
        </is>
      </c>
      <c r="B754" s="1" t="n">
        <v>44748</v>
      </c>
      <c r="C754" s="1" t="n">
        <v>45915</v>
      </c>
      <c r="D754" t="inlineStr">
        <is>
          <t>VÄSTERBOTTENS LÄN</t>
        </is>
      </c>
      <c r="E754" t="inlineStr">
        <is>
          <t>VILHELMINA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39378-2025</t>
        </is>
      </c>
      <c r="B755" s="1" t="n">
        <v>45889.59453703704</v>
      </c>
      <c r="C755" s="1" t="n">
        <v>45915</v>
      </c>
      <c r="D755" t="inlineStr">
        <is>
          <t>VÄSTERBOTTENS LÄN</t>
        </is>
      </c>
      <c r="E755" t="inlineStr">
        <is>
          <t>VILHELMINA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39534-2025</t>
        </is>
      </c>
      <c r="B756" s="1" t="n">
        <v>45890.44875</v>
      </c>
      <c r="C756" s="1" t="n">
        <v>45915</v>
      </c>
      <c r="D756" t="inlineStr">
        <is>
          <t>VÄSTERBOTTENS LÄN</t>
        </is>
      </c>
      <c r="E756" t="inlineStr">
        <is>
          <t>VILHELMINA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43251-2024</t>
        </is>
      </c>
      <c r="B757" s="1" t="n">
        <v>45568.34429398148</v>
      </c>
      <c r="C757" s="1" t="n">
        <v>45915</v>
      </c>
      <c r="D757" t="inlineStr">
        <is>
          <t>VÄSTERBOTTENS LÄN</t>
        </is>
      </c>
      <c r="E757" t="inlineStr">
        <is>
          <t>VILHELMINA</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19397-2023</t>
        </is>
      </c>
      <c r="B758" s="1" t="n">
        <v>45048</v>
      </c>
      <c r="C758" s="1" t="n">
        <v>45915</v>
      </c>
      <c r="D758" t="inlineStr">
        <is>
          <t>VÄSTERBOTTENS LÄN</t>
        </is>
      </c>
      <c r="E758" t="inlineStr">
        <is>
          <t>VILHELMINA</t>
        </is>
      </c>
      <c r="G758" t="n">
        <v>12.8</v>
      </c>
      <c r="H758" t="n">
        <v>0</v>
      </c>
      <c r="I758" t="n">
        <v>0</v>
      </c>
      <c r="J758" t="n">
        <v>0</v>
      </c>
      <c r="K758" t="n">
        <v>0</v>
      </c>
      <c r="L758" t="n">
        <v>0</v>
      </c>
      <c r="M758" t="n">
        <v>0</v>
      </c>
      <c r="N758" t="n">
        <v>0</v>
      </c>
      <c r="O758" t="n">
        <v>0</v>
      </c>
      <c r="P758" t="n">
        <v>0</v>
      </c>
      <c r="Q758" t="n">
        <v>0</v>
      </c>
      <c r="R758" s="2" t="inlineStr"/>
    </row>
    <row r="759" ht="15" customHeight="1">
      <c r="A759" t="inlineStr">
        <is>
          <t>A 12373-2024</t>
        </is>
      </c>
      <c r="B759" s="1" t="n">
        <v>45378</v>
      </c>
      <c r="C759" s="1" t="n">
        <v>45915</v>
      </c>
      <c r="D759" t="inlineStr">
        <is>
          <t>VÄSTERBOTTENS LÄN</t>
        </is>
      </c>
      <c r="E759" t="inlineStr">
        <is>
          <t>VILHELMINA</t>
        </is>
      </c>
      <c r="G759" t="n">
        <v>0.7</v>
      </c>
      <c r="H759" t="n">
        <v>0</v>
      </c>
      <c r="I759" t="n">
        <v>0</v>
      </c>
      <c r="J759" t="n">
        <v>0</v>
      </c>
      <c r="K759" t="n">
        <v>0</v>
      </c>
      <c r="L759" t="n">
        <v>0</v>
      </c>
      <c r="M759" t="n">
        <v>0</v>
      </c>
      <c r="N759" t="n">
        <v>0</v>
      </c>
      <c r="O759" t="n">
        <v>0</v>
      </c>
      <c r="P759" t="n">
        <v>0</v>
      </c>
      <c r="Q759" t="n">
        <v>0</v>
      </c>
      <c r="R759" s="2" t="inlineStr"/>
    </row>
    <row r="760" ht="15" customHeight="1">
      <c r="A760" t="inlineStr">
        <is>
          <t>A 40220-2025</t>
        </is>
      </c>
      <c r="B760" s="1" t="n">
        <v>45894</v>
      </c>
      <c r="C760" s="1" t="n">
        <v>45915</v>
      </c>
      <c r="D760" t="inlineStr">
        <is>
          <t>VÄSTERBOTTENS LÄN</t>
        </is>
      </c>
      <c r="E760" t="inlineStr">
        <is>
          <t>VILHELMINA</t>
        </is>
      </c>
      <c r="G760" t="n">
        <v>4.6</v>
      </c>
      <c r="H760" t="n">
        <v>0</v>
      </c>
      <c r="I760" t="n">
        <v>0</v>
      </c>
      <c r="J760" t="n">
        <v>0</v>
      </c>
      <c r="K760" t="n">
        <v>0</v>
      </c>
      <c r="L760" t="n">
        <v>0</v>
      </c>
      <c r="M760" t="n">
        <v>0</v>
      </c>
      <c r="N760" t="n">
        <v>0</v>
      </c>
      <c r="O760" t="n">
        <v>0</v>
      </c>
      <c r="P760" t="n">
        <v>0</v>
      </c>
      <c r="Q760" t="n">
        <v>0</v>
      </c>
      <c r="R760" s="2" t="inlineStr"/>
    </row>
    <row r="761" ht="15" customHeight="1">
      <c r="A761" t="inlineStr">
        <is>
          <t>A 21843-2024</t>
        </is>
      </c>
      <c r="B761" s="1" t="n">
        <v>45442.96064814815</v>
      </c>
      <c r="C761" s="1" t="n">
        <v>45915</v>
      </c>
      <c r="D761" t="inlineStr">
        <is>
          <t>VÄSTERBOTTENS LÄN</t>
        </is>
      </c>
      <c r="E761" t="inlineStr">
        <is>
          <t>VILHELMINA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34819-2024</t>
        </is>
      </c>
      <c r="B762" s="1" t="n">
        <v>45526.71134259259</v>
      </c>
      <c r="C762" s="1" t="n">
        <v>45915</v>
      </c>
      <c r="D762" t="inlineStr">
        <is>
          <t>VÄSTERBOTTENS LÄN</t>
        </is>
      </c>
      <c r="E762" t="inlineStr">
        <is>
          <t>VILHELMINA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40196-2025</t>
        </is>
      </c>
      <c r="B763" s="1" t="n">
        <v>45894.65951388889</v>
      </c>
      <c r="C763" s="1" t="n">
        <v>45915</v>
      </c>
      <c r="D763" t="inlineStr">
        <is>
          <t>VÄSTERBOTTENS LÄN</t>
        </is>
      </c>
      <c r="E763" t="inlineStr">
        <is>
          <t>VILHELMINA</t>
        </is>
      </c>
      <c r="G763" t="n">
        <v>23.3</v>
      </c>
      <c r="H763" t="n">
        <v>0</v>
      </c>
      <c r="I763" t="n">
        <v>0</v>
      </c>
      <c r="J763" t="n">
        <v>0</v>
      </c>
      <c r="K763" t="n">
        <v>0</v>
      </c>
      <c r="L763" t="n">
        <v>0</v>
      </c>
      <c r="M763" t="n">
        <v>0</v>
      </c>
      <c r="N763" t="n">
        <v>0</v>
      </c>
      <c r="O763" t="n">
        <v>0</v>
      </c>
      <c r="P763" t="n">
        <v>0</v>
      </c>
      <c r="Q763" t="n">
        <v>0</v>
      </c>
      <c r="R763" s="2" t="inlineStr"/>
    </row>
    <row r="764" ht="15" customHeight="1">
      <c r="A764" t="inlineStr">
        <is>
          <t>A 12043-2023</t>
        </is>
      </c>
      <c r="B764" s="1" t="n">
        <v>44995</v>
      </c>
      <c r="C764" s="1" t="n">
        <v>45915</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40144-2025</t>
        </is>
      </c>
      <c r="B765" s="1" t="n">
        <v>45894.57322916666</v>
      </c>
      <c r="C765" s="1" t="n">
        <v>45915</v>
      </c>
      <c r="D765" t="inlineStr">
        <is>
          <t>VÄSTERBOTTENS LÄN</t>
        </is>
      </c>
      <c r="E765" t="inlineStr">
        <is>
          <t>VILHELMINA</t>
        </is>
      </c>
      <c r="G765" t="n">
        <v>6.3</v>
      </c>
      <c r="H765" t="n">
        <v>0</v>
      </c>
      <c r="I765" t="n">
        <v>0</v>
      </c>
      <c r="J765" t="n">
        <v>0</v>
      </c>
      <c r="K765" t="n">
        <v>0</v>
      </c>
      <c r="L765" t="n">
        <v>0</v>
      </c>
      <c r="M765" t="n">
        <v>0</v>
      </c>
      <c r="N765" t="n">
        <v>0</v>
      </c>
      <c r="O765" t="n">
        <v>0</v>
      </c>
      <c r="P765" t="n">
        <v>0</v>
      </c>
      <c r="Q765" t="n">
        <v>0</v>
      </c>
      <c r="R765" s="2" t="inlineStr"/>
    </row>
    <row r="766" ht="15" customHeight="1">
      <c r="A766" t="inlineStr">
        <is>
          <t>A 36669-2025</t>
        </is>
      </c>
      <c r="B766" s="1" t="n">
        <v>45873</v>
      </c>
      <c r="C766" s="1" t="n">
        <v>45915</v>
      </c>
      <c r="D766" t="inlineStr">
        <is>
          <t>VÄSTERBOTTENS LÄN</t>
        </is>
      </c>
      <c r="E766" t="inlineStr">
        <is>
          <t>VILHELMINA</t>
        </is>
      </c>
      <c r="G766" t="n">
        <v>12.5</v>
      </c>
      <c r="H766" t="n">
        <v>0</v>
      </c>
      <c r="I766" t="n">
        <v>0</v>
      </c>
      <c r="J766" t="n">
        <v>0</v>
      </c>
      <c r="K766" t="n">
        <v>0</v>
      </c>
      <c r="L766" t="n">
        <v>0</v>
      </c>
      <c r="M766" t="n">
        <v>0</v>
      </c>
      <c r="N766" t="n">
        <v>0</v>
      </c>
      <c r="O766" t="n">
        <v>0</v>
      </c>
      <c r="P766" t="n">
        <v>0</v>
      </c>
      <c r="Q766" t="n">
        <v>0</v>
      </c>
      <c r="R766" s="2" t="inlineStr"/>
    </row>
    <row r="767" ht="15" customHeight="1">
      <c r="A767" t="inlineStr">
        <is>
          <t>A 48117-2022</t>
        </is>
      </c>
      <c r="B767" s="1" t="n">
        <v>44857</v>
      </c>
      <c r="C767" s="1" t="n">
        <v>45915</v>
      </c>
      <c r="D767" t="inlineStr">
        <is>
          <t>VÄSTERBOTTENS LÄN</t>
        </is>
      </c>
      <c r="E767" t="inlineStr">
        <is>
          <t>VILHELMINA</t>
        </is>
      </c>
      <c r="G767" t="n">
        <v>5.6</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45915</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35285-2025</t>
        </is>
      </c>
      <c r="B769" s="1" t="n">
        <v>45854</v>
      </c>
      <c r="C769" s="1" t="n">
        <v>45915</v>
      </c>
      <c r="D769" t="inlineStr">
        <is>
          <t>VÄSTERBOTTENS LÄN</t>
        </is>
      </c>
      <c r="E769" t="inlineStr">
        <is>
          <t>VILHELMINA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35287-2025</t>
        </is>
      </c>
      <c r="B770" s="1" t="n">
        <v>45854.3653587963</v>
      </c>
      <c r="C770" s="1" t="n">
        <v>45915</v>
      </c>
      <c r="D770" t="inlineStr">
        <is>
          <t>VÄSTERBOTTENS LÄN</t>
        </is>
      </c>
      <c r="E770" t="inlineStr">
        <is>
          <t>VILHELMINA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35288-2025</t>
        </is>
      </c>
      <c r="B771" s="1" t="n">
        <v>45854.36543981481</v>
      </c>
      <c r="C771" s="1" t="n">
        <v>45915</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45915</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45915</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45915</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35230-2025</t>
        </is>
      </c>
      <c r="B775" s="1" t="n">
        <v>45853.59447916667</v>
      </c>
      <c r="C775" s="1" t="n">
        <v>45915</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35231-2025</t>
        </is>
      </c>
      <c r="B776" s="1" t="n">
        <v>45853.59453703704</v>
      </c>
      <c r="C776" s="1" t="n">
        <v>45915</v>
      </c>
      <c r="D776" t="inlineStr">
        <is>
          <t>VÄSTERBOTTENS LÄN</t>
        </is>
      </c>
      <c r="E776" t="inlineStr">
        <is>
          <t>VILHELMINA</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55620-2024</t>
        </is>
      </c>
      <c r="B777" s="1" t="n">
        <v>45622</v>
      </c>
      <c r="C777" s="1" t="n">
        <v>45915</v>
      </c>
      <c r="D777" t="inlineStr">
        <is>
          <t>VÄSTERBOTTENS LÄN</t>
        </is>
      </c>
      <c r="E777" t="inlineStr">
        <is>
          <t>VILHELMINA</t>
        </is>
      </c>
      <c r="F777" t="inlineStr">
        <is>
          <t>SCA</t>
        </is>
      </c>
      <c r="G777" t="n">
        <v>21.4</v>
      </c>
      <c r="H777" t="n">
        <v>0</v>
      </c>
      <c r="I777" t="n">
        <v>0</v>
      </c>
      <c r="J777" t="n">
        <v>0</v>
      </c>
      <c r="K777" t="n">
        <v>0</v>
      </c>
      <c r="L777" t="n">
        <v>0</v>
      </c>
      <c r="M777" t="n">
        <v>0</v>
      </c>
      <c r="N777" t="n">
        <v>0</v>
      </c>
      <c r="O777" t="n">
        <v>0</v>
      </c>
      <c r="P777" t="n">
        <v>0</v>
      </c>
      <c r="Q777" t="n">
        <v>0</v>
      </c>
      <c r="R777" s="2" t="inlineStr"/>
    </row>
    <row r="778" ht="15" customHeight="1">
      <c r="A778" t="inlineStr">
        <is>
          <t>A 37320-2021</t>
        </is>
      </c>
      <c r="B778" s="1" t="n">
        <v>44397</v>
      </c>
      <c r="C778" s="1" t="n">
        <v>45915</v>
      </c>
      <c r="D778" t="inlineStr">
        <is>
          <t>VÄSTERBOTTENS LÄN</t>
        </is>
      </c>
      <c r="E778" t="inlineStr">
        <is>
          <t>VILHELMINA</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41171-2025</t>
        </is>
      </c>
      <c r="B779" s="1" t="n">
        <v>45898</v>
      </c>
      <c r="C779" s="1" t="n">
        <v>45915</v>
      </c>
      <c r="D779" t="inlineStr">
        <is>
          <t>VÄSTERBOTTENS LÄN</t>
        </is>
      </c>
      <c r="E779" t="inlineStr">
        <is>
          <t>VILHELMINA</t>
        </is>
      </c>
      <c r="F779" t="inlineStr">
        <is>
          <t>Övriga Aktiebolag</t>
        </is>
      </c>
      <c r="G779" t="n">
        <v>5.6</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45915</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45915</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45915</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45915</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14959-2022</t>
        </is>
      </c>
      <c r="B784" s="1" t="n">
        <v>44657</v>
      </c>
      <c r="C784" s="1" t="n">
        <v>45915</v>
      </c>
      <c r="D784" t="inlineStr">
        <is>
          <t>VÄSTERBOTTENS LÄN</t>
        </is>
      </c>
      <c r="E784" t="inlineStr">
        <is>
          <t>VILHELMINA</t>
        </is>
      </c>
      <c r="G784" t="n">
        <v>71.8</v>
      </c>
      <c r="H784" t="n">
        <v>0</v>
      </c>
      <c r="I784" t="n">
        <v>0</v>
      </c>
      <c r="J784" t="n">
        <v>0</v>
      </c>
      <c r="K784" t="n">
        <v>0</v>
      </c>
      <c r="L784" t="n">
        <v>0</v>
      </c>
      <c r="M784" t="n">
        <v>0</v>
      </c>
      <c r="N784" t="n">
        <v>0</v>
      </c>
      <c r="O784" t="n">
        <v>0</v>
      </c>
      <c r="P784" t="n">
        <v>0</v>
      </c>
      <c r="Q784" t="n">
        <v>0</v>
      </c>
      <c r="R784" s="2" t="inlineStr"/>
    </row>
    <row r="785" ht="15" customHeight="1">
      <c r="A785" t="inlineStr">
        <is>
          <t>A 31696-2024</t>
        </is>
      </c>
      <c r="B785" s="1" t="n">
        <v>45508</v>
      </c>
      <c r="C785" s="1" t="n">
        <v>45915</v>
      </c>
      <c r="D785" t="inlineStr">
        <is>
          <t>VÄSTERBOTTENS LÄN</t>
        </is>
      </c>
      <c r="E785" t="inlineStr">
        <is>
          <t>VILHELMINA</t>
        </is>
      </c>
      <c r="G785" t="n">
        <v>7.7</v>
      </c>
      <c r="H785" t="n">
        <v>0</v>
      </c>
      <c r="I785" t="n">
        <v>0</v>
      </c>
      <c r="J785" t="n">
        <v>0</v>
      </c>
      <c r="K785" t="n">
        <v>0</v>
      </c>
      <c r="L785" t="n">
        <v>0</v>
      </c>
      <c r="M785" t="n">
        <v>0</v>
      </c>
      <c r="N785" t="n">
        <v>0</v>
      </c>
      <c r="O785" t="n">
        <v>0</v>
      </c>
      <c r="P785" t="n">
        <v>0</v>
      </c>
      <c r="Q785" t="n">
        <v>0</v>
      </c>
      <c r="R785" s="2" t="inlineStr"/>
    </row>
    <row r="786" ht="15" customHeight="1">
      <c r="A786" t="inlineStr">
        <is>
          <t>A 2187-2021</t>
        </is>
      </c>
      <c r="B786" s="1" t="n">
        <v>44211</v>
      </c>
      <c r="C786" s="1" t="n">
        <v>45915</v>
      </c>
      <c r="D786" t="inlineStr">
        <is>
          <t>VÄSTERBOTTENS LÄN</t>
        </is>
      </c>
      <c r="E786" t="inlineStr">
        <is>
          <t>VILHELMINA</t>
        </is>
      </c>
      <c r="F786" t="inlineStr">
        <is>
          <t>Allmännings- och besparingsskogar</t>
        </is>
      </c>
      <c r="G786" t="n">
        <v>21.3</v>
      </c>
      <c r="H786" t="n">
        <v>0</v>
      </c>
      <c r="I786" t="n">
        <v>0</v>
      </c>
      <c r="J786" t="n">
        <v>0</v>
      </c>
      <c r="K786" t="n">
        <v>0</v>
      </c>
      <c r="L786" t="n">
        <v>0</v>
      </c>
      <c r="M786" t="n">
        <v>0</v>
      </c>
      <c r="N786" t="n">
        <v>0</v>
      </c>
      <c r="O786" t="n">
        <v>0</v>
      </c>
      <c r="P786" t="n">
        <v>0</v>
      </c>
      <c r="Q786" t="n">
        <v>0</v>
      </c>
      <c r="R786" s="2" t="inlineStr"/>
    </row>
    <row r="787" ht="15" customHeight="1">
      <c r="A787" t="inlineStr">
        <is>
          <t>A 12825-2023</t>
        </is>
      </c>
      <c r="B787" s="1" t="n">
        <v>45000</v>
      </c>
      <c r="C787" s="1" t="n">
        <v>45915</v>
      </c>
      <c r="D787" t="inlineStr">
        <is>
          <t>VÄSTERBOTTENS LÄN</t>
        </is>
      </c>
      <c r="E787" t="inlineStr">
        <is>
          <t>VILHELMINA</t>
        </is>
      </c>
      <c r="G787" t="n">
        <v>22.4</v>
      </c>
      <c r="H787" t="n">
        <v>0</v>
      </c>
      <c r="I787" t="n">
        <v>0</v>
      </c>
      <c r="J787" t="n">
        <v>0</v>
      </c>
      <c r="K787" t="n">
        <v>0</v>
      </c>
      <c r="L787" t="n">
        <v>0</v>
      </c>
      <c r="M787" t="n">
        <v>0</v>
      </c>
      <c r="N787" t="n">
        <v>0</v>
      </c>
      <c r="O787" t="n">
        <v>0</v>
      </c>
      <c r="P787" t="n">
        <v>0</v>
      </c>
      <c r="Q787" t="n">
        <v>0</v>
      </c>
      <c r="R787" s="2" t="inlineStr"/>
    </row>
    <row r="788" ht="15" customHeight="1">
      <c r="A788" t="inlineStr">
        <is>
          <t>A 48423-2023</t>
        </is>
      </c>
      <c r="B788" s="1" t="n">
        <v>45205</v>
      </c>
      <c r="C788" s="1" t="n">
        <v>45915</v>
      </c>
      <c r="D788" t="inlineStr">
        <is>
          <t>VÄSTERBOTTENS LÄN</t>
        </is>
      </c>
      <c r="E788" t="inlineStr">
        <is>
          <t>VILHELMINA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19349-2024</t>
        </is>
      </c>
      <c r="B789" s="1" t="n">
        <v>45428.97231481481</v>
      </c>
      <c r="C789" s="1" t="n">
        <v>45915</v>
      </c>
      <c r="D789" t="inlineStr">
        <is>
          <t>VÄSTERBOTTENS LÄN</t>
        </is>
      </c>
      <c r="E789" t="inlineStr">
        <is>
          <t>VILHELMINA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18692-2023</t>
        </is>
      </c>
      <c r="B790" s="1" t="n">
        <v>45042</v>
      </c>
      <c r="C790" s="1" t="n">
        <v>45915</v>
      </c>
      <c r="D790" t="inlineStr">
        <is>
          <t>VÄSTERBOTTENS LÄN</t>
        </is>
      </c>
      <c r="E790" t="inlineStr">
        <is>
          <t>VILHELMINA</t>
        </is>
      </c>
      <c r="F790" t="inlineStr">
        <is>
          <t>Allmännings- och besparingsskogar</t>
        </is>
      </c>
      <c r="G790" t="n">
        <v>0.6</v>
      </c>
      <c r="H790" t="n">
        <v>0</v>
      </c>
      <c r="I790" t="n">
        <v>0</v>
      </c>
      <c r="J790" t="n">
        <v>0</v>
      </c>
      <c r="K790" t="n">
        <v>0</v>
      </c>
      <c r="L790" t="n">
        <v>0</v>
      </c>
      <c r="M790" t="n">
        <v>0</v>
      </c>
      <c r="N790" t="n">
        <v>0</v>
      </c>
      <c r="O790" t="n">
        <v>0</v>
      </c>
      <c r="P790" t="n">
        <v>0</v>
      </c>
      <c r="Q790" t="n">
        <v>0</v>
      </c>
      <c r="R790" s="2" t="inlineStr"/>
    </row>
    <row r="791" ht="15" customHeight="1">
      <c r="A791" t="inlineStr">
        <is>
          <t>A 58363-2021</t>
        </is>
      </c>
      <c r="B791" s="1" t="n">
        <v>44488</v>
      </c>
      <c r="C791" s="1" t="n">
        <v>45915</v>
      </c>
      <c r="D791" t="inlineStr">
        <is>
          <t>VÄSTERBOTTENS LÄN</t>
        </is>
      </c>
      <c r="E791" t="inlineStr">
        <is>
          <t>VILHELMINA</t>
        </is>
      </c>
      <c r="G791" t="n">
        <v>7.3</v>
      </c>
      <c r="H791" t="n">
        <v>0</v>
      </c>
      <c r="I791" t="n">
        <v>0</v>
      </c>
      <c r="J791" t="n">
        <v>0</v>
      </c>
      <c r="K791" t="n">
        <v>0</v>
      </c>
      <c r="L791" t="n">
        <v>0</v>
      </c>
      <c r="M791" t="n">
        <v>0</v>
      </c>
      <c r="N791" t="n">
        <v>0</v>
      </c>
      <c r="O791" t="n">
        <v>0</v>
      </c>
      <c r="P791" t="n">
        <v>0</v>
      </c>
      <c r="Q791" t="n">
        <v>0</v>
      </c>
      <c r="R791" s="2" t="inlineStr"/>
    </row>
    <row r="792" ht="15" customHeight="1">
      <c r="A792" t="inlineStr">
        <is>
          <t>A 35888-2025</t>
        </is>
      </c>
      <c r="B792" s="1" t="n">
        <v>45862.44034722223</v>
      </c>
      <c r="C792" s="1" t="n">
        <v>45915</v>
      </c>
      <c r="D792" t="inlineStr">
        <is>
          <t>VÄSTERBOTTENS LÄN</t>
        </is>
      </c>
      <c r="E792" t="inlineStr">
        <is>
          <t>VILHELMINA</t>
        </is>
      </c>
      <c r="G792" t="n">
        <v>2.4</v>
      </c>
      <c r="H792" t="n">
        <v>0</v>
      </c>
      <c r="I792" t="n">
        <v>0</v>
      </c>
      <c r="J792" t="n">
        <v>0</v>
      </c>
      <c r="K792" t="n">
        <v>0</v>
      </c>
      <c r="L792" t="n">
        <v>0</v>
      </c>
      <c r="M792" t="n">
        <v>0</v>
      </c>
      <c r="N792" t="n">
        <v>0</v>
      </c>
      <c r="O792" t="n">
        <v>0</v>
      </c>
      <c r="P792" t="n">
        <v>0</v>
      </c>
      <c r="Q792" t="n">
        <v>0</v>
      </c>
      <c r="R792" s="2" t="inlineStr"/>
    </row>
    <row r="793" ht="15" customHeight="1">
      <c r="A793" t="inlineStr">
        <is>
          <t>A 8750-2021</t>
        </is>
      </c>
      <c r="B793" s="1" t="n">
        <v>44246</v>
      </c>
      <c r="C793" s="1" t="n">
        <v>45915</v>
      </c>
      <c r="D793" t="inlineStr">
        <is>
          <t>VÄSTERBOTTENS LÄN</t>
        </is>
      </c>
      <c r="E793" t="inlineStr">
        <is>
          <t>VILHELMINA</t>
        </is>
      </c>
      <c r="G793" t="n">
        <v>5.2</v>
      </c>
      <c r="H793" t="n">
        <v>0</v>
      </c>
      <c r="I793" t="n">
        <v>0</v>
      </c>
      <c r="J793" t="n">
        <v>0</v>
      </c>
      <c r="K793" t="n">
        <v>0</v>
      </c>
      <c r="L793" t="n">
        <v>0</v>
      </c>
      <c r="M793" t="n">
        <v>0</v>
      </c>
      <c r="N793" t="n">
        <v>0</v>
      </c>
      <c r="O793" t="n">
        <v>0</v>
      </c>
      <c r="P793" t="n">
        <v>0</v>
      </c>
      <c r="Q793" t="n">
        <v>0</v>
      </c>
      <c r="R793" s="2" t="inlineStr"/>
    </row>
    <row r="794" ht="15" customHeight="1">
      <c r="A794" t="inlineStr">
        <is>
          <t>A 47193-2020</t>
        </is>
      </c>
      <c r="B794" s="1" t="n">
        <v>44097</v>
      </c>
      <c r="C794" s="1" t="n">
        <v>45915</v>
      </c>
      <c r="D794" t="inlineStr">
        <is>
          <t>VÄSTERBOTTENS LÄN</t>
        </is>
      </c>
      <c r="E794" t="inlineStr">
        <is>
          <t>VILHELMINA</t>
        </is>
      </c>
      <c r="G794" t="n">
        <v>6.8</v>
      </c>
      <c r="H794" t="n">
        <v>0</v>
      </c>
      <c r="I794" t="n">
        <v>0</v>
      </c>
      <c r="J794" t="n">
        <v>0</v>
      </c>
      <c r="K794" t="n">
        <v>0</v>
      </c>
      <c r="L794" t="n">
        <v>0</v>
      </c>
      <c r="M794" t="n">
        <v>0</v>
      </c>
      <c r="N794" t="n">
        <v>0</v>
      </c>
      <c r="O794" t="n">
        <v>0</v>
      </c>
      <c r="P794" t="n">
        <v>0</v>
      </c>
      <c r="Q794" t="n">
        <v>0</v>
      </c>
      <c r="R794" s="2" t="inlineStr"/>
    </row>
    <row r="795" ht="15" customHeight="1">
      <c r="A795" t="inlineStr">
        <is>
          <t>A 38384-2025</t>
        </is>
      </c>
      <c r="B795" s="1" t="n">
        <v>45883</v>
      </c>
      <c r="C795" s="1" t="n">
        <v>45915</v>
      </c>
      <c r="D795" t="inlineStr">
        <is>
          <t>VÄSTERBOTTENS LÄN</t>
        </is>
      </c>
      <c r="E795" t="inlineStr">
        <is>
          <t>VILHELMINA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35886-2025</t>
        </is>
      </c>
      <c r="B796" s="1" t="n">
        <v>45862</v>
      </c>
      <c r="C796" s="1" t="n">
        <v>45915</v>
      </c>
      <c r="D796" t="inlineStr">
        <is>
          <t>VÄSTERBOTTENS LÄN</t>
        </is>
      </c>
      <c r="E796" t="inlineStr">
        <is>
          <t>VILHELMINA</t>
        </is>
      </c>
      <c r="G796" t="n">
        <v>7</v>
      </c>
      <c r="H796" t="n">
        <v>0</v>
      </c>
      <c r="I796" t="n">
        <v>0</v>
      </c>
      <c r="J796" t="n">
        <v>0</v>
      </c>
      <c r="K796" t="n">
        <v>0</v>
      </c>
      <c r="L796" t="n">
        <v>0</v>
      </c>
      <c r="M796" t="n">
        <v>0</v>
      </c>
      <c r="N796" t="n">
        <v>0</v>
      </c>
      <c r="O796" t="n">
        <v>0</v>
      </c>
      <c r="P796" t="n">
        <v>0</v>
      </c>
      <c r="Q796" t="n">
        <v>0</v>
      </c>
      <c r="R796" s="2" t="inlineStr"/>
    </row>
    <row r="797" ht="15" customHeight="1">
      <c r="A797" t="inlineStr">
        <is>
          <t>A 41704-2025</t>
        </is>
      </c>
      <c r="B797" s="1" t="n">
        <v>45902</v>
      </c>
      <c r="C797" s="1" t="n">
        <v>45915</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56396-2022</t>
        </is>
      </c>
      <c r="B798" s="1" t="n">
        <v>44890</v>
      </c>
      <c r="C798" s="1" t="n">
        <v>45915</v>
      </c>
      <c r="D798" t="inlineStr">
        <is>
          <t>VÄSTERBOTTENS LÄN</t>
        </is>
      </c>
      <c r="E798" t="inlineStr">
        <is>
          <t>VILHELMINA</t>
        </is>
      </c>
      <c r="G798" t="n">
        <v>1.6</v>
      </c>
      <c r="H798" t="n">
        <v>0</v>
      </c>
      <c r="I798" t="n">
        <v>0</v>
      </c>
      <c r="J798" t="n">
        <v>0</v>
      </c>
      <c r="K798" t="n">
        <v>0</v>
      </c>
      <c r="L798" t="n">
        <v>0</v>
      </c>
      <c r="M798" t="n">
        <v>0</v>
      </c>
      <c r="N798" t="n">
        <v>0</v>
      </c>
      <c r="O798" t="n">
        <v>0</v>
      </c>
      <c r="P798" t="n">
        <v>0</v>
      </c>
      <c r="Q798" t="n">
        <v>0</v>
      </c>
      <c r="R798" s="2" t="inlineStr"/>
    </row>
    <row r="799" ht="15" customHeight="1">
      <c r="A799" t="inlineStr">
        <is>
          <t>A 6706-2021</t>
        </is>
      </c>
      <c r="B799" s="1" t="n">
        <v>44235</v>
      </c>
      <c r="C799" s="1" t="n">
        <v>45915</v>
      </c>
      <c r="D799" t="inlineStr">
        <is>
          <t>VÄSTERBOTTENS LÄN</t>
        </is>
      </c>
      <c r="E799" t="inlineStr">
        <is>
          <t>VILHELMINA</t>
        </is>
      </c>
      <c r="G799" t="n">
        <v>3.8</v>
      </c>
      <c r="H799" t="n">
        <v>0</v>
      </c>
      <c r="I799" t="n">
        <v>0</v>
      </c>
      <c r="J799" t="n">
        <v>0</v>
      </c>
      <c r="K799" t="n">
        <v>0</v>
      </c>
      <c r="L799" t="n">
        <v>0</v>
      </c>
      <c r="M799" t="n">
        <v>0</v>
      </c>
      <c r="N799" t="n">
        <v>0</v>
      </c>
      <c r="O799" t="n">
        <v>0</v>
      </c>
      <c r="P799" t="n">
        <v>0</v>
      </c>
      <c r="Q799" t="n">
        <v>0</v>
      </c>
      <c r="R799" s="2" t="inlineStr"/>
    </row>
    <row r="800" ht="15" customHeight="1">
      <c r="A800" t="inlineStr">
        <is>
          <t>A 53606-2024</t>
        </is>
      </c>
      <c r="B800" s="1" t="n">
        <v>45614</v>
      </c>
      <c r="C800" s="1" t="n">
        <v>45915</v>
      </c>
      <c r="D800" t="inlineStr">
        <is>
          <t>VÄSTERBOTTENS LÄN</t>
        </is>
      </c>
      <c r="E800" t="inlineStr">
        <is>
          <t>VILHELMINA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33786-2024</t>
        </is>
      </c>
      <c r="B801" s="1" t="n">
        <v>45520.58966435185</v>
      </c>
      <c r="C801" s="1" t="n">
        <v>45915</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38297-2024</t>
        </is>
      </c>
      <c r="B802" s="1" t="n">
        <v>45545</v>
      </c>
      <c r="C802" s="1" t="n">
        <v>45915</v>
      </c>
      <c r="D802" t="inlineStr">
        <is>
          <t>VÄSTERBOTTENS LÄN</t>
        </is>
      </c>
      <c r="E802" t="inlineStr">
        <is>
          <t>VILHELMINA</t>
        </is>
      </c>
      <c r="G802" t="n">
        <v>139.8</v>
      </c>
      <c r="H802" t="n">
        <v>0</v>
      </c>
      <c r="I802" t="n">
        <v>0</v>
      </c>
      <c r="J802" t="n">
        <v>0</v>
      </c>
      <c r="K802" t="n">
        <v>0</v>
      </c>
      <c r="L802" t="n">
        <v>0</v>
      </c>
      <c r="M802" t="n">
        <v>0</v>
      </c>
      <c r="N802" t="n">
        <v>0</v>
      </c>
      <c r="O802" t="n">
        <v>0</v>
      </c>
      <c r="P802" t="n">
        <v>0</v>
      </c>
      <c r="Q802" t="n">
        <v>0</v>
      </c>
      <c r="R802" s="2" t="inlineStr"/>
    </row>
    <row r="803" ht="15" customHeight="1">
      <c r="A803" t="inlineStr">
        <is>
          <t>A 28869-2024</t>
        </is>
      </c>
      <c r="B803" s="1" t="n">
        <v>45478.94722222222</v>
      </c>
      <c r="C803" s="1" t="n">
        <v>45915</v>
      </c>
      <c r="D803" t="inlineStr">
        <is>
          <t>VÄSTERBOTTENS LÄN</t>
        </is>
      </c>
      <c r="E803" t="inlineStr">
        <is>
          <t>VILHELMINA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42360-2025</t>
        </is>
      </c>
      <c r="B804" s="1" t="n">
        <v>45904</v>
      </c>
      <c r="C804" s="1" t="n">
        <v>45915</v>
      </c>
      <c r="D804" t="inlineStr">
        <is>
          <t>VÄSTERBOTTENS LÄN</t>
        </is>
      </c>
      <c r="E804" t="inlineStr">
        <is>
          <t>VILHELMINA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42382-2025</t>
        </is>
      </c>
      <c r="B805" s="1" t="n">
        <v>45904</v>
      </c>
      <c r="C805" s="1" t="n">
        <v>45915</v>
      </c>
      <c r="D805" t="inlineStr">
        <is>
          <t>VÄSTERBOTTENS LÄN</t>
        </is>
      </c>
      <c r="E805" t="inlineStr">
        <is>
          <t>VILHELMINA</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59022-2024</t>
        </is>
      </c>
      <c r="B806" s="1" t="n">
        <v>45636</v>
      </c>
      <c r="C806" s="1" t="n">
        <v>45915</v>
      </c>
      <c r="D806" t="inlineStr">
        <is>
          <t>VÄSTERBOTTENS LÄN</t>
        </is>
      </c>
      <c r="E806" t="inlineStr">
        <is>
          <t>VILHELMINA</t>
        </is>
      </c>
      <c r="F806" t="inlineStr">
        <is>
          <t>Allmännings- och besparingsskogar</t>
        </is>
      </c>
      <c r="G806" t="n">
        <v>35.1</v>
      </c>
      <c r="H806" t="n">
        <v>0</v>
      </c>
      <c r="I806" t="n">
        <v>0</v>
      </c>
      <c r="J806" t="n">
        <v>0</v>
      </c>
      <c r="K806" t="n">
        <v>0</v>
      </c>
      <c r="L806" t="n">
        <v>0</v>
      </c>
      <c r="M806" t="n">
        <v>0</v>
      </c>
      <c r="N806" t="n">
        <v>0</v>
      </c>
      <c r="O806" t="n">
        <v>0</v>
      </c>
      <c r="P806" t="n">
        <v>0</v>
      </c>
      <c r="Q806" t="n">
        <v>0</v>
      </c>
      <c r="R806" s="2" t="inlineStr"/>
    </row>
    <row r="807" ht="15" customHeight="1">
      <c r="A807" t="inlineStr">
        <is>
          <t>A 25102-2021</t>
        </is>
      </c>
      <c r="B807" s="1" t="n">
        <v>44341</v>
      </c>
      <c r="C807" s="1" t="n">
        <v>45915</v>
      </c>
      <c r="D807" t="inlineStr">
        <is>
          <t>VÄSTERBOTTENS LÄN</t>
        </is>
      </c>
      <c r="E807" t="inlineStr">
        <is>
          <t>VILHELMINA</t>
        </is>
      </c>
      <c r="G807" t="n">
        <v>6.7</v>
      </c>
      <c r="H807" t="n">
        <v>0</v>
      </c>
      <c r="I807" t="n">
        <v>0</v>
      </c>
      <c r="J807" t="n">
        <v>0</v>
      </c>
      <c r="K807" t="n">
        <v>0</v>
      </c>
      <c r="L807" t="n">
        <v>0</v>
      </c>
      <c r="M807" t="n">
        <v>0</v>
      </c>
      <c r="N807" t="n">
        <v>0</v>
      </c>
      <c r="O807" t="n">
        <v>0</v>
      </c>
      <c r="P807" t="n">
        <v>0</v>
      </c>
      <c r="Q807" t="n">
        <v>0</v>
      </c>
      <c r="R807" s="2" t="inlineStr"/>
    </row>
    <row r="808" ht="15" customHeight="1">
      <c r="A808" t="inlineStr">
        <is>
          <t>A 40732-2024</t>
        </is>
      </c>
      <c r="B808" s="1" t="n">
        <v>45558</v>
      </c>
      <c r="C808" s="1" t="n">
        <v>45915</v>
      </c>
      <c r="D808" t="inlineStr">
        <is>
          <t>VÄSTERBOTTENS LÄN</t>
        </is>
      </c>
      <c r="E808" t="inlineStr">
        <is>
          <t>VILHELMINA</t>
        </is>
      </c>
      <c r="F808" t="inlineStr">
        <is>
          <t>Allmännings- och besparingsskogar</t>
        </is>
      </c>
      <c r="G808" t="n">
        <v>89.59999999999999</v>
      </c>
      <c r="H808" t="n">
        <v>0</v>
      </c>
      <c r="I808" t="n">
        <v>0</v>
      </c>
      <c r="J808" t="n">
        <v>0</v>
      </c>
      <c r="K808" t="n">
        <v>0</v>
      </c>
      <c r="L808" t="n">
        <v>0</v>
      </c>
      <c r="M808" t="n">
        <v>0</v>
      </c>
      <c r="N808" t="n">
        <v>0</v>
      </c>
      <c r="O808" t="n">
        <v>0</v>
      </c>
      <c r="P808" t="n">
        <v>0</v>
      </c>
      <c r="Q808" t="n">
        <v>0</v>
      </c>
      <c r="R808" s="2" t="inlineStr"/>
    </row>
    <row r="809" ht="15" customHeight="1">
      <c r="A809" t="inlineStr">
        <is>
          <t>A 59031-2024</t>
        </is>
      </c>
      <c r="B809" s="1" t="n">
        <v>45636</v>
      </c>
      <c r="C809" s="1" t="n">
        <v>45915</v>
      </c>
      <c r="D809" t="inlineStr">
        <is>
          <t>VÄSTERBOTTENS LÄN</t>
        </is>
      </c>
      <c r="E809" t="inlineStr">
        <is>
          <t>VILHELMINA</t>
        </is>
      </c>
      <c r="G809" t="n">
        <v>38.9</v>
      </c>
      <c r="H809" t="n">
        <v>0</v>
      </c>
      <c r="I809" t="n">
        <v>0</v>
      </c>
      <c r="J809" t="n">
        <v>0</v>
      </c>
      <c r="K809" t="n">
        <v>0</v>
      </c>
      <c r="L809" t="n">
        <v>0</v>
      </c>
      <c r="M809" t="n">
        <v>0</v>
      </c>
      <c r="N809" t="n">
        <v>0</v>
      </c>
      <c r="O809" t="n">
        <v>0</v>
      </c>
      <c r="P809" t="n">
        <v>0</v>
      </c>
      <c r="Q809" t="n">
        <v>0</v>
      </c>
      <c r="R809" s="2" t="inlineStr"/>
    </row>
    <row r="810" ht="15" customHeight="1">
      <c r="A810" t="inlineStr">
        <is>
          <t>A 20322-2022</t>
        </is>
      </c>
      <c r="B810" s="1" t="n">
        <v>44698</v>
      </c>
      <c r="C810" s="1" t="n">
        <v>45915</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2742-2023</t>
        </is>
      </c>
      <c r="B811" s="1" t="n">
        <v>44943</v>
      </c>
      <c r="C811" s="1" t="n">
        <v>45915</v>
      </c>
      <c r="D811" t="inlineStr">
        <is>
          <t>VÄSTERBOTTENS LÄN</t>
        </is>
      </c>
      <c r="E811" t="inlineStr">
        <is>
          <t>VILHELMINA</t>
        </is>
      </c>
      <c r="G811" t="n">
        <v>34.8</v>
      </c>
      <c r="H811" t="n">
        <v>0</v>
      </c>
      <c r="I811" t="n">
        <v>0</v>
      </c>
      <c r="J811" t="n">
        <v>0</v>
      </c>
      <c r="K811" t="n">
        <v>0</v>
      </c>
      <c r="L811" t="n">
        <v>0</v>
      </c>
      <c r="M811" t="n">
        <v>0</v>
      </c>
      <c r="N811" t="n">
        <v>0</v>
      </c>
      <c r="O811" t="n">
        <v>0</v>
      </c>
      <c r="P811" t="n">
        <v>0</v>
      </c>
      <c r="Q811" t="n">
        <v>0</v>
      </c>
      <c r="R811" s="2" t="inlineStr"/>
    </row>
    <row r="812" ht="15" customHeight="1">
      <c r="A812" t="inlineStr">
        <is>
          <t>A 26947-2024</t>
        </is>
      </c>
      <c r="B812" s="1" t="n">
        <v>45470.9693287037</v>
      </c>
      <c r="C812" s="1" t="n">
        <v>45915</v>
      </c>
      <c r="D812" t="inlineStr">
        <is>
          <t>VÄSTERBOTTENS LÄN</t>
        </is>
      </c>
      <c r="E812" t="inlineStr">
        <is>
          <t>VILHELMINA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37346-2024</t>
        </is>
      </c>
      <c r="B813" s="1" t="n">
        <v>45540</v>
      </c>
      <c r="C813" s="1" t="n">
        <v>45915</v>
      </c>
      <c r="D813" t="inlineStr">
        <is>
          <t>VÄSTERBOTTENS LÄN</t>
        </is>
      </c>
      <c r="E813" t="inlineStr">
        <is>
          <t>VILHELMINA</t>
        </is>
      </c>
      <c r="G813" t="n">
        <v>100.3</v>
      </c>
      <c r="H813" t="n">
        <v>0</v>
      </c>
      <c r="I813" t="n">
        <v>0</v>
      </c>
      <c r="J813" t="n">
        <v>0</v>
      </c>
      <c r="K813" t="n">
        <v>0</v>
      </c>
      <c r="L813" t="n">
        <v>0</v>
      </c>
      <c r="M813" t="n">
        <v>0</v>
      </c>
      <c r="N813" t="n">
        <v>0</v>
      </c>
      <c r="O813" t="n">
        <v>0</v>
      </c>
      <c r="P813" t="n">
        <v>0</v>
      </c>
      <c r="Q813" t="n">
        <v>0</v>
      </c>
      <c r="R813" s="2" t="inlineStr"/>
    </row>
    <row r="814" ht="15" customHeight="1">
      <c r="A814" t="inlineStr">
        <is>
          <t>A 26557-2023</t>
        </is>
      </c>
      <c r="B814" s="1" t="n">
        <v>45089</v>
      </c>
      <c r="C814" s="1" t="n">
        <v>45915</v>
      </c>
      <c r="D814" t="inlineStr">
        <is>
          <t>VÄSTERBOTTENS LÄN</t>
        </is>
      </c>
      <c r="E814" t="inlineStr">
        <is>
          <t>VILHELMINA</t>
        </is>
      </c>
      <c r="G814" t="n">
        <v>0.5</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45915</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36957-2023</t>
        </is>
      </c>
      <c r="B816" s="1" t="n">
        <v>45154.92628472222</v>
      </c>
      <c r="C816" s="1" t="n">
        <v>45915</v>
      </c>
      <c r="D816" t="inlineStr">
        <is>
          <t>VÄSTERBOTTENS LÄN</t>
        </is>
      </c>
      <c r="E816" t="inlineStr">
        <is>
          <t>VILHELMINA</t>
        </is>
      </c>
      <c r="G816" t="n">
        <v>0.5</v>
      </c>
      <c r="H816" t="n">
        <v>0</v>
      </c>
      <c r="I816" t="n">
        <v>0</v>
      </c>
      <c r="J816" t="n">
        <v>0</v>
      </c>
      <c r="K816" t="n">
        <v>0</v>
      </c>
      <c r="L816" t="n">
        <v>0</v>
      </c>
      <c r="M816" t="n">
        <v>0</v>
      </c>
      <c r="N816" t="n">
        <v>0</v>
      </c>
      <c r="O816" t="n">
        <v>0</v>
      </c>
      <c r="P816" t="n">
        <v>0</v>
      </c>
      <c r="Q816" t="n">
        <v>0</v>
      </c>
      <c r="R816" s="2" t="inlineStr"/>
    </row>
    <row r="817" ht="15" customHeight="1">
      <c r="A817" t="inlineStr">
        <is>
          <t>A 15639-2024</t>
        </is>
      </c>
      <c r="B817" s="1" t="n">
        <v>45403</v>
      </c>
      <c r="C817" s="1" t="n">
        <v>45915</v>
      </c>
      <c r="D817" t="inlineStr">
        <is>
          <t>VÄSTERBOTTENS LÄN</t>
        </is>
      </c>
      <c r="E817" t="inlineStr">
        <is>
          <t>VILHELMINA</t>
        </is>
      </c>
      <c r="G817" t="n">
        <v>81.90000000000001</v>
      </c>
      <c r="H817" t="n">
        <v>0</v>
      </c>
      <c r="I817" t="n">
        <v>0</v>
      </c>
      <c r="J817" t="n">
        <v>0</v>
      </c>
      <c r="K817" t="n">
        <v>0</v>
      </c>
      <c r="L817" t="n">
        <v>0</v>
      </c>
      <c r="M817" t="n">
        <v>0</v>
      </c>
      <c r="N817" t="n">
        <v>0</v>
      </c>
      <c r="O817" t="n">
        <v>0</v>
      </c>
      <c r="P817" t="n">
        <v>0</v>
      </c>
      <c r="Q817" t="n">
        <v>0</v>
      </c>
      <c r="R817" s="2" t="inlineStr"/>
    </row>
    <row r="818" ht="15" customHeight="1">
      <c r="A818" t="inlineStr">
        <is>
          <t>A 43817-2025</t>
        </is>
      </c>
      <c r="B818" s="1" t="n">
        <v>45912</v>
      </c>
      <c r="C818" s="1" t="n">
        <v>45915</v>
      </c>
      <c r="D818" t="inlineStr">
        <is>
          <t>VÄSTERBOTTENS LÄN</t>
        </is>
      </c>
      <c r="E818" t="inlineStr">
        <is>
          <t>VILHELMINA</t>
        </is>
      </c>
      <c r="G818" t="n">
        <v>23.1</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45915</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5947-2023</t>
        </is>
      </c>
      <c r="B820" s="1" t="n">
        <v>44963.92259259259</v>
      </c>
      <c r="C820" s="1" t="n">
        <v>45915</v>
      </c>
      <c r="D820" t="inlineStr">
        <is>
          <t>VÄSTERBOTTENS LÄN</t>
        </is>
      </c>
      <c r="E820" t="inlineStr">
        <is>
          <t>VILHELMINA</t>
        </is>
      </c>
      <c r="G820" t="n">
        <v>4.3</v>
      </c>
      <c r="H820" t="n">
        <v>0</v>
      </c>
      <c r="I820" t="n">
        <v>0</v>
      </c>
      <c r="J820" t="n">
        <v>0</v>
      </c>
      <c r="K820" t="n">
        <v>0</v>
      </c>
      <c r="L820" t="n">
        <v>0</v>
      </c>
      <c r="M820" t="n">
        <v>0</v>
      </c>
      <c r="N820" t="n">
        <v>0</v>
      </c>
      <c r="O820" t="n">
        <v>0</v>
      </c>
      <c r="P820" t="n">
        <v>0</v>
      </c>
      <c r="Q820" t="n">
        <v>0</v>
      </c>
      <c r="R820" s="2" t="inlineStr"/>
    </row>
    <row r="821" ht="15" customHeight="1">
      <c r="A821" t="inlineStr">
        <is>
          <t>A 65179-2021</t>
        </is>
      </c>
      <c r="B821" s="1" t="n">
        <v>44515</v>
      </c>
      <c r="C821" s="1" t="n">
        <v>45915</v>
      </c>
      <c r="D821" t="inlineStr">
        <is>
          <t>VÄSTERBOTTENS LÄN</t>
        </is>
      </c>
      <c r="E821" t="inlineStr">
        <is>
          <t>VILHELMINA</t>
        </is>
      </c>
      <c r="G821" t="n">
        <v>8</v>
      </c>
      <c r="H821" t="n">
        <v>0</v>
      </c>
      <c r="I821" t="n">
        <v>0</v>
      </c>
      <c r="J821" t="n">
        <v>0</v>
      </c>
      <c r="K821" t="n">
        <v>0</v>
      </c>
      <c r="L821" t="n">
        <v>0</v>
      </c>
      <c r="M821" t="n">
        <v>0</v>
      </c>
      <c r="N821" t="n">
        <v>0</v>
      </c>
      <c r="O821" t="n">
        <v>0</v>
      </c>
      <c r="P821" t="n">
        <v>0</v>
      </c>
      <c r="Q821" t="n">
        <v>0</v>
      </c>
      <c r="R821" s="2" t="inlineStr"/>
    </row>
    <row r="822" ht="15" customHeight="1">
      <c r="A822" t="inlineStr">
        <is>
          <t>A 36569-2025</t>
        </is>
      </c>
      <c r="B822" s="1" t="n">
        <v>45870</v>
      </c>
      <c r="C822" s="1" t="n">
        <v>45915</v>
      </c>
      <c r="D822" t="inlineStr">
        <is>
          <t>VÄSTERBOTTENS LÄN</t>
        </is>
      </c>
      <c r="E822" t="inlineStr">
        <is>
          <t>VILHELMINA</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45915</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45915</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45915</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45915</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45915</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45915</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45915</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45915</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45915</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45915</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45915</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45915</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45915</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45915</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45915</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45915</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45915</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45915</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45915</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45915</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45915</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45915</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45915</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45915</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45915</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45915</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45915</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45915</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45915</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45915</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45915</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45915</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45915</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45915</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45915</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54931-2023</t>
        </is>
      </c>
      <c r="B858" s="1" t="n">
        <v>45229</v>
      </c>
      <c r="C858" s="1" t="n">
        <v>45915</v>
      </c>
      <c r="D858" t="inlineStr">
        <is>
          <t>VÄSTERBOTTENS LÄN</t>
        </is>
      </c>
      <c r="E858" t="inlineStr">
        <is>
          <t>VILHELMINA</t>
        </is>
      </c>
      <c r="G858" t="n">
        <v>14.5</v>
      </c>
      <c r="H858" t="n">
        <v>0</v>
      </c>
      <c r="I858" t="n">
        <v>0</v>
      </c>
      <c r="J858" t="n">
        <v>0</v>
      </c>
      <c r="K858" t="n">
        <v>0</v>
      </c>
      <c r="L858" t="n">
        <v>0</v>
      </c>
      <c r="M858" t="n">
        <v>0</v>
      </c>
      <c r="N858" t="n">
        <v>0</v>
      </c>
      <c r="O858" t="n">
        <v>0</v>
      </c>
      <c r="P858" t="n">
        <v>0</v>
      </c>
      <c r="Q858" t="n">
        <v>0</v>
      </c>
      <c r="R858" s="2" t="inlineStr"/>
    </row>
    <row r="859" ht="15" customHeight="1">
      <c r="A859" t="inlineStr">
        <is>
          <t>A 42976-2024</t>
        </is>
      </c>
      <c r="B859" s="1" t="n">
        <v>45567.37387731481</v>
      </c>
      <c r="C859" s="1" t="n">
        <v>45915</v>
      </c>
      <c r="D859" t="inlineStr">
        <is>
          <t>VÄSTERBOTTENS LÄN</t>
        </is>
      </c>
      <c r="E859" t="inlineStr">
        <is>
          <t>VILHELMINA</t>
        </is>
      </c>
      <c r="F859" t="inlineStr">
        <is>
          <t>SCA</t>
        </is>
      </c>
      <c r="G859" t="n">
        <v>20.6</v>
      </c>
      <c r="H859" t="n">
        <v>0</v>
      </c>
      <c r="I859" t="n">
        <v>0</v>
      </c>
      <c r="J859" t="n">
        <v>0</v>
      </c>
      <c r="K859" t="n">
        <v>0</v>
      </c>
      <c r="L859" t="n">
        <v>0</v>
      </c>
      <c r="M859" t="n">
        <v>0</v>
      </c>
      <c r="N859" t="n">
        <v>0</v>
      </c>
      <c r="O859" t="n">
        <v>0</v>
      </c>
      <c r="P859" t="n">
        <v>0</v>
      </c>
      <c r="Q859" t="n">
        <v>0</v>
      </c>
      <c r="R859" s="2" t="inlineStr"/>
    </row>
    <row r="860" ht="15" customHeight="1">
      <c r="A860" t="inlineStr">
        <is>
          <t>A 7982-2025</t>
        </is>
      </c>
      <c r="B860" s="1" t="n">
        <v>45707.46905092592</v>
      </c>
      <c r="C860" s="1" t="n">
        <v>45915</v>
      </c>
      <c r="D860" t="inlineStr">
        <is>
          <t>VÄSTERBOTTENS LÄN</t>
        </is>
      </c>
      <c r="E860" t="inlineStr">
        <is>
          <t>VILHELMINA</t>
        </is>
      </c>
      <c r="G860" t="n">
        <v>6</v>
      </c>
      <c r="H860" t="n">
        <v>0</v>
      </c>
      <c r="I860" t="n">
        <v>0</v>
      </c>
      <c r="J860" t="n">
        <v>0</v>
      </c>
      <c r="K860" t="n">
        <v>0</v>
      </c>
      <c r="L860" t="n">
        <v>0</v>
      </c>
      <c r="M860" t="n">
        <v>0</v>
      </c>
      <c r="N860" t="n">
        <v>0</v>
      </c>
      <c r="O860" t="n">
        <v>0</v>
      </c>
      <c r="P860" t="n">
        <v>0</v>
      </c>
      <c r="Q860" t="n">
        <v>0</v>
      </c>
      <c r="R860" s="2" t="inlineStr"/>
    </row>
    <row r="861" ht="15" customHeight="1">
      <c r="A861" t="inlineStr">
        <is>
          <t>A 9197-2023</t>
        </is>
      </c>
      <c r="B861" s="1" t="n">
        <v>44977</v>
      </c>
      <c r="C861" s="1" t="n">
        <v>45915</v>
      </c>
      <c r="D861" t="inlineStr">
        <is>
          <t>VÄSTERBOTTENS LÄN</t>
        </is>
      </c>
      <c r="E861" t="inlineStr">
        <is>
          <t>VILHELMINA</t>
        </is>
      </c>
      <c r="G861" t="n">
        <v>8.9</v>
      </c>
      <c r="H861" t="n">
        <v>0</v>
      </c>
      <c r="I861" t="n">
        <v>0</v>
      </c>
      <c r="J861" t="n">
        <v>0</v>
      </c>
      <c r="K861" t="n">
        <v>0</v>
      </c>
      <c r="L861" t="n">
        <v>0</v>
      </c>
      <c r="M861" t="n">
        <v>0</v>
      </c>
      <c r="N861" t="n">
        <v>0</v>
      </c>
      <c r="O861" t="n">
        <v>0</v>
      </c>
      <c r="P861" t="n">
        <v>0</v>
      </c>
      <c r="Q861" t="n">
        <v>0</v>
      </c>
      <c r="R861" s="2" t="inlineStr"/>
    </row>
    <row r="862" ht="15" customHeight="1">
      <c r="A862" t="inlineStr">
        <is>
          <t>A 15176-2022</t>
        </is>
      </c>
      <c r="B862" s="1" t="n">
        <v>44658</v>
      </c>
      <c r="C862" s="1" t="n">
        <v>45915</v>
      </c>
      <c r="D862" t="inlineStr">
        <is>
          <t>VÄSTERBOTTENS LÄN</t>
        </is>
      </c>
      <c r="E862" t="inlineStr">
        <is>
          <t>VILHELMINA</t>
        </is>
      </c>
      <c r="G862" t="n">
        <v>1.6</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45147.9540625</v>
      </c>
      <c r="C863" s="1" t="n">
        <v>45915</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36219-2023</t>
        </is>
      </c>
      <c r="B864" s="1" t="n">
        <v>45149.95310185185</v>
      </c>
      <c r="C864" s="1" t="n">
        <v>45915</v>
      </c>
      <c r="D864" t="inlineStr">
        <is>
          <t>VÄSTERBOTTENS LÄN</t>
        </is>
      </c>
      <c r="E864" t="inlineStr">
        <is>
          <t>VILHELMINA</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35758-2023</t>
        </is>
      </c>
      <c r="B865" s="1" t="n">
        <v>45147.95452546296</v>
      </c>
      <c r="C865" s="1" t="n">
        <v>45915</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12368-2025</t>
        </is>
      </c>
      <c r="B866" s="1" t="n">
        <v>45730.37633101852</v>
      </c>
      <c r="C866" s="1" t="n">
        <v>45915</v>
      </c>
      <c r="D866" t="inlineStr">
        <is>
          <t>VÄSTERBOTTENS LÄN</t>
        </is>
      </c>
      <c r="E866" t="inlineStr">
        <is>
          <t>VILHELMINA</t>
        </is>
      </c>
      <c r="F866" t="inlineStr">
        <is>
          <t>Övriga statliga verk och myndigheter</t>
        </is>
      </c>
      <c r="G866" t="n">
        <v>14.8</v>
      </c>
      <c r="H866" t="n">
        <v>0</v>
      </c>
      <c r="I866" t="n">
        <v>0</v>
      </c>
      <c r="J866" t="n">
        <v>0</v>
      </c>
      <c r="K866" t="n">
        <v>0</v>
      </c>
      <c r="L866" t="n">
        <v>0</v>
      </c>
      <c r="M866" t="n">
        <v>0</v>
      </c>
      <c r="N866" t="n">
        <v>0</v>
      </c>
      <c r="O866" t="n">
        <v>0</v>
      </c>
      <c r="P866" t="n">
        <v>0</v>
      </c>
      <c r="Q866" t="n">
        <v>0</v>
      </c>
      <c r="R866" s="2" t="inlineStr"/>
    </row>
    <row r="867" ht="15" customHeight="1">
      <c r="A867" t="inlineStr">
        <is>
          <t>A 12373-2025</t>
        </is>
      </c>
      <c r="B867" s="1" t="n">
        <v>45730</v>
      </c>
      <c r="C867" s="1" t="n">
        <v>45915</v>
      </c>
      <c r="D867" t="inlineStr">
        <is>
          <t>VÄSTERBOTTENS LÄN</t>
        </is>
      </c>
      <c r="E867" t="inlineStr">
        <is>
          <t>VILHELMINA</t>
        </is>
      </c>
      <c r="F867" t="inlineStr">
        <is>
          <t>Övriga statliga verk och myndigheter</t>
        </is>
      </c>
      <c r="G867" t="n">
        <v>25.5</v>
      </c>
      <c r="H867" t="n">
        <v>0</v>
      </c>
      <c r="I867" t="n">
        <v>0</v>
      </c>
      <c r="J867" t="n">
        <v>0</v>
      </c>
      <c r="K867" t="n">
        <v>0</v>
      </c>
      <c r="L867" t="n">
        <v>0</v>
      </c>
      <c r="M867" t="n">
        <v>0</v>
      </c>
      <c r="N867" t="n">
        <v>0</v>
      </c>
      <c r="O867" t="n">
        <v>0</v>
      </c>
      <c r="P867" t="n">
        <v>0</v>
      </c>
      <c r="Q867" t="n">
        <v>0</v>
      </c>
      <c r="R867" s="2" t="inlineStr"/>
    </row>
    <row r="868" ht="15" customHeight="1">
      <c r="A868" t="inlineStr">
        <is>
          <t>A 60782-2023</t>
        </is>
      </c>
      <c r="B868" s="1" t="n">
        <v>45259</v>
      </c>
      <c r="C868" s="1" t="n">
        <v>45915</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9815-2024</t>
        </is>
      </c>
      <c r="B869" s="1" t="n">
        <v>45362.96927083333</v>
      </c>
      <c r="C869" s="1" t="n">
        <v>45915</v>
      </c>
      <c r="D869" t="inlineStr">
        <is>
          <t>VÄSTERBOTTENS LÄN</t>
        </is>
      </c>
      <c r="E869" t="inlineStr">
        <is>
          <t>VILHELMINA</t>
        </is>
      </c>
      <c r="G869" t="n">
        <v>1.3</v>
      </c>
      <c r="H869" t="n">
        <v>0</v>
      </c>
      <c r="I869" t="n">
        <v>0</v>
      </c>
      <c r="J869" t="n">
        <v>0</v>
      </c>
      <c r="K869" t="n">
        <v>0</v>
      </c>
      <c r="L869" t="n">
        <v>0</v>
      </c>
      <c r="M869" t="n">
        <v>0</v>
      </c>
      <c r="N869" t="n">
        <v>0</v>
      </c>
      <c r="O869" t="n">
        <v>0</v>
      </c>
      <c r="P869" t="n">
        <v>0</v>
      </c>
      <c r="Q869" t="n">
        <v>0</v>
      </c>
      <c r="R869" s="2" t="inlineStr"/>
    </row>
    <row r="870" ht="15" customHeight="1">
      <c r="A870" t="inlineStr">
        <is>
          <t>A 60151-2024</t>
        </is>
      </c>
      <c r="B870" s="1" t="n">
        <v>45642.61490740741</v>
      </c>
      <c r="C870" s="1" t="n">
        <v>45915</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8908-2023</t>
        </is>
      </c>
      <c r="B871" s="1" t="n">
        <v>44972</v>
      </c>
      <c r="C871" s="1" t="n">
        <v>45915</v>
      </c>
      <c r="D871" t="inlineStr">
        <is>
          <t>VÄSTERBOTTENS LÄN</t>
        </is>
      </c>
      <c r="E871" t="inlineStr">
        <is>
          <t>VILHELMINA</t>
        </is>
      </c>
      <c r="F871" t="inlineStr">
        <is>
          <t>Allmännings- och besparingsskogar</t>
        </is>
      </c>
      <c r="G871" t="n">
        <v>22.3</v>
      </c>
      <c r="H871" t="n">
        <v>0</v>
      </c>
      <c r="I871" t="n">
        <v>0</v>
      </c>
      <c r="J871" t="n">
        <v>0</v>
      </c>
      <c r="K871" t="n">
        <v>0</v>
      </c>
      <c r="L871" t="n">
        <v>0</v>
      </c>
      <c r="M871" t="n">
        <v>0</v>
      </c>
      <c r="N871" t="n">
        <v>0</v>
      </c>
      <c r="O871" t="n">
        <v>0</v>
      </c>
      <c r="P871" t="n">
        <v>0</v>
      </c>
      <c r="Q871" t="n">
        <v>0</v>
      </c>
      <c r="R871" s="2" t="inlineStr"/>
    </row>
    <row r="872" ht="15" customHeight="1">
      <c r="A872" t="inlineStr">
        <is>
          <t>A 6665-2021</t>
        </is>
      </c>
      <c r="B872" s="1" t="n">
        <v>44235</v>
      </c>
      <c r="C872" s="1" t="n">
        <v>45915</v>
      </c>
      <c r="D872" t="inlineStr">
        <is>
          <t>VÄSTERBOTTENS LÄN</t>
        </is>
      </c>
      <c r="E872" t="inlineStr">
        <is>
          <t>VILHELMINA</t>
        </is>
      </c>
      <c r="G872" t="n">
        <v>20</v>
      </c>
      <c r="H872" t="n">
        <v>0</v>
      </c>
      <c r="I872" t="n">
        <v>0</v>
      </c>
      <c r="J872" t="n">
        <v>0</v>
      </c>
      <c r="K872" t="n">
        <v>0</v>
      </c>
      <c r="L872" t="n">
        <v>0</v>
      </c>
      <c r="M872" t="n">
        <v>0</v>
      </c>
      <c r="N872" t="n">
        <v>0</v>
      </c>
      <c r="O872" t="n">
        <v>0</v>
      </c>
      <c r="P872" t="n">
        <v>0</v>
      </c>
      <c r="Q872" t="n">
        <v>0</v>
      </c>
      <c r="R872" s="2" t="inlineStr"/>
    </row>
    <row r="873" ht="15" customHeight="1">
      <c r="A873" t="inlineStr">
        <is>
          <t>A 48424-2023</t>
        </is>
      </c>
      <c r="B873" s="1" t="n">
        <v>45205</v>
      </c>
      <c r="C873" s="1" t="n">
        <v>45915</v>
      </c>
      <c r="D873" t="inlineStr">
        <is>
          <t>VÄSTERBOTTENS LÄN</t>
        </is>
      </c>
      <c r="E873" t="inlineStr">
        <is>
          <t>VILHELMINA</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44714-2021</t>
        </is>
      </c>
      <c r="B874" s="1" t="n">
        <v>44435</v>
      </c>
      <c r="C874" s="1" t="n">
        <v>45915</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19221-2025</t>
        </is>
      </c>
      <c r="B875" s="1" t="n">
        <v>45769</v>
      </c>
      <c r="C875" s="1" t="n">
        <v>45915</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8556-2025</t>
        </is>
      </c>
      <c r="B876" s="1" t="n">
        <v>45709</v>
      </c>
      <c r="C876" s="1" t="n">
        <v>45915</v>
      </c>
      <c r="D876" t="inlineStr">
        <is>
          <t>VÄSTERBOTTENS LÄN</t>
        </is>
      </c>
      <c r="E876" t="inlineStr">
        <is>
          <t>VILHELMINA</t>
        </is>
      </c>
      <c r="G876" t="n">
        <v>1</v>
      </c>
      <c r="H876" t="n">
        <v>0</v>
      </c>
      <c r="I876" t="n">
        <v>0</v>
      </c>
      <c r="J876" t="n">
        <v>0</v>
      </c>
      <c r="K876" t="n">
        <v>0</v>
      </c>
      <c r="L876" t="n">
        <v>0</v>
      </c>
      <c r="M876" t="n">
        <v>0</v>
      </c>
      <c r="N876" t="n">
        <v>0</v>
      </c>
      <c r="O876" t="n">
        <v>0</v>
      </c>
      <c r="P876" t="n">
        <v>0</v>
      </c>
      <c r="Q876" t="n">
        <v>0</v>
      </c>
      <c r="R876" s="2" t="inlineStr"/>
    </row>
    <row r="877" ht="15" customHeight="1">
      <c r="A877" t="inlineStr">
        <is>
          <t>A 57324-2022</t>
        </is>
      </c>
      <c r="B877" s="1" t="n">
        <v>44889</v>
      </c>
      <c r="C877" s="1" t="n">
        <v>45915</v>
      </c>
      <c r="D877" t="inlineStr">
        <is>
          <t>VÄSTERBOTTENS LÄN</t>
        </is>
      </c>
      <c r="E877" t="inlineStr">
        <is>
          <t>VILHELMINA</t>
        </is>
      </c>
      <c r="G877" t="n">
        <v>1.7</v>
      </c>
      <c r="H877" t="n">
        <v>0</v>
      </c>
      <c r="I877" t="n">
        <v>0</v>
      </c>
      <c r="J877" t="n">
        <v>0</v>
      </c>
      <c r="K877" t="n">
        <v>0</v>
      </c>
      <c r="L877" t="n">
        <v>0</v>
      </c>
      <c r="M877" t="n">
        <v>0</v>
      </c>
      <c r="N877" t="n">
        <v>0</v>
      </c>
      <c r="O877" t="n">
        <v>0</v>
      </c>
      <c r="P877" t="n">
        <v>0</v>
      </c>
      <c r="Q877" t="n">
        <v>0</v>
      </c>
      <c r="R877" s="2" t="inlineStr"/>
    </row>
    <row r="878" ht="15" customHeight="1">
      <c r="A878" t="inlineStr">
        <is>
          <t>A 14254-2025</t>
        </is>
      </c>
      <c r="B878" s="1" t="n">
        <v>45740.61644675926</v>
      </c>
      <c r="C878" s="1" t="n">
        <v>45915</v>
      </c>
      <c r="D878" t="inlineStr">
        <is>
          <t>VÄSTERBOTTENS LÄN</t>
        </is>
      </c>
      <c r="E878" t="inlineStr">
        <is>
          <t>VILHELMINA</t>
        </is>
      </c>
      <c r="G878" t="n">
        <v>2</v>
      </c>
      <c r="H878" t="n">
        <v>0</v>
      </c>
      <c r="I878" t="n">
        <v>0</v>
      </c>
      <c r="J878" t="n">
        <v>0</v>
      </c>
      <c r="K878" t="n">
        <v>0</v>
      </c>
      <c r="L878" t="n">
        <v>0</v>
      </c>
      <c r="M878" t="n">
        <v>0</v>
      </c>
      <c r="N878" t="n">
        <v>0</v>
      </c>
      <c r="O878" t="n">
        <v>0</v>
      </c>
      <c r="P878" t="n">
        <v>0</v>
      </c>
      <c r="Q878" t="n">
        <v>0</v>
      </c>
      <c r="R878" s="2" t="inlineStr"/>
    </row>
    <row r="879" ht="15" customHeight="1">
      <c r="A879" t="inlineStr">
        <is>
          <t>A 17307-2025</t>
        </is>
      </c>
      <c r="B879" s="1" t="n">
        <v>45756</v>
      </c>
      <c r="C879" s="1" t="n">
        <v>45915</v>
      </c>
      <c r="D879" t="inlineStr">
        <is>
          <t>VÄSTERBOTTENS LÄN</t>
        </is>
      </c>
      <c r="E879" t="inlineStr">
        <is>
          <t>VILHELMINA</t>
        </is>
      </c>
      <c r="G879" t="n">
        <v>11.2</v>
      </c>
      <c r="H879" t="n">
        <v>0</v>
      </c>
      <c r="I879" t="n">
        <v>0</v>
      </c>
      <c r="J879" t="n">
        <v>0</v>
      </c>
      <c r="K879" t="n">
        <v>0</v>
      </c>
      <c r="L879" t="n">
        <v>0</v>
      </c>
      <c r="M879" t="n">
        <v>0</v>
      </c>
      <c r="N879" t="n">
        <v>0</v>
      </c>
      <c r="O879" t="n">
        <v>0</v>
      </c>
      <c r="P879" t="n">
        <v>0</v>
      </c>
      <c r="Q879" t="n">
        <v>0</v>
      </c>
      <c r="R879" s="2" t="inlineStr"/>
    </row>
    <row r="880" ht="15" customHeight="1">
      <c r="A880" t="inlineStr">
        <is>
          <t>A 35006-2023</t>
        </is>
      </c>
      <c r="B880" s="1" t="n">
        <v>45142.95103009259</v>
      </c>
      <c r="C880" s="1" t="n">
        <v>45915</v>
      </c>
      <c r="D880" t="inlineStr">
        <is>
          <t>VÄSTERBOTTENS LÄN</t>
        </is>
      </c>
      <c r="E880" t="inlineStr">
        <is>
          <t>VILHELMINA</t>
        </is>
      </c>
      <c r="F880" t="inlineStr">
        <is>
          <t>SCA</t>
        </is>
      </c>
      <c r="G880" t="n">
        <v>11.6</v>
      </c>
      <c r="H880" t="n">
        <v>0</v>
      </c>
      <c r="I880" t="n">
        <v>0</v>
      </c>
      <c r="J880" t="n">
        <v>0</v>
      </c>
      <c r="K880" t="n">
        <v>0</v>
      </c>
      <c r="L880" t="n">
        <v>0</v>
      </c>
      <c r="M880" t="n">
        <v>0</v>
      </c>
      <c r="N880" t="n">
        <v>0</v>
      </c>
      <c r="O880" t="n">
        <v>0</v>
      </c>
      <c r="P880" t="n">
        <v>0</v>
      </c>
      <c r="Q880" t="n">
        <v>0</v>
      </c>
      <c r="R880" s="2" t="inlineStr"/>
    </row>
    <row r="881">
      <c r="A881" t="inlineStr">
        <is>
          <t>A 252-2025</t>
        </is>
      </c>
      <c r="B881" s="1" t="n">
        <v>45660.42734953704</v>
      </c>
      <c r="C881" s="1" t="n">
        <v>45915</v>
      </c>
      <c r="D881" t="inlineStr">
        <is>
          <t>VÄSTERBOTTENS LÄN</t>
        </is>
      </c>
      <c r="E881" t="inlineStr">
        <is>
          <t>VILHELMINA</t>
        </is>
      </c>
      <c r="F881" t="inlineStr">
        <is>
          <t>SCA</t>
        </is>
      </c>
      <c r="G881" t="n">
        <v>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2025-09-15T08:55:03Z</dcterms:created>
  <dcterms:modified xmlns:dcterms="http://purl.org/dc/terms/" xmlns:xsi="http://www.w3.org/2001/XMLSchema-instance" xsi:type="dcterms:W3CDTF">2025-09-15T08:55:03Z</dcterms:modified>
</cp:coreProperties>
</file>