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45364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45364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45364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45364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45364</v>
      </c>
      <c r="D9" t="inlineStr">
        <is>
          <t>VÄSTERBOTTENS LÄN</t>
        </is>
      </c>
      <c r="E9" t="inlineStr">
        <is>
          <t>VILHELMINA</t>
        </is>
      </c>
      <c r="F9" t="inlineStr">
        <is>
          <t>Allmännings- och besparingsskogar</t>
        </is>
      </c>
      <c r="G9" t="n">
        <v>20.1</v>
      </c>
      <c r="H9" t="n">
        <v>3</v>
      </c>
      <c r="I9" t="n">
        <v>6</v>
      </c>
      <c r="J9" t="n">
        <v>16</v>
      </c>
      <c r="K9" t="n">
        <v>6</v>
      </c>
      <c r="L9" t="n">
        <v>0</v>
      </c>
      <c r="M9" t="n">
        <v>0</v>
      </c>
      <c r="N9" t="n">
        <v>0</v>
      </c>
      <c r="O9" t="n">
        <v>22</v>
      </c>
      <c r="P9" t="n">
        <v>6</v>
      </c>
      <c r="Q9" t="n">
        <v>28</v>
      </c>
      <c r="R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45364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45364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45364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45364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45364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45364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45364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45364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45364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45364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45364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45364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45364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45364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45364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45364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45364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45364</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45364</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45364</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48248-2023</t>
        </is>
      </c>
      <c r="B30" s="1" t="n">
        <v>45201</v>
      </c>
      <c r="C30" s="1" t="n">
        <v>45364</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66998-2021</t>
        </is>
      </c>
      <c r="B31" s="1" t="n">
        <v>44522</v>
      </c>
      <c r="C31" s="1" t="n">
        <v>45364</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49183-2023</t>
        </is>
      </c>
      <c r="B32" s="1" t="n">
        <v>45205</v>
      </c>
      <c r="C32" s="1" t="n">
        <v>45364</v>
      </c>
      <c r="D32" t="inlineStr">
        <is>
          <t>VÄSTERBOTTENS LÄN</t>
        </is>
      </c>
      <c r="E32" t="inlineStr">
        <is>
          <t>VILHELMINA</t>
        </is>
      </c>
      <c r="F32" t="inlineStr">
        <is>
          <t>Allmännings- och besparingsskogar</t>
        </is>
      </c>
      <c r="G32" t="n">
        <v>32.9</v>
      </c>
      <c r="H32" t="n">
        <v>3</v>
      </c>
      <c r="I32" t="n">
        <v>4</v>
      </c>
      <c r="J32" t="n">
        <v>12</v>
      </c>
      <c r="K32" t="n">
        <v>0</v>
      </c>
      <c r="L32" t="n">
        <v>0</v>
      </c>
      <c r="M32" t="n">
        <v>0</v>
      </c>
      <c r="N32" t="n">
        <v>0</v>
      </c>
      <c r="O32" t="n">
        <v>12</v>
      </c>
      <c r="P32" t="n">
        <v>0</v>
      </c>
      <c r="Q32" t="n">
        <v>17</v>
      </c>
      <c r="R32" s="2" t="inlineStr">
        <is>
          <t>Doftskinn
Garnlav
Granticka
Gränsticka
Leptoporus mollis
Rosenticka
Rödbrun blekspik
Skogshare
Skrovellav
Talltita
Tretåig hackspett
Ullticka
Rostfläck
Stuplav
Trådticka
Vedticka
Lavskrika</t>
        </is>
      </c>
      <c r="S32">
        <f>HYPERLINK("https://klasma.github.io/Logging_2462/artfynd/A 49183-2023 artfynd.xlsx", "A 49183-2023")</f>
        <v/>
      </c>
      <c r="T32">
        <f>HYPERLINK("https://klasma.github.io/Logging_2462/kartor/A 49183-2023 karta.png", "A 49183-2023")</f>
        <v/>
      </c>
      <c r="V32">
        <f>HYPERLINK("https://klasma.github.io/Logging_2462/klagomål/A 49183-2023 FSC-klagomål.docx", "A 49183-2023")</f>
        <v/>
      </c>
      <c r="W32">
        <f>HYPERLINK("https://klasma.github.io/Logging_2462/klagomålsmail/A 49183-2023 FSC-klagomål mail.docx", "A 49183-2023")</f>
        <v/>
      </c>
      <c r="X32">
        <f>HYPERLINK("https://klasma.github.io/Logging_2462/tillsyn/A 49183-2023 tillsynsbegäran.docx", "A 49183-2023")</f>
        <v/>
      </c>
      <c r="Y32">
        <f>HYPERLINK("https://klasma.github.io/Logging_2462/tillsynsmail/A 49183-2023 tillsynsbegäran mail.docx", "A 49183-2023")</f>
        <v/>
      </c>
      <c r="Z32">
        <f>HYPERLINK("https://klasma.github.io/Logging_2462/fåglar/A 49183-2023 prioriterade fågelarter.docx", "A 49183-2023")</f>
        <v/>
      </c>
    </row>
    <row r="33" ht="15" customHeight="1">
      <c r="A33" t="inlineStr">
        <is>
          <t>A 44065-2022</t>
        </is>
      </c>
      <c r="B33" s="1" t="n">
        <v>44838</v>
      </c>
      <c r="C33" s="1" t="n">
        <v>45364</v>
      </c>
      <c r="D33" t="inlineStr">
        <is>
          <t>VÄSTERBOTTENS LÄN</t>
        </is>
      </c>
      <c r="E33" t="inlineStr">
        <is>
          <t>VILHELMINA</t>
        </is>
      </c>
      <c r="F33" t="inlineStr">
        <is>
          <t>Allmännings- och besparingsskogar</t>
        </is>
      </c>
      <c r="G33" t="n">
        <v>19.3</v>
      </c>
      <c r="H33" t="n">
        <v>2</v>
      </c>
      <c r="I33" t="n">
        <v>4</v>
      </c>
      <c r="J33" t="n">
        <v>10</v>
      </c>
      <c r="K33" t="n">
        <v>2</v>
      </c>
      <c r="L33" t="n">
        <v>0</v>
      </c>
      <c r="M33" t="n">
        <v>0</v>
      </c>
      <c r="N33" t="n">
        <v>0</v>
      </c>
      <c r="O33" t="n">
        <v>12</v>
      </c>
      <c r="P33" t="n">
        <v>2</v>
      </c>
      <c r="Q33" t="n">
        <v>16</v>
      </c>
      <c r="R33" s="2" t="inlineStr">
        <is>
          <t>Grantickeporing
Ostticka
Gammelgransskål
Garnlav
Granticka
Gränsticka
Knottrig blåslav
Rödbrun blekspik
Spillkråka
Tretåig hackspett
Ullticka
Vitgrynig nållav
Gulnål
Rostfläck
Stuplav
Vedticka</t>
        </is>
      </c>
      <c r="S33">
        <f>HYPERLINK("https://klasma.github.io/Logging_2462/artfynd/A 44065-2022 artfynd.xlsx", "A 44065-2022")</f>
        <v/>
      </c>
      <c r="T33">
        <f>HYPERLINK("https://klasma.github.io/Logging_2462/kartor/A 44065-2022 karta.png", "A 44065-2022")</f>
        <v/>
      </c>
      <c r="V33">
        <f>HYPERLINK("https://klasma.github.io/Logging_2462/klagomål/A 44065-2022 FSC-klagomål.docx", "A 44065-2022")</f>
        <v/>
      </c>
      <c r="W33">
        <f>HYPERLINK("https://klasma.github.io/Logging_2462/klagomålsmail/A 44065-2022 FSC-klagomål mail.docx", "A 44065-2022")</f>
        <v/>
      </c>
      <c r="X33">
        <f>HYPERLINK("https://klasma.github.io/Logging_2462/tillsyn/A 44065-2022 tillsynsbegäran.docx", "A 44065-2022")</f>
        <v/>
      </c>
      <c r="Y33">
        <f>HYPERLINK("https://klasma.github.io/Logging_2462/tillsynsmail/A 44065-2022 tillsynsbegäran mail.docx", "A 44065-2022")</f>
        <v/>
      </c>
      <c r="Z33">
        <f>HYPERLINK("https://klasma.github.io/Logging_2462/fåglar/A 44065-2022 prioriterade fågelarter.docx", "A 44065-2022")</f>
        <v/>
      </c>
    </row>
    <row r="34" ht="15" customHeight="1">
      <c r="A34" t="inlineStr">
        <is>
          <t>A 20418-2023</t>
        </is>
      </c>
      <c r="B34" s="1" t="n">
        <v>45054</v>
      </c>
      <c r="C34" s="1" t="n">
        <v>45364</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48244-2023</t>
        </is>
      </c>
      <c r="B35" s="1" t="n">
        <v>45201</v>
      </c>
      <c r="C35" s="1" t="n">
        <v>45364</v>
      </c>
      <c r="D35" t="inlineStr">
        <is>
          <t>VÄSTERBOTTENS LÄN</t>
        </is>
      </c>
      <c r="E35" t="inlineStr">
        <is>
          <t>VILHELMINA</t>
        </is>
      </c>
      <c r="F35" t="inlineStr">
        <is>
          <t>Allmännings- och besparingsskogar</t>
        </is>
      </c>
      <c r="G35" t="n">
        <v>19.8</v>
      </c>
      <c r="H35" t="n">
        <v>5</v>
      </c>
      <c r="I35" t="n">
        <v>3</v>
      </c>
      <c r="J35" t="n">
        <v>9</v>
      </c>
      <c r="K35" t="n">
        <v>3</v>
      </c>
      <c r="L35" t="n">
        <v>0</v>
      </c>
      <c r="M35" t="n">
        <v>0</v>
      </c>
      <c r="N35" t="n">
        <v>0</v>
      </c>
      <c r="O35" t="n">
        <v>12</v>
      </c>
      <c r="P35" t="n">
        <v>3</v>
      </c>
      <c r="Q35" t="n">
        <v>16</v>
      </c>
      <c r="R35" s="2" t="inlineStr">
        <is>
          <t>Doftticka
Grantickeporing
Tallbit
Garnlav
Granticka
Lunglav
Nordlig nållav
Skrovellav
Talltita
Tretåig hackspett
Ullticka
Vitgrynig nållav
Luddlav
Stuplav
Trådticka
Lavskrika</t>
        </is>
      </c>
      <c r="S35">
        <f>HYPERLINK("https://klasma.github.io/Logging_2462/artfynd/A 48244-2023 artfynd.xlsx", "A 48244-2023")</f>
        <v/>
      </c>
      <c r="T35">
        <f>HYPERLINK("https://klasma.github.io/Logging_2462/kartor/A 48244-2023 karta.png", "A 48244-2023")</f>
        <v/>
      </c>
      <c r="V35">
        <f>HYPERLINK("https://klasma.github.io/Logging_2462/klagomål/A 48244-2023 FSC-klagomål.docx", "A 48244-2023")</f>
        <v/>
      </c>
      <c r="W35">
        <f>HYPERLINK("https://klasma.github.io/Logging_2462/klagomålsmail/A 48244-2023 FSC-klagomål mail.docx", "A 48244-2023")</f>
        <v/>
      </c>
      <c r="X35">
        <f>HYPERLINK("https://klasma.github.io/Logging_2462/tillsyn/A 48244-2023 tillsynsbegäran.docx", "A 48244-2023")</f>
        <v/>
      </c>
      <c r="Y35">
        <f>HYPERLINK("https://klasma.github.io/Logging_2462/tillsynsmail/A 48244-2023 tillsynsbegäran mail.docx", "A 48244-2023")</f>
        <v/>
      </c>
      <c r="Z35">
        <f>HYPERLINK("https://klasma.github.io/Logging_2462/fåglar/A 48244-2023 prioriterade fågelarter.docx", "A 48244-2023")</f>
        <v/>
      </c>
    </row>
    <row r="36" ht="15" customHeight="1">
      <c r="A36" t="inlineStr">
        <is>
          <t>A 66026-2019</t>
        </is>
      </c>
      <c r="B36" s="1" t="n">
        <v>43805</v>
      </c>
      <c r="C36" s="1" t="n">
        <v>45364</v>
      </c>
      <c r="D36" t="inlineStr">
        <is>
          <t>VÄSTERBOTTENS LÄN</t>
        </is>
      </c>
      <c r="E36" t="inlineStr">
        <is>
          <t>VILHELMINA</t>
        </is>
      </c>
      <c r="F36" t="inlineStr">
        <is>
          <t>Kommuner</t>
        </is>
      </c>
      <c r="G36" t="n">
        <v>7.2</v>
      </c>
      <c r="H36" t="n">
        <v>1</v>
      </c>
      <c r="I36" t="n">
        <v>3</v>
      </c>
      <c r="J36" t="n">
        <v>11</v>
      </c>
      <c r="K36" t="n">
        <v>1</v>
      </c>
      <c r="L36" t="n">
        <v>0</v>
      </c>
      <c r="M36" t="n">
        <v>0</v>
      </c>
      <c r="N36" t="n">
        <v>0</v>
      </c>
      <c r="O36" t="n">
        <v>12</v>
      </c>
      <c r="P36" t="n">
        <v>1</v>
      </c>
      <c r="Q36" t="n">
        <v>15</v>
      </c>
      <c r="R36" s="2" t="inlineStr">
        <is>
          <t>Liten sotlav
Doftskinn
Gammelgransskål
Garnlav
Granticka
Gränsticka
Knottrig blåslav
Rödbrun blekspik
Skrovellav
Tretåig hackspett
Ullticka
Vitgrynig nållav
Gulnål
Stuplav
Vedticka</t>
        </is>
      </c>
      <c r="S36">
        <f>HYPERLINK("https://klasma.github.io/Logging_2462/artfynd/A 66026-2019 artfynd.xlsx", "A 66026-2019")</f>
        <v/>
      </c>
      <c r="T36">
        <f>HYPERLINK("https://klasma.github.io/Logging_2462/kartor/A 66026-2019 karta.png", "A 66026-2019")</f>
        <v/>
      </c>
      <c r="V36">
        <f>HYPERLINK("https://klasma.github.io/Logging_2462/klagomål/A 66026-2019 FSC-klagomål.docx", "A 66026-2019")</f>
        <v/>
      </c>
      <c r="W36">
        <f>HYPERLINK("https://klasma.github.io/Logging_2462/klagomålsmail/A 66026-2019 FSC-klagomål mail.docx", "A 66026-2019")</f>
        <v/>
      </c>
      <c r="X36">
        <f>HYPERLINK("https://klasma.github.io/Logging_2462/tillsyn/A 66026-2019 tillsynsbegäran.docx", "A 66026-2019")</f>
        <v/>
      </c>
      <c r="Y36">
        <f>HYPERLINK("https://klasma.github.io/Logging_2462/tillsynsmail/A 66026-2019 tillsynsbegäran mail.docx", "A 66026-2019")</f>
        <v/>
      </c>
      <c r="Z36">
        <f>HYPERLINK("https://klasma.github.io/Logging_2462/fåglar/A 66026-2019 prioriterade fågelarter.docx", "A 66026-2019")</f>
        <v/>
      </c>
    </row>
    <row r="37" ht="15" customHeight="1">
      <c r="A37" t="inlineStr">
        <is>
          <t>A 47881-2020</t>
        </is>
      </c>
      <c r="B37" s="1" t="n">
        <v>44095</v>
      </c>
      <c r="C37" s="1" t="n">
        <v>45364</v>
      </c>
      <c r="D37" t="inlineStr">
        <is>
          <t>VÄSTERBOTTENS LÄN</t>
        </is>
      </c>
      <c r="E37" t="inlineStr">
        <is>
          <t>VILHELMINA</t>
        </is>
      </c>
      <c r="F37" t="inlineStr">
        <is>
          <t>Allmännings- och besparingsskogar</t>
        </is>
      </c>
      <c r="G37" t="n">
        <v>19.8</v>
      </c>
      <c r="H37" t="n">
        <v>2</v>
      </c>
      <c r="I37" t="n">
        <v>5</v>
      </c>
      <c r="J37" t="n">
        <v>8</v>
      </c>
      <c r="K37" t="n">
        <v>2</v>
      </c>
      <c r="L37" t="n">
        <v>0</v>
      </c>
      <c r="M37" t="n">
        <v>0</v>
      </c>
      <c r="N37" t="n">
        <v>0</v>
      </c>
      <c r="O37" t="n">
        <v>10</v>
      </c>
      <c r="P37" t="n">
        <v>2</v>
      </c>
      <c r="Q37" t="n">
        <v>15</v>
      </c>
      <c r="R37" s="2" t="inlineStr">
        <is>
          <t>Rynkskinn
Tajgaskinn
Doftskinn
Granticka
Gränsticka
Harticka
Knottrig blåslav
Skrovellav
Tretåig hackspett
Ullticka
Bårdlav
Luddlav
Spindelblomster
Stuplav
Vedticka</t>
        </is>
      </c>
      <c r="S37">
        <f>HYPERLINK("https://klasma.github.io/Logging_2462/artfynd/A 47881-2020 artfynd.xlsx", "A 47881-2020")</f>
        <v/>
      </c>
      <c r="T37">
        <f>HYPERLINK("https://klasma.github.io/Logging_2462/kartor/A 47881-2020 karta.png", "A 47881-2020")</f>
        <v/>
      </c>
      <c r="V37">
        <f>HYPERLINK("https://klasma.github.io/Logging_2462/klagomål/A 47881-2020 FSC-klagomål.docx", "A 47881-2020")</f>
        <v/>
      </c>
      <c r="W37">
        <f>HYPERLINK("https://klasma.github.io/Logging_2462/klagomålsmail/A 47881-2020 FSC-klagomål mail.docx", "A 47881-2020")</f>
        <v/>
      </c>
      <c r="X37">
        <f>HYPERLINK("https://klasma.github.io/Logging_2462/tillsyn/A 47881-2020 tillsynsbegäran.docx", "A 47881-2020")</f>
        <v/>
      </c>
      <c r="Y37">
        <f>HYPERLINK("https://klasma.github.io/Logging_2462/tillsynsmail/A 47881-2020 tillsynsbegäran mail.docx", "A 47881-2020")</f>
        <v/>
      </c>
      <c r="Z37">
        <f>HYPERLINK("https://klasma.github.io/Logging_2462/fåglar/A 47881-2020 prioriterade fågelarter.docx", "A 47881-2020")</f>
        <v/>
      </c>
    </row>
    <row r="38" ht="15" customHeight="1">
      <c r="A38" t="inlineStr">
        <is>
          <t>A 54843-2021</t>
        </is>
      </c>
      <c r="B38" s="1" t="n">
        <v>44474</v>
      </c>
      <c r="C38" s="1" t="n">
        <v>45364</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45775-2022</t>
        </is>
      </c>
      <c r="B39" s="1" t="n">
        <v>44838</v>
      </c>
      <c r="C39" s="1" t="n">
        <v>45364</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45364</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45364</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45364</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45364</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45364</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45364</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45364</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45364</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45364</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45364</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45364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45364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45364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45364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45364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45364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45364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45364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45364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45364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45364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45364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45364</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45364</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45364</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45364</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45364</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45364</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45364</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45364</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45364</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45364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45364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45364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45364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45364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45364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45364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45364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45364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45364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45364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45364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45364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45364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45364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45364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45364</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45364</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45364</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45364</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45364</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45364</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45364</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45364</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45364</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45364</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45364</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45364</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45364</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45364</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45364</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45364</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45364</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45364</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45364</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45364</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45364</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45364</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45364</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45364</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45364</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45364</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45364</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45364</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45364</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45364</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45364</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45364</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45364</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45364</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45364</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45364</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45364</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45364</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45364</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45364</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45364</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45364</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45364</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45364</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45364</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45364</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45364</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45364</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45364</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45364</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45364</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45364</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45364</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45364</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45364</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45364</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45364</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45364</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45364</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45364</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45364</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45364</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45364</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45364</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45364</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45364</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45364</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45364</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45364</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45364</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45364</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45364</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45364</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45364</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45364</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45364</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45364</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45364</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45364</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45364</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45364</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45364</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45364</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45364</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45364</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45364</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45364</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45364</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45364</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45364</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45364</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45364</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45364</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45364</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45364</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45364</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45364</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45364</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45364</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45364</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45364</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45364</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45364</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45364</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45364</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45364</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45364</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45364</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45364</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45364</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45364</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45364</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45364</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45364</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45364</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45364</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45364</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45364</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45364</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45364</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45364</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45364</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45364</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45364</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45364</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45364</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45364</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45364</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45364</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45364</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45364</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45364</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45364</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45364</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45364</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45364</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45364</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45364</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45364</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45364</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45364</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45364</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45364</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45364</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45364</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45364</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45364</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45364</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45364</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45364</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45364</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45364</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45364</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45364</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45364</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45364</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45364</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45364</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45364</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45364</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45364</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45364</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45364</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45364</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45364</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45364</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45364</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45364</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45364</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45364</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45364</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45364</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45364</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45364</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45364</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45364</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45364</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45364</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45364</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45364</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45364</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45364</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45364</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45364</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45364</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45364</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45364</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45364</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45364</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45364</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45364</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45364</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45364</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45364</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45364</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45364</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45364</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45364</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45364</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45364</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45364</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45364</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45364</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45364</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45364</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45364</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45364</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45364</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45364</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45364</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45364</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45364</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45364</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45364</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45364</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45364</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45364</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45364</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45364</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45364</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45364</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45364</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45364</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45364</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45364</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45364</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45364</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45364</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45364</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45364</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45364</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45364</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45364</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45364</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45364</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45364</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45364</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45364</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45364</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45364</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45364</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45364</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45364</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45364</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45364</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45364</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45364</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45364</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45364</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45364</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45364</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45364</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45364</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45364</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45364</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45364</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45364</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45364</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45364</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45364</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45364</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45364</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45364</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45364</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45364</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45364</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45364</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45364</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45364</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45364</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45364</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45364</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45364</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45364</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45364</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45364</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45364</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45364</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45364</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45364</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45364</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45364</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45364</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45364</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45364</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45364</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45364</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45364</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45364</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45364</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45364</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45364</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45364</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45364</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45364</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45364</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45364</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45364</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45364</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45364</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45364</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45364</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45364</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45364</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45364</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45364</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45364</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45364</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45364</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45364</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45364</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45364</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45364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45364</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45364</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45364</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45364</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45364</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45364</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45364</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45364</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45364</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45364</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45364</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45364</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45364</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45364</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45364</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45364</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45364</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45364</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45364</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45364</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45364</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45364</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45364</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45364</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45364</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45364</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45364</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45364</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45364</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45364</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45364</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45364</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45364</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45364</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45364</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45364</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45364</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45364</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45364</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45364</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45364</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45364</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45364</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45364</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45364</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45364</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45364</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45364</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45364</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45364</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45364</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45364</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45364</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45364</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45364</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45364</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45364</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45364</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45364</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45364</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45364</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45364</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45364</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45364</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45364</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45364</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45364</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45364</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45364</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45364</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45364</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45364</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45364</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45364</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45364</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45364</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45364</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45364</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45364</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45364</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45364</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45364</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45364</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45364</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45364</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45364</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45364</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45364</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45364</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45364</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45364</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45364</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45364</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45364</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45364</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45364</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45364</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45364</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45364</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45364</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45364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45364</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45364</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45364</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45364</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45364</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45364</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45364</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45364</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45364</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45364</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45364</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45364</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45364</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45364</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45364</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45364</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45364</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45364</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45364</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45364</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45364</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45364</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45364</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45364</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45364</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45364</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45364</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45364</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45364</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45364</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45364</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45364</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45364</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45364</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45364</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45364</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45364</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45364</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45364</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45364</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45364</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45364</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45364</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45364</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45364</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45364</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45364</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45364</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45364</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45364</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45364</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45364</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45364</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45364</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45364</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45364</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45364</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45364</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45364</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45364</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45364</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45364</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45364</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45364</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45364</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45364</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45364</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45364</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45364</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45364</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45364</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45364</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45364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45364</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45364</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45364</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45364</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45364</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45364</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45364</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45364</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45364</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45364</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45364</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45364</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45364</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45364</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45364</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45364</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45364</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45364</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45364</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45364</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45364</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45364</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45364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45364</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45364</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45364</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45364</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45364</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45364</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45364</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45364</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45364</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45364</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45364</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45364</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45364</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45364</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45364</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45364</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45364</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45364</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45364</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45364</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45364</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45364</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45364</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45364</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45364</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45364</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45364</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45364</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45364</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45364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45364</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45364</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45364</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45364</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45364</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45364</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45364</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45364</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45364</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45364</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45364</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45364</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45364</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45364</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45364</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45364</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45364</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45364</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45364</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45364</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45364</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45364</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45364</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45364</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45364</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45364</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45364</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45364</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45364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45364</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45364</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45364</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45364</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45364</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45364</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45364</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45364</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45364</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45364</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45364</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45364</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45364</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45364</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45364</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45364</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45364</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45364</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45364</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45364</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45364</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45364</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45364</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45364</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45364</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45364</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45364</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45364</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45364</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45364</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45364</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45364</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45364</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45364</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45364</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45364</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45364</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45364</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45364</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45364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45364</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45364</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45364</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45364</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45364</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45364</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45364</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45364</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45364</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45364</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45364</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45364</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45364</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45364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45364</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45364</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45364</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45364</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45364</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45364</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45364</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45364</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45364</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45364</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45364</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45364</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45364</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45364</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45364</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45364</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45364</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45364</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45364</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45364</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45364</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45364</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45364</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45364</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45364</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45364</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45364</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45364</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45364</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45364</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45364</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45364</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45364</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45364</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45364</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45364</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45364</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45364</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45364</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45364</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45364</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45364</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45364</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45364</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45364</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45364</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45364</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45364</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45364</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45364</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45364</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45364</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45364</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45364</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45364</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45364</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45364</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45364</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45364</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45364</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45364</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45364</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45364</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45364</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45364</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45364</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45364</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45364</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45364</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45364</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45364</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45364</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45364</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45364</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45364</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45364</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45364</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45364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45364</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45364</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45364</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45364</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45364</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45364</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45364</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45364</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45364</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45364</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45364</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45364</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45364</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45364</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45364</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45364</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45364</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45364</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45364</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45364</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45364</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45364</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45364</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45364</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45364</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45364</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45364</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45364</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45364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45364</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45364</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45364</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45364</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45364</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45364</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45364</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45364</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45364</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45364</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45364</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45364</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45364</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45364</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45364</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45364</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45364</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45364</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45364</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45364</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45364</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45364</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45364</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45364</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45364</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45364</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45364</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45364</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45364</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45364</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45364</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45364</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45364</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45364</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45364</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45364</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45364</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45364</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45364</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45364</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45364</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45364</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45364</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45364</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45364</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45364</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45364</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45364</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45364</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45364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45364</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45364</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45364</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45364</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45364</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45364</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45364</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45364</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45364</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45364</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45364</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45364</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45364</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45364</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45364</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45364</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45364</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45364</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45364</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45364</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45364</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45364</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45364</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45364</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45364</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45364</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45364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45364</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45364</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45364</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45364</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45364</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45364</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45364</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45364</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45364</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45364</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45364</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45364</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45364</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45364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45364</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45364</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45364</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45364</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45364</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45364</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45364</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45364</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45364</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45364</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45364</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45364</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45364</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45364</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45364</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45364</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45364</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45364</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45364</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45364</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45364</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45364</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45364</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45364</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45364</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45364</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45364</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45364</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45364</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45364</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45364</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45364</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45364</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45364</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45364</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45364</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45364</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45364</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45364</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45364</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45364</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45364</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45364</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45364</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45364</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45364</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45364</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45364</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45364</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45364</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45364</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45364</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45364</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45364</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45364</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45364</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45364</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45364</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45364</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45364</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45364</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45364</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45364</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45364</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45364</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45364</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45364</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45364</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45364</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45364</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45364</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45364</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45364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45364</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45364</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45364</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45364</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45364</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45364</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45364</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45364</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45364</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45364</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45364</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45364</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45364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45364</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45364</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45364</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45364</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45364</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45364</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45364</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45364</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45364</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45364</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45364</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45364</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45364</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45364</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45364</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45364</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45364</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45364</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45364</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45364</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45364</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45364</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45364</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45364</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45364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45364</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45364</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45364</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45364</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45364</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45364</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45364</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45364</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45364</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45364</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45364</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45364</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45364</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45364</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45364</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45364</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45364</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45364</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45364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45364</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45364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45364</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45364</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45364</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45364</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45364</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45364</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45364</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45364</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45364</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45364</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45364</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45364</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45364</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45364</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45364</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45364</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45364</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45364</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45364</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45364</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45364</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45364</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45364</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45364</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45364</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45364</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45364</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45364</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45364</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45364</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45364</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45364</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45364</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45364</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45364</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45364</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45364</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45364</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45364</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45364</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45364</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45364</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45364</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45364</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45364</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45364</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45364</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7762-2024</t>
        </is>
      </c>
      <c r="B1087" s="1" t="n">
        <v>45349</v>
      </c>
      <c r="C1087" s="1" t="n">
        <v>45364</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45364</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8664-2024</t>
        </is>
      </c>
      <c r="B1089" s="1" t="n">
        <v>45356</v>
      </c>
      <c r="C1089" s="1" t="n">
        <v>45364</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row r="1090">
      <c r="A1090" t="inlineStr">
        <is>
          <t>A 9815-2024</t>
        </is>
      </c>
      <c r="B1090" s="1" t="n">
        <v>45363</v>
      </c>
      <c r="C1090" s="1" t="n">
        <v>45364</v>
      </c>
      <c r="D1090" t="inlineStr">
        <is>
          <t>VÄSTERBOTTENS LÄN</t>
        </is>
      </c>
      <c r="E1090" t="inlineStr">
        <is>
          <t>VILHELMINA</t>
        </is>
      </c>
      <c r="G1090" t="n">
        <v>1.3</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2024-03-13T14:03:02Z</dcterms:created>
  <dcterms:modified xmlns:dcterms="http://purl.org/dc/terms/" xmlns:xsi="http://www.w3.org/2001/XMLSchema-instance" xsi:type="dcterms:W3CDTF">2024-03-13T14:03:03Z</dcterms:modified>
</cp:coreProperties>
</file>