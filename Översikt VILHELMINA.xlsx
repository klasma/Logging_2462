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45892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45892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45892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45892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45892</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45892</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45892</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45892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45892</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45892</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45892</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45892</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45892</v>
      </c>
      <c r="D17" t="inlineStr">
        <is>
          <t>VÄSTERBOTTENS LÄN</t>
        </is>
      </c>
      <c r="E17" t="inlineStr">
        <is>
          <t>VILHELMINA</t>
        </is>
      </c>
      <c r="F17" t="inlineStr">
        <is>
          <t>Allmännings- och besparingsskogar</t>
        </is>
      </c>
      <c r="G17" t="n">
        <v>21.9</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56621-2024</t>
        </is>
      </c>
      <c r="B18" s="1" t="n">
        <v>45625</v>
      </c>
      <c r="C18" s="1" t="n">
        <v>45892</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63165-2020</t>
        </is>
      </c>
      <c r="B19" s="1" t="n">
        <v>44162</v>
      </c>
      <c r="C19" s="1" t="n">
        <v>45892</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45892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45892</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45892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45892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11282-2021</t>
        </is>
      </c>
      <c r="B24" s="1" t="n">
        <v>44263</v>
      </c>
      <c r="C24" s="1" t="n">
        <v>45892</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45892</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9057-2023</t>
        </is>
      </c>
      <c r="B26" s="1" t="n">
        <v>44972</v>
      </c>
      <c r="C26" s="1" t="n">
        <v>45892</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46776-2024</t>
        </is>
      </c>
      <c r="B27" s="1" t="n">
        <v>45583</v>
      </c>
      <c r="C27" s="1" t="n">
        <v>45892</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9048-2023</t>
        </is>
      </c>
      <c r="B28" s="1" t="n">
        <v>44972</v>
      </c>
      <c r="C28" s="1" t="n">
        <v>45892</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45892</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42064-2024</t>
        </is>
      </c>
      <c r="B30" s="1" t="n">
        <v>45561</v>
      </c>
      <c r="C30" s="1" t="n">
        <v>45892</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66998-2021</t>
        </is>
      </c>
      <c r="B31" s="1" t="n">
        <v>44522</v>
      </c>
      <c r="C31" s="1" t="n">
        <v>45892</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45892</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20418-2023</t>
        </is>
      </c>
      <c r="B33" s="1" t="n">
        <v>45054</v>
      </c>
      <c r="C33" s="1" t="n">
        <v>45892</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31199-2023</t>
        </is>
      </c>
      <c r="B34" s="1" t="n">
        <v>45113</v>
      </c>
      <c r="C34" s="1" t="n">
        <v>45892</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28796-2024</t>
        </is>
      </c>
      <c r="B35" s="1" t="n">
        <v>45478</v>
      </c>
      <c r="C35" s="1" t="n">
        <v>45892</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47881-2020</t>
        </is>
      </c>
      <c r="B36" s="1" t="n">
        <v>44095</v>
      </c>
      <c r="C36" s="1" t="n">
        <v>45892</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45892</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15049-2024</t>
        </is>
      </c>
      <c r="B38" s="1" t="n">
        <v>45399</v>
      </c>
      <c r="C38" s="1" t="n">
        <v>45892</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18848-2025</t>
        </is>
      </c>
      <c r="B39" s="1" t="n">
        <v>45764</v>
      </c>
      <c r="C39" s="1" t="n">
        <v>45892</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3140-2023</t>
        </is>
      </c>
      <c r="B40" s="1" t="n">
        <v>44945</v>
      </c>
      <c r="C40" s="1" t="n">
        <v>45892</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59019-2024</t>
        </is>
      </c>
      <c r="B41" s="1" t="n">
        <v>45636</v>
      </c>
      <c r="C41" s="1" t="n">
        <v>45892</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15051-2024</t>
        </is>
      </c>
      <c r="B42" s="1" t="n">
        <v>45399</v>
      </c>
      <c r="C42" s="1" t="n">
        <v>45892</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45892</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48034-2020</t>
        </is>
      </c>
      <c r="B44" s="1" t="n">
        <v>44095</v>
      </c>
      <c r="C44" s="1" t="n">
        <v>45892</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38930-2025</t>
        </is>
      </c>
      <c r="B45" s="1" t="n">
        <v>45887</v>
      </c>
      <c r="C45" s="1" t="n">
        <v>45892</v>
      </c>
      <c r="D45" t="inlineStr">
        <is>
          <t>VÄSTERBOTTENS LÄN</t>
        </is>
      </c>
      <c r="E45" t="inlineStr">
        <is>
          <t>VILHELMINA</t>
        </is>
      </c>
      <c r="F45" t="inlineStr">
        <is>
          <t>SCA</t>
        </is>
      </c>
      <c r="G45" t="n">
        <v>8.9</v>
      </c>
      <c r="H45" t="n">
        <v>1</v>
      </c>
      <c r="I45" t="n">
        <v>3</v>
      </c>
      <c r="J45" t="n">
        <v>8</v>
      </c>
      <c r="K45" t="n">
        <v>1</v>
      </c>
      <c r="L45" t="n">
        <v>0</v>
      </c>
      <c r="M45" t="n">
        <v>0</v>
      </c>
      <c r="N45" t="n">
        <v>0</v>
      </c>
      <c r="O45" t="n">
        <v>9</v>
      </c>
      <c r="P45" t="n">
        <v>1</v>
      </c>
      <c r="Q45" t="n">
        <v>12</v>
      </c>
      <c r="R45" s="2" t="inlineStr">
        <is>
          <t>Ulltickeporing
Brunpudrad nållav
Gammelgransskål
Granticka
Harticka
Tretåig hackspett
Ullticka
Vitgrynig nållav
Vitskaftad svartspik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59039-2024</t>
        </is>
      </c>
      <c r="B46" s="1" t="n">
        <v>45636</v>
      </c>
      <c r="C46" s="1" t="n">
        <v>45892</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45892</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45892</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45892</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6658-2021</t>
        </is>
      </c>
      <c r="B50" s="1" t="n">
        <v>44235</v>
      </c>
      <c r="C50" s="1" t="n">
        <v>45892</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45892</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6969-2023</t>
        </is>
      </c>
      <c r="B52" s="1" t="n">
        <v>44964</v>
      </c>
      <c r="C52" s="1" t="n">
        <v>45892</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45892</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6963-2023</t>
        </is>
      </c>
      <c r="B54" s="1" t="n">
        <v>44964</v>
      </c>
      <c r="C54" s="1" t="n">
        <v>45892</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45892</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45892</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45892</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45892</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45892</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45892</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45892</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45892</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28799-2024</t>
        </is>
      </c>
      <c r="B63" s="1" t="n">
        <v>45478</v>
      </c>
      <c r="C63" s="1" t="n">
        <v>45892</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36220-2023</t>
        </is>
      </c>
      <c r="B64" s="1" t="n">
        <v>45149</v>
      </c>
      <c r="C64" s="1" t="n">
        <v>45892</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30810-2024</t>
        </is>
      </c>
      <c r="B65" s="1" t="n">
        <v>45497</v>
      </c>
      <c r="C65" s="1" t="n">
        <v>45892</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45892</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45892</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44354-2024</t>
        </is>
      </c>
      <c r="B68" s="1" t="n">
        <v>45573</v>
      </c>
      <c r="C68" s="1" t="n">
        <v>45892</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18873-2025</t>
        </is>
      </c>
      <c r="B69" s="1" t="n">
        <v>45764</v>
      </c>
      <c r="C69" s="1" t="n">
        <v>45892</v>
      </c>
      <c r="D69" t="inlineStr">
        <is>
          <t>VÄSTERBOTTENS LÄN</t>
        </is>
      </c>
      <c r="E69" t="inlineStr">
        <is>
          <t>VILHELMINA</t>
        </is>
      </c>
      <c r="G69" t="n">
        <v>7.2</v>
      </c>
      <c r="H69" t="n">
        <v>1</v>
      </c>
      <c r="I69" t="n">
        <v>1</v>
      </c>
      <c r="J69" t="n">
        <v>5</v>
      </c>
      <c r="K69" t="n">
        <v>1</v>
      </c>
      <c r="L69" t="n">
        <v>0</v>
      </c>
      <c r="M69" t="n">
        <v>0</v>
      </c>
      <c r="N69" t="n">
        <v>0</v>
      </c>
      <c r="O69" t="n">
        <v>6</v>
      </c>
      <c r="P69" t="n">
        <v>1</v>
      </c>
      <c r="Q69" t="n">
        <v>7</v>
      </c>
      <c r="R69" s="2" t="inlineStr">
        <is>
          <t>Rynkskinn
Doftskinn
Granticka
Harticka
Rosenticka
Tretåig hackspett
Trådticka</t>
        </is>
      </c>
      <c r="S69">
        <f>HYPERLINK("https://klasma.github.io/Logging_2462/artfynd/A 18873-2025 artfynd.xlsx", "A 18873-2025")</f>
        <v/>
      </c>
      <c r="T69">
        <f>HYPERLINK("https://klasma.github.io/Logging_2462/kartor/A 18873-2025 karta.png", "A 18873-2025")</f>
        <v/>
      </c>
      <c r="V69">
        <f>HYPERLINK("https://klasma.github.io/Logging_2462/klagomål/A 18873-2025 FSC-klagomål.docx", "A 18873-2025")</f>
        <v/>
      </c>
      <c r="W69">
        <f>HYPERLINK("https://klasma.github.io/Logging_2462/klagomålsmail/A 18873-2025 FSC-klagomål mail.docx", "A 18873-2025")</f>
        <v/>
      </c>
      <c r="X69">
        <f>HYPERLINK("https://klasma.github.io/Logging_2462/tillsyn/A 18873-2025 tillsynsbegäran.docx", "A 18873-2025")</f>
        <v/>
      </c>
      <c r="Y69">
        <f>HYPERLINK("https://klasma.github.io/Logging_2462/tillsynsmail/A 18873-2025 tillsynsbegäran mail.docx", "A 18873-2025")</f>
        <v/>
      </c>
      <c r="Z69">
        <f>HYPERLINK("https://klasma.github.io/Logging_2462/fåglar/A 18873-2025 prioriterade fågelarter.docx", "A 18873-2025")</f>
        <v/>
      </c>
    </row>
    <row r="70" ht="15" customHeight="1">
      <c r="A70" t="inlineStr">
        <is>
          <t>A 49977-2023</t>
        </is>
      </c>
      <c r="B70" s="1" t="n">
        <v>45208</v>
      </c>
      <c r="C70" s="1" t="n">
        <v>45892</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45892</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15852-2022</t>
        </is>
      </c>
      <c r="B72" s="1" t="n">
        <v>44664</v>
      </c>
      <c r="C72" s="1" t="n">
        <v>45892</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45892</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32456-2024</t>
        </is>
      </c>
      <c r="B74" s="1" t="n">
        <v>45512</v>
      </c>
      <c r="C74" s="1" t="n">
        <v>45892</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45892</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57099-2024</t>
        </is>
      </c>
      <c r="B76" s="1" t="n">
        <v>45629</v>
      </c>
      <c r="C76" s="1" t="n">
        <v>45892</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45892</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45892</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44874-2024</t>
        </is>
      </c>
      <c r="B79" s="1" t="n">
        <v>45575</v>
      </c>
      <c r="C79" s="1" t="n">
        <v>45892</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8562-2025</t>
        </is>
      </c>
      <c r="B80" s="1" t="n">
        <v>45709</v>
      </c>
      <c r="C80" s="1" t="n">
        <v>45892</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45892</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45892</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45892</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45892</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45892</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28867-2024</t>
        </is>
      </c>
      <c r="B86" s="1" t="n">
        <v>45478</v>
      </c>
      <c r="C86" s="1" t="n">
        <v>45892</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31198-2023</t>
        </is>
      </c>
      <c r="B87" s="1" t="n">
        <v>45113</v>
      </c>
      <c r="C87" s="1" t="n">
        <v>45892</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40736-2024</t>
        </is>
      </c>
      <c r="B88" s="1" t="n">
        <v>45558</v>
      </c>
      <c r="C88" s="1" t="n">
        <v>45892</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45892</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44382-2023</t>
        </is>
      </c>
      <c r="B90" s="1" t="n">
        <v>45188.94413194444</v>
      </c>
      <c r="C90" s="1" t="n">
        <v>45892</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45892</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45892</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45892</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54780-2024</t>
        </is>
      </c>
      <c r="B94" s="1" t="n">
        <v>45618</v>
      </c>
      <c r="C94" s="1" t="n">
        <v>45892</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1224-2025</t>
        </is>
      </c>
      <c r="B95" s="1" t="n">
        <v>45667</v>
      </c>
      <c r="C95" s="1" t="n">
        <v>45892</v>
      </c>
      <c r="D95" t="inlineStr">
        <is>
          <t>VÄSTERBOTTENS LÄN</t>
        </is>
      </c>
      <c r="E95" t="inlineStr">
        <is>
          <t>VILHELMINA</t>
        </is>
      </c>
      <c r="G95" t="n">
        <v>4.9</v>
      </c>
      <c r="H95" t="n">
        <v>0</v>
      </c>
      <c r="I95" t="n">
        <v>0</v>
      </c>
      <c r="J95" t="n">
        <v>3</v>
      </c>
      <c r="K95" t="n">
        <v>0</v>
      </c>
      <c r="L95" t="n">
        <v>0</v>
      </c>
      <c r="M95" t="n">
        <v>0</v>
      </c>
      <c r="N95" t="n">
        <v>0</v>
      </c>
      <c r="O95" t="n">
        <v>3</v>
      </c>
      <c r="P95" t="n">
        <v>0</v>
      </c>
      <c r="Q95" t="n">
        <v>3</v>
      </c>
      <c r="R95" s="2" t="inlineStr">
        <is>
          <t>Garnlav
Granticka
Harticka</t>
        </is>
      </c>
      <c r="S95">
        <f>HYPERLINK("https://klasma.github.io/Logging_2462/artfynd/A 1224-2025 artfynd.xlsx", "A 1224-2025")</f>
        <v/>
      </c>
      <c r="T95">
        <f>HYPERLINK("https://klasma.github.io/Logging_2462/kartor/A 1224-2025 karta.png", "A 1224-2025")</f>
        <v/>
      </c>
      <c r="V95">
        <f>HYPERLINK("https://klasma.github.io/Logging_2462/klagomål/A 1224-2025 FSC-klagomål.docx", "A 1224-2025")</f>
        <v/>
      </c>
      <c r="W95">
        <f>HYPERLINK("https://klasma.github.io/Logging_2462/klagomålsmail/A 1224-2025 FSC-klagomål mail.docx", "A 1224-2025")</f>
        <v/>
      </c>
      <c r="X95">
        <f>HYPERLINK("https://klasma.github.io/Logging_2462/tillsyn/A 1224-2025 tillsynsbegäran.docx", "A 1224-2025")</f>
        <v/>
      </c>
      <c r="Y95">
        <f>HYPERLINK("https://klasma.github.io/Logging_2462/tillsynsmail/A 1224-2025 tillsynsbegäran mail.docx", "A 1224-2025")</f>
        <v/>
      </c>
    </row>
    <row r="96" ht="15" customHeight="1">
      <c r="A96" t="inlineStr">
        <is>
          <t>A 9157-2023</t>
        </is>
      </c>
      <c r="B96" s="1" t="n">
        <v>44972</v>
      </c>
      <c r="C96" s="1" t="n">
        <v>45892</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38123-2024</t>
        </is>
      </c>
      <c r="B97" s="1" t="n">
        <v>45545</v>
      </c>
      <c r="C97" s="1" t="n">
        <v>45892</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60737-2024</t>
        </is>
      </c>
      <c r="B98" s="1" t="n">
        <v>45644</v>
      </c>
      <c r="C98" s="1" t="n">
        <v>45892</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32779-2025</t>
        </is>
      </c>
      <c r="B99" s="1" t="n">
        <v>45839.46946759259</v>
      </c>
      <c r="C99" s="1" t="n">
        <v>45892</v>
      </c>
      <c r="D99" t="inlineStr">
        <is>
          <t>VÄSTERBOTTENS LÄN</t>
        </is>
      </c>
      <c r="E99" t="inlineStr">
        <is>
          <t>VILHELMINA</t>
        </is>
      </c>
      <c r="F99" t="inlineStr">
        <is>
          <t>SCA</t>
        </is>
      </c>
      <c r="G99" t="n">
        <v>13.6</v>
      </c>
      <c r="H99" t="n">
        <v>0</v>
      </c>
      <c r="I99" t="n">
        <v>1</v>
      </c>
      <c r="J99" t="n">
        <v>2</v>
      </c>
      <c r="K99" t="n">
        <v>0</v>
      </c>
      <c r="L99" t="n">
        <v>0</v>
      </c>
      <c r="M99" t="n">
        <v>0</v>
      </c>
      <c r="N99" t="n">
        <v>0</v>
      </c>
      <c r="O99" t="n">
        <v>2</v>
      </c>
      <c r="P99" t="n">
        <v>0</v>
      </c>
      <c r="Q99" t="n">
        <v>3</v>
      </c>
      <c r="R99" s="2" t="inlineStr">
        <is>
          <t>Doftskinn
Lunglav
Stuplav</t>
        </is>
      </c>
      <c r="S99">
        <f>HYPERLINK("https://klasma.github.io/Logging_2462/artfynd/A 32779-2025 artfynd.xlsx", "A 32779-2025")</f>
        <v/>
      </c>
      <c r="T99">
        <f>HYPERLINK("https://klasma.github.io/Logging_2462/kartor/A 32779-2025 karta.png", "A 32779-2025")</f>
        <v/>
      </c>
      <c r="V99">
        <f>HYPERLINK("https://klasma.github.io/Logging_2462/klagomål/A 32779-2025 FSC-klagomål.docx", "A 32779-2025")</f>
        <v/>
      </c>
      <c r="W99">
        <f>HYPERLINK("https://klasma.github.io/Logging_2462/klagomålsmail/A 32779-2025 FSC-klagomål mail.docx", "A 32779-2025")</f>
        <v/>
      </c>
      <c r="X99">
        <f>HYPERLINK("https://klasma.github.io/Logging_2462/tillsyn/A 32779-2025 tillsynsbegäran.docx", "A 32779-2025")</f>
        <v/>
      </c>
      <c r="Y99">
        <f>HYPERLINK("https://klasma.github.io/Logging_2462/tillsynsmail/A 32779-2025 tillsynsbegäran mail.docx", "A 32779-2025")</f>
        <v/>
      </c>
    </row>
    <row r="100" ht="15" customHeight="1">
      <c r="A100" t="inlineStr">
        <is>
          <t>A 56618-2024</t>
        </is>
      </c>
      <c r="B100" s="1" t="n">
        <v>45625</v>
      </c>
      <c r="C100" s="1" t="n">
        <v>45892</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38534-2024</t>
        </is>
      </c>
      <c r="B101" s="1" t="n">
        <v>45546</v>
      </c>
      <c r="C101" s="1" t="n">
        <v>45892</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41646-2024</t>
        </is>
      </c>
      <c r="B102" s="1" t="n">
        <v>45560</v>
      </c>
      <c r="C102" s="1" t="n">
        <v>45892</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42063-2024</t>
        </is>
      </c>
      <c r="B103" s="1" t="n">
        <v>45561</v>
      </c>
      <c r="C103" s="1" t="n">
        <v>45892</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16463-2025</t>
        </is>
      </c>
      <c r="B104" s="1" t="n">
        <v>45751</v>
      </c>
      <c r="C104" s="1" t="n">
        <v>45892</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57861-2020</t>
        </is>
      </c>
      <c r="B105" s="1" t="n">
        <v>44141</v>
      </c>
      <c r="C105" s="1" t="n">
        <v>45892</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45892</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37513-2024</t>
        </is>
      </c>
      <c r="B107" s="1" t="n">
        <v>45541.38572916666</v>
      </c>
      <c r="C107" s="1" t="n">
        <v>45892</v>
      </c>
      <c r="D107" t="inlineStr">
        <is>
          <t>VÄSTERBOTTENS LÄN</t>
        </is>
      </c>
      <c r="E107" t="inlineStr">
        <is>
          <t>VILHELMINA</t>
        </is>
      </c>
      <c r="F107" t="inlineStr">
        <is>
          <t>SCA</t>
        </is>
      </c>
      <c r="G107" t="n">
        <v>3.4</v>
      </c>
      <c r="H107" t="n">
        <v>0</v>
      </c>
      <c r="I107" t="n">
        <v>0</v>
      </c>
      <c r="J107" t="n">
        <v>2</v>
      </c>
      <c r="K107" t="n">
        <v>0</v>
      </c>
      <c r="L107" t="n">
        <v>0</v>
      </c>
      <c r="M107" t="n">
        <v>0</v>
      </c>
      <c r="N107" t="n">
        <v>0</v>
      </c>
      <c r="O107" t="n">
        <v>2</v>
      </c>
      <c r="P107" t="n">
        <v>0</v>
      </c>
      <c r="Q107" t="n">
        <v>2</v>
      </c>
      <c r="R107" s="2" t="inlineStr">
        <is>
          <t>Rosenticka
Ullticka</t>
        </is>
      </c>
      <c r="S107">
        <f>HYPERLINK("https://klasma.github.io/Logging_2462/artfynd/A 37513-2024 artfynd.xlsx", "A 37513-2024")</f>
        <v/>
      </c>
      <c r="T107">
        <f>HYPERLINK("https://klasma.github.io/Logging_2462/kartor/A 37513-2024 karta.png", "A 37513-2024")</f>
        <v/>
      </c>
      <c r="V107">
        <f>HYPERLINK("https://klasma.github.io/Logging_2462/klagomål/A 37513-2024 FSC-klagomål.docx", "A 37513-2024")</f>
        <v/>
      </c>
      <c r="W107">
        <f>HYPERLINK("https://klasma.github.io/Logging_2462/klagomålsmail/A 37513-2024 FSC-klagomål mail.docx", "A 37513-2024")</f>
        <v/>
      </c>
      <c r="X107">
        <f>HYPERLINK("https://klasma.github.io/Logging_2462/tillsyn/A 37513-2024 tillsynsbegäran.docx", "A 37513-2024")</f>
        <v/>
      </c>
      <c r="Y107">
        <f>HYPERLINK("https://klasma.github.io/Logging_2462/tillsynsmail/A 37513-2024 tillsynsbegäran mail.docx", "A 37513-2024")</f>
        <v/>
      </c>
    </row>
    <row r="108" ht="15" customHeight="1">
      <c r="A108" t="inlineStr">
        <is>
          <t>A 60379-2024</t>
        </is>
      </c>
      <c r="B108" s="1" t="n">
        <v>45643</v>
      </c>
      <c r="C108" s="1" t="n">
        <v>45892</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54779-2024</t>
        </is>
      </c>
      <c r="B109" s="1" t="n">
        <v>45618</v>
      </c>
      <c r="C109" s="1" t="n">
        <v>45892</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37785-2021</t>
        </is>
      </c>
      <c r="B110" s="1" t="n">
        <v>44401</v>
      </c>
      <c r="C110" s="1" t="n">
        <v>45892</v>
      </c>
      <c r="D110" t="inlineStr">
        <is>
          <t>VÄSTERBOTTENS LÄN</t>
        </is>
      </c>
      <c r="E110" t="inlineStr">
        <is>
          <t>VILHELMINA</t>
        </is>
      </c>
      <c r="G110" t="n">
        <v>51.5</v>
      </c>
      <c r="H110" t="n">
        <v>1</v>
      </c>
      <c r="I110" t="n">
        <v>0</v>
      </c>
      <c r="J110" t="n">
        <v>1</v>
      </c>
      <c r="K110" t="n">
        <v>0</v>
      </c>
      <c r="L110" t="n">
        <v>0</v>
      </c>
      <c r="M110" t="n">
        <v>0</v>
      </c>
      <c r="N110" t="n">
        <v>0</v>
      </c>
      <c r="O110" t="n">
        <v>1</v>
      </c>
      <c r="P110" t="n">
        <v>0</v>
      </c>
      <c r="Q110" t="n">
        <v>2</v>
      </c>
      <c r="R110" s="2" t="inlineStr">
        <is>
          <t>Ullticka
Fläcknycklar</t>
        </is>
      </c>
      <c r="S110">
        <f>HYPERLINK("https://klasma.github.io/Logging_2462/artfynd/A 37785-2021 artfynd.xlsx", "A 37785-2021")</f>
        <v/>
      </c>
      <c r="T110">
        <f>HYPERLINK("https://klasma.github.io/Logging_2462/kartor/A 37785-2021 karta.png", "A 37785-2021")</f>
        <v/>
      </c>
      <c r="V110">
        <f>HYPERLINK("https://klasma.github.io/Logging_2462/klagomål/A 37785-2021 FSC-klagomål.docx", "A 37785-2021")</f>
        <v/>
      </c>
      <c r="W110">
        <f>HYPERLINK("https://klasma.github.io/Logging_2462/klagomålsmail/A 37785-2021 FSC-klagomål mail.docx", "A 37785-2021")</f>
        <v/>
      </c>
      <c r="X110">
        <f>HYPERLINK("https://klasma.github.io/Logging_2462/tillsyn/A 37785-2021 tillsynsbegäran.docx", "A 37785-2021")</f>
        <v/>
      </c>
      <c r="Y110">
        <f>HYPERLINK("https://klasma.github.io/Logging_2462/tillsynsmail/A 37785-2021 tillsynsbegäran mail.docx", "A 37785-2021")</f>
        <v/>
      </c>
    </row>
    <row r="111" ht="15" customHeight="1">
      <c r="A111" t="inlineStr">
        <is>
          <t>A 20983-2025</t>
        </is>
      </c>
      <c r="B111" s="1" t="n">
        <v>45777.46910879629</v>
      </c>
      <c r="C111" s="1" t="n">
        <v>45892</v>
      </c>
      <c r="D111" t="inlineStr">
        <is>
          <t>VÄSTERBOTTENS LÄN</t>
        </is>
      </c>
      <c r="E111" t="inlineStr">
        <is>
          <t>VILHELMINA</t>
        </is>
      </c>
      <c r="F111" t="inlineStr">
        <is>
          <t>SCA</t>
        </is>
      </c>
      <c r="G111" t="n">
        <v>1.2</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20983-2025 artfynd.xlsx", "A 20983-2025")</f>
        <v/>
      </c>
      <c r="T111">
        <f>HYPERLINK("https://klasma.github.io/Logging_2462/kartor/A 20983-2025 karta.png", "A 20983-2025")</f>
        <v/>
      </c>
      <c r="V111">
        <f>HYPERLINK("https://klasma.github.io/Logging_2462/klagomål/A 20983-2025 FSC-klagomål.docx", "A 20983-2025")</f>
        <v/>
      </c>
      <c r="W111">
        <f>HYPERLINK("https://klasma.github.io/Logging_2462/klagomålsmail/A 20983-2025 FSC-klagomål mail.docx", "A 20983-2025")</f>
        <v/>
      </c>
      <c r="X111">
        <f>HYPERLINK("https://klasma.github.io/Logging_2462/tillsyn/A 20983-2025 tillsynsbegäran.docx", "A 20983-2025")</f>
        <v/>
      </c>
      <c r="Y111">
        <f>HYPERLINK("https://klasma.github.io/Logging_2462/tillsynsmail/A 20983-2025 tillsynsbegäran mail.docx", "A 20983-2025")</f>
        <v/>
      </c>
      <c r="Z111">
        <f>HYPERLINK("https://klasma.github.io/Logging_2462/fåglar/A 20983-2025 prioriterade fågelarter.docx", "A 20983-2025")</f>
        <v/>
      </c>
    </row>
    <row r="112" ht="15" customHeight="1">
      <c r="A112" t="inlineStr">
        <is>
          <t>A 69023-2021</t>
        </is>
      </c>
      <c r="B112" s="1" t="n">
        <v>44529</v>
      </c>
      <c r="C112" s="1" t="n">
        <v>45892</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46391-2024</t>
        </is>
      </c>
      <c r="B113" s="1" t="n">
        <v>45582</v>
      </c>
      <c r="C113" s="1" t="n">
        <v>45892</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64030-2023</t>
        </is>
      </c>
      <c r="B114" s="1" t="n">
        <v>45278</v>
      </c>
      <c r="C114" s="1" t="n">
        <v>45892</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25037-2024</t>
        </is>
      </c>
      <c r="B115" s="1" t="n">
        <v>45461</v>
      </c>
      <c r="C115" s="1" t="n">
        <v>45892</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45892</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30717-2023</t>
        </is>
      </c>
      <c r="B117" s="1" t="n">
        <v>45112</v>
      </c>
      <c r="C117" s="1" t="n">
        <v>45892</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29140-2025</t>
        </is>
      </c>
      <c r="B118" s="1" t="n">
        <v>45821</v>
      </c>
      <c r="C118" s="1" t="n">
        <v>45892</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69626-2020</t>
        </is>
      </c>
      <c r="B119" s="1" t="n">
        <v>44195</v>
      </c>
      <c r="C119" s="1" t="n">
        <v>45892</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19234-2021</t>
        </is>
      </c>
      <c r="B120" s="1" t="n">
        <v>44309</v>
      </c>
      <c r="C120" s="1" t="n">
        <v>45892</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36998-2025</t>
        </is>
      </c>
      <c r="B121" s="1" t="n">
        <v>45874</v>
      </c>
      <c r="C121" s="1" t="n">
        <v>45892</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31735-2025</t>
        </is>
      </c>
      <c r="B122" s="1" t="n">
        <v>45834.47067129629</v>
      </c>
      <c r="C122" s="1" t="n">
        <v>45892</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45892</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6704-2021</t>
        </is>
      </c>
      <c r="B124" s="1" t="n">
        <v>44235</v>
      </c>
      <c r="C124" s="1" t="n">
        <v>45892</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45892</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69915-2021</t>
        </is>
      </c>
      <c r="B126" s="1" t="n">
        <v>44532</v>
      </c>
      <c r="C126" s="1" t="n">
        <v>45892</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32677-2021</t>
        </is>
      </c>
      <c r="B127" s="1" t="n">
        <v>44371</v>
      </c>
      <c r="C127" s="1" t="n">
        <v>45892</v>
      </c>
      <c r="D127" t="inlineStr">
        <is>
          <t>VÄSTERBOTTENS LÄN</t>
        </is>
      </c>
      <c r="E127" t="inlineStr">
        <is>
          <t>VILHELMINA</t>
        </is>
      </c>
      <c r="G127" t="n">
        <v>9.699999999999999</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32677-2021 artfynd.xlsx", "A 32677-2021")</f>
        <v/>
      </c>
      <c r="T127">
        <f>HYPERLINK("https://klasma.github.io/Logging_2462/kartor/A 32677-2021 karta.png", "A 32677-2021")</f>
        <v/>
      </c>
      <c r="V127">
        <f>HYPERLINK("https://klasma.github.io/Logging_2462/klagomål/A 32677-2021 FSC-klagomål.docx", "A 32677-2021")</f>
        <v/>
      </c>
      <c r="W127">
        <f>HYPERLINK("https://klasma.github.io/Logging_2462/klagomålsmail/A 32677-2021 FSC-klagomål mail.docx", "A 32677-2021")</f>
        <v/>
      </c>
      <c r="X127">
        <f>HYPERLINK("https://klasma.github.io/Logging_2462/tillsyn/A 32677-2021 tillsynsbegäran.docx", "A 32677-2021")</f>
        <v/>
      </c>
      <c r="Y127">
        <f>HYPERLINK("https://klasma.github.io/Logging_2462/tillsynsmail/A 32677-2021 tillsynsbegäran mail.docx", "A 32677-2021")</f>
        <v/>
      </c>
      <c r="Z127">
        <f>HYPERLINK("https://klasma.github.io/Logging_2462/fåglar/A 32677-2021 prioriterade fågelarter.docx", "A 32677-2021")</f>
        <v/>
      </c>
    </row>
    <row r="128" ht="15" customHeight="1">
      <c r="A128" t="inlineStr">
        <is>
          <t>A 38282-2024</t>
        </is>
      </c>
      <c r="B128" s="1" t="n">
        <v>45545</v>
      </c>
      <c r="C128" s="1" t="n">
        <v>45892</v>
      </c>
      <c r="D128" t="inlineStr">
        <is>
          <t>VÄSTERBOTTENS LÄN</t>
        </is>
      </c>
      <c r="E128" t="inlineStr">
        <is>
          <t>VILHELMINA</t>
        </is>
      </c>
      <c r="F128" t="inlineStr">
        <is>
          <t>SCA</t>
        </is>
      </c>
      <c r="G128" t="n">
        <v>3.4</v>
      </c>
      <c r="H128" t="n">
        <v>0</v>
      </c>
      <c r="I128" t="n">
        <v>0</v>
      </c>
      <c r="J128" t="n">
        <v>1</v>
      </c>
      <c r="K128" t="n">
        <v>0</v>
      </c>
      <c r="L128" t="n">
        <v>0</v>
      </c>
      <c r="M128" t="n">
        <v>0</v>
      </c>
      <c r="N128" t="n">
        <v>0</v>
      </c>
      <c r="O128" t="n">
        <v>1</v>
      </c>
      <c r="P128" t="n">
        <v>0</v>
      </c>
      <c r="Q128" t="n">
        <v>1</v>
      </c>
      <c r="R128" s="2" t="inlineStr">
        <is>
          <t>Gränsticka</t>
        </is>
      </c>
      <c r="S128">
        <f>HYPERLINK("https://klasma.github.io/Logging_2462/artfynd/A 38282-2024 artfynd.xlsx", "A 38282-2024")</f>
        <v/>
      </c>
      <c r="T128">
        <f>HYPERLINK("https://klasma.github.io/Logging_2462/kartor/A 38282-2024 karta.png", "A 38282-2024")</f>
        <v/>
      </c>
      <c r="V128">
        <f>HYPERLINK("https://klasma.github.io/Logging_2462/klagomål/A 38282-2024 FSC-klagomål.docx", "A 38282-2024")</f>
        <v/>
      </c>
      <c r="W128">
        <f>HYPERLINK("https://klasma.github.io/Logging_2462/klagomålsmail/A 38282-2024 FSC-klagomål mail.docx", "A 38282-2024")</f>
        <v/>
      </c>
      <c r="X128">
        <f>HYPERLINK("https://klasma.github.io/Logging_2462/tillsyn/A 38282-2024 tillsynsbegäran.docx", "A 38282-2024")</f>
        <v/>
      </c>
      <c r="Y128">
        <f>HYPERLINK("https://klasma.github.io/Logging_2462/tillsynsmail/A 38282-2024 tillsynsbegäran mail.docx", "A 38282-2024")</f>
        <v/>
      </c>
    </row>
    <row r="129" ht="15" customHeight="1">
      <c r="A129" t="inlineStr">
        <is>
          <t>A 29376-2021</t>
        </is>
      </c>
      <c r="B129" s="1" t="n">
        <v>44361</v>
      </c>
      <c r="C129" s="1" t="n">
        <v>45892</v>
      </c>
      <c r="D129" t="inlineStr">
        <is>
          <t>VÄSTERBOTTENS LÄN</t>
        </is>
      </c>
      <c r="E129" t="inlineStr">
        <is>
          <t>VILHELMINA</t>
        </is>
      </c>
      <c r="F129" t="inlineStr">
        <is>
          <t>Allmännings- och besparingsskogar</t>
        </is>
      </c>
      <c r="G129" t="n">
        <v>110.8</v>
      </c>
      <c r="H129" t="n">
        <v>1</v>
      </c>
      <c r="I129" t="n">
        <v>0</v>
      </c>
      <c r="J129" t="n">
        <v>0</v>
      </c>
      <c r="K129" t="n">
        <v>0</v>
      </c>
      <c r="L129" t="n">
        <v>0</v>
      </c>
      <c r="M129" t="n">
        <v>0</v>
      </c>
      <c r="N129" t="n">
        <v>0</v>
      </c>
      <c r="O129" t="n">
        <v>0</v>
      </c>
      <c r="P129" t="n">
        <v>0</v>
      </c>
      <c r="Q129" t="n">
        <v>1</v>
      </c>
      <c r="R129" s="2" t="inlineStr">
        <is>
          <t>Lavskrika</t>
        </is>
      </c>
      <c r="S129">
        <f>HYPERLINK("https://klasma.github.io/Logging_2462/artfynd/A 29376-2021 artfynd.xlsx", "A 29376-2021")</f>
        <v/>
      </c>
      <c r="T129">
        <f>HYPERLINK("https://klasma.github.io/Logging_2462/kartor/A 29376-2021 karta.png", "A 29376-2021")</f>
        <v/>
      </c>
      <c r="V129">
        <f>HYPERLINK("https://klasma.github.io/Logging_2462/klagomål/A 29376-2021 FSC-klagomål.docx", "A 29376-2021")</f>
        <v/>
      </c>
      <c r="W129">
        <f>HYPERLINK("https://klasma.github.io/Logging_2462/klagomålsmail/A 29376-2021 FSC-klagomål mail.docx", "A 29376-2021")</f>
        <v/>
      </c>
      <c r="X129">
        <f>HYPERLINK("https://klasma.github.io/Logging_2462/tillsyn/A 29376-2021 tillsynsbegäran.docx", "A 29376-2021")</f>
        <v/>
      </c>
      <c r="Y129">
        <f>HYPERLINK("https://klasma.github.io/Logging_2462/tillsynsmail/A 29376-2021 tillsynsbegäran mail.docx", "A 29376-2021")</f>
        <v/>
      </c>
      <c r="Z129">
        <f>HYPERLINK("https://klasma.github.io/Logging_2462/fåglar/A 29376-2021 prioriterade fågelarter.docx", "A 29376-2021")</f>
        <v/>
      </c>
    </row>
    <row r="130" ht="15" customHeight="1">
      <c r="A130" t="inlineStr">
        <is>
          <t>A 11832-2023</t>
        </is>
      </c>
      <c r="B130" s="1" t="n">
        <v>44994</v>
      </c>
      <c r="C130" s="1" t="n">
        <v>45892</v>
      </c>
      <c r="D130" t="inlineStr">
        <is>
          <t>VÄSTERBOTTENS LÄN</t>
        </is>
      </c>
      <c r="E130" t="inlineStr">
        <is>
          <t>VILHELMINA</t>
        </is>
      </c>
      <c r="F130" t="inlineStr">
        <is>
          <t>SCA</t>
        </is>
      </c>
      <c r="G130" t="n">
        <v>6.7</v>
      </c>
      <c r="H130" t="n">
        <v>0</v>
      </c>
      <c r="I130" t="n">
        <v>0</v>
      </c>
      <c r="J130" t="n">
        <v>1</v>
      </c>
      <c r="K130" t="n">
        <v>0</v>
      </c>
      <c r="L130" t="n">
        <v>0</v>
      </c>
      <c r="M130" t="n">
        <v>0</v>
      </c>
      <c r="N130" t="n">
        <v>0</v>
      </c>
      <c r="O130" t="n">
        <v>1</v>
      </c>
      <c r="P130" t="n">
        <v>0</v>
      </c>
      <c r="Q130" t="n">
        <v>1</v>
      </c>
      <c r="R130" s="2" t="inlineStr">
        <is>
          <t>Granticka</t>
        </is>
      </c>
      <c r="S130">
        <f>HYPERLINK("https://klasma.github.io/Logging_2462/artfynd/A 11832-2023 artfynd.xlsx", "A 11832-2023")</f>
        <v/>
      </c>
      <c r="T130">
        <f>HYPERLINK("https://klasma.github.io/Logging_2462/kartor/A 11832-2023 karta.png", "A 11832-2023")</f>
        <v/>
      </c>
      <c r="V130">
        <f>HYPERLINK("https://klasma.github.io/Logging_2462/klagomål/A 11832-2023 FSC-klagomål.docx", "A 11832-2023")</f>
        <v/>
      </c>
      <c r="W130">
        <f>HYPERLINK("https://klasma.github.io/Logging_2462/klagomålsmail/A 11832-2023 FSC-klagomål mail.docx", "A 11832-2023")</f>
        <v/>
      </c>
      <c r="X130">
        <f>HYPERLINK("https://klasma.github.io/Logging_2462/tillsyn/A 11832-2023 tillsynsbegäran.docx", "A 11832-2023")</f>
        <v/>
      </c>
      <c r="Y130">
        <f>HYPERLINK("https://klasma.github.io/Logging_2462/tillsynsmail/A 11832-2023 tillsynsbegäran mail.docx", "A 11832-2023")</f>
        <v/>
      </c>
    </row>
    <row r="131" ht="15" customHeight="1">
      <c r="A131" t="inlineStr">
        <is>
          <t>A 60369-2021</t>
        </is>
      </c>
      <c r="B131" s="1" t="n">
        <v>44494</v>
      </c>
      <c r="C131" s="1" t="n">
        <v>45892</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25374-2024</t>
        </is>
      </c>
      <c r="B132" s="1" t="n">
        <v>45462.96118055555</v>
      </c>
      <c r="C132" s="1" t="n">
        <v>45892</v>
      </c>
      <c r="D132" t="inlineStr">
        <is>
          <t>VÄSTERBOTTENS LÄN</t>
        </is>
      </c>
      <c r="E132" t="inlineStr">
        <is>
          <t>VILHELMINA</t>
        </is>
      </c>
      <c r="F132" t="inlineStr">
        <is>
          <t>SCA</t>
        </is>
      </c>
      <c r="G132" t="n">
        <v>7.7</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25374-2024 artfynd.xlsx", "A 25374-2024")</f>
        <v/>
      </c>
      <c r="T132">
        <f>HYPERLINK("https://klasma.github.io/Logging_2462/kartor/A 25374-2024 karta.png", "A 25374-2024")</f>
        <v/>
      </c>
      <c r="V132">
        <f>HYPERLINK("https://klasma.github.io/Logging_2462/klagomål/A 25374-2024 FSC-klagomål.docx", "A 25374-2024")</f>
        <v/>
      </c>
      <c r="W132">
        <f>HYPERLINK("https://klasma.github.io/Logging_2462/klagomålsmail/A 25374-2024 FSC-klagomål mail.docx", "A 25374-2024")</f>
        <v/>
      </c>
      <c r="X132">
        <f>HYPERLINK("https://klasma.github.io/Logging_2462/tillsyn/A 25374-2024 tillsynsbegäran.docx", "A 25374-2024")</f>
        <v/>
      </c>
      <c r="Y132">
        <f>HYPERLINK("https://klasma.github.io/Logging_2462/tillsynsmail/A 25374-2024 tillsynsbegäran mail.docx", "A 25374-2024")</f>
        <v/>
      </c>
      <c r="Z132">
        <f>HYPERLINK("https://klasma.github.io/Logging_2462/fåglar/A 25374-2024 prioriterade fågelarter.docx", "A 25374-2024")</f>
        <v/>
      </c>
    </row>
    <row r="133" ht="15" customHeight="1">
      <c r="A133" t="inlineStr">
        <is>
          <t>A 34769-2024</t>
        </is>
      </c>
      <c r="B133" s="1" t="n">
        <v>45526.62043981482</v>
      </c>
      <c r="C133" s="1" t="n">
        <v>45892</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33913-2024</t>
        </is>
      </c>
      <c r="B134" s="1" t="n">
        <v>45523.38783564815</v>
      </c>
      <c r="C134" s="1" t="n">
        <v>45892</v>
      </c>
      <c r="D134" t="inlineStr">
        <is>
          <t>VÄSTERBOTTENS LÄN</t>
        </is>
      </c>
      <c r="E134" t="inlineStr">
        <is>
          <t>VILHELMINA</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HYPERLINK("https://klasma.github.io/Logging_2462/artfynd/A 33913-2024 artfynd.xlsx", "A 33913-2024")</f>
        <v/>
      </c>
      <c r="T134">
        <f>HYPERLINK("https://klasma.github.io/Logging_2462/kartor/A 33913-2024 karta.png", "A 33913-2024")</f>
        <v/>
      </c>
      <c r="V134">
        <f>HYPERLINK("https://klasma.github.io/Logging_2462/klagomål/A 33913-2024 FSC-klagomål.docx", "A 33913-2024")</f>
        <v/>
      </c>
      <c r="W134">
        <f>HYPERLINK("https://klasma.github.io/Logging_2462/klagomålsmail/A 33913-2024 FSC-klagomål mail.docx", "A 33913-2024")</f>
        <v/>
      </c>
      <c r="X134">
        <f>HYPERLINK("https://klasma.github.io/Logging_2462/tillsyn/A 33913-2024 tillsynsbegäran.docx", "A 33913-2024")</f>
        <v/>
      </c>
      <c r="Y134">
        <f>HYPERLINK("https://klasma.github.io/Logging_2462/tillsynsmail/A 33913-2024 tillsynsbegäran mail.docx", "A 33913-2024")</f>
        <v/>
      </c>
    </row>
    <row r="135" ht="15" customHeight="1">
      <c r="A135" t="inlineStr">
        <is>
          <t>A 47248-2024</t>
        </is>
      </c>
      <c r="B135" s="1" t="n">
        <v>45586</v>
      </c>
      <c r="C135" s="1" t="n">
        <v>45892</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29317-2023</t>
        </is>
      </c>
      <c r="B136" s="1" t="n">
        <v>45105</v>
      </c>
      <c r="C136" s="1" t="n">
        <v>45892</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59664-2023</t>
        </is>
      </c>
      <c r="B137" s="1" t="n">
        <v>45254</v>
      </c>
      <c r="C137" s="1" t="n">
        <v>45892</v>
      </c>
      <c r="D137" t="inlineStr">
        <is>
          <t>VÄSTERBOTTENS LÄN</t>
        </is>
      </c>
      <c r="E137" t="inlineStr">
        <is>
          <t>VILHELMINA</t>
        </is>
      </c>
      <c r="F137" t="inlineStr">
        <is>
          <t>SCA</t>
        </is>
      </c>
      <c r="G137" t="n">
        <v>3.3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59664-2023 artfynd.xlsx", "A 59664-2023")</f>
        <v/>
      </c>
      <c r="T137">
        <f>HYPERLINK("https://klasma.github.io/Logging_2462/kartor/A 59664-2023 karta.png", "A 59664-2023")</f>
        <v/>
      </c>
      <c r="V137">
        <f>HYPERLINK("https://klasma.github.io/Logging_2462/klagomål/A 59664-2023 FSC-klagomål.docx", "A 59664-2023")</f>
        <v/>
      </c>
      <c r="W137">
        <f>HYPERLINK("https://klasma.github.io/Logging_2462/klagomålsmail/A 59664-2023 FSC-klagomål mail.docx", "A 59664-2023")</f>
        <v/>
      </c>
      <c r="X137">
        <f>HYPERLINK("https://klasma.github.io/Logging_2462/tillsyn/A 59664-2023 tillsynsbegäran.docx", "A 59664-2023")</f>
        <v/>
      </c>
      <c r="Y137">
        <f>HYPERLINK("https://klasma.github.io/Logging_2462/tillsynsmail/A 59664-2023 tillsynsbegäran mail.docx", "A 59664-2023")</f>
        <v/>
      </c>
      <c r="Z137">
        <f>HYPERLINK("https://klasma.github.io/Logging_2462/fåglar/A 59664-2023 prioriterade fågelarter.docx", "A 59664-2023")</f>
        <v/>
      </c>
    </row>
    <row r="138" ht="15" customHeight="1">
      <c r="A138" t="inlineStr">
        <is>
          <t>A 74395-2021</t>
        </is>
      </c>
      <c r="B138" s="1" t="n">
        <v>44560</v>
      </c>
      <c r="C138" s="1" t="n">
        <v>45892</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25977-2025</t>
        </is>
      </c>
      <c r="B139" s="1" t="n">
        <v>45804</v>
      </c>
      <c r="C139" s="1" t="n">
        <v>45892</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59001-2024</t>
        </is>
      </c>
      <c r="B140" s="1" t="n">
        <v>45636</v>
      </c>
      <c r="C140" s="1" t="n">
        <v>45892</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34730-2024</t>
        </is>
      </c>
      <c r="B141" s="1" t="n">
        <v>45526</v>
      </c>
      <c r="C141" s="1" t="n">
        <v>45892</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42489-2024</t>
        </is>
      </c>
      <c r="B142" s="1" t="n">
        <v>45565</v>
      </c>
      <c r="C142" s="1" t="n">
        <v>45892</v>
      </c>
      <c r="D142" t="inlineStr">
        <is>
          <t>VÄSTERBOTTENS LÄN</t>
        </is>
      </c>
      <c r="E142" t="inlineStr">
        <is>
          <t>VILHELMINA</t>
        </is>
      </c>
      <c r="F142" t="inlineStr">
        <is>
          <t>SCA</t>
        </is>
      </c>
      <c r="G142" t="n">
        <v>1.9</v>
      </c>
      <c r="H142" t="n">
        <v>0</v>
      </c>
      <c r="I142" t="n">
        <v>0</v>
      </c>
      <c r="J142" t="n">
        <v>1</v>
      </c>
      <c r="K142" t="n">
        <v>0</v>
      </c>
      <c r="L142" t="n">
        <v>0</v>
      </c>
      <c r="M142" t="n">
        <v>0</v>
      </c>
      <c r="N142" t="n">
        <v>0</v>
      </c>
      <c r="O142" t="n">
        <v>1</v>
      </c>
      <c r="P142" t="n">
        <v>0</v>
      </c>
      <c r="Q142" t="n">
        <v>1</v>
      </c>
      <c r="R142" s="2" t="inlineStr">
        <is>
          <t>Granticka</t>
        </is>
      </c>
      <c r="S142">
        <f>HYPERLINK("https://klasma.github.io/Logging_2462/artfynd/A 42489-2024 artfynd.xlsx", "A 42489-2024")</f>
        <v/>
      </c>
      <c r="T142">
        <f>HYPERLINK("https://klasma.github.io/Logging_2462/kartor/A 42489-2024 karta.png", "A 42489-2024")</f>
        <v/>
      </c>
      <c r="V142">
        <f>HYPERLINK("https://klasma.github.io/Logging_2462/klagomål/A 42489-2024 FSC-klagomål.docx", "A 42489-2024")</f>
        <v/>
      </c>
      <c r="W142">
        <f>HYPERLINK("https://klasma.github.io/Logging_2462/klagomålsmail/A 42489-2024 FSC-klagomål mail.docx", "A 42489-2024")</f>
        <v/>
      </c>
      <c r="X142">
        <f>HYPERLINK("https://klasma.github.io/Logging_2462/tillsyn/A 42489-2024 tillsynsbegäran.docx", "A 42489-2024")</f>
        <v/>
      </c>
      <c r="Y142">
        <f>HYPERLINK("https://klasma.github.io/Logging_2462/tillsynsmail/A 42489-2024 tillsynsbegäran mail.docx", "A 42489-2024")</f>
        <v/>
      </c>
    </row>
    <row r="143" ht="15" customHeight="1">
      <c r="A143" t="inlineStr">
        <is>
          <t>A 66924-2021</t>
        </is>
      </c>
      <c r="B143" s="1" t="n">
        <v>44522</v>
      </c>
      <c r="C143" s="1" t="n">
        <v>45892</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45892</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29121-2025</t>
        </is>
      </c>
      <c r="B145" s="1" t="n">
        <v>45821</v>
      </c>
      <c r="C145" s="1" t="n">
        <v>45892</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38131-2024</t>
        </is>
      </c>
      <c r="B146" s="1" t="n">
        <v>45545</v>
      </c>
      <c r="C146" s="1" t="n">
        <v>45892</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25368-2024</t>
        </is>
      </c>
      <c r="B147" s="1" t="n">
        <v>45462</v>
      </c>
      <c r="C147" s="1" t="n">
        <v>45892</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13523-2025</t>
        </is>
      </c>
      <c r="B148" s="1" t="n">
        <v>45736</v>
      </c>
      <c r="C148" s="1" t="n">
        <v>45892</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17253-2025</t>
        </is>
      </c>
      <c r="B149" s="1" t="n">
        <v>45756</v>
      </c>
      <c r="C149" s="1" t="n">
        <v>45892</v>
      </c>
      <c r="D149" t="inlineStr">
        <is>
          <t>VÄSTERBOTTENS LÄN</t>
        </is>
      </c>
      <c r="E149" t="inlineStr">
        <is>
          <t>VILHELMINA</t>
        </is>
      </c>
      <c r="F149" t="inlineStr">
        <is>
          <t>SCA</t>
        </is>
      </c>
      <c r="G149" t="n">
        <v>6.5</v>
      </c>
      <c r="H149" t="n">
        <v>0</v>
      </c>
      <c r="I149" t="n">
        <v>0</v>
      </c>
      <c r="J149" t="n">
        <v>1</v>
      </c>
      <c r="K149" t="n">
        <v>0</v>
      </c>
      <c r="L149" t="n">
        <v>0</v>
      </c>
      <c r="M149" t="n">
        <v>0</v>
      </c>
      <c r="N149" t="n">
        <v>0</v>
      </c>
      <c r="O149" t="n">
        <v>1</v>
      </c>
      <c r="P149" t="n">
        <v>0</v>
      </c>
      <c r="Q149" t="n">
        <v>1</v>
      </c>
      <c r="R149" s="2" t="inlineStr">
        <is>
          <t>Granticka</t>
        </is>
      </c>
      <c r="S149">
        <f>HYPERLINK("https://klasma.github.io/Logging_2462/artfynd/A 17253-2025 artfynd.xlsx", "A 17253-2025")</f>
        <v/>
      </c>
      <c r="T149">
        <f>HYPERLINK("https://klasma.github.io/Logging_2462/kartor/A 17253-2025 karta.png", "A 17253-2025")</f>
        <v/>
      </c>
      <c r="V149">
        <f>HYPERLINK("https://klasma.github.io/Logging_2462/klagomål/A 17253-2025 FSC-klagomål.docx", "A 17253-2025")</f>
        <v/>
      </c>
      <c r="W149">
        <f>HYPERLINK("https://klasma.github.io/Logging_2462/klagomålsmail/A 17253-2025 FSC-klagomål mail.docx", "A 17253-2025")</f>
        <v/>
      </c>
      <c r="X149">
        <f>HYPERLINK("https://klasma.github.io/Logging_2462/tillsyn/A 17253-2025 tillsynsbegäran.docx", "A 17253-2025")</f>
        <v/>
      </c>
      <c r="Y149">
        <f>HYPERLINK("https://klasma.github.io/Logging_2462/tillsynsmail/A 17253-2025 tillsynsbegäran mail.docx", "A 17253-2025")</f>
        <v/>
      </c>
    </row>
    <row r="150" ht="15" customHeight="1">
      <c r="A150" t="inlineStr">
        <is>
          <t>A 44286-2024</t>
        </is>
      </c>
      <c r="B150" s="1" t="n">
        <v>45573</v>
      </c>
      <c r="C150" s="1" t="n">
        <v>45892</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29434-2025</t>
        </is>
      </c>
      <c r="B151" s="1" t="n">
        <v>45824</v>
      </c>
      <c r="C151" s="1" t="n">
        <v>45892</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38929-2025</t>
        </is>
      </c>
      <c r="B152" s="1" t="n">
        <v>45887</v>
      </c>
      <c r="C152" s="1" t="n">
        <v>45892</v>
      </c>
      <c r="D152" t="inlineStr">
        <is>
          <t>VÄSTERBOTTENS LÄN</t>
        </is>
      </c>
      <c r="E152" t="inlineStr">
        <is>
          <t>VILHELMINA</t>
        </is>
      </c>
      <c r="F152" t="inlineStr">
        <is>
          <t>SCA</t>
        </is>
      </c>
      <c r="G152" t="n">
        <v>3.5</v>
      </c>
      <c r="H152" t="n">
        <v>0</v>
      </c>
      <c r="I152" t="n">
        <v>1</v>
      </c>
      <c r="J152" t="n">
        <v>0</v>
      </c>
      <c r="K152" t="n">
        <v>0</v>
      </c>
      <c r="L152" t="n">
        <v>0</v>
      </c>
      <c r="M152" t="n">
        <v>0</v>
      </c>
      <c r="N152" t="n">
        <v>0</v>
      </c>
      <c r="O152" t="n">
        <v>0</v>
      </c>
      <c r="P152" t="n">
        <v>0</v>
      </c>
      <c r="Q152" t="n">
        <v>1</v>
      </c>
      <c r="R152" s="2" t="inlineStr">
        <is>
          <t>Blodticka</t>
        </is>
      </c>
      <c r="S152">
        <f>HYPERLINK("https://klasma.github.io/Logging_2462/artfynd/A 38929-2025 artfynd.xlsx", "A 38929-2025")</f>
        <v/>
      </c>
      <c r="T152">
        <f>HYPERLINK("https://klasma.github.io/Logging_2462/kartor/A 38929-2025 karta.png", "A 38929-2025")</f>
        <v/>
      </c>
      <c r="V152">
        <f>HYPERLINK("https://klasma.github.io/Logging_2462/klagomål/A 38929-2025 FSC-klagomål.docx", "A 38929-2025")</f>
        <v/>
      </c>
      <c r="W152">
        <f>HYPERLINK("https://klasma.github.io/Logging_2462/klagomålsmail/A 38929-2025 FSC-klagomål mail.docx", "A 38929-2025")</f>
        <v/>
      </c>
      <c r="X152">
        <f>HYPERLINK("https://klasma.github.io/Logging_2462/tillsyn/A 38929-2025 tillsynsbegäran.docx", "A 38929-2025")</f>
        <v/>
      </c>
      <c r="Y152">
        <f>HYPERLINK("https://klasma.github.io/Logging_2462/tillsynsmail/A 38929-2025 tillsynsbegäran mail.docx", "A 38929-2025")</f>
        <v/>
      </c>
    </row>
    <row r="153" ht="15" customHeight="1">
      <c r="A153" t="inlineStr">
        <is>
          <t>A 38416-2022</t>
        </is>
      </c>
      <c r="B153" s="1" t="n">
        <v>44812</v>
      </c>
      <c r="C153" s="1" t="n">
        <v>45892</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45892</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45892</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45892</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45892</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45892</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45892</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45892</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45892</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45892</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45892</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45892</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45892</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45892</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45892</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45892</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45892</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45892</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45892</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45892</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45892</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45892</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45892</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45892</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45892</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45892</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45892</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45892</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45892</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45892</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45892</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45892</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45892</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45892</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45892</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45892</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45892</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45892</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45892</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45892</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45892</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45892</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45892</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45892</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45892</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45892</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45892</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45892</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45892</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45892</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72487-2021</t>
        </is>
      </c>
      <c r="B203" s="1" t="n">
        <v>44545.92033564814</v>
      </c>
      <c r="C203" s="1" t="n">
        <v>45892</v>
      </c>
      <c r="D203" t="inlineStr">
        <is>
          <t>VÄSTERBOTTENS LÄN</t>
        </is>
      </c>
      <c r="E203" t="inlineStr">
        <is>
          <t>VILHELMINA</t>
        </is>
      </c>
      <c r="G203" t="n">
        <v>1.2</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45892</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45892</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45892</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45892</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45892</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45892</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45892</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45892</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45892</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45892</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45892</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45892</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24599-2021</t>
        </is>
      </c>
      <c r="B216" s="1" t="n">
        <v>44341</v>
      </c>
      <c r="C216" s="1" t="n">
        <v>45892</v>
      </c>
      <c r="D216" t="inlineStr">
        <is>
          <t>VÄSTERBOTTENS LÄN</t>
        </is>
      </c>
      <c r="E216" t="inlineStr">
        <is>
          <t>VILHELMINA</t>
        </is>
      </c>
      <c r="G216" t="n">
        <v>14.5</v>
      </c>
      <c r="H216" t="n">
        <v>0</v>
      </c>
      <c r="I216" t="n">
        <v>0</v>
      </c>
      <c r="J216" t="n">
        <v>0</v>
      </c>
      <c r="K216" t="n">
        <v>0</v>
      </c>
      <c r="L216" t="n">
        <v>0</v>
      </c>
      <c r="M216" t="n">
        <v>0</v>
      </c>
      <c r="N216" t="n">
        <v>0</v>
      </c>
      <c r="O216" t="n">
        <v>0</v>
      </c>
      <c r="P216" t="n">
        <v>0</v>
      </c>
      <c r="Q216" t="n">
        <v>0</v>
      </c>
      <c r="R216" s="2" t="inlineStr"/>
    </row>
    <row r="217" ht="15" customHeight="1">
      <c r="A217" t="inlineStr">
        <is>
          <t>A 29555-2022</t>
        </is>
      </c>
      <c r="B217" s="1" t="n">
        <v>44754</v>
      </c>
      <c r="C217" s="1" t="n">
        <v>45892</v>
      </c>
      <c r="D217" t="inlineStr">
        <is>
          <t>VÄSTERBOTTENS LÄN</t>
        </is>
      </c>
      <c r="E217" t="inlineStr">
        <is>
          <t>VILHELMINA</t>
        </is>
      </c>
      <c r="F217" t="inlineStr">
        <is>
          <t>Övriga Aktiebolag</t>
        </is>
      </c>
      <c r="G217" t="n">
        <v>3.1</v>
      </c>
      <c r="H217" t="n">
        <v>0</v>
      </c>
      <c r="I217" t="n">
        <v>0</v>
      </c>
      <c r="J217" t="n">
        <v>0</v>
      </c>
      <c r="K217" t="n">
        <v>0</v>
      </c>
      <c r="L217" t="n">
        <v>0</v>
      </c>
      <c r="M217" t="n">
        <v>0</v>
      </c>
      <c r="N217" t="n">
        <v>0</v>
      </c>
      <c r="O217" t="n">
        <v>0</v>
      </c>
      <c r="P217" t="n">
        <v>0</v>
      </c>
      <c r="Q217" t="n">
        <v>0</v>
      </c>
      <c r="R217" s="2" t="inlineStr"/>
    </row>
    <row r="218" ht="15" customHeight="1">
      <c r="A218" t="inlineStr">
        <is>
          <t>A 46375-2021</t>
        </is>
      </c>
      <c r="B218" s="1" t="n">
        <v>44442</v>
      </c>
      <c r="C218" s="1" t="n">
        <v>45892</v>
      </c>
      <c r="D218" t="inlineStr">
        <is>
          <t>VÄSTERBOTTENS LÄN</t>
        </is>
      </c>
      <c r="E218" t="inlineStr">
        <is>
          <t>VILHELMINA</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45892</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45892</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45892</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64759-2020</t>
        </is>
      </c>
      <c r="B222" s="1" t="n">
        <v>44169</v>
      </c>
      <c r="C222" s="1" t="n">
        <v>45892</v>
      </c>
      <c r="D222" t="inlineStr">
        <is>
          <t>VÄSTERBOTTENS LÄN</t>
        </is>
      </c>
      <c r="E222" t="inlineStr">
        <is>
          <t>VILHELMINA</t>
        </is>
      </c>
      <c r="G222" t="n">
        <v>24.6</v>
      </c>
      <c r="H222" t="n">
        <v>0</v>
      </c>
      <c r="I222" t="n">
        <v>0</v>
      </c>
      <c r="J222" t="n">
        <v>0</v>
      </c>
      <c r="K222" t="n">
        <v>0</v>
      </c>
      <c r="L222" t="n">
        <v>0</v>
      </c>
      <c r="M222" t="n">
        <v>0</v>
      </c>
      <c r="N222" t="n">
        <v>0</v>
      </c>
      <c r="O222" t="n">
        <v>0</v>
      </c>
      <c r="P222" t="n">
        <v>0</v>
      </c>
      <c r="Q222" t="n">
        <v>0</v>
      </c>
      <c r="R222" s="2" t="inlineStr"/>
    </row>
    <row r="223" ht="15" customHeight="1">
      <c r="A223" t="inlineStr">
        <is>
          <t>A 9732-2022</t>
        </is>
      </c>
      <c r="B223" s="1" t="n">
        <v>44617.9343287037</v>
      </c>
      <c r="C223" s="1" t="n">
        <v>45892</v>
      </c>
      <c r="D223" t="inlineStr">
        <is>
          <t>VÄSTERBOTTENS LÄN</t>
        </is>
      </c>
      <c r="E223" t="inlineStr">
        <is>
          <t>VILHELMINA</t>
        </is>
      </c>
      <c r="F223" t="inlineStr">
        <is>
          <t>SCA</t>
        </is>
      </c>
      <c r="G223" t="n">
        <v>6.9</v>
      </c>
      <c r="H223" t="n">
        <v>0</v>
      </c>
      <c r="I223" t="n">
        <v>0</v>
      </c>
      <c r="J223" t="n">
        <v>0</v>
      </c>
      <c r="K223" t="n">
        <v>0</v>
      </c>
      <c r="L223" t="n">
        <v>0</v>
      </c>
      <c r="M223" t="n">
        <v>0</v>
      </c>
      <c r="N223" t="n">
        <v>0</v>
      </c>
      <c r="O223" t="n">
        <v>0</v>
      </c>
      <c r="P223" t="n">
        <v>0</v>
      </c>
      <c r="Q223" t="n">
        <v>0</v>
      </c>
      <c r="R223" s="2" t="inlineStr"/>
    </row>
    <row r="224" ht="15" customHeight="1">
      <c r="A224" t="inlineStr">
        <is>
          <t>A 2189-2021</t>
        </is>
      </c>
      <c r="B224" s="1" t="n">
        <v>44211</v>
      </c>
      <c r="C224" s="1" t="n">
        <v>45892</v>
      </c>
      <c r="D224" t="inlineStr">
        <is>
          <t>VÄSTERBOTTENS LÄN</t>
        </is>
      </c>
      <c r="E224" t="inlineStr">
        <is>
          <t>VILHELMINA</t>
        </is>
      </c>
      <c r="F224" t="inlineStr">
        <is>
          <t>Allmännings- och besparingsskogar</t>
        </is>
      </c>
      <c r="G224" t="n">
        <v>20.1</v>
      </c>
      <c r="H224" t="n">
        <v>0</v>
      </c>
      <c r="I224" t="n">
        <v>0</v>
      </c>
      <c r="J224" t="n">
        <v>0</v>
      </c>
      <c r="K224" t="n">
        <v>0</v>
      </c>
      <c r="L224" t="n">
        <v>0</v>
      </c>
      <c r="M224" t="n">
        <v>0</v>
      </c>
      <c r="N224" t="n">
        <v>0</v>
      </c>
      <c r="O224" t="n">
        <v>0</v>
      </c>
      <c r="P224" t="n">
        <v>0</v>
      </c>
      <c r="Q224" t="n">
        <v>0</v>
      </c>
      <c r="R224" s="2" t="inlineStr"/>
    </row>
    <row r="225" ht="15" customHeight="1">
      <c r="A225" t="inlineStr">
        <is>
          <t>A 40842-2020</t>
        </is>
      </c>
      <c r="B225" s="1" t="n">
        <v>44069</v>
      </c>
      <c r="C225" s="1" t="n">
        <v>45892</v>
      </c>
      <c r="D225" t="inlineStr">
        <is>
          <t>VÄSTERBOTTENS LÄN</t>
        </is>
      </c>
      <c r="E225" t="inlineStr">
        <is>
          <t>VILHELMINA</t>
        </is>
      </c>
      <c r="G225" t="n">
        <v>20.4</v>
      </c>
      <c r="H225" t="n">
        <v>0</v>
      </c>
      <c r="I225" t="n">
        <v>0</v>
      </c>
      <c r="J225" t="n">
        <v>0</v>
      </c>
      <c r="K225" t="n">
        <v>0</v>
      </c>
      <c r="L225" t="n">
        <v>0</v>
      </c>
      <c r="M225" t="n">
        <v>0</v>
      </c>
      <c r="N225" t="n">
        <v>0</v>
      </c>
      <c r="O225" t="n">
        <v>0</v>
      </c>
      <c r="P225" t="n">
        <v>0</v>
      </c>
      <c r="Q225" t="n">
        <v>0</v>
      </c>
      <c r="R225" s="2" t="inlineStr"/>
    </row>
    <row r="226" ht="15" customHeight="1">
      <c r="A226" t="inlineStr">
        <is>
          <t>A 9501-2022</t>
        </is>
      </c>
      <c r="B226" s="1" t="n">
        <v>44616.93883101852</v>
      </c>
      <c r="C226" s="1" t="n">
        <v>45892</v>
      </c>
      <c r="D226" t="inlineStr">
        <is>
          <t>VÄSTERBOTTENS LÄN</t>
        </is>
      </c>
      <c r="E226" t="inlineStr">
        <is>
          <t>VILHELMINA</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9780-2022</t>
        </is>
      </c>
      <c r="B227" s="1" t="n">
        <v>44619.88071759259</v>
      </c>
      <c r="C227" s="1" t="n">
        <v>45892</v>
      </c>
      <c r="D227" t="inlineStr">
        <is>
          <t>VÄSTERBOTTENS LÄN</t>
        </is>
      </c>
      <c r="E227" t="inlineStr">
        <is>
          <t>VILHELMINA</t>
        </is>
      </c>
      <c r="G227" t="n">
        <v>1.9</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45892</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43741-2022</t>
        </is>
      </c>
      <c r="B229" s="1" t="n">
        <v>44837</v>
      </c>
      <c r="C229" s="1" t="n">
        <v>45892</v>
      </c>
      <c r="D229" t="inlineStr">
        <is>
          <t>VÄSTERBOTTENS LÄN</t>
        </is>
      </c>
      <c r="E229" t="inlineStr">
        <is>
          <t>VILHELMINA</t>
        </is>
      </c>
      <c r="G229" t="n">
        <v>54.2</v>
      </c>
      <c r="H229" t="n">
        <v>0</v>
      </c>
      <c r="I229" t="n">
        <v>0</v>
      </c>
      <c r="J229" t="n">
        <v>0</v>
      </c>
      <c r="K229" t="n">
        <v>0</v>
      </c>
      <c r="L229" t="n">
        <v>0</v>
      </c>
      <c r="M229" t="n">
        <v>0</v>
      </c>
      <c r="N229" t="n">
        <v>0</v>
      </c>
      <c r="O229" t="n">
        <v>0</v>
      </c>
      <c r="P229" t="n">
        <v>0</v>
      </c>
      <c r="Q229" t="n">
        <v>0</v>
      </c>
      <c r="R229" s="2" t="inlineStr"/>
    </row>
    <row r="230" ht="15" customHeight="1">
      <c r="A230" t="inlineStr">
        <is>
          <t>A 33603-2022</t>
        </is>
      </c>
      <c r="B230" s="1" t="n">
        <v>44789.49009259259</v>
      </c>
      <c r="C230" s="1" t="n">
        <v>45892</v>
      </c>
      <c r="D230" t="inlineStr">
        <is>
          <t>VÄSTERBOTTENS LÄN</t>
        </is>
      </c>
      <c r="E230" t="inlineStr">
        <is>
          <t>VILHELMINA</t>
        </is>
      </c>
      <c r="F230" t="inlineStr">
        <is>
          <t>Sveaskog</t>
        </is>
      </c>
      <c r="G230" t="n">
        <v>15.1</v>
      </c>
      <c r="H230" t="n">
        <v>0</v>
      </c>
      <c r="I230" t="n">
        <v>0</v>
      </c>
      <c r="J230" t="n">
        <v>0</v>
      </c>
      <c r="K230" t="n">
        <v>0</v>
      </c>
      <c r="L230" t="n">
        <v>0</v>
      </c>
      <c r="M230" t="n">
        <v>0</v>
      </c>
      <c r="N230" t="n">
        <v>0</v>
      </c>
      <c r="O230" t="n">
        <v>0</v>
      </c>
      <c r="P230" t="n">
        <v>0</v>
      </c>
      <c r="Q230" t="n">
        <v>0</v>
      </c>
      <c r="R230" s="2" t="inlineStr"/>
    </row>
    <row r="231" ht="15" customHeight="1">
      <c r="A231" t="inlineStr">
        <is>
          <t>A 27920-2022</t>
        </is>
      </c>
      <c r="B231" s="1" t="n">
        <v>44743</v>
      </c>
      <c r="C231" s="1" t="n">
        <v>45892</v>
      </c>
      <c r="D231" t="inlineStr">
        <is>
          <t>VÄSTERBOTTENS LÄN</t>
        </is>
      </c>
      <c r="E231" t="inlineStr">
        <is>
          <t>VILHELMINA</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57086-2021</t>
        </is>
      </c>
      <c r="B232" s="1" t="n">
        <v>44482</v>
      </c>
      <c r="C232" s="1" t="n">
        <v>45892</v>
      </c>
      <c r="D232" t="inlineStr">
        <is>
          <t>VÄSTERBOTTENS LÄN</t>
        </is>
      </c>
      <c r="E232" t="inlineStr">
        <is>
          <t>VILHELMINA</t>
        </is>
      </c>
      <c r="G232" t="n">
        <v>1.5</v>
      </c>
      <c r="H232" t="n">
        <v>0</v>
      </c>
      <c r="I232" t="n">
        <v>0</v>
      </c>
      <c r="J232" t="n">
        <v>0</v>
      </c>
      <c r="K232" t="n">
        <v>0</v>
      </c>
      <c r="L232" t="n">
        <v>0</v>
      </c>
      <c r="M232" t="n">
        <v>0</v>
      </c>
      <c r="N232" t="n">
        <v>0</v>
      </c>
      <c r="O232" t="n">
        <v>0</v>
      </c>
      <c r="P232" t="n">
        <v>0</v>
      </c>
      <c r="Q232" t="n">
        <v>0</v>
      </c>
      <c r="R232" s="2" t="inlineStr"/>
    </row>
    <row r="233" ht="15" customHeight="1">
      <c r="A233" t="inlineStr">
        <is>
          <t>A 29773-2022</t>
        </is>
      </c>
      <c r="B233" s="1" t="n">
        <v>44755.62866898148</v>
      </c>
      <c r="C233" s="1" t="n">
        <v>45892</v>
      </c>
      <c r="D233" t="inlineStr">
        <is>
          <t>VÄSTERBOTTENS LÄN</t>
        </is>
      </c>
      <c r="E233" t="inlineStr">
        <is>
          <t>VILHELMINA</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46372-2021</t>
        </is>
      </c>
      <c r="B234" s="1" t="n">
        <v>44442.94226851852</v>
      </c>
      <c r="C234" s="1" t="n">
        <v>45892</v>
      </c>
      <c r="D234" t="inlineStr">
        <is>
          <t>VÄSTERBOTTENS LÄN</t>
        </is>
      </c>
      <c r="E234" t="inlineStr">
        <is>
          <t>VILHELMINA</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45892</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45892</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36909-2024</t>
        </is>
      </c>
      <c r="B237" s="1" t="n">
        <v>45538.63577546296</v>
      </c>
      <c r="C237" s="1" t="n">
        <v>45892</v>
      </c>
      <c r="D237" t="inlineStr">
        <is>
          <t>VÄSTERBOTTENS LÄN</t>
        </is>
      </c>
      <c r="E237" t="inlineStr">
        <is>
          <t>VILHELMINA</t>
        </is>
      </c>
      <c r="F237" t="inlineStr">
        <is>
          <t>SCA</t>
        </is>
      </c>
      <c r="G237" t="n">
        <v>16.8</v>
      </c>
      <c r="H237" t="n">
        <v>0</v>
      </c>
      <c r="I237" t="n">
        <v>0</v>
      </c>
      <c r="J237" t="n">
        <v>0</v>
      </c>
      <c r="K237" t="n">
        <v>0</v>
      </c>
      <c r="L237" t="n">
        <v>0</v>
      </c>
      <c r="M237" t="n">
        <v>0</v>
      </c>
      <c r="N237" t="n">
        <v>0</v>
      </c>
      <c r="O237" t="n">
        <v>0</v>
      </c>
      <c r="P237" t="n">
        <v>0</v>
      </c>
      <c r="Q237" t="n">
        <v>0</v>
      </c>
      <c r="R237" s="2" t="inlineStr"/>
    </row>
    <row r="238" ht="15" customHeight="1">
      <c r="A238" t="inlineStr">
        <is>
          <t>A 12065-2022</t>
        </is>
      </c>
      <c r="B238" s="1" t="n">
        <v>44637</v>
      </c>
      <c r="C238" s="1" t="n">
        <v>45892</v>
      </c>
      <c r="D238" t="inlineStr">
        <is>
          <t>VÄSTERBOTTENS LÄN</t>
        </is>
      </c>
      <c r="E238" t="inlineStr">
        <is>
          <t>VILHELMINA</t>
        </is>
      </c>
      <c r="G238" t="n">
        <v>27.7</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45892</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44368-2024</t>
        </is>
      </c>
      <c r="B240" s="1" t="n">
        <v>45573</v>
      </c>
      <c r="C240" s="1" t="n">
        <v>45892</v>
      </c>
      <c r="D240" t="inlineStr">
        <is>
          <t>VÄSTERBOTTENS LÄN</t>
        </is>
      </c>
      <c r="E240" t="inlineStr">
        <is>
          <t>VILHELMINA</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47193-2020</t>
        </is>
      </c>
      <c r="B241" s="1" t="n">
        <v>44097</v>
      </c>
      <c r="C241" s="1" t="n">
        <v>45892</v>
      </c>
      <c r="D241" t="inlineStr">
        <is>
          <t>VÄSTERBOTTENS LÄN</t>
        </is>
      </c>
      <c r="E241" t="inlineStr">
        <is>
          <t>VILHELMINA</t>
        </is>
      </c>
      <c r="G241" t="n">
        <v>6.8</v>
      </c>
      <c r="H241" t="n">
        <v>0</v>
      </c>
      <c r="I241" t="n">
        <v>0</v>
      </c>
      <c r="J241" t="n">
        <v>0</v>
      </c>
      <c r="K241" t="n">
        <v>0</v>
      </c>
      <c r="L241" t="n">
        <v>0</v>
      </c>
      <c r="M241" t="n">
        <v>0</v>
      </c>
      <c r="N241" t="n">
        <v>0</v>
      </c>
      <c r="O241" t="n">
        <v>0</v>
      </c>
      <c r="P241" t="n">
        <v>0</v>
      </c>
      <c r="Q241" t="n">
        <v>0</v>
      </c>
      <c r="R241" s="2" t="inlineStr"/>
    </row>
    <row r="242" ht="15" customHeight="1">
      <c r="A242" t="inlineStr">
        <is>
          <t>A 50635-2021</t>
        </is>
      </c>
      <c r="B242" s="1" t="n">
        <v>44459.71978009259</v>
      </c>
      <c r="C242" s="1" t="n">
        <v>45892</v>
      </c>
      <c r="D242" t="inlineStr">
        <is>
          <t>VÄSTERBOTTENS LÄN</t>
        </is>
      </c>
      <c r="E242" t="inlineStr">
        <is>
          <t>VILHELMINA</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49599-2022</t>
        </is>
      </c>
      <c r="B243" s="1" t="n">
        <v>44859</v>
      </c>
      <c r="C243" s="1" t="n">
        <v>45892</v>
      </c>
      <c r="D243" t="inlineStr">
        <is>
          <t>VÄSTERBOTTENS LÄN</t>
        </is>
      </c>
      <c r="E243" t="inlineStr">
        <is>
          <t>VILHELMINA</t>
        </is>
      </c>
      <c r="G243" t="n">
        <v>3.6</v>
      </c>
      <c r="H243" t="n">
        <v>0</v>
      </c>
      <c r="I243" t="n">
        <v>0</v>
      </c>
      <c r="J243" t="n">
        <v>0</v>
      </c>
      <c r="K243" t="n">
        <v>0</v>
      </c>
      <c r="L243" t="n">
        <v>0</v>
      </c>
      <c r="M243" t="n">
        <v>0</v>
      </c>
      <c r="N243" t="n">
        <v>0</v>
      </c>
      <c r="O243" t="n">
        <v>0</v>
      </c>
      <c r="P243" t="n">
        <v>0</v>
      </c>
      <c r="Q243" t="n">
        <v>0</v>
      </c>
      <c r="R243" s="2" t="inlineStr"/>
    </row>
    <row r="244" ht="15" customHeight="1">
      <c r="A244" t="inlineStr">
        <is>
          <t>A 70854-2021</t>
        </is>
      </c>
      <c r="B244" s="1" t="n">
        <v>44532</v>
      </c>
      <c r="C244" s="1" t="n">
        <v>45892</v>
      </c>
      <c r="D244" t="inlineStr">
        <is>
          <t>VÄSTERBOTTENS LÄN</t>
        </is>
      </c>
      <c r="E244" t="inlineStr">
        <is>
          <t>VILHELMINA</t>
        </is>
      </c>
      <c r="G244" t="n">
        <v>2.6</v>
      </c>
      <c r="H244" t="n">
        <v>0</v>
      </c>
      <c r="I244" t="n">
        <v>0</v>
      </c>
      <c r="J244" t="n">
        <v>0</v>
      </c>
      <c r="K244" t="n">
        <v>0</v>
      </c>
      <c r="L244" t="n">
        <v>0</v>
      </c>
      <c r="M244" t="n">
        <v>0</v>
      </c>
      <c r="N244" t="n">
        <v>0</v>
      </c>
      <c r="O244" t="n">
        <v>0</v>
      </c>
      <c r="P244" t="n">
        <v>0</v>
      </c>
      <c r="Q244" t="n">
        <v>0</v>
      </c>
      <c r="R244" s="2" t="inlineStr"/>
    </row>
    <row r="245" ht="15" customHeight="1">
      <c r="A245" t="inlineStr">
        <is>
          <t>A 3237-2024</t>
        </is>
      </c>
      <c r="B245" s="1" t="n">
        <v>45316.9474537037</v>
      </c>
      <c r="C245" s="1" t="n">
        <v>45892</v>
      </c>
      <c r="D245" t="inlineStr">
        <is>
          <t>VÄSTERBOTTENS LÄN</t>
        </is>
      </c>
      <c r="E245" t="inlineStr">
        <is>
          <t>VILHELMINA</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13768-2024</t>
        </is>
      </c>
      <c r="B246" s="1" t="n">
        <v>45390.95230324074</v>
      </c>
      <c r="C246" s="1" t="n">
        <v>45892</v>
      </c>
      <c r="D246" t="inlineStr">
        <is>
          <t>VÄSTERBOTTENS LÄN</t>
        </is>
      </c>
      <c r="E246" t="inlineStr">
        <is>
          <t>VILHELMINA</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61777-2023</t>
        </is>
      </c>
      <c r="B247" s="1" t="n">
        <v>45265</v>
      </c>
      <c r="C247" s="1" t="n">
        <v>45892</v>
      </c>
      <c r="D247" t="inlineStr">
        <is>
          <t>VÄSTERBOTTENS LÄN</t>
        </is>
      </c>
      <c r="E247" t="inlineStr">
        <is>
          <t>VILHELMINA</t>
        </is>
      </c>
      <c r="F247" t="inlineStr">
        <is>
          <t>SCA</t>
        </is>
      </c>
      <c r="G247" t="n">
        <v>20.6</v>
      </c>
      <c r="H247" t="n">
        <v>0</v>
      </c>
      <c r="I247" t="n">
        <v>0</v>
      </c>
      <c r="J247" t="n">
        <v>0</v>
      </c>
      <c r="K247" t="n">
        <v>0</v>
      </c>
      <c r="L247" t="n">
        <v>0</v>
      </c>
      <c r="M247" t="n">
        <v>0</v>
      </c>
      <c r="N247" t="n">
        <v>0</v>
      </c>
      <c r="O247" t="n">
        <v>0</v>
      </c>
      <c r="P247" t="n">
        <v>0</v>
      </c>
      <c r="Q247" t="n">
        <v>0</v>
      </c>
      <c r="R247" s="2" t="inlineStr"/>
    </row>
    <row r="248" ht="15" customHeight="1">
      <c r="A248" t="inlineStr">
        <is>
          <t>A 49888-2024</t>
        </is>
      </c>
      <c r="B248" s="1" t="n">
        <v>45597.5109837963</v>
      </c>
      <c r="C248" s="1" t="n">
        <v>45892</v>
      </c>
      <c r="D248" t="inlineStr">
        <is>
          <t>VÄSTERBOTTENS LÄN</t>
        </is>
      </c>
      <c r="E248" t="inlineStr">
        <is>
          <t>VILHELMINA</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23176-2024</t>
        </is>
      </c>
      <c r="B249" s="1" t="n">
        <v>45450.94366898148</v>
      </c>
      <c r="C249" s="1" t="n">
        <v>45892</v>
      </c>
      <c r="D249" t="inlineStr">
        <is>
          <t>VÄSTERBOTTENS LÄN</t>
        </is>
      </c>
      <c r="E249" t="inlineStr">
        <is>
          <t>VILHELMINA</t>
        </is>
      </c>
      <c r="F249" t="inlineStr">
        <is>
          <t>SCA</t>
        </is>
      </c>
      <c r="G249" t="n">
        <v>3.5</v>
      </c>
      <c r="H249" t="n">
        <v>0</v>
      </c>
      <c r="I249" t="n">
        <v>0</v>
      </c>
      <c r="J249" t="n">
        <v>0</v>
      </c>
      <c r="K249" t="n">
        <v>0</v>
      </c>
      <c r="L249" t="n">
        <v>0</v>
      </c>
      <c r="M249" t="n">
        <v>0</v>
      </c>
      <c r="N249" t="n">
        <v>0</v>
      </c>
      <c r="O249" t="n">
        <v>0</v>
      </c>
      <c r="P249" t="n">
        <v>0</v>
      </c>
      <c r="Q249" t="n">
        <v>0</v>
      </c>
      <c r="R249" s="2" t="inlineStr"/>
    </row>
    <row r="250" ht="15" customHeight="1">
      <c r="A250" t="inlineStr">
        <is>
          <t>A 40796-2024</t>
        </is>
      </c>
      <c r="B250" s="1" t="n">
        <v>45558</v>
      </c>
      <c r="C250" s="1" t="n">
        <v>45892</v>
      </c>
      <c r="D250" t="inlineStr">
        <is>
          <t>VÄSTERBOTTENS LÄN</t>
        </is>
      </c>
      <c r="E250" t="inlineStr">
        <is>
          <t>VILHELMINA</t>
        </is>
      </c>
      <c r="F250" t="inlineStr">
        <is>
          <t>Allmännings- och besparingsskogar</t>
        </is>
      </c>
      <c r="G250" t="n">
        <v>2.8</v>
      </c>
      <c r="H250" t="n">
        <v>0</v>
      </c>
      <c r="I250" t="n">
        <v>0</v>
      </c>
      <c r="J250" t="n">
        <v>0</v>
      </c>
      <c r="K250" t="n">
        <v>0</v>
      </c>
      <c r="L250" t="n">
        <v>0</v>
      </c>
      <c r="M250" t="n">
        <v>0</v>
      </c>
      <c r="N250" t="n">
        <v>0</v>
      </c>
      <c r="O250" t="n">
        <v>0</v>
      </c>
      <c r="P250" t="n">
        <v>0</v>
      </c>
      <c r="Q250" t="n">
        <v>0</v>
      </c>
      <c r="R250" s="2" t="inlineStr"/>
    </row>
    <row r="251" ht="15" customHeight="1">
      <c r="A251" t="inlineStr">
        <is>
          <t>A 60376-2024</t>
        </is>
      </c>
      <c r="B251" s="1" t="n">
        <v>45643</v>
      </c>
      <c r="C251" s="1" t="n">
        <v>45892</v>
      </c>
      <c r="D251" t="inlineStr">
        <is>
          <t>VÄSTERBOTTENS LÄN</t>
        </is>
      </c>
      <c r="E251" t="inlineStr">
        <is>
          <t>VILHELMINA</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12371-2025</t>
        </is>
      </c>
      <c r="B252" s="1" t="n">
        <v>45730</v>
      </c>
      <c r="C252" s="1" t="n">
        <v>45892</v>
      </c>
      <c r="D252" t="inlineStr">
        <is>
          <t>VÄSTERBOTTENS LÄN</t>
        </is>
      </c>
      <c r="E252" t="inlineStr">
        <is>
          <t>VILHELMINA</t>
        </is>
      </c>
      <c r="F252" t="inlineStr">
        <is>
          <t>Övriga statliga verk och myndigheter</t>
        </is>
      </c>
      <c r="G252" t="n">
        <v>37.1</v>
      </c>
      <c r="H252" t="n">
        <v>0</v>
      </c>
      <c r="I252" t="n">
        <v>0</v>
      </c>
      <c r="J252" t="n">
        <v>0</v>
      </c>
      <c r="K252" t="n">
        <v>0</v>
      </c>
      <c r="L252" t="n">
        <v>0</v>
      </c>
      <c r="M252" t="n">
        <v>0</v>
      </c>
      <c r="N252" t="n">
        <v>0</v>
      </c>
      <c r="O252" t="n">
        <v>0</v>
      </c>
      <c r="P252" t="n">
        <v>0</v>
      </c>
      <c r="Q252" t="n">
        <v>0</v>
      </c>
      <c r="R252" s="2" t="inlineStr"/>
    </row>
    <row r="253" ht="15" customHeight="1">
      <c r="A253" t="inlineStr">
        <is>
          <t>A 27874-2022</t>
        </is>
      </c>
      <c r="B253" s="1" t="n">
        <v>44743</v>
      </c>
      <c r="C253" s="1" t="n">
        <v>45892</v>
      </c>
      <c r="D253" t="inlineStr">
        <is>
          <t>VÄSTERBOTTENS LÄN</t>
        </is>
      </c>
      <c r="E253" t="inlineStr">
        <is>
          <t>VILHELMINA</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27880-2022</t>
        </is>
      </c>
      <c r="B254" s="1" t="n">
        <v>44743</v>
      </c>
      <c r="C254" s="1" t="n">
        <v>45892</v>
      </c>
      <c r="D254" t="inlineStr">
        <is>
          <t>VÄSTERBOTTENS LÄN</t>
        </is>
      </c>
      <c r="E254" t="inlineStr">
        <is>
          <t>VILHELMINA</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11544-2023</t>
        </is>
      </c>
      <c r="B255" s="1" t="n">
        <v>44993.94818287037</v>
      </c>
      <c r="C255" s="1" t="n">
        <v>45892</v>
      </c>
      <c r="D255" t="inlineStr">
        <is>
          <t>VÄSTERBOTTENS LÄN</t>
        </is>
      </c>
      <c r="E255" t="inlineStr">
        <is>
          <t>VILHELMINA</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12593-2022</t>
        </is>
      </c>
      <c r="B256" s="1" t="n">
        <v>44640</v>
      </c>
      <c r="C256" s="1" t="n">
        <v>45892</v>
      </c>
      <c r="D256" t="inlineStr">
        <is>
          <t>VÄSTERBOTTENS LÄN</t>
        </is>
      </c>
      <c r="E256" t="inlineStr">
        <is>
          <t>VILHELMINA</t>
        </is>
      </c>
      <c r="G256" t="n">
        <v>10.4</v>
      </c>
      <c r="H256" t="n">
        <v>0</v>
      </c>
      <c r="I256" t="n">
        <v>0</v>
      </c>
      <c r="J256" t="n">
        <v>0</v>
      </c>
      <c r="K256" t="n">
        <v>0</v>
      </c>
      <c r="L256" t="n">
        <v>0</v>
      </c>
      <c r="M256" t="n">
        <v>0</v>
      </c>
      <c r="N256" t="n">
        <v>0</v>
      </c>
      <c r="O256" t="n">
        <v>0</v>
      </c>
      <c r="P256" t="n">
        <v>0</v>
      </c>
      <c r="Q256" t="n">
        <v>0</v>
      </c>
      <c r="R256" s="2" t="inlineStr"/>
    </row>
    <row r="257" ht="15" customHeight="1">
      <c r="A257" t="inlineStr">
        <is>
          <t>A 8908-2023</t>
        </is>
      </c>
      <c r="B257" s="1" t="n">
        <v>44972</v>
      </c>
      <c r="C257" s="1" t="n">
        <v>45892</v>
      </c>
      <c r="D257" t="inlineStr">
        <is>
          <t>VÄSTERBOTTENS LÄN</t>
        </is>
      </c>
      <c r="E257" t="inlineStr">
        <is>
          <t>VILHELMINA</t>
        </is>
      </c>
      <c r="F257" t="inlineStr">
        <is>
          <t>Allmännings- och besparingsskogar</t>
        </is>
      </c>
      <c r="G257" t="n">
        <v>22.3</v>
      </c>
      <c r="H257" t="n">
        <v>0</v>
      </c>
      <c r="I257" t="n">
        <v>0</v>
      </c>
      <c r="J257" t="n">
        <v>0</v>
      </c>
      <c r="K257" t="n">
        <v>0</v>
      </c>
      <c r="L257" t="n">
        <v>0</v>
      </c>
      <c r="M257" t="n">
        <v>0</v>
      </c>
      <c r="N257" t="n">
        <v>0</v>
      </c>
      <c r="O257" t="n">
        <v>0</v>
      </c>
      <c r="P257" t="n">
        <v>0</v>
      </c>
      <c r="Q257" t="n">
        <v>0</v>
      </c>
      <c r="R257" s="2" t="inlineStr"/>
    </row>
    <row r="258" ht="15" customHeight="1">
      <c r="A258" t="inlineStr">
        <is>
          <t>A 41644-2024</t>
        </is>
      </c>
      <c r="B258" s="1" t="n">
        <v>45560</v>
      </c>
      <c r="C258" s="1" t="n">
        <v>45892</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47287-2022</t>
        </is>
      </c>
      <c r="B259" s="1" t="n">
        <v>44852.95145833334</v>
      </c>
      <c r="C259" s="1" t="n">
        <v>45892</v>
      </c>
      <c r="D259" t="inlineStr">
        <is>
          <t>VÄSTERBOTTENS LÄN</t>
        </is>
      </c>
      <c r="E259" t="inlineStr">
        <is>
          <t>VILHELMINA</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47288-2022</t>
        </is>
      </c>
      <c r="B260" s="1" t="n">
        <v>44852</v>
      </c>
      <c r="C260" s="1" t="n">
        <v>45892</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51131-2024</t>
        </is>
      </c>
      <c r="B261" s="1" t="n">
        <v>45603</v>
      </c>
      <c r="C261" s="1" t="n">
        <v>45892</v>
      </c>
      <c r="D261" t="inlineStr">
        <is>
          <t>VÄSTERBOTTENS LÄN</t>
        </is>
      </c>
      <c r="E261" t="inlineStr">
        <is>
          <t>VILHELMINA</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64028-2023</t>
        </is>
      </c>
      <c r="B262" s="1" t="n">
        <v>45278.94263888889</v>
      </c>
      <c r="C262" s="1" t="n">
        <v>45892</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35006-2023</t>
        </is>
      </c>
      <c r="B263" s="1" t="n">
        <v>45142.95103009259</v>
      </c>
      <c r="C263" s="1" t="n">
        <v>45892</v>
      </c>
      <c r="D263" t="inlineStr">
        <is>
          <t>VÄSTERBOTTENS LÄN</t>
        </is>
      </c>
      <c r="E263" t="inlineStr">
        <is>
          <t>VILHELMINA</t>
        </is>
      </c>
      <c r="F263" t="inlineStr">
        <is>
          <t>SCA</t>
        </is>
      </c>
      <c r="G263" t="n">
        <v>11.6</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45892</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35758-2023</t>
        </is>
      </c>
      <c r="B265" s="1" t="n">
        <v>45147.95452546296</v>
      </c>
      <c r="C265" s="1" t="n">
        <v>45892</v>
      </c>
      <c r="D265" t="inlineStr">
        <is>
          <t>VÄSTERBOTTENS LÄN</t>
        </is>
      </c>
      <c r="E265" t="inlineStr">
        <is>
          <t>VILHELMINA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20524-2024</t>
        </is>
      </c>
      <c r="B266" s="1" t="n">
        <v>45435.94567129629</v>
      </c>
      <c r="C266" s="1" t="n">
        <v>45892</v>
      </c>
      <c r="D266" t="inlineStr">
        <is>
          <t>VÄSTERBOTTENS LÄN</t>
        </is>
      </c>
      <c r="E266" t="inlineStr">
        <is>
          <t>VILHELMINA</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45892</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50489-2023</t>
        </is>
      </c>
      <c r="B268" s="1" t="n">
        <v>45216.95556712963</v>
      </c>
      <c r="C268" s="1" t="n">
        <v>45892</v>
      </c>
      <c r="D268" t="inlineStr">
        <is>
          <t>VÄSTERBOTTENS LÄN</t>
        </is>
      </c>
      <c r="E268" t="inlineStr">
        <is>
          <t>VILHELMINA</t>
        </is>
      </c>
      <c r="F268" t="inlineStr">
        <is>
          <t>SCA</t>
        </is>
      </c>
      <c r="G268" t="n">
        <v>0.5</v>
      </c>
      <c r="H268" t="n">
        <v>0</v>
      </c>
      <c r="I268" t="n">
        <v>0</v>
      </c>
      <c r="J268" t="n">
        <v>0</v>
      </c>
      <c r="K268" t="n">
        <v>0</v>
      </c>
      <c r="L268" t="n">
        <v>0</v>
      </c>
      <c r="M268" t="n">
        <v>0</v>
      </c>
      <c r="N268" t="n">
        <v>0</v>
      </c>
      <c r="O268" t="n">
        <v>0</v>
      </c>
      <c r="P268" t="n">
        <v>0</v>
      </c>
      <c r="Q268" t="n">
        <v>0</v>
      </c>
      <c r="R268" s="2" t="inlineStr"/>
    </row>
    <row r="269" ht="15" customHeight="1">
      <c r="A269" t="inlineStr">
        <is>
          <t>A 40462-2024</t>
        </is>
      </c>
      <c r="B269" s="1" t="n">
        <v>45555.51084490741</v>
      </c>
      <c r="C269" s="1" t="n">
        <v>45892</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36348-2024</t>
        </is>
      </c>
      <c r="B270" s="1" t="n">
        <v>45534.64422453703</v>
      </c>
      <c r="C270" s="1" t="n">
        <v>45892</v>
      </c>
      <c r="D270" t="inlineStr">
        <is>
          <t>VÄSTERBOTTENS LÄN</t>
        </is>
      </c>
      <c r="E270" t="inlineStr">
        <is>
          <t>VILHELMINA</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36355-2024</t>
        </is>
      </c>
      <c r="B271" s="1" t="n">
        <v>45534.64508101852</v>
      </c>
      <c r="C271" s="1" t="n">
        <v>45892</v>
      </c>
      <c r="D271" t="inlineStr">
        <is>
          <t>VÄSTERBOTTENS LÄN</t>
        </is>
      </c>
      <c r="E271" t="inlineStr">
        <is>
          <t>VILHELMINA</t>
        </is>
      </c>
      <c r="F271" t="inlineStr">
        <is>
          <t>SCA</t>
        </is>
      </c>
      <c r="G271" t="n">
        <v>4.1</v>
      </c>
      <c r="H271" t="n">
        <v>0</v>
      </c>
      <c r="I271" t="n">
        <v>0</v>
      </c>
      <c r="J271" t="n">
        <v>0</v>
      </c>
      <c r="K271" t="n">
        <v>0</v>
      </c>
      <c r="L271" t="n">
        <v>0</v>
      </c>
      <c r="M271" t="n">
        <v>0</v>
      </c>
      <c r="N271" t="n">
        <v>0</v>
      </c>
      <c r="O271" t="n">
        <v>0</v>
      </c>
      <c r="P271" t="n">
        <v>0</v>
      </c>
      <c r="Q271" t="n">
        <v>0</v>
      </c>
      <c r="R271" s="2" t="inlineStr"/>
    </row>
    <row r="272" ht="15" customHeight="1">
      <c r="A272" t="inlineStr">
        <is>
          <t>A 72494-2021</t>
        </is>
      </c>
      <c r="B272" s="1" t="n">
        <v>44545.92059027778</v>
      </c>
      <c r="C272" s="1" t="n">
        <v>45892</v>
      </c>
      <c r="D272" t="inlineStr">
        <is>
          <t>VÄSTERBOTTENS LÄN</t>
        </is>
      </c>
      <c r="E272" t="inlineStr">
        <is>
          <t>VILHELMINA</t>
        </is>
      </c>
      <c r="G272" t="n">
        <v>4.2</v>
      </c>
      <c r="H272" t="n">
        <v>0</v>
      </c>
      <c r="I272" t="n">
        <v>0</v>
      </c>
      <c r="J272" t="n">
        <v>0</v>
      </c>
      <c r="K272" t="n">
        <v>0</v>
      </c>
      <c r="L272" t="n">
        <v>0</v>
      </c>
      <c r="M272" t="n">
        <v>0</v>
      </c>
      <c r="N272" t="n">
        <v>0</v>
      </c>
      <c r="O272" t="n">
        <v>0</v>
      </c>
      <c r="P272" t="n">
        <v>0</v>
      </c>
      <c r="Q272" t="n">
        <v>0</v>
      </c>
      <c r="R272" s="2" t="inlineStr"/>
    </row>
    <row r="273" ht="15" customHeight="1">
      <c r="A273" t="inlineStr">
        <is>
          <t>A 6699-2021</t>
        </is>
      </c>
      <c r="B273" s="1" t="n">
        <v>44235</v>
      </c>
      <c r="C273" s="1" t="n">
        <v>45892</v>
      </c>
      <c r="D273" t="inlineStr">
        <is>
          <t>VÄSTERBOTTENS LÄN</t>
        </is>
      </c>
      <c r="E273" t="inlineStr">
        <is>
          <t>VILHELMINA</t>
        </is>
      </c>
      <c r="G273" t="n">
        <v>6.9</v>
      </c>
      <c r="H273" t="n">
        <v>0</v>
      </c>
      <c r="I273" t="n">
        <v>0</v>
      </c>
      <c r="J273" t="n">
        <v>0</v>
      </c>
      <c r="K273" t="n">
        <v>0</v>
      </c>
      <c r="L273" t="n">
        <v>0</v>
      </c>
      <c r="M273" t="n">
        <v>0</v>
      </c>
      <c r="N273" t="n">
        <v>0</v>
      </c>
      <c r="O273" t="n">
        <v>0</v>
      </c>
      <c r="P273" t="n">
        <v>0</v>
      </c>
      <c r="Q273" t="n">
        <v>0</v>
      </c>
      <c r="R273" s="2" t="inlineStr"/>
    </row>
    <row r="274" ht="15" customHeight="1">
      <c r="A274" t="inlineStr">
        <is>
          <t>A 8566-2025</t>
        </is>
      </c>
      <c r="B274" s="1" t="n">
        <v>45709</v>
      </c>
      <c r="C274" s="1" t="n">
        <v>45892</v>
      </c>
      <c r="D274" t="inlineStr">
        <is>
          <t>VÄSTERBOTTENS LÄN</t>
        </is>
      </c>
      <c r="E274" t="inlineStr">
        <is>
          <t>VILHELMINA</t>
        </is>
      </c>
      <c r="G274" t="n">
        <v>10.5</v>
      </c>
      <c r="H274" t="n">
        <v>0</v>
      </c>
      <c r="I274" t="n">
        <v>0</v>
      </c>
      <c r="J274" t="n">
        <v>0</v>
      </c>
      <c r="K274" t="n">
        <v>0</v>
      </c>
      <c r="L274" t="n">
        <v>0</v>
      </c>
      <c r="M274" t="n">
        <v>0</v>
      </c>
      <c r="N274" t="n">
        <v>0</v>
      </c>
      <c r="O274" t="n">
        <v>0</v>
      </c>
      <c r="P274" t="n">
        <v>0</v>
      </c>
      <c r="Q274" t="n">
        <v>0</v>
      </c>
      <c r="R274" s="2" t="inlineStr"/>
    </row>
    <row r="275" ht="15" customHeight="1">
      <c r="A275" t="inlineStr">
        <is>
          <t>A 8555-2023</t>
        </is>
      </c>
      <c r="B275" s="1" t="n">
        <v>44972</v>
      </c>
      <c r="C275" s="1" t="n">
        <v>45892</v>
      </c>
      <c r="D275" t="inlineStr">
        <is>
          <t>VÄSTERBOTTENS LÄN</t>
        </is>
      </c>
      <c r="E275" t="inlineStr">
        <is>
          <t>VILHELMINA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37514-2024</t>
        </is>
      </c>
      <c r="B276" s="1" t="n">
        <v>45541.38586805556</v>
      </c>
      <c r="C276" s="1" t="n">
        <v>45892</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54430-2024</t>
        </is>
      </c>
      <c r="B277" s="1" t="n">
        <v>45617.49107638889</v>
      </c>
      <c r="C277" s="1" t="n">
        <v>45892</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61048-2022</t>
        </is>
      </c>
      <c r="B278" s="1" t="n">
        <v>44914</v>
      </c>
      <c r="C278" s="1" t="n">
        <v>45892</v>
      </c>
      <c r="D278" t="inlineStr">
        <is>
          <t>VÄSTERBOTTENS LÄN</t>
        </is>
      </c>
      <c r="E278" t="inlineStr">
        <is>
          <t>VILHELMINA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38361-2023</t>
        </is>
      </c>
      <c r="B279" s="1" t="n">
        <v>45161.94315972222</v>
      </c>
      <c r="C279" s="1" t="n">
        <v>45892</v>
      </c>
      <c r="D279" t="inlineStr">
        <is>
          <t>VÄSTERBOTTENS LÄN</t>
        </is>
      </c>
      <c r="E279" t="inlineStr">
        <is>
          <t>VILHELMINA</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26947-2024</t>
        </is>
      </c>
      <c r="B280" s="1" t="n">
        <v>45470.9693287037</v>
      </c>
      <c r="C280" s="1" t="n">
        <v>45892</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9815-2024</t>
        </is>
      </c>
      <c r="B281" s="1" t="n">
        <v>45362.96927083333</v>
      </c>
      <c r="C281" s="1" t="n">
        <v>45892</v>
      </c>
      <c r="D281" t="inlineStr">
        <is>
          <t>VÄSTERBOTTENS LÄN</t>
        </is>
      </c>
      <c r="E281" t="inlineStr">
        <is>
          <t>VILHELMINA</t>
        </is>
      </c>
      <c r="G281" t="n">
        <v>1.3</v>
      </c>
      <c r="H281" t="n">
        <v>0</v>
      </c>
      <c r="I281" t="n">
        <v>0</v>
      </c>
      <c r="J281" t="n">
        <v>0</v>
      </c>
      <c r="K281" t="n">
        <v>0</v>
      </c>
      <c r="L281" t="n">
        <v>0</v>
      </c>
      <c r="M281" t="n">
        <v>0</v>
      </c>
      <c r="N281" t="n">
        <v>0</v>
      </c>
      <c r="O281" t="n">
        <v>0</v>
      </c>
      <c r="P281" t="n">
        <v>0</v>
      </c>
      <c r="Q281" t="n">
        <v>0</v>
      </c>
      <c r="R281" s="2" t="inlineStr"/>
    </row>
    <row r="282" ht="15" customHeight="1">
      <c r="A282" t="inlineStr">
        <is>
          <t>A 34630-2024</t>
        </is>
      </c>
      <c r="B282" s="1" t="n">
        <v>45526.46234953704</v>
      </c>
      <c r="C282" s="1" t="n">
        <v>45892</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55720-2023</t>
        </is>
      </c>
      <c r="B283" s="1" t="n">
        <v>45232</v>
      </c>
      <c r="C283" s="1" t="n">
        <v>45892</v>
      </c>
      <c r="D283" t="inlineStr">
        <is>
          <t>VÄSTERBOTTENS LÄN</t>
        </is>
      </c>
      <c r="E283" t="inlineStr">
        <is>
          <t>VILHELMINA</t>
        </is>
      </c>
      <c r="G283" t="n">
        <v>0.8</v>
      </c>
      <c r="H283" t="n">
        <v>0</v>
      </c>
      <c r="I283" t="n">
        <v>0</v>
      </c>
      <c r="J283" t="n">
        <v>0</v>
      </c>
      <c r="K283" t="n">
        <v>0</v>
      </c>
      <c r="L283" t="n">
        <v>0</v>
      </c>
      <c r="M283" t="n">
        <v>0</v>
      </c>
      <c r="N283" t="n">
        <v>0</v>
      </c>
      <c r="O283" t="n">
        <v>0</v>
      </c>
      <c r="P283" t="n">
        <v>0</v>
      </c>
      <c r="Q283" t="n">
        <v>0</v>
      </c>
      <c r="R283" s="2" t="inlineStr"/>
    </row>
    <row r="284" ht="15" customHeight="1">
      <c r="A284" t="inlineStr">
        <is>
          <t>A 248-2025</t>
        </is>
      </c>
      <c r="B284" s="1" t="n">
        <v>45660.419375</v>
      </c>
      <c r="C284" s="1" t="n">
        <v>45892</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2043-2023</t>
        </is>
      </c>
      <c r="B285" s="1" t="n">
        <v>44939</v>
      </c>
      <c r="C285" s="1" t="n">
        <v>45892</v>
      </c>
      <c r="D285" t="inlineStr">
        <is>
          <t>VÄSTERBOTTENS LÄN</t>
        </is>
      </c>
      <c r="E285" t="inlineStr">
        <is>
          <t>VILHELMINA</t>
        </is>
      </c>
      <c r="F285" t="inlineStr">
        <is>
          <t>Sveaskog</t>
        </is>
      </c>
      <c r="G285" t="n">
        <v>10.5</v>
      </c>
      <c r="H285" t="n">
        <v>0</v>
      </c>
      <c r="I285" t="n">
        <v>0</v>
      </c>
      <c r="J285" t="n">
        <v>0</v>
      </c>
      <c r="K285" t="n">
        <v>0</v>
      </c>
      <c r="L285" t="n">
        <v>0</v>
      </c>
      <c r="M285" t="n">
        <v>0</v>
      </c>
      <c r="N285" t="n">
        <v>0</v>
      </c>
      <c r="O285" t="n">
        <v>0</v>
      </c>
      <c r="P285" t="n">
        <v>0</v>
      </c>
      <c r="Q285" t="n">
        <v>0</v>
      </c>
      <c r="R285" s="2" t="inlineStr"/>
    </row>
    <row r="286" ht="15" customHeight="1">
      <c r="A286" t="inlineStr">
        <is>
          <t>A 9497-2025</t>
        </is>
      </c>
      <c r="B286" s="1" t="n">
        <v>45715.51086805556</v>
      </c>
      <c r="C286" s="1" t="n">
        <v>45892</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12189-2024</t>
        </is>
      </c>
      <c r="B287" s="1" t="n">
        <v>45377.94945601852</v>
      </c>
      <c r="C287" s="1" t="n">
        <v>45892</v>
      </c>
      <c r="D287" t="inlineStr">
        <is>
          <t>VÄSTERBOTTENS LÄN</t>
        </is>
      </c>
      <c r="E287" t="inlineStr">
        <is>
          <t>VILHELMINA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15176-2022</t>
        </is>
      </c>
      <c r="B288" s="1" t="n">
        <v>44658</v>
      </c>
      <c r="C288" s="1" t="n">
        <v>45892</v>
      </c>
      <c r="D288" t="inlineStr">
        <is>
          <t>VÄSTERBOTTENS LÄN</t>
        </is>
      </c>
      <c r="E288" t="inlineStr">
        <is>
          <t>VILHELMINA</t>
        </is>
      </c>
      <c r="G288" t="n">
        <v>1.6</v>
      </c>
      <c r="H288" t="n">
        <v>0</v>
      </c>
      <c r="I288" t="n">
        <v>0</v>
      </c>
      <c r="J288" t="n">
        <v>0</v>
      </c>
      <c r="K288" t="n">
        <v>0</v>
      </c>
      <c r="L288" t="n">
        <v>0</v>
      </c>
      <c r="M288" t="n">
        <v>0</v>
      </c>
      <c r="N288" t="n">
        <v>0</v>
      </c>
      <c r="O288" t="n">
        <v>0</v>
      </c>
      <c r="P288" t="n">
        <v>0</v>
      </c>
      <c r="Q288" t="n">
        <v>0</v>
      </c>
      <c r="R288" s="2" t="inlineStr"/>
    </row>
    <row r="289" ht="15" customHeight="1">
      <c r="A289" t="inlineStr">
        <is>
          <t>A 60377-2024</t>
        </is>
      </c>
      <c r="B289" s="1" t="n">
        <v>45643</v>
      </c>
      <c r="C289" s="1" t="n">
        <v>45892</v>
      </c>
      <c r="D289" t="inlineStr">
        <is>
          <t>VÄSTERBOTTENS LÄN</t>
        </is>
      </c>
      <c r="E289" t="inlineStr">
        <is>
          <t>VILHELMINA</t>
        </is>
      </c>
      <c r="F289" t="inlineStr">
        <is>
          <t>SCA</t>
        </is>
      </c>
      <c r="G289" t="n">
        <v>16.2</v>
      </c>
      <c r="H289" t="n">
        <v>0</v>
      </c>
      <c r="I289" t="n">
        <v>0</v>
      </c>
      <c r="J289" t="n">
        <v>0</v>
      </c>
      <c r="K289" t="n">
        <v>0</v>
      </c>
      <c r="L289" t="n">
        <v>0</v>
      </c>
      <c r="M289" t="n">
        <v>0</v>
      </c>
      <c r="N289" t="n">
        <v>0</v>
      </c>
      <c r="O289" t="n">
        <v>0</v>
      </c>
      <c r="P289" t="n">
        <v>0</v>
      </c>
      <c r="Q289" t="n">
        <v>0</v>
      </c>
      <c r="R289" s="2" t="inlineStr"/>
    </row>
    <row r="290" ht="15" customHeight="1">
      <c r="A290" t="inlineStr">
        <is>
          <t>A 58450-2024</t>
        </is>
      </c>
      <c r="B290" s="1" t="n">
        <v>45635.34425925926</v>
      </c>
      <c r="C290" s="1" t="n">
        <v>45892</v>
      </c>
      <c r="D290" t="inlineStr">
        <is>
          <t>VÄSTERBOTTENS LÄN</t>
        </is>
      </c>
      <c r="E290" t="inlineStr">
        <is>
          <t>VILHELMINA</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8759-2023</t>
        </is>
      </c>
      <c r="B291" s="1" t="n">
        <v>44972</v>
      </c>
      <c r="C291" s="1" t="n">
        <v>45892</v>
      </c>
      <c r="D291" t="inlineStr">
        <is>
          <t>VÄSTERBOTTENS LÄN</t>
        </is>
      </c>
      <c r="E291" t="inlineStr">
        <is>
          <t>VILHELMINA</t>
        </is>
      </c>
      <c r="F291" t="inlineStr">
        <is>
          <t>Allmännings- och besparingsskogar</t>
        </is>
      </c>
      <c r="G291" t="n">
        <v>23.4</v>
      </c>
      <c r="H291" t="n">
        <v>0</v>
      </c>
      <c r="I291" t="n">
        <v>0</v>
      </c>
      <c r="J291" t="n">
        <v>0</v>
      </c>
      <c r="K291" t="n">
        <v>0</v>
      </c>
      <c r="L291" t="n">
        <v>0</v>
      </c>
      <c r="M291" t="n">
        <v>0</v>
      </c>
      <c r="N291" t="n">
        <v>0</v>
      </c>
      <c r="O291" t="n">
        <v>0</v>
      </c>
      <c r="P291" t="n">
        <v>0</v>
      </c>
      <c r="Q291" t="n">
        <v>0</v>
      </c>
      <c r="R291" s="2" t="inlineStr"/>
    </row>
    <row r="292" ht="15" customHeight="1">
      <c r="A292" t="inlineStr">
        <is>
          <t>A 4869-2023</t>
        </is>
      </c>
      <c r="B292" s="1" t="n">
        <v>44957</v>
      </c>
      <c r="C292" s="1" t="n">
        <v>45892</v>
      </c>
      <c r="D292" t="inlineStr">
        <is>
          <t>VÄSTERBOTTENS LÄN</t>
        </is>
      </c>
      <c r="E292" t="inlineStr">
        <is>
          <t>VILHELMINA</t>
        </is>
      </c>
      <c r="G292" t="n">
        <v>5.7</v>
      </c>
      <c r="H292" t="n">
        <v>0</v>
      </c>
      <c r="I292" t="n">
        <v>0</v>
      </c>
      <c r="J292" t="n">
        <v>0</v>
      </c>
      <c r="K292" t="n">
        <v>0</v>
      </c>
      <c r="L292" t="n">
        <v>0</v>
      </c>
      <c r="M292" t="n">
        <v>0</v>
      </c>
      <c r="N292" t="n">
        <v>0</v>
      </c>
      <c r="O292" t="n">
        <v>0</v>
      </c>
      <c r="P292" t="n">
        <v>0</v>
      </c>
      <c r="Q292" t="n">
        <v>0</v>
      </c>
      <c r="R292" s="2" t="inlineStr"/>
    </row>
    <row r="293" ht="15" customHeight="1">
      <c r="A293" t="inlineStr">
        <is>
          <t>A 32921-2024</t>
        </is>
      </c>
      <c r="B293" s="1" t="n">
        <v>45516.9525462963</v>
      </c>
      <c r="C293" s="1" t="n">
        <v>45892</v>
      </c>
      <c r="D293" t="inlineStr">
        <is>
          <t>VÄSTERBOTTENS LÄN</t>
        </is>
      </c>
      <c r="E293" t="inlineStr">
        <is>
          <t>VILHELMINA</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237-2025</t>
        </is>
      </c>
      <c r="B294" s="1" t="n">
        <v>45660.40270833333</v>
      </c>
      <c r="C294" s="1" t="n">
        <v>45892</v>
      </c>
      <c r="D294" t="inlineStr">
        <is>
          <t>VÄSTERBOTTENS LÄN</t>
        </is>
      </c>
      <c r="E294" t="inlineStr">
        <is>
          <t>VILHELMINA</t>
        </is>
      </c>
      <c r="G294" t="n">
        <v>4.6</v>
      </c>
      <c r="H294" t="n">
        <v>0</v>
      </c>
      <c r="I294" t="n">
        <v>0</v>
      </c>
      <c r="J294" t="n">
        <v>0</v>
      </c>
      <c r="K294" t="n">
        <v>0</v>
      </c>
      <c r="L294" t="n">
        <v>0</v>
      </c>
      <c r="M294" t="n">
        <v>0</v>
      </c>
      <c r="N294" t="n">
        <v>0</v>
      </c>
      <c r="O294" t="n">
        <v>0</v>
      </c>
      <c r="P294" t="n">
        <v>0</v>
      </c>
      <c r="Q294" t="n">
        <v>0</v>
      </c>
      <c r="R294" s="2" t="inlineStr"/>
    </row>
    <row r="295" ht="15" customHeight="1">
      <c r="A295" t="inlineStr">
        <is>
          <t>A 242-2025</t>
        </is>
      </c>
      <c r="B295" s="1" t="n">
        <v>45660.41033564815</v>
      </c>
      <c r="C295" s="1" t="n">
        <v>45892</v>
      </c>
      <c r="D295" t="inlineStr">
        <is>
          <t>VÄSTERBOTTENS LÄN</t>
        </is>
      </c>
      <c r="E295" t="inlineStr">
        <is>
          <t>VILHELMINA</t>
        </is>
      </c>
      <c r="G295" t="n">
        <v>2.7</v>
      </c>
      <c r="H295" t="n">
        <v>0</v>
      </c>
      <c r="I295" t="n">
        <v>0</v>
      </c>
      <c r="J295" t="n">
        <v>0</v>
      </c>
      <c r="K295" t="n">
        <v>0</v>
      </c>
      <c r="L295" t="n">
        <v>0</v>
      </c>
      <c r="M295" t="n">
        <v>0</v>
      </c>
      <c r="N295" t="n">
        <v>0</v>
      </c>
      <c r="O295" t="n">
        <v>0</v>
      </c>
      <c r="P295" t="n">
        <v>0</v>
      </c>
      <c r="Q295" t="n">
        <v>0</v>
      </c>
      <c r="R295" s="2" t="inlineStr"/>
    </row>
    <row r="296" ht="15" customHeight="1">
      <c r="A296" t="inlineStr">
        <is>
          <t>A 55870-2022</t>
        </is>
      </c>
      <c r="B296" s="1" t="n">
        <v>44888</v>
      </c>
      <c r="C296" s="1" t="n">
        <v>45892</v>
      </c>
      <c r="D296" t="inlineStr">
        <is>
          <t>VÄSTERBOTTENS LÄN</t>
        </is>
      </c>
      <c r="E296" t="inlineStr">
        <is>
          <t>VILHELMINA</t>
        </is>
      </c>
      <c r="G296" t="n">
        <v>13.6</v>
      </c>
      <c r="H296" t="n">
        <v>0</v>
      </c>
      <c r="I296" t="n">
        <v>0</v>
      </c>
      <c r="J296" t="n">
        <v>0</v>
      </c>
      <c r="K296" t="n">
        <v>0</v>
      </c>
      <c r="L296" t="n">
        <v>0</v>
      </c>
      <c r="M296" t="n">
        <v>0</v>
      </c>
      <c r="N296" t="n">
        <v>0</v>
      </c>
      <c r="O296" t="n">
        <v>0</v>
      </c>
      <c r="P296" t="n">
        <v>0</v>
      </c>
      <c r="Q296" t="n">
        <v>0</v>
      </c>
      <c r="R296" s="2" t="inlineStr"/>
    </row>
    <row r="297" ht="15" customHeight="1">
      <c r="A297" t="inlineStr">
        <is>
          <t>A 34799-2023</t>
        </is>
      </c>
      <c r="B297" s="1" t="n">
        <v>45140</v>
      </c>
      <c r="C297" s="1" t="n">
        <v>45892</v>
      </c>
      <c r="D297" t="inlineStr">
        <is>
          <t>VÄSTERBOTTENS LÄN</t>
        </is>
      </c>
      <c r="E297" t="inlineStr">
        <is>
          <t>VILHELMINA</t>
        </is>
      </c>
      <c r="G297" t="n">
        <v>17.4</v>
      </c>
      <c r="H297" t="n">
        <v>0</v>
      </c>
      <c r="I297" t="n">
        <v>0</v>
      </c>
      <c r="J297" t="n">
        <v>0</v>
      </c>
      <c r="K297" t="n">
        <v>0</v>
      </c>
      <c r="L297" t="n">
        <v>0</v>
      </c>
      <c r="M297" t="n">
        <v>0</v>
      </c>
      <c r="N297" t="n">
        <v>0</v>
      </c>
      <c r="O297" t="n">
        <v>0</v>
      </c>
      <c r="P297" t="n">
        <v>0</v>
      </c>
      <c r="Q297" t="n">
        <v>0</v>
      </c>
      <c r="R297" s="2" t="inlineStr"/>
    </row>
    <row r="298" ht="15" customHeight="1">
      <c r="A298" t="inlineStr">
        <is>
          <t>A 19401-2023</t>
        </is>
      </c>
      <c r="B298" s="1" t="n">
        <v>45048</v>
      </c>
      <c r="C298" s="1" t="n">
        <v>45892</v>
      </c>
      <c r="D298" t="inlineStr">
        <is>
          <t>VÄSTERBOTTENS LÄN</t>
        </is>
      </c>
      <c r="E298" t="inlineStr">
        <is>
          <t>VILHELMINA</t>
        </is>
      </c>
      <c r="G298" t="n">
        <v>5.4</v>
      </c>
      <c r="H298" t="n">
        <v>0</v>
      </c>
      <c r="I298" t="n">
        <v>0</v>
      </c>
      <c r="J298" t="n">
        <v>0</v>
      </c>
      <c r="K298" t="n">
        <v>0</v>
      </c>
      <c r="L298" t="n">
        <v>0</v>
      </c>
      <c r="M298" t="n">
        <v>0</v>
      </c>
      <c r="N298" t="n">
        <v>0</v>
      </c>
      <c r="O298" t="n">
        <v>0</v>
      </c>
      <c r="P298" t="n">
        <v>0</v>
      </c>
      <c r="Q298" t="n">
        <v>0</v>
      </c>
      <c r="R298" s="2" t="inlineStr"/>
    </row>
    <row r="299" ht="15" customHeight="1">
      <c r="A299" t="inlineStr">
        <is>
          <t>A 22109-2024</t>
        </is>
      </c>
      <c r="B299" s="1" t="n">
        <v>45443</v>
      </c>
      <c r="C299" s="1" t="n">
        <v>45892</v>
      </c>
      <c r="D299" t="inlineStr">
        <is>
          <t>VÄSTERBOTTENS LÄN</t>
        </is>
      </c>
      <c r="E299" t="inlineStr">
        <is>
          <t>VILHELMINA</t>
        </is>
      </c>
      <c r="F299" t="inlineStr">
        <is>
          <t>SCA</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58943-2024</t>
        </is>
      </c>
      <c r="B300" s="1" t="n">
        <v>45636.5433449074</v>
      </c>
      <c r="C300" s="1" t="n">
        <v>45892</v>
      </c>
      <c r="D300" t="inlineStr">
        <is>
          <t>VÄSTERBOTTENS LÄN</t>
        </is>
      </c>
      <c r="E300" t="inlineStr">
        <is>
          <t>VILHELMINA</t>
        </is>
      </c>
      <c r="F300" t="inlineStr">
        <is>
          <t>Kommuner</t>
        </is>
      </c>
      <c r="G300" t="n">
        <v>4.1</v>
      </c>
      <c r="H300" t="n">
        <v>0</v>
      </c>
      <c r="I300" t="n">
        <v>0</v>
      </c>
      <c r="J300" t="n">
        <v>0</v>
      </c>
      <c r="K300" t="n">
        <v>0</v>
      </c>
      <c r="L300" t="n">
        <v>0</v>
      </c>
      <c r="M300" t="n">
        <v>0</v>
      </c>
      <c r="N300" t="n">
        <v>0</v>
      </c>
      <c r="O300" t="n">
        <v>0</v>
      </c>
      <c r="P300" t="n">
        <v>0</v>
      </c>
      <c r="Q300" t="n">
        <v>0</v>
      </c>
      <c r="R300" s="2" t="inlineStr"/>
    </row>
    <row r="301" ht="15" customHeight="1">
      <c r="A301" t="inlineStr">
        <is>
          <t>A 16721-2025</t>
        </is>
      </c>
      <c r="B301" s="1" t="n">
        <v>45754.49045138889</v>
      </c>
      <c r="C301" s="1" t="n">
        <v>45892</v>
      </c>
      <c r="D301" t="inlineStr">
        <is>
          <t>VÄSTERBOTTENS LÄN</t>
        </is>
      </c>
      <c r="E301" t="inlineStr">
        <is>
          <t>VILHELMINA</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19397-2023</t>
        </is>
      </c>
      <c r="B302" s="1" t="n">
        <v>45048</v>
      </c>
      <c r="C302" s="1" t="n">
        <v>45892</v>
      </c>
      <c r="D302" t="inlineStr">
        <is>
          <t>VÄSTERBOTTENS LÄN</t>
        </is>
      </c>
      <c r="E302" t="inlineStr">
        <is>
          <t>VILHELMINA</t>
        </is>
      </c>
      <c r="G302" t="n">
        <v>12.8</v>
      </c>
      <c r="H302" t="n">
        <v>0</v>
      </c>
      <c r="I302" t="n">
        <v>0</v>
      </c>
      <c r="J302" t="n">
        <v>0</v>
      </c>
      <c r="K302" t="n">
        <v>0</v>
      </c>
      <c r="L302" t="n">
        <v>0</v>
      </c>
      <c r="M302" t="n">
        <v>0</v>
      </c>
      <c r="N302" t="n">
        <v>0</v>
      </c>
      <c r="O302" t="n">
        <v>0</v>
      </c>
      <c r="P302" t="n">
        <v>0</v>
      </c>
      <c r="Q302" t="n">
        <v>0</v>
      </c>
      <c r="R302" s="2" t="inlineStr"/>
    </row>
    <row r="303" ht="15" customHeight="1">
      <c r="A303" t="inlineStr">
        <is>
          <t>A 33321-2024</t>
        </is>
      </c>
      <c r="B303" s="1" t="n">
        <v>45518.97256944444</v>
      </c>
      <c r="C303" s="1" t="n">
        <v>45892</v>
      </c>
      <c r="D303" t="inlineStr">
        <is>
          <t>VÄSTERBOTTENS LÄN</t>
        </is>
      </c>
      <c r="E303" t="inlineStr">
        <is>
          <t>VILHELMINA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46119-2022</t>
        </is>
      </c>
      <c r="B304" s="1" t="n">
        <v>44847</v>
      </c>
      <c r="C304" s="1" t="n">
        <v>45892</v>
      </c>
      <c r="D304" t="inlineStr">
        <is>
          <t>VÄSTERBOTTENS LÄN</t>
        </is>
      </c>
      <c r="E304" t="inlineStr">
        <is>
          <t>VILHELMINA</t>
        </is>
      </c>
      <c r="G304" t="n">
        <v>12.1</v>
      </c>
      <c r="H304" t="n">
        <v>0</v>
      </c>
      <c r="I304" t="n">
        <v>0</v>
      </c>
      <c r="J304" t="n">
        <v>0</v>
      </c>
      <c r="K304" t="n">
        <v>0</v>
      </c>
      <c r="L304" t="n">
        <v>0</v>
      </c>
      <c r="M304" t="n">
        <v>0</v>
      </c>
      <c r="N304" t="n">
        <v>0</v>
      </c>
      <c r="O304" t="n">
        <v>0</v>
      </c>
      <c r="P304" t="n">
        <v>0</v>
      </c>
      <c r="Q304" t="n">
        <v>0</v>
      </c>
      <c r="R304" s="2" t="inlineStr"/>
    </row>
    <row r="305" ht="15" customHeight="1">
      <c r="A305" t="inlineStr">
        <is>
          <t>A 46121-2022</t>
        </is>
      </c>
      <c r="B305" s="1" t="n">
        <v>44847</v>
      </c>
      <c r="C305" s="1" t="n">
        <v>45892</v>
      </c>
      <c r="D305" t="inlineStr">
        <is>
          <t>VÄSTERBOTTENS LÄN</t>
        </is>
      </c>
      <c r="E305" t="inlineStr">
        <is>
          <t>VILHELMINA</t>
        </is>
      </c>
      <c r="G305" t="n">
        <v>2.6</v>
      </c>
      <c r="H305" t="n">
        <v>0</v>
      </c>
      <c r="I305" t="n">
        <v>0</v>
      </c>
      <c r="J305" t="n">
        <v>0</v>
      </c>
      <c r="K305" t="n">
        <v>0</v>
      </c>
      <c r="L305" t="n">
        <v>0</v>
      </c>
      <c r="M305" t="n">
        <v>0</v>
      </c>
      <c r="N305" t="n">
        <v>0</v>
      </c>
      <c r="O305" t="n">
        <v>0</v>
      </c>
      <c r="P305" t="n">
        <v>0</v>
      </c>
      <c r="Q305" t="n">
        <v>0</v>
      </c>
      <c r="R305" s="2" t="inlineStr"/>
    </row>
    <row r="306" ht="15" customHeight="1">
      <c r="A306" t="inlineStr">
        <is>
          <t>A 60090-2020</t>
        </is>
      </c>
      <c r="B306" s="1" t="n">
        <v>44151</v>
      </c>
      <c r="C306" s="1" t="n">
        <v>45892</v>
      </c>
      <c r="D306" t="inlineStr">
        <is>
          <t>VÄSTERBOTTENS LÄN</t>
        </is>
      </c>
      <c r="E306" t="inlineStr">
        <is>
          <t>VILHELMINA</t>
        </is>
      </c>
      <c r="G306" t="n">
        <v>9</v>
      </c>
      <c r="H306" t="n">
        <v>0</v>
      </c>
      <c r="I306" t="n">
        <v>0</v>
      </c>
      <c r="J306" t="n">
        <v>0</v>
      </c>
      <c r="K306" t="n">
        <v>0</v>
      </c>
      <c r="L306" t="n">
        <v>0</v>
      </c>
      <c r="M306" t="n">
        <v>0</v>
      </c>
      <c r="N306" t="n">
        <v>0</v>
      </c>
      <c r="O306" t="n">
        <v>0</v>
      </c>
      <c r="P306" t="n">
        <v>0</v>
      </c>
      <c r="Q306" t="n">
        <v>0</v>
      </c>
      <c r="R306" s="2" t="inlineStr"/>
    </row>
    <row r="307" ht="15" customHeight="1">
      <c r="A307" t="inlineStr">
        <is>
          <t>A 30582-2024</t>
        </is>
      </c>
      <c r="B307" s="1" t="n">
        <v>45492</v>
      </c>
      <c r="C307" s="1" t="n">
        <v>45892</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18398-2025</t>
        </is>
      </c>
      <c r="B308" s="1" t="n">
        <v>45762.59491898148</v>
      </c>
      <c r="C308" s="1" t="n">
        <v>45892</v>
      </c>
      <c r="D308" t="inlineStr">
        <is>
          <t>VÄSTERBOTTENS LÄN</t>
        </is>
      </c>
      <c r="E308" t="inlineStr">
        <is>
          <t>VILHELMINA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25102-2021</t>
        </is>
      </c>
      <c r="B309" s="1" t="n">
        <v>44341</v>
      </c>
      <c r="C309" s="1" t="n">
        <v>45892</v>
      </c>
      <c r="D309" t="inlineStr">
        <is>
          <t>VÄSTERBOTTENS LÄN</t>
        </is>
      </c>
      <c r="E309" t="inlineStr">
        <is>
          <t>VILHELMINA</t>
        </is>
      </c>
      <c r="G309" t="n">
        <v>6.7</v>
      </c>
      <c r="H309" t="n">
        <v>0</v>
      </c>
      <c r="I309" t="n">
        <v>0</v>
      </c>
      <c r="J309" t="n">
        <v>0</v>
      </c>
      <c r="K309" t="n">
        <v>0</v>
      </c>
      <c r="L309" t="n">
        <v>0</v>
      </c>
      <c r="M309" t="n">
        <v>0</v>
      </c>
      <c r="N309" t="n">
        <v>0</v>
      </c>
      <c r="O309" t="n">
        <v>0</v>
      </c>
      <c r="P309" t="n">
        <v>0</v>
      </c>
      <c r="Q309" t="n">
        <v>0</v>
      </c>
      <c r="R309" s="2" t="inlineStr"/>
    </row>
    <row r="310" ht="15" customHeight="1">
      <c r="A310" t="inlineStr">
        <is>
          <t>A 14961-2022</t>
        </is>
      </c>
      <c r="B310" s="1" t="n">
        <v>44657</v>
      </c>
      <c r="C310" s="1" t="n">
        <v>45892</v>
      </c>
      <c r="D310" t="inlineStr">
        <is>
          <t>VÄSTERBOTTENS LÄN</t>
        </is>
      </c>
      <c r="E310" t="inlineStr">
        <is>
          <t>VILHELMINA</t>
        </is>
      </c>
      <c r="G310" t="n">
        <v>19.9</v>
      </c>
      <c r="H310" t="n">
        <v>0</v>
      </c>
      <c r="I310" t="n">
        <v>0</v>
      </c>
      <c r="J310" t="n">
        <v>0</v>
      </c>
      <c r="K310" t="n">
        <v>0</v>
      </c>
      <c r="L310" t="n">
        <v>0</v>
      </c>
      <c r="M310" t="n">
        <v>0</v>
      </c>
      <c r="N310" t="n">
        <v>0</v>
      </c>
      <c r="O310" t="n">
        <v>0</v>
      </c>
      <c r="P310" t="n">
        <v>0</v>
      </c>
      <c r="Q310" t="n">
        <v>0</v>
      </c>
      <c r="R310" s="2" t="inlineStr"/>
    </row>
    <row r="311" ht="15" customHeight="1">
      <c r="A311" t="inlineStr">
        <is>
          <t>A 38674-2023</t>
        </is>
      </c>
      <c r="B311" s="1" t="n">
        <v>45162.94335648148</v>
      </c>
      <c r="C311" s="1" t="n">
        <v>45892</v>
      </c>
      <c r="D311" t="inlineStr">
        <is>
          <t>VÄSTERBOTTENS LÄN</t>
        </is>
      </c>
      <c r="E311" t="inlineStr">
        <is>
          <t>VILHELMINA</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16720-2025</t>
        </is>
      </c>
      <c r="B312" s="1" t="n">
        <v>45754.49039351852</v>
      </c>
      <c r="C312" s="1" t="n">
        <v>45892</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12866-2023</t>
        </is>
      </c>
      <c r="B313" s="1" t="n">
        <v>45000</v>
      </c>
      <c r="C313" s="1" t="n">
        <v>45892</v>
      </c>
      <c r="D313" t="inlineStr">
        <is>
          <t>VÄSTERBOTTENS LÄN</t>
        </is>
      </c>
      <c r="E313" t="inlineStr">
        <is>
          <t>VILHELMINA</t>
        </is>
      </c>
      <c r="G313" t="n">
        <v>2.6</v>
      </c>
      <c r="H313" t="n">
        <v>0</v>
      </c>
      <c r="I313" t="n">
        <v>0</v>
      </c>
      <c r="J313" t="n">
        <v>0</v>
      </c>
      <c r="K313" t="n">
        <v>0</v>
      </c>
      <c r="L313" t="n">
        <v>0</v>
      </c>
      <c r="M313" t="n">
        <v>0</v>
      </c>
      <c r="N313" t="n">
        <v>0</v>
      </c>
      <c r="O313" t="n">
        <v>0</v>
      </c>
      <c r="P313" t="n">
        <v>0</v>
      </c>
      <c r="Q313" t="n">
        <v>0</v>
      </c>
      <c r="R313" s="2" t="inlineStr"/>
    </row>
    <row r="314" ht="15" customHeight="1">
      <c r="A314" t="inlineStr">
        <is>
          <t>A 62630-2022</t>
        </is>
      </c>
      <c r="B314" s="1" t="n">
        <v>44917</v>
      </c>
      <c r="C314" s="1" t="n">
        <v>45892</v>
      </c>
      <c r="D314" t="inlineStr">
        <is>
          <t>VÄSTERBOTTENS LÄN</t>
        </is>
      </c>
      <c r="E314" t="inlineStr">
        <is>
          <t>VILHELMINA</t>
        </is>
      </c>
      <c r="G314" t="n">
        <v>0.9</v>
      </c>
      <c r="H314" t="n">
        <v>0</v>
      </c>
      <c r="I314" t="n">
        <v>0</v>
      </c>
      <c r="J314" t="n">
        <v>0</v>
      </c>
      <c r="K314" t="n">
        <v>0</v>
      </c>
      <c r="L314" t="n">
        <v>0</v>
      </c>
      <c r="M314" t="n">
        <v>0</v>
      </c>
      <c r="N314" t="n">
        <v>0</v>
      </c>
      <c r="O314" t="n">
        <v>0</v>
      </c>
      <c r="P314" t="n">
        <v>0</v>
      </c>
      <c r="Q314" t="n">
        <v>0</v>
      </c>
      <c r="R314" s="2" t="inlineStr"/>
    </row>
    <row r="315" ht="15" customHeight="1">
      <c r="A315" t="inlineStr">
        <is>
          <t>A 28695-2024</t>
        </is>
      </c>
      <c r="B315" s="1" t="n">
        <v>45478</v>
      </c>
      <c r="C315" s="1" t="n">
        <v>45892</v>
      </c>
      <c r="D315" t="inlineStr">
        <is>
          <t>VÄSTERBOTTENS LÄN</t>
        </is>
      </c>
      <c r="E315" t="inlineStr">
        <is>
          <t>VILHELMINA</t>
        </is>
      </c>
      <c r="F315" t="inlineStr">
        <is>
          <t>Allmännings- och besparingsskogar</t>
        </is>
      </c>
      <c r="G315" t="n">
        <v>3.1</v>
      </c>
      <c r="H315" t="n">
        <v>0</v>
      </c>
      <c r="I315" t="n">
        <v>0</v>
      </c>
      <c r="J315" t="n">
        <v>0</v>
      </c>
      <c r="K315" t="n">
        <v>0</v>
      </c>
      <c r="L315" t="n">
        <v>0</v>
      </c>
      <c r="M315" t="n">
        <v>0</v>
      </c>
      <c r="N315" t="n">
        <v>0</v>
      </c>
      <c r="O315" t="n">
        <v>0</v>
      </c>
      <c r="P315" t="n">
        <v>0</v>
      </c>
      <c r="Q315" t="n">
        <v>0</v>
      </c>
      <c r="R315" s="2" t="inlineStr"/>
    </row>
    <row r="316" ht="15" customHeight="1">
      <c r="A316" t="inlineStr">
        <is>
          <t>A 40468-2021</t>
        </is>
      </c>
      <c r="B316" s="1" t="n">
        <v>44419.94174768519</v>
      </c>
      <c r="C316" s="1" t="n">
        <v>45892</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29954-2023</t>
        </is>
      </c>
      <c r="B317" s="1" t="n">
        <v>45107</v>
      </c>
      <c r="C317" s="1" t="n">
        <v>45892</v>
      </c>
      <c r="D317" t="inlineStr">
        <is>
          <t>VÄSTERBOTTENS LÄN</t>
        </is>
      </c>
      <c r="E317" t="inlineStr">
        <is>
          <t>VILHELMINA</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15884-2025</t>
        </is>
      </c>
      <c r="B318" s="1" t="n">
        <v>45749</v>
      </c>
      <c r="C318" s="1" t="n">
        <v>45892</v>
      </c>
      <c r="D318" t="inlineStr">
        <is>
          <t>VÄSTERBOTTENS LÄN</t>
        </is>
      </c>
      <c r="E318" t="inlineStr">
        <is>
          <t>VILHELMINA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28486-2022</t>
        </is>
      </c>
      <c r="B319" s="1" t="n">
        <v>44747</v>
      </c>
      <c r="C319" s="1" t="n">
        <v>45892</v>
      </c>
      <c r="D319" t="inlineStr">
        <is>
          <t>VÄSTERBOTTENS LÄN</t>
        </is>
      </c>
      <c r="E319" t="inlineStr">
        <is>
          <t>VILHELMINA</t>
        </is>
      </c>
      <c r="F319" t="inlineStr">
        <is>
          <t>SCA</t>
        </is>
      </c>
      <c r="G319" t="n">
        <v>7.9</v>
      </c>
      <c r="H319" t="n">
        <v>0</v>
      </c>
      <c r="I319" t="n">
        <v>0</v>
      </c>
      <c r="J319" t="n">
        <v>0</v>
      </c>
      <c r="K319" t="n">
        <v>0</v>
      </c>
      <c r="L319" t="n">
        <v>0</v>
      </c>
      <c r="M319" t="n">
        <v>0</v>
      </c>
      <c r="N319" t="n">
        <v>0</v>
      </c>
      <c r="O319" t="n">
        <v>0</v>
      </c>
      <c r="P319" t="n">
        <v>0</v>
      </c>
      <c r="Q319" t="n">
        <v>0</v>
      </c>
      <c r="R319" s="2" t="inlineStr"/>
    </row>
    <row r="320" ht="15" customHeight="1">
      <c r="A320" t="inlineStr">
        <is>
          <t>A 12763-2025</t>
        </is>
      </c>
      <c r="B320" s="1" t="n">
        <v>45733</v>
      </c>
      <c r="C320" s="1" t="n">
        <v>45892</v>
      </c>
      <c r="D320" t="inlineStr">
        <is>
          <t>VÄSTERBOTTENS LÄN</t>
        </is>
      </c>
      <c r="E320" t="inlineStr">
        <is>
          <t>VILHELMINA</t>
        </is>
      </c>
      <c r="F320" t="inlineStr">
        <is>
          <t>SCA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52746-2023</t>
        </is>
      </c>
      <c r="B321" s="1" t="n">
        <v>45225.96753472222</v>
      </c>
      <c r="C321" s="1" t="n">
        <v>45892</v>
      </c>
      <c r="D321" t="inlineStr">
        <is>
          <t>VÄSTERBOTTENS LÄN</t>
        </is>
      </c>
      <c r="E321" t="inlineStr">
        <is>
          <t>VILHELMINA</t>
        </is>
      </c>
      <c r="F321" t="inlineStr">
        <is>
          <t>SCA</t>
        </is>
      </c>
      <c r="G321" t="n">
        <v>10.4</v>
      </c>
      <c r="H321" t="n">
        <v>0</v>
      </c>
      <c r="I321" t="n">
        <v>0</v>
      </c>
      <c r="J321" t="n">
        <v>0</v>
      </c>
      <c r="K321" t="n">
        <v>0</v>
      </c>
      <c r="L321" t="n">
        <v>0</v>
      </c>
      <c r="M321" t="n">
        <v>0</v>
      </c>
      <c r="N321" t="n">
        <v>0</v>
      </c>
      <c r="O321" t="n">
        <v>0</v>
      </c>
      <c r="P321" t="n">
        <v>0</v>
      </c>
      <c r="Q321" t="n">
        <v>0</v>
      </c>
      <c r="R321" s="2" t="inlineStr"/>
    </row>
    <row r="322" ht="15" customHeight="1">
      <c r="A322" t="inlineStr">
        <is>
          <t>A 32925-2024</t>
        </is>
      </c>
      <c r="B322" s="1" t="n">
        <v>45516.95302083333</v>
      </c>
      <c r="C322" s="1" t="n">
        <v>45892</v>
      </c>
      <c r="D322" t="inlineStr">
        <is>
          <t>VÄSTERBOTTENS LÄN</t>
        </is>
      </c>
      <c r="E322" t="inlineStr">
        <is>
          <t>VILHELMINA</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32926-2024</t>
        </is>
      </c>
      <c r="B323" s="1" t="n">
        <v>45516.95311342592</v>
      </c>
      <c r="C323" s="1" t="n">
        <v>45892</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58505-2024</t>
        </is>
      </c>
      <c r="B324" s="1" t="n">
        <v>45635</v>
      </c>
      <c r="C324" s="1" t="n">
        <v>45892</v>
      </c>
      <c r="D324" t="inlineStr">
        <is>
          <t>VÄSTERBOTTENS LÄN</t>
        </is>
      </c>
      <c r="E324" t="inlineStr">
        <is>
          <t>VILHELMINA</t>
        </is>
      </c>
      <c r="G324" t="n">
        <v>2.9</v>
      </c>
      <c r="H324" t="n">
        <v>0</v>
      </c>
      <c r="I324" t="n">
        <v>0</v>
      </c>
      <c r="J324" t="n">
        <v>0</v>
      </c>
      <c r="K324" t="n">
        <v>0</v>
      </c>
      <c r="L324" t="n">
        <v>0</v>
      </c>
      <c r="M324" t="n">
        <v>0</v>
      </c>
      <c r="N324" t="n">
        <v>0</v>
      </c>
      <c r="O324" t="n">
        <v>0</v>
      </c>
      <c r="P324" t="n">
        <v>0</v>
      </c>
      <c r="Q324" t="n">
        <v>0</v>
      </c>
      <c r="R324" s="2" t="inlineStr"/>
    </row>
    <row r="325" ht="15" customHeight="1">
      <c r="A325" t="inlineStr">
        <is>
          <t>A 23270-2021</t>
        </is>
      </c>
      <c r="B325" s="1" t="n">
        <v>44328</v>
      </c>
      <c r="C325" s="1" t="n">
        <v>45892</v>
      </c>
      <c r="D325" t="inlineStr">
        <is>
          <t>VÄSTERBOTTENS LÄN</t>
        </is>
      </c>
      <c r="E325" t="inlineStr">
        <is>
          <t>VILHELMINA</t>
        </is>
      </c>
      <c r="F325" t="inlineStr">
        <is>
          <t>Allmännings- och besparingsskogar</t>
        </is>
      </c>
      <c r="G325" t="n">
        <v>14.7</v>
      </c>
      <c r="H325" t="n">
        <v>0</v>
      </c>
      <c r="I325" t="n">
        <v>0</v>
      </c>
      <c r="J325" t="n">
        <v>0</v>
      </c>
      <c r="K325" t="n">
        <v>0</v>
      </c>
      <c r="L325" t="n">
        <v>0</v>
      </c>
      <c r="M325" t="n">
        <v>0</v>
      </c>
      <c r="N325" t="n">
        <v>0</v>
      </c>
      <c r="O325" t="n">
        <v>0</v>
      </c>
      <c r="P325" t="n">
        <v>0</v>
      </c>
      <c r="Q325" t="n">
        <v>0</v>
      </c>
      <c r="R325" s="2" t="inlineStr"/>
    </row>
    <row r="326" ht="15" customHeight="1">
      <c r="A326" t="inlineStr">
        <is>
          <t>A 51134-2024</t>
        </is>
      </c>
      <c r="B326" s="1" t="n">
        <v>45603</v>
      </c>
      <c r="C326" s="1" t="n">
        <v>45892</v>
      </c>
      <c r="D326" t="inlineStr">
        <is>
          <t>VÄSTERBOTTENS LÄN</t>
        </is>
      </c>
      <c r="E326" t="inlineStr">
        <is>
          <t>VILHELMINA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49241-2024</t>
        </is>
      </c>
      <c r="B327" s="1" t="n">
        <v>45595</v>
      </c>
      <c r="C327" s="1" t="n">
        <v>45892</v>
      </c>
      <c r="D327" t="inlineStr">
        <is>
          <t>VÄSTERBOTTENS LÄN</t>
        </is>
      </c>
      <c r="E327" t="inlineStr">
        <is>
          <t>VILHELMINA</t>
        </is>
      </c>
      <c r="G327" t="n">
        <v>1.4</v>
      </c>
      <c r="H327" t="n">
        <v>0</v>
      </c>
      <c r="I327" t="n">
        <v>0</v>
      </c>
      <c r="J327" t="n">
        <v>0</v>
      </c>
      <c r="K327" t="n">
        <v>0</v>
      </c>
      <c r="L327" t="n">
        <v>0</v>
      </c>
      <c r="M327" t="n">
        <v>0</v>
      </c>
      <c r="N327" t="n">
        <v>0</v>
      </c>
      <c r="O327" t="n">
        <v>0</v>
      </c>
      <c r="P327" t="n">
        <v>0</v>
      </c>
      <c r="Q327" t="n">
        <v>0</v>
      </c>
      <c r="R327" s="2" t="inlineStr"/>
    </row>
    <row r="328" ht="15" customHeight="1">
      <c r="A328" t="inlineStr">
        <is>
          <t>A 10418-2023</t>
        </is>
      </c>
      <c r="B328" s="1" t="n">
        <v>44987</v>
      </c>
      <c r="C328" s="1" t="n">
        <v>45892</v>
      </c>
      <c r="D328" t="inlineStr">
        <is>
          <t>VÄSTERBOTTENS LÄN</t>
        </is>
      </c>
      <c r="E328" t="inlineStr">
        <is>
          <t>VILHELMINA</t>
        </is>
      </c>
      <c r="G328" t="n">
        <v>3.2</v>
      </c>
      <c r="H328" t="n">
        <v>0</v>
      </c>
      <c r="I328" t="n">
        <v>0</v>
      </c>
      <c r="J328" t="n">
        <v>0</v>
      </c>
      <c r="K328" t="n">
        <v>0</v>
      </c>
      <c r="L328" t="n">
        <v>0</v>
      </c>
      <c r="M328" t="n">
        <v>0</v>
      </c>
      <c r="N328" t="n">
        <v>0</v>
      </c>
      <c r="O328" t="n">
        <v>0</v>
      </c>
      <c r="P328" t="n">
        <v>0</v>
      </c>
      <c r="Q328" t="n">
        <v>0</v>
      </c>
      <c r="R328" s="2" t="inlineStr"/>
    </row>
    <row r="329" ht="15" customHeight="1">
      <c r="A329" t="inlineStr">
        <is>
          <t>A 34719-2024</t>
        </is>
      </c>
      <c r="B329" s="1" t="n">
        <v>45526.56435185186</v>
      </c>
      <c r="C329" s="1" t="n">
        <v>45892</v>
      </c>
      <c r="D329" t="inlineStr">
        <is>
          <t>VÄSTERBOTTENS LÄN</t>
        </is>
      </c>
      <c r="E329" t="inlineStr">
        <is>
          <t>VILHELMINA</t>
        </is>
      </c>
      <c r="G329" t="n">
        <v>1.7</v>
      </c>
      <c r="H329" t="n">
        <v>0</v>
      </c>
      <c r="I329" t="n">
        <v>0</v>
      </c>
      <c r="J329" t="n">
        <v>0</v>
      </c>
      <c r="K329" t="n">
        <v>0</v>
      </c>
      <c r="L329" t="n">
        <v>0</v>
      </c>
      <c r="M329" t="n">
        <v>0</v>
      </c>
      <c r="N329" t="n">
        <v>0</v>
      </c>
      <c r="O329" t="n">
        <v>0</v>
      </c>
      <c r="P329" t="n">
        <v>0</v>
      </c>
      <c r="Q329" t="n">
        <v>0</v>
      </c>
      <c r="R329" s="2" t="inlineStr"/>
    </row>
    <row r="330" ht="15" customHeight="1">
      <c r="A330" t="inlineStr">
        <is>
          <t>A 46164-2023</t>
        </is>
      </c>
      <c r="B330" s="1" t="n">
        <v>45190</v>
      </c>
      <c r="C330" s="1" t="n">
        <v>45892</v>
      </c>
      <c r="D330" t="inlineStr">
        <is>
          <t>VÄSTERBOTTENS LÄN</t>
        </is>
      </c>
      <c r="E330" t="inlineStr">
        <is>
          <t>VILHELMINA</t>
        </is>
      </c>
      <c r="G330" t="n">
        <v>6.3</v>
      </c>
      <c r="H330" t="n">
        <v>0</v>
      </c>
      <c r="I330" t="n">
        <v>0</v>
      </c>
      <c r="J330" t="n">
        <v>0</v>
      </c>
      <c r="K330" t="n">
        <v>0</v>
      </c>
      <c r="L330" t="n">
        <v>0</v>
      </c>
      <c r="M330" t="n">
        <v>0</v>
      </c>
      <c r="N330" t="n">
        <v>0</v>
      </c>
      <c r="O330" t="n">
        <v>0</v>
      </c>
      <c r="P330" t="n">
        <v>0</v>
      </c>
      <c r="Q330" t="n">
        <v>0</v>
      </c>
      <c r="R330" s="2" t="inlineStr"/>
    </row>
    <row r="331" ht="15" customHeight="1">
      <c r="A331" t="inlineStr">
        <is>
          <t>A 61953-2024</t>
        </is>
      </c>
      <c r="B331" s="1" t="n">
        <v>45653.5150462963</v>
      </c>
      <c r="C331" s="1" t="n">
        <v>45892</v>
      </c>
      <c r="D331" t="inlineStr">
        <is>
          <t>VÄSTERBOTTENS LÄN</t>
        </is>
      </c>
      <c r="E331" t="inlineStr">
        <is>
          <t>VILHELMINA</t>
        </is>
      </c>
      <c r="F331" t="inlineStr">
        <is>
          <t>Kommuner</t>
        </is>
      </c>
      <c r="G331" t="n">
        <v>10.2</v>
      </c>
      <c r="H331" t="n">
        <v>0</v>
      </c>
      <c r="I331" t="n">
        <v>0</v>
      </c>
      <c r="J331" t="n">
        <v>0</v>
      </c>
      <c r="K331" t="n">
        <v>0</v>
      </c>
      <c r="L331" t="n">
        <v>0</v>
      </c>
      <c r="M331" t="n">
        <v>0</v>
      </c>
      <c r="N331" t="n">
        <v>0</v>
      </c>
      <c r="O331" t="n">
        <v>0</v>
      </c>
      <c r="P331" t="n">
        <v>0</v>
      </c>
      <c r="Q331" t="n">
        <v>0</v>
      </c>
      <c r="R331" s="2" t="inlineStr"/>
    </row>
    <row r="332" ht="15" customHeight="1">
      <c r="A332" t="inlineStr">
        <is>
          <t>A 65146-2021</t>
        </is>
      </c>
      <c r="B332" s="1" t="n">
        <v>44515</v>
      </c>
      <c r="C332" s="1" t="n">
        <v>45892</v>
      </c>
      <c r="D332" t="inlineStr">
        <is>
          <t>VÄSTERBOTTENS LÄN</t>
        </is>
      </c>
      <c r="E332" t="inlineStr">
        <is>
          <t>VILHELMINA</t>
        </is>
      </c>
      <c r="G332" t="n">
        <v>7.4</v>
      </c>
      <c r="H332" t="n">
        <v>0</v>
      </c>
      <c r="I332" t="n">
        <v>0</v>
      </c>
      <c r="J332" t="n">
        <v>0</v>
      </c>
      <c r="K332" t="n">
        <v>0</v>
      </c>
      <c r="L332" t="n">
        <v>0</v>
      </c>
      <c r="M332" t="n">
        <v>0</v>
      </c>
      <c r="N332" t="n">
        <v>0</v>
      </c>
      <c r="O332" t="n">
        <v>0</v>
      </c>
      <c r="P332" t="n">
        <v>0</v>
      </c>
      <c r="Q332" t="n">
        <v>0</v>
      </c>
      <c r="R332" s="2" t="inlineStr"/>
    </row>
    <row r="333" ht="15" customHeight="1">
      <c r="A333" t="inlineStr">
        <is>
          <t>A 60035-2023</t>
        </is>
      </c>
      <c r="B333" s="1" t="n">
        <v>45254</v>
      </c>
      <c r="C333" s="1" t="n">
        <v>45892</v>
      </c>
      <c r="D333" t="inlineStr">
        <is>
          <t>VÄSTERBOTTENS LÄN</t>
        </is>
      </c>
      <c r="E333" t="inlineStr">
        <is>
          <t>VILHELMINA</t>
        </is>
      </c>
      <c r="G333" t="n">
        <v>2</v>
      </c>
      <c r="H333" t="n">
        <v>0</v>
      </c>
      <c r="I333" t="n">
        <v>0</v>
      </c>
      <c r="J333" t="n">
        <v>0</v>
      </c>
      <c r="K333" t="n">
        <v>0</v>
      </c>
      <c r="L333" t="n">
        <v>0</v>
      </c>
      <c r="M333" t="n">
        <v>0</v>
      </c>
      <c r="N333" t="n">
        <v>0</v>
      </c>
      <c r="O333" t="n">
        <v>0</v>
      </c>
      <c r="P333" t="n">
        <v>0</v>
      </c>
      <c r="Q333" t="n">
        <v>0</v>
      </c>
      <c r="R333" s="2" t="inlineStr"/>
    </row>
    <row r="334" ht="15" customHeight="1">
      <c r="A334" t="inlineStr">
        <is>
          <t>A 18394-2025</t>
        </is>
      </c>
      <c r="B334" s="1" t="n">
        <v>45762</v>
      </c>
      <c r="C334" s="1" t="n">
        <v>45892</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18396-2025</t>
        </is>
      </c>
      <c r="B335" s="1" t="n">
        <v>45762.59456018519</v>
      </c>
      <c r="C335" s="1" t="n">
        <v>45892</v>
      </c>
      <c r="D335" t="inlineStr">
        <is>
          <t>VÄSTERBOTTENS LÄN</t>
        </is>
      </c>
      <c r="E335" t="inlineStr">
        <is>
          <t>VILHELMINA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37714-2024</t>
        </is>
      </c>
      <c r="B336" s="1" t="n">
        <v>45541.63569444444</v>
      </c>
      <c r="C336" s="1" t="n">
        <v>45892</v>
      </c>
      <c r="D336" t="inlineStr">
        <is>
          <t>VÄSTERBOTTENS LÄN</t>
        </is>
      </c>
      <c r="E336" t="inlineStr">
        <is>
          <t>VILHELMINA</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37715-2024</t>
        </is>
      </c>
      <c r="B337" s="1" t="n">
        <v>45541.63581018519</v>
      </c>
      <c r="C337" s="1" t="n">
        <v>45892</v>
      </c>
      <c r="D337" t="inlineStr">
        <is>
          <t>VÄSTERBOTTENS LÄN</t>
        </is>
      </c>
      <c r="E337" t="inlineStr">
        <is>
          <t>VILHELMINA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35755-2023</t>
        </is>
      </c>
      <c r="B338" s="1" t="n">
        <v>45147.9540625</v>
      </c>
      <c r="C338" s="1" t="n">
        <v>45892</v>
      </c>
      <c r="D338" t="inlineStr">
        <is>
          <t>VÄSTERBOTTENS LÄN</t>
        </is>
      </c>
      <c r="E338" t="inlineStr">
        <is>
          <t>VILHELMINA</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3435-2021</t>
        </is>
      </c>
      <c r="B339" s="1" t="n">
        <v>44216</v>
      </c>
      <c r="C339" s="1" t="n">
        <v>45892</v>
      </c>
      <c r="D339" t="inlineStr">
        <is>
          <t>VÄSTERBOTTENS LÄN</t>
        </is>
      </c>
      <c r="E339" t="inlineStr">
        <is>
          <t>VILHELMINA</t>
        </is>
      </c>
      <c r="G339" t="n">
        <v>20.5</v>
      </c>
      <c r="H339" t="n">
        <v>0</v>
      </c>
      <c r="I339" t="n">
        <v>0</v>
      </c>
      <c r="J339" t="n">
        <v>0</v>
      </c>
      <c r="K339" t="n">
        <v>0</v>
      </c>
      <c r="L339" t="n">
        <v>0</v>
      </c>
      <c r="M339" t="n">
        <v>0</v>
      </c>
      <c r="N339" t="n">
        <v>0</v>
      </c>
      <c r="O339" t="n">
        <v>0</v>
      </c>
      <c r="P339" t="n">
        <v>0</v>
      </c>
      <c r="Q339" t="n">
        <v>0</v>
      </c>
      <c r="R339" s="2" t="inlineStr"/>
    </row>
    <row r="340" ht="15" customHeight="1">
      <c r="A340" t="inlineStr">
        <is>
          <t>A 5947-2023</t>
        </is>
      </c>
      <c r="B340" s="1" t="n">
        <v>44963.92259259259</v>
      </c>
      <c r="C340" s="1" t="n">
        <v>45892</v>
      </c>
      <c r="D340" t="inlineStr">
        <is>
          <t>VÄSTERBOTTENS LÄN</t>
        </is>
      </c>
      <c r="E340" t="inlineStr">
        <is>
          <t>VILHELMINA</t>
        </is>
      </c>
      <c r="G340" t="n">
        <v>4.3</v>
      </c>
      <c r="H340" t="n">
        <v>0</v>
      </c>
      <c r="I340" t="n">
        <v>0</v>
      </c>
      <c r="J340" t="n">
        <v>0</v>
      </c>
      <c r="K340" t="n">
        <v>0</v>
      </c>
      <c r="L340" t="n">
        <v>0</v>
      </c>
      <c r="M340" t="n">
        <v>0</v>
      </c>
      <c r="N340" t="n">
        <v>0</v>
      </c>
      <c r="O340" t="n">
        <v>0</v>
      </c>
      <c r="P340" t="n">
        <v>0</v>
      </c>
      <c r="Q340" t="n">
        <v>0</v>
      </c>
      <c r="R340" s="2" t="inlineStr"/>
    </row>
    <row r="341" ht="15" customHeight="1">
      <c r="A341" t="inlineStr">
        <is>
          <t>A 15050-2024</t>
        </is>
      </c>
      <c r="B341" s="1" t="n">
        <v>45399</v>
      </c>
      <c r="C341" s="1" t="n">
        <v>45892</v>
      </c>
      <c r="D341" t="inlineStr">
        <is>
          <t>VÄSTERBOTTENS LÄN</t>
        </is>
      </c>
      <c r="E341" t="inlineStr">
        <is>
          <t>VILHELMINA</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28380-2023</t>
        </is>
      </c>
      <c r="B342" s="1" t="n">
        <v>45099</v>
      </c>
      <c r="C342" s="1" t="n">
        <v>45892</v>
      </c>
      <c r="D342" t="inlineStr">
        <is>
          <t>VÄSTERBOTTENS LÄN</t>
        </is>
      </c>
      <c r="E342" t="inlineStr">
        <is>
          <t>VILHELMINA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60682-2022</t>
        </is>
      </c>
      <c r="B343" s="1" t="n">
        <v>44911.94</v>
      </c>
      <c r="C343" s="1" t="n">
        <v>45892</v>
      </c>
      <c r="D343" t="inlineStr">
        <is>
          <t>VÄSTERBOTTENS LÄN</t>
        </is>
      </c>
      <c r="E343" t="inlineStr">
        <is>
          <t>VILHELMINA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57470-2024</t>
        </is>
      </c>
      <c r="B344" s="1" t="n">
        <v>45630</v>
      </c>
      <c r="C344" s="1" t="n">
        <v>45892</v>
      </c>
      <c r="D344" t="inlineStr">
        <is>
          <t>VÄSTERBOTTENS LÄN</t>
        </is>
      </c>
      <c r="E344" t="inlineStr">
        <is>
          <t>VILHELMINA</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23536-2024</t>
        </is>
      </c>
      <c r="B345" s="1" t="n">
        <v>45453.95199074074</v>
      </c>
      <c r="C345" s="1" t="n">
        <v>45892</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36957-2023</t>
        </is>
      </c>
      <c r="B346" s="1" t="n">
        <v>45154.92628472222</v>
      </c>
      <c r="C346" s="1" t="n">
        <v>45892</v>
      </c>
      <c r="D346" t="inlineStr">
        <is>
          <t>VÄSTERBOTTENS LÄN</t>
        </is>
      </c>
      <c r="E346" t="inlineStr">
        <is>
          <t>VILHELMINA</t>
        </is>
      </c>
      <c r="G346" t="n">
        <v>0.5</v>
      </c>
      <c r="H346" t="n">
        <v>0</v>
      </c>
      <c r="I346" t="n">
        <v>0</v>
      </c>
      <c r="J346" t="n">
        <v>0</v>
      </c>
      <c r="K346" t="n">
        <v>0</v>
      </c>
      <c r="L346" t="n">
        <v>0</v>
      </c>
      <c r="M346" t="n">
        <v>0</v>
      </c>
      <c r="N346" t="n">
        <v>0</v>
      </c>
      <c r="O346" t="n">
        <v>0</v>
      </c>
      <c r="P346" t="n">
        <v>0</v>
      </c>
      <c r="Q346" t="n">
        <v>0</v>
      </c>
      <c r="R346" s="2" t="inlineStr"/>
    </row>
    <row r="347" ht="15" customHeight="1">
      <c r="A347" t="inlineStr">
        <is>
          <t>A 37505-2023</t>
        </is>
      </c>
      <c r="B347" s="1" t="n">
        <v>45158.31186342592</v>
      </c>
      <c r="C347" s="1" t="n">
        <v>45892</v>
      </c>
      <c r="D347" t="inlineStr">
        <is>
          <t>VÄSTERBOTTENS LÄN</t>
        </is>
      </c>
      <c r="E347" t="inlineStr">
        <is>
          <t>VILHELMINA</t>
        </is>
      </c>
      <c r="G347" t="n">
        <v>10.5</v>
      </c>
      <c r="H347" t="n">
        <v>0</v>
      </c>
      <c r="I347" t="n">
        <v>0</v>
      </c>
      <c r="J347" t="n">
        <v>0</v>
      </c>
      <c r="K347" t="n">
        <v>0</v>
      </c>
      <c r="L347" t="n">
        <v>0</v>
      </c>
      <c r="M347" t="n">
        <v>0</v>
      </c>
      <c r="N347" t="n">
        <v>0</v>
      </c>
      <c r="O347" t="n">
        <v>0</v>
      </c>
      <c r="P347" t="n">
        <v>0</v>
      </c>
      <c r="Q347" t="n">
        <v>0</v>
      </c>
      <c r="R347" s="2" t="inlineStr"/>
    </row>
    <row r="348" ht="15" customHeight="1">
      <c r="A348" t="inlineStr">
        <is>
          <t>A 61801-2024</t>
        </is>
      </c>
      <c r="B348" s="1" t="n">
        <v>45649.56392361111</v>
      </c>
      <c r="C348" s="1" t="n">
        <v>45892</v>
      </c>
      <c r="D348" t="inlineStr">
        <is>
          <t>VÄSTERBOTTENS LÄN</t>
        </is>
      </c>
      <c r="E348" t="inlineStr">
        <is>
          <t>VILHELMINA</t>
        </is>
      </c>
      <c r="G348" t="n">
        <v>2.5</v>
      </c>
      <c r="H348" t="n">
        <v>0</v>
      </c>
      <c r="I348" t="n">
        <v>0</v>
      </c>
      <c r="J348" t="n">
        <v>0</v>
      </c>
      <c r="K348" t="n">
        <v>0</v>
      </c>
      <c r="L348" t="n">
        <v>0</v>
      </c>
      <c r="M348" t="n">
        <v>0</v>
      </c>
      <c r="N348" t="n">
        <v>0</v>
      </c>
      <c r="O348" t="n">
        <v>0</v>
      </c>
      <c r="P348" t="n">
        <v>0</v>
      </c>
      <c r="Q348" t="n">
        <v>0</v>
      </c>
      <c r="R348" s="2" t="inlineStr"/>
    </row>
    <row r="349" ht="15" customHeight="1">
      <c r="A349" t="inlineStr">
        <is>
          <t>A 64254-2020</t>
        </is>
      </c>
      <c r="B349" s="1" t="n">
        <v>44168</v>
      </c>
      <c r="C349" s="1" t="n">
        <v>45892</v>
      </c>
      <c r="D349" t="inlineStr">
        <is>
          <t>VÄSTERBOTTENS LÄN</t>
        </is>
      </c>
      <c r="E349" t="inlineStr">
        <is>
          <t>VILHELMINA</t>
        </is>
      </c>
      <c r="G349" t="n">
        <v>17.6</v>
      </c>
      <c r="H349" t="n">
        <v>0</v>
      </c>
      <c r="I349" t="n">
        <v>0</v>
      </c>
      <c r="J349" t="n">
        <v>0</v>
      </c>
      <c r="K349" t="n">
        <v>0</v>
      </c>
      <c r="L349" t="n">
        <v>0</v>
      </c>
      <c r="M349" t="n">
        <v>0</v>
      </c>
      <c r="N349" t="n">
        <v>0</v>
      </c>
      <c r="O349" t="n">
        <v>0</v>
      </c>
      <c r="P349" t="n">
        <v>0</v>
      </c>
      <c r="Q349" t="n">
        <v>0</v>
      </c>
      <c r="R349" s="2" t="inlineStr"/>
    </row>
    <row r="350" ht="15" customHeight="1">
      <c r="A350" t="inlineStr">
        <is>
          <t>A 19423-2022</t>
        </is>
      </c>
      <c r="B350" s="1" t="n">
        <v>44693.32515046297</v>
      </c>
      <c r="C350" s="1" t="n">
        <v>45892</v>
      </c>
      <c r="D350" t="inlineStr">
        <is>
          <t>VÄSTERBOTTENS LÄN</t>
        </is>
      </c>
      <c r="E350" t="inlineStr">
        <is>
          <t>VILHELMINA</t>
        </is>
      </c>
      <c r="G350" t="n">
        <v>1.9</v>
      </c>
      <c r="H350" t="n">
        <v>0</v>
      </c>
      <c r="I350" t="n">
        <v>0</v>
      </c>
      <c r="J350" t="n">
        <v>0</v>
      </c>
      <c r="K350" t="n">
        <v>0</v>
      </c>
      <c r="L350" t="n">
        <v>0</v>
      </c>
      <c r="M350" t="n">
        <v>0</v>
      </c>
      <c r="N350" t="n">
        <v>0</v>
      </c>
      <c r="O350" t="n">
        <v>0</v>
      </c>
      <c r="P350" t="n">
        <v>0</v>
      </c>
      <c r="Q350" t="n">
        <v>0</v>
      </c>
      <c r="R350" s="2" t="inlineStr"/>
    </row>
    <row r="351" ht="15" customHeight="1">
      <c r="A351" t="inlineStr">
        <is>
          <t>A 32658-2021</t>
        </is>
      </c>
      <c r="B351" s="1" t="n">
        <v>44371</v>
      </c>
      <c r="C351" s="1" t="n">
        <v>45892</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12784-2023</t>
        </is>
      </c>
      <c r="B352" s="1" t="n">
        <v>45000</v>
      </c>
      <c r="C352" s="1" t="n">
        <v>45892</v>
      </c>
      <c r="D352" t="inlineStr">
        <is>
          <t>VÄSTERBOTTENS LÄN</t>
        </is>
      </c>
      <c r="E352" t="inlineStr">
        <is>
          <t>VILHELMINA</t>
        </is>
      </c>
      <c r="G352" t="n">
        <v>18.6</v>
      </c>
      <c r="H352" t="n">
        <v>0</v>
      </c>
      <c r="I352" t="n">
        <v>0</v>
      </c>
      <c r="J352" t="n">
        <v>0</v>
      </c>
      <c r="K352" t="n">
        <v>0</v>
      </c>
      <c r="L352" t="n">
        <v>0</v>
      </c>
      <c r="M352" t="n">
        <v>0</v>
      </c>
      <c r="N352" t="n">
        <v>0</v>
      </c>
      <c r="O352" t="n">
        <v>0</v>
      </c>
      <c r="P352" t="n">
        <v>0</v>
      </c>
      <c r="Q352" t="n">
        <v>0</v>
      </c>
      <c r="R352" s="2" t="inlineStr"/>
    </row>
    <row r="353" ht="15" customHeight="1">
      <c r="A353" t="inlineStr">
        <is>
          <t>A 5403-2025</t>
        </is>
      </c>
      <c r="B353" s="1" t="n">
        <v>45692.64475694444</v>
      </c>
      <c r="C353" s="1" t="n">
        <v>45892</v>
      </c>
      <c r="D353" t="inlineStr">
        <is>
          <t>VÄSTERBOTTENS LÄN</t>
        </is>
      </c>
      <c r="E353" t="inlineStr">
        <is>
          <t>VILHELMINA</t>
        </is>
      </c>
      <c r="F353" t="inlineStr">
        <is>
          <t>Kommuner</t>
        </is>
      </c>
      <c r="G353" t="n">
        <v>14.9</v>
      </c>
      <c r="H353" t="n">
        <v>0</v>
      </c>
      <c r="I353" t="n">
        <v>0</v>
      </c>
      <c r="J353" t="n">
        <v>0</v>
      </c>
      <c r="K353" t="n">
        <v>0</v>
      </c>
      <c r="L353" t="n">
        <v>0</v>
      </c>
      <c r="M353" t="n">
        <v>0</v>
      </c>
      <c r="N353" t="n">
        <v>0</v>
      </c>
      <c r="O353" t="n">
        <v>0</v>
      </c>
      <c r="P353" t="n">
        <v>0</v>
      </c>
      <c r="Q353" t="n">
        <v>0</v>
      </c>
      <c r="R353" s="2" t="inlineStr"/>
    </row>
    <row r="354" ht="15" customHeight="1">
      <c r="A354" t="inlineStr">
        <is>
          <t>A 45965-2023</t>
        </is>
      </c>
      <c r="B354" s="1" t="n">
        <v>45195.94755787037</v>
      </c>
      <c r="C354" s="1" t="n">
        <v>45892</v>
      </c>
      <c r="D354" t="inlineStr">
        <is>
          <t>VÄSTERBOTTENS LÄN</t>
        </is>
      </c>
      <c r="E354" t="inlineStr">
        <is>
          <t>VILHELMINA</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12190-2024</t>
        </is>
      </c>
      <c r="B355" s="1" t="n">
        <v>45377.94954861111</v>
      </c>
      <c r="C355" s="1" t="n">
        <v>45892</v>
      </c>
      <c r="D355" t="inlineStr">
        <is>
          <t>VÄSTERBOTTENS LÄN</t>
        </is>
      </c>
      <c r="E355" t="inlineStr">
        <is>
          <t>VILHELMINA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31449-2024</t>
        </is>
      </c>
      <c r="B356" s="1" t="n">
        <v>45505.9299537037</v>
      </c>
      <c r="C356" s="1" t="n">
        <v>45892</v>
      </c>
      <c r="D356" t="inlineStr">
        <is>
          <t>VÄSTERBOTTENS LÄN</t>
        </is>
      </c>
      <c r="E356" t="inlineStr">
        <is>
          <t>VILHELMINA</t>
        </is>
      </c>
      <c r="G356" t="n">
        <v>3.5</v>
      </c>
      <c r="H356" t="n">
        <v>0</v>
      </c>
      <c r="I356" t="n">
        <v>0</v>
      </c>
      <c r="J356" t="n">
        <v>0</v>
      </c>
      <c r="K356" t="n">
        <v>0</v>
      </c>
      <c r="L356" t="n">
        <v>0</v>
      </c>
      <c r="M356" t="n">
        <v>0</v>
      </c>
      <c r="N356" t="n">
        <v>0</v>
      </c>
      <c r="O356" t="n">
        <v>0</v>
      </c>
      <c r="P356" t="n">
        <v>0</v>
      </c>
      <c r="Q356" t="n">
        <v>0</v>
      </c>
      <c r="R356" s="2" t="inlineStr"/>
    </row>
    <row r="357" ht="15" customHeight="1">
      <c r="A357" t="inlineStr">
        <is>
          <t>A 8733-2023</t>
        </is>
      </c>
      <c r="B357" s="1" t="n">
        <v>44972</v>
      </c>
      <c r="C357" s="1" t="n">
        <v>45892</v>
      </c>
      <c r="D357" t="inlineStr">
        <is>
          <t>VÄSTERBOTTENS LÄN</t>
        </is>
      </c>
      <c r="E357" t="inlineStr">
        <is>
          <t>VILHELMINA</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28869-2024</t>
        </is>
      </c>
      <c r="B358" s="1" t="n">
        <v>45478.94722222222</v>
      </c>
      <c r="C358" s="1" t="n">
        <v>45892</v>
      </c>
      <c r="D358" t="inlineStr">
        <is>
          <t>VÄSTERBOTTENS LÄN</t>
        </is>
      </c>
      <c r="E358" t="inlineStr">
        <is>
          <t>VILHELMINA</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60549-2022</t>
        </is>
      </c>
      <c r="B359" s="1" t="n">
        <v>44911.51318287037</v>
      </c>
      <c r="C359" s="1" t="n">
        <v>45892</v>
      </c>
      <c r="D359" t="inlineStr">
        <is>
          <t>VÄSTERBOTTENS LÄN</t>
        </is>
      </c>
      <c r="E359" t="inlineStr">
        <is>
          <t>VILHELMINA</t>
        </is>
      </c>
      <c r="G359" t="n">
        <v>3.8</v>
      </c>
      <c r="H359" t="n">
        <v>0</v>
      </c>
      <c r="I359" t="n">
        <v>0</v>
      </c>
      <c r="J359" t="n">
        <v>0</v>
      </c>
      <c r="K359" t="n">
        <v>0</v>
      </c>
      <c r="L359" t="n">
        <v>0</v>
      </c>
      <c r="M359" t="n">
        <v>0</v>
      </c>
      <c r="N359" t="n">
        <v>0</v>
      </c>
      <c r="O359" t="n">
        <v>0</v>
      </c>
      <c r="P359" t="n">
        <v>0</v>
      </c>
      <c r="Q359" t="n">
        <v>0</v>
      </c>
      <c r="R359" s="2" t="inlineStr"/>
    </row>
    <row r="360" ht="15" customHeight="1">
      <c r="A360" t="inlineStr">
        <is>
          <t>A 61779-2023</t>
        </is>
      </c>
      <c r="B360" s="1" t="n">
        <v>45265.95677083333</v>
      </c>
      <c r="C360" s="1" t="n">
        <v>45892</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57324-2022</t>
        </is>
      </c>
      <c r="B361" s="1" t="n">
        <v>44889</v>
      </c>
      <c r="C361" s="1" t="n">
        <v>45892</v>
      </c>
      <c r="D361" t="inlineStr">
        <is>
          <t>VÄSTERBOTTENS LÄN</t>
        </is>
      </c>
      <c r="E361" t="inlineStr">
        <is>
          <t>VILHELMINA</t>
        </is>
      </c>
      <c r="G361" t="n">
        <v>1.7</v>
      </c>
      <c r="H361" t="n">
        <v>0</v>
      </c>
      <c r="I361" t="n">
        <v>0</v>
      </c>
      <c r="J361" t="n">
        <v>0</v>
      </c>
      <c r="K361" t="n">
        <v>0</v>
      </c>
      <c r="L361" t="n">
        <v>0</v>
      </c>
      <c r="M361" t="n">
        <v>0</v>
      </c>
      <c r="N361" t="n">
        <v>0</v>
      </c>
      <c r="O361" t="n">
        <v>0</v>
      </c>
      <c r="P361" t="n">
        <v>0</v>
      </c>
      <c r="Q361" t="n">
        <v>0</v>
      </c>
      <c r="R361" s="2" t="inlineStr"/>
    </row>
    <row r="362" ht="15" customHeight="1">
      <c r="A362" t="inlineStr">
        <is>
          <t>A 55326-2023</t>
        </is>
      </c>
      <c r="B362" s="1" t="n">
        <v>45237.97364583334</v>
      </c>
      <c r="C362" s="1" t="n">
        <v>45892</v>
      </c>
      <c r="D362" t="inlineStr">
        <is>
          <t>VÄSTERBOTTENS LÄN</t>
        </is>
      </c>
      <c r="E362" t="inlineStr">
        <is>
          <t>VILHELMINA</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61270-2022</t>
        </is>
      </c>
      <c r="B363" s="1" t="n">
        <v>44909</v>
      </c>
      <c r="C363" s="1" t="n">
        <v>45892</v>
      </c>
      <c r="D363" t="inlineStr">
        <is>
          <t>VÄSTERBOTTENS LÄN</t>
        </is>
      </c>
      <c r="E363" t="inlineStr">
        <is>
          <t>VILHELMINA</t>
        </is>
      </c>
      <c r="G363" t="n">
        <v>8.9</v>
      </c>
      <c r="H363" t="n">
        <v>0</v>
      </c>
      <c r="I363" t="n">
        <v>0</v>
      </c>
      <c r="J363" t="n">
        <v>0</v>
      </c>
      <c r="K363" t="n">
        <v>0</v>
      </c>
      <c r="L363" t="n">
        <v>0</v>
      </c>
      <c r="M363" t="n">
        <v>0</v>
      </c>
      <c r="N363" t="n">
        <v>0</v>
      </c>
      <c r="O363" t="n">
        <v>0</v>
      </c>
      <c r="P363" t="n">
        <v>0</v>
      </c>
      <c r="Q363" t="n">
        <v>0</v>
      </c>
      <c r="R363" s="2" t="inlineStr"/>
    </row>
    <row r="364" ht="15" customHeight="1">
      <c r="A364" t="inlineStr">
        <is>
          <t>A 12373-2024</t>
        </is>
      </c>
      <c r="B364" s="1" t="n">
        <v>45378</v>
      </c>
      <c r="C364" s="1" t="n">
        <v>45892</v>
      </c>
      <c r="D364" t="inlineStr">
        <is>
          <t>VÄSTERBOTTENS LÄN</t>
        </is>
      </c>
      <c r="E364" t="inlineStr">
        <is>
          <t>VILHELMINA</t>
        </is>
      </c>
      <c r="G364" t="n">
        <v>0.7</v>
      </c>
      <c r="H364" t="n">
        <v>0</v>
      </c>
      <c r="I364" t="n">
        <v>0</v>
      </c>
      <c r="J364" t="n">
        <v>0</v>
      </c>
      <c r="K364" t="n">
        <v>0</v>
      </c>
      <c r="L364" t="n">
        <v>0</v>
      </c>
      <c r="M364" t="n">
        <v>0</v>
      </c>
      <c r="N364" t="n">
        <v>0</v>
      </c>
      <c r="O364" t="n">
        <v>0</v>
      </c>
      <c r="P364" t="n">
        <v>0</v>
      </c>
      <c r="Q364" t="n">
        <v>0</v>
      </c>
      <c r="R364" s="2" t="inlineStr"/>
    </row>
    <row r="365" ht="15" customHeight="1">
      <c r="A365" t="inlineStr">
        <is>
          <t>A 21843-2024</t>
        </is>
      </c>
      <c r="B365" s="1" t="n">
        <v>45442.96064814815</v>
      </c>
      <c r="C365" s="1" t="n">
        <v>45892</v>
      </c>
      <c r="D365" t="inlineStr">
        <is>
          <t>VÄSTERBOTTENS LÄN</t>
        </is>
      </c>
      <c r="E365" t="inlineStr">
        <is>
          <t>VILHELMINA</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42976-2024</t>
        </is>
      </c>
      <c r="B366" s="1" t="n">
        <v>45567.37387731481</v>
      </c>
      <c r="C366" s="1" t="n">
        <v>45892</v>
      </c>
      <c r="D366" t="inlineStr">
        <is>
          <t>VÄSTERBOTTENS LÄN</t>
        </is>
      </c>
      <c r="E366" t="inlineStr">
        <is>
          <t>VILHELMINA</t>
        </is>
      </c>
      <c r="F366" t="inlineStr">
        <is>
          <t>SCA</t>
        </is>
      </c>
      <c r="G366" t="n">
        <v>20.6</v>
      </c>
      <c r="H366" t="n">
        <v>0</v>
      </c>
      <c r="I366" t="n">
        <v>0</v>
      </c>
      <c r="J366" t="n">
        <v>0</v>
      </c>
      <c r="K366" t="n">
        <v>0</v>
      </c>
      <c r="L366" t="n">
        <v>0</v>
      </c>
      <c r="M366" t="n">
        <v>0</v>
      </c>
      <c r="N366" t="n">
        <v>0</v>
      </c>
      <c r="O366" t="n">
        <v>0</v>
      </c>
      <c r="P366" t="n">
        <v>0</v>
      </c>
      <c r="Q366" t="n">
        <v>0</v>
      </c>
      <c r="R366" s="2" t="inlineStr"/>
    </row>
    <row r="367" ht="15" customHeight="1">
      <c r="A367" t="inlineStr">
        <is>
          <t>A 32655-2021</t>
        </is>
      </c>
      <c r="B367" s="1" t="n">
        <v>44371</v>
      </c>
      <c r="C367" s="1" t="n">
        <v>45892</v>
      </c>
      <c r="D367" t="inlineStr">
        <is>
          <t>VÄSTERBOTTENS LÄN</t>
        </is>
      </c>
      <c r="E367" t="inlineStr">
        <is>
          <t>VILHELMINA</t>
        </is>
      </c>
      <c r="G367" t="n">
        <v>0.2</v>
      </c>
      <c r="H367" t="n">
        <v>0</v>
      </c>
      <c r="I367" t="n">
        <v>0</v>
      </c>
      <c r="J367" t="n">
        <v>0</v>
      </c>
      <c r="K367" t="n">
        <v>0</v>
      </c>
      <c r="L367" t="n">
        <v>0</v>
      </c>
      <c r="M367" t="n">
        <v>0</v>
      </c>
      <c r="N367" t="n">
        <v>0</v>
      </c>
      <c r="O367" t="n">
        <v>0</v>
      </c>
      <c r="P367" t="n">
        <v>0</v>
      </c>
      <c r="Q367" t="n">
        <v>0</v>
      </c>
      <c r="R367" s="2" t="inlineStr"/>
    </row>
    <row r="368" ht="15" customHeight="1">
      <c r="A368" t="inlineStr">
        <is>
          <t>A 20846-2025</t>
        </is>
      </c>
      <c r="B368" s="1" t="n">
        <v>45777</v>
      </c>
      <c r="C368" s="1" t="n">
        <v>45892</v>
      </c>
      <c r="D368" t="inlineStr">
        <is>
          <t>VÄSTERBOTTENS LÄN</t>
        </is>
      </c>
      <c r="E368" t="inlineStr">
        <is>
          <t>VILHELMINA</t>
        </is>
      </c>
      <c r="G368" t="n">
        <v>19.1</v>
      </c>
      <c r="H368" t="n">
        <v>0</v>
      </c>
      <c r="I368" t="n">
        <v>0</v>
      </c>
      <c r="J368" t="n">
        <v>0</v>
      </c>
      <c r="K368" t="n">
        <v>0</v>
      </c>
      <c r="L368" t="n">
        <v>0</v>
      </c>
      <c r="M368" t="n">
        <v>0</v>
      </c>
      <c r="N368" t="n">
        <v>0</v>
      </c>
      <c r="O368" t="n">
        <v>0</v>
      </c>
      <c r="P368" t="n">
        <v>0</v>
      </c>
      <c r="Q368" t="n">
        <v>0</v>
      </c>
      <c r="R368" s="2" t="inlineStr"/>
    </row>
    <row r="369" ht="15" customHeight="1">
      <c r="A369" t="inlineStr">
        <is>
          <t>A 10833-2022</t>
        </is>
      </c>
      <c r="B369" s="1" t="n">
        <v>44627</v>
      </c>
      <c r="C369" s="1" t="n">
        <v>45892</v>
      </c>
      <c r="D369" t="inlineStr">
        <is>
          <t>VÄSTERBOTTENS LÄN</t>
        </is>
      </c>
      <c r="E369" t="inlineStr">
        <is>
          <t>VILHELMINA</t>
        </is>
      </c>
      <c r="G369" t="n">
        <v>5.4</v>
      </c>
      <c r="H369" t="n">
        <v>0</v>
      </c>
      <c r="I369" t="n">
        <v>0</v>
      </c>
      <c r="J369" t="n">
        <v>0</v>
      </c>
      <c r="K369" t="n">
        <v>0</v>
      </c>
      <c r="L369" t="n">
        <v>0</v>
      </c>
      <c r="M369" t="n">
        <v>0</v>
      </c>
      <c r="N369" t="n">
        <v>0</v>
      </c>
      <c r="O369" t="n">
        <v>0</v>
      </c>
      <c r="P369" t="n">
        <v>0</v>
      </c>
      <c r="Q369" t="n">
        <v>0</v>
      </c>
      <c r="R369" s="2" t="inlineStr"/>
    </row>
    <row r="370" ht="15" customHeight="1">
      <c r="A370" t="inlineStr">
        <is>
          <t>A 28656-2024</t>
        </is>
      </c>
      <c r="B370" s="1" t="n">
        <v>45478</v>
      </c>
      <c r="C370" s="1" t="n">
        <v>45892</v>
      </c>
      <c r="D370" t="inlineStr">
        <is>
          <t>VÄSTERBOTTENS LÄN</t>
        </is>
      </c>
      <c r="E370" t="inlineStr">
        <is>
          <t>VILHELMINA</t>
        </is>
      </c>
      <c r="F370" t="inlineStr">
        <is>
          <t>Allmännings- och besparingsskogar</t>
        </is>
      </c>
      <c r="G370" t="n">
        <v>1.6</v>
      </c>
      <c r="H370" t="n">
        <v>0</v>
      </c>
      <c r="I370" t="n">
        <v>0</v>
      </c>
      <c r="J370" t="n">
        <v>0</v>
      </c>
      <c r="K370" t="n">
        <v>0</v>
      </c>
      <c r="L370" t="n">
        <v>0</v>
      </c>
      <c r="M370" t="n">
        <v>0</v>
      </c>
      <c r="N370" t="n">
        <v>0</v>
      </c>
      <c r="O370" t="n">
        <v>0</v>
      </c>
      <c r="P370" t="n">
        <v>0</v>
      </c>
      <c r="Q370" t="n">
        <v>0</v>
      </c>
      <c r="R370" s="2" t="inlineStr"/>
    </row>
    <row r="371" ht="15" customHeight="1">
      <c r="A371" t="inlineStr">
        <is>
          <t>A 43791-2024</t>
        </is>
      </c>
      <c r="B371" s="1" t="n">
        <v>45571</v>
      </c>
      <c r="C371" s="1" t="n">
        <v>45892</v>
      </c>
      <c r="D371" t="inlineStr">
        <is>
          <t>VÄSTERBOTTENS LÄN</t>
        </is>
      </c>
      <c r="E371" t="inlineStr">
        <is>
          <t>VILHELMINA</t>
        </is>
      </c>
      <c r="G371" t="n">
        <v>30.3</v>
      </c>
      <c r="H371" t="n">
        <v>0</v>
      </c>
      <c r="I371" t="n">
        <v>0</v>
      </c>
      <c r="J371" t="n">
        <v>0</v>
      </c>
      <c r="K371" t="n">
        <v>0</v>
      </c>
      <c r="L371" t="n">
        <v>0</v>
      </c>
      <c r="M371" t="n">
        <v>0</v>
      </c>
      <c r="N371" t="n">
        <v>0</v>
      </c>
      <c r="O371" t="n">
        <v>0</v>
      </c>
      <c r="P371" t="n">
        <v>0</v>
      </c>
      <c r="Q371" t="n">
        <v>0</v>
      </c>
      <c r="R371" s="2" t="inlineStr"/>
    </row>
    <row r="372" ht="15" customHeight="1">
      <c r="A372" t="inlineStr">
        <is>
          <t>A 43792-2024</t>
        </is>
      </c>
      <c r="B372" s="1" t="n">
        <v>45571</v>
      </c>
      <c r="C372" s="1" t="n">
        <v>45892</v>
      </c>
      <c r="D372" t="inlineStr">
        <is>
          <t>VÄSTERBOTTENS LÄN</t>
        </is>
      </c>
      <c r="E372" t="inlineStr">
        <is>
          <t>VILHELMINA</t>
        </is>
      </c>
      <c r="G372" t="n">
        <v>25.3</v>
      </c>
      <c r="H372" t="n">
        <v>0</v>
      </c>
      <c r="I372" t="n">
        <v>0</v>
      </c>
      <c r="J372" t="n">
        <v>0</v>
      </c>
      <c r="K372" t="n">
        <v>0</v>
      </c>
      <c r="L372" t="n">
        <v>0</v>
      </c>
      <c r="M372" t="n">
        <v>0</v>
      </c>
      <c r="N372" t="n">
        <v>0</v>
      </c>
      <c r="O372" t="n">
        <v>0</v>
      </c>
      <c r="P372" t="n">
        <v>0</v>
      </c>
      <c r="Q372" t="n">
        <v>0</v>
      </c>
      <c r="R372" s="2" t="inlineStr"/>
    </row>
    <row r="373" ht="15" customHeight="1">
      <c r="A373" t="inlineStr">
        <is>
          <t>A 2742-2023</t>
        </is>
      </c>
      <c r="B373" s="1" t="n">
        <v>44943</v>
      </c>
      <c r="C373" s="1" t="n">
        <v>45892</v>
      </c>
      <c r="D373" t="inlineStr">
        <is>
          <t>VÄSTERBOTTENS LÄN</t>
        </is>
      </c>
      <c r="E373" t="inlineStr">
        <is>
          <t>VILHELMINA</t>
        </is>
      </c>
      <c r="G373" t="n">
        <v>34.8</v>
      </c>
      <c r="H373" t="n">
        <v>0</v>
      </c>
      <c r="I373" t="n">
        <v>0</v>
      </c>
      <c r="J373" t="n">
        <v>0</v>
      </c>
      <c r="K373" t="n">
        <v>0</v>
      </c>
      <c r="L373" t="n">
        <v>0</v>
      </c>
      <c r="M373" t="n">
        <v>0</v>
      </c>
      <c r="N373" t="n">
        <v>0</v>
      </c>
      <c r="O373" t="n">
        <v>0</v>
      </c>
      <c r="P373" t="n">
        <v>0</v>
      </c>
      <c r="Q373" t="n">
        <v>0</v>
      </c>
      <c r="R373" s="2" t="inlineStr"/>
    </row>
    <row r="374" ht="15" customHeight="1">
      <c r="A374" t="inlineStr">
        <is>
          <t>A 8718-2025</t>
        </is>
      </c>
      <c r="B374" s="1" t="n">
        <v>45712</v>
      </c>
      <c r="C374" s="1" t="n">
        <v>45892</v>
      </c>
      <c r="D374" t="inlineStr">
        <is>
          <t>VÄSTERBOTTENS LÄN</t>
        </is>
      </c>
      <c r="E374" t="inlineStr">
        <is>
          <t>VILHELMINA</t>
        </is>
      </c>
      <c r="G374" t="n">
        <v>21.3</v>
      </c>
      <c r="H374" t="n">
        <v>0</v>
      </c>
      <c r="I374" t="n">
        <v>0</v>
      </c>
      <c r="J374" t="n">
        <v>0</v>
      </c>
      <c r="K374" t="n">
        <v>0</v>
      </c>
      <c r="L374" t="n">
        <v>0</v>
      </c>
      <c r="M374" t="n">
        <v>0</v>
      </c>
      <c r="N374" t="n">
        <v>0</v>
      </c>
      <c r="O374" t="n">
        <v>0</v>
      </c>
      <c r="P374" t="n">
        <v>0</v>
      </c>
      <c r="Q374" t="n">
        <v>0</v>
      </c>
      <c r="R374" s="2" t="inlineStr"/>
    </row>
    <row r="375" ht="15" customHeight="1">
      <c r="A375" t="inlineStr">
        <is>
          <t>A 55688-2023</t>
        </is>
      </c>
      <c r="B375" s="1" t="n">
        <v>45232</v>
      </c>
      <c r="C375" s="1" t="n">
        <v>45892</v>
      </c>
      <c r="D375" t="inlineStr">
        <is>
          <t>VÄSTERBOTTENS LÄN</t>
        </is>
      </c>
      <c r="E375" t="inlineStr">
        <is>
          <t>VILHELMINA</t>
        </is>
      </c>
      <c r="G375" t="n">
        <v>6.4</v>
      </c>
      <c r="H375" t="n">
        <v>0</v>
      </c>
      <c r="I375" t="n">
        <v>0</v>
      </c>
      <c r="J375" t="n">
        <v>0</v>
      </c>
      <c r="K375" t="n">
        <v>0</v>
      </c>
      <c r="L375" t="n">
        <v>0</v>
      </c>
      <c r="M375" t="n">
        <v>0</v>
      </c>
      <c r="N375" t="n">
        <v>0</v>
      </c>
      <c r="O375" t="n">
        <v>0</v>
      </c>
      <c r="P375" t="n">
        <v>0</v>
      </c>
      <c r="Q375" t="n">
        <v>0</v>
      </c>
      <c r="R375" s="2" t="inlineStr"/>
    </row>
    <row r="376" ht="15" customHeight="1">
      <c r="A376" t="inlineStr">
        <is>
          <t>A 14959-2022</t>
        </is>
      </c>
      <c r="B376" s="1" t="n">
        <v>44657</v>
      </c>
      <c r="C376" s="1" t="n">
        <v>45892</v>
      </c>
      <c r="D376" t="inlineStr">
        <is>
          <t>VÄSTERBOTTENS LÄN</t>
        </is>
      </c>
      <c r="E376" t="inlineStr">
        <is>
          <t>VILHELMINA</t>
        </is>
      </c>
      <c r="G376" t="n">
        <v>71.8</v>
      </c>
      <c r="H376" t="n">
        <v>0</v>
      </c>
      <c r="I376" t="n">
        <v>0</v>
      </c>
      <c r="J376" t="n">
        <v>0</v>
      </c>
      <c r="K376" t="n">
        <v>0</v>
      </c>
      <c r="L376" t="n">
        <v>0</v>
      </c>
      <c r="M376" t="n">
        <v>0</v>
      </c>
      <c r="N376" t="n">
        <v>0</v>
      </c>
      <c r="O376" t="n">
        <v>0</v>
      </c>
      <c r="P376" t="n">
        <v>0</v>
      </c>
      <c r="Q376" t="n">
        <v>0</v>
      </c>
      <c r="R376" s="2" t="inlineStr"/>
    </row>
    <row r="377" ht="15" customHeight="1">
      <c r="A377" t="inlineStr">
        <is>
          <t>A 20769-2024</t>
        </is>
      </c>
      <c r="B377" s="1" t="n">
        <v>45436.94604166667</v>
      </c>
      <c r="C377" s="1" t="n">
        <v>45892</v>
      </c>
      <c r="D377" t="inlineStr">
        <is>
          <t>VÄSTERBOTTENS LÄN</t>
        </is>
      </c>
      <c r="E377" t="inlineStr">
        <is>
          <t>VILHELMINA</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26557-2023</t>
        </is>
      </c>
      <c r="B378" s="1" t="n">
        <v>45089</v>
      </c>
      <c r="C378" s="1" t="n">
        <v>45892</v>
      </c>
      <c r="D378" t="inlineStr">
        <is>
          <t>VÄSTERBOTTENS LÄN</t>
        </is>
      </c>
      <c r="E378" t="inlineStr">
        <is>
          <t>VILHELMINA</t>
        </is>
      </c>
      <c r="G378" t="n">
        <v>0.5</v>
      </c>
      <c r="H378" t="n">
        <v>0</v>
      </c>
      <c r="I378" t="n">
        <v>0</v>
      </c>
      <c r="J378" t="n">
        <v>0</v>
      </c>
      <c r="K378" t="n">
        <v>0</v>
      </c>
      <c r="L378" t="n">
        <v>0</v>
      </c>
      <c r="M378" t="n">
        <v>0</v>
      </c>
      <c r="N378" t="n">
        <v>0</v>
      </c>
      <c r="O378" t="n">
        <v>0</v>
      </c>
      <c r="P378" t="n">
        <v>0</v>
      </c>
      <c r="Q378" t="n">
        <v>0</v>
      </c>
      <c r="R378" s="2" t="inlineStr"/>
    </row>
    <row r="379" ht="15" customHeight="1">
      <c r="A379" t="inlineStr">
        <is>
          <t>A 21844-2024</t>
        </is>
      </c>
      <c r="B379" s="1" t="n">
        <v>45442</v>
      </c>
      <c r="C379" s="1" t="n">
        <v>45892</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50494-2023</t>
        </is>
      </c>
      <c r="B380" s="1" t="n">
        <v>45216.95604166666</v>
      </c>
      <c r="C380" s="1" t="n">
        <v>45892</v>
      </c>
      <c r="D380" t="inlineStr">
        <is>
          <t>VÄSTERBOTTENS LÄN</t>
        </is>
      </c>
      <c r="E380" t="inlineStr">
        <is>
          <t>VILHELMINA</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13557-2024</t>
        </is>
      </c>
      <c r="B381" s="1" t="n">
        <v>45388</v>
      </c>
      <c r="C381" s="1" t="n">
        <v>45892</v>
      </c>
      <c r="D381" t="inlineStr">
        <is>
          <t>VÄSTERBOTTENS LÄN</t>
        </is>
      </c>
      <c r="E381" t="inlineStr">
        <is>
          <t>VILHELMINA</t>
        </is>
      </c>
      <c r="G381" t="n">
        <v>11.2</v>
      </c>
      <c r="H381" t="n">
        <v>0</v>
      </c>
      <c r="I381" t="n">
        <v>0</v>
      </c>
      <c r="J381" t="n">
        <v>0</v>
      </c>
      <c r="K381" t="n">
        <v>0</v>
      </c>
      <c r="L381" t="n">
        <v>0</v>
      </c>
      <c r="M381" t="n">
        <v>0</v>
      </c>
      <c r="N381" t="n">
        <v>0</v>
      </c>
      <c r="O381" t="n">
        <v>0</v>
      </c>
      <c r="P381" t="n">
        <v>0</v>
      </c>
      <c r="Q381" t="n">
        <v>0</v>
      </c>
      <c r="R381" s="2" t="inlineStr"/>
    </row>
    <row r="382" ht="15" customHeight="1">
      <c r="A382" t="inlineStr">
        <is>
          <t>A 56847-2023</t>
        </is>
      </c>
      <c r="B382" s="1" t="n">
        <v>45238</v>
      </c>
      <c r="C382" s="1" t="n">
        <v>45892</v>
      </c>
      <c r="D382" t="inlineStr">
        <is>
          <t>VÄSTERBOTTENS LÄN</t>
        </is>
      </c>
      <c r="E382" t="inlineStr">
        <is>
          <t>VILHELMINA</t>
        </is>
      </c>
      <c r="F382" t="inlineStr">
        <is>
          <t>Allmännings- och besparingsskogar</t>
        </is>
      </c>
      <c r="G382" t="n">
        <v>41</v>
      </c>
      <c r="H382" t="n">
        <v>0</v>
      </c>
      <c r="I382" t="n">
        <v>0</v>
      </c>
      <c r="J382" t="n">
        <v>0</v>
      </c>
      <c r="K382" t="n">
        <v>0</v>
      </c>
      <c r="L382" t="n">
        <v>0</v>
      </c>
      <c r="M382" t="n">
        <v>0</v>
      </c>
      <c r="N382" t="n">
        <v>0</v>
      </c>
      <c r="O382" t="n">
        <v>0</v>
      </c>
      <c r="P382" t="n">
        <v>0</v>
      </c>
      <c r="Q382" t="n">
        <v>0</v>
      </c>
      <c r="R382" s="2" t="inlineStr"/>
    </row>
    <row r="383" ht="15" customHeight="1">
      <c r="A383" t="inlineStr">
        <is>
          <t>A 33828-2024</t>
        </is>
      </c>
      <c r="B383" s="1" t="n">
        <v>45520.61695601852</v>
      </c>
      <c r="C383" s="1" t="n">
        <v>45892</v>
      </c>
      <c r="D383" t="inlineStr">
        <is>
          <t>VÄSTERBOTTENS LÄN</t>
        </is>
      </c>
      <c r="E383" t="inlineStr">
        <is>
          <t>VILHELMINA</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58207-2022</t>
        </is>
      </c>
      <c r="B384" s="1" t="n">
        <v>44901</v>
      </c>
      <c r="C384" s="1" t="n">
        <v>45892</v>
      </c>
      <c r="D384" t="inlineStr">
        <is>
          <t>VÄSTERBOTTENS LÄN</t>
        </is>
      </c>
      <c r="E384" t="inlineStr">
        <is>
          <t>VILHELMINA</t>
        </is>
      </c>
      <c r="G384" t="n">
        <v>143.2</v>
      </c>
      <c r="H384" t="n">
        <v>0</v>
      </c>
      <c r="I384" t="n">
        <v>0</v>
      </c>
      <c r="J384" t="n">
        <v>0</v>
      </c>
      <c r="K384" t="n">
        <v>0</v>
      </c>
      <c r="L384" t="n">
        <v>0</v>
      </c>
      <c r="M384" t="n">
        <v>0</v>
      </c>
      <c r="N384" t="n">
        <v>0</v>
      </c>
      <c r="O384" t="n">
        <v>0</v>
      </c>
      <c r="P384" t="n">
        <v>0</v>
      </c>
      <c r="Q384" t="n">
        <v>0</v>
      </c>
      <c r="R384" s="2" t="inlineStr"/>
    </row>
    <row r="385" ht="15" customHeight="1">
      <c r="A385" t="inlineStr">
        <is>
          <t>A 402-2023</t>
        </is>
      </c>
      <c r="B385" s="1" t="n">
        <v>44923</v>
      </c>
      <c r="C385" s="1" t="n">
        <v>45892</v>
      </c>
      <c r="D385" t="inlineStr">
        <is>
          <t>VÄSTERBOTTENS LÄN</t>
        </is>
      </c>
      <c r="E385" t="inlineStr">
        <is>
          <t>VILHELMINA</t>
        </is>
      </c>
      <c r="G385" t="n">
        <v>14.7</v>
      </c>
      <c r="H385" t="n">
        <v>0</v>
      </c>
      <c r="I385" t="n">
        <v>0</v>
      </c>
      <c r="J385" t="n">
        <v>0</v>
      </c>
      <c r="K385" t="n">
        <v>0</v>
      </c>
      <c r="L385" t="n">
        <v>0</v>
      </c>
      <c r="M385" t="n">
        <v>0</v>
      </c>
      <c r="N385" t="n">
        <v>0</v>
      </c>
      <c r="O385" t="n">
        <v>0</v>
      </c>
      <c r="P385" t="n">
        <v>0</v>
      </c>
      <c r="Q385" t="n">
        <v>0</v>
      </c>
      <c r="R385" s="2" t="inlineStr"/>
    </row>
    <row r="386" ht="15" customHeight="1">
      <c r="A386" t="inlineStr">
        <is>
          <t>A 2382-2023</t>
        </is>
      </c>
      <c r="B386" s="1" t="n">
        <v>44942</v>
      </c>
      <c r="C386" s="1" t="n">
        <v>45892</v>
      </c>
      <c r="D386" t="inlineStr">
        <is>
          <t>VÄSTERBOTTENS LÄN</t>
        </is>
      </c>
      <c r="E386" t="inlineStr">
        <is>
          <t>VILHELMINA</t>
        </is>
      </c>
      <c r="G386" t="n">
        <v>29.7</v>
      </c>
      <c r="H386" t="n">
        <v>0</v>
      </c>
      <c r="I386" t="n">
        <v>0</v>
      </c>
      <c r="J386" t="n">
        <v>0</v>
      </c>
      <c r="K386" t="n">
        <v>0</v>
      </c>
      <c r="L386" t="n">
        <v>0</v>
      </c>
      <c r="M386" t="n">
        <v>0</v>
      </c>
      <c r="N386" t="n">
        <v>0</v>
      </c>
      <c r="O386" t="n">
        <v>0</v>
      </c>
      <c r="P386" t="n">
        <v>0</v>
      </c>
      <c r="Q386" t="n">
        <v>0</v>
      </c>
      <c r="R386" s="2" t="inlineStr"/>
    </row>
    <row r="387" ht="15" customHeight="1">
      <c r="A387" t="inlineStr">
        <is>
          <t>A 28870-2024</t>
        </is>
      </c>
      <c r="B387" s="1" t="n">
        <v>45478.94733796296</v>
      </c>
      <c r="C387" s="1" t="n">
        <v>45892</v>
      </c>
      <c r="D387" t="inlineStr">
        <is>
          <t>VÄSTERBOTTENS LÄN</t>
        </is>
      </c>
      <c r="E387" t="inlineStr">
        <is>
          <t>VILHELMINA</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8578-2025</t>
        </is>
      </c>
      <c r="B388" s="1" t="n">
        <v>45709</v>
      </c>
      <c r="C388" s="1" t="n">
        <v>45892</v>
      </c>
      <c r="D388" t="inlineStr">
        <is>
          <t>VÄSTERBOTTENS LÄN</t>
        </is>
      </c>
      <c r="E388" t="inlineStr">
        <is>
          <t>VILHELMINA</t>
        </is>
      </c>
      <c r="G388" t="n">
        <v>3.5</v>
      </c>
      <c r="H388" t="n">
        <v>0</v>
      </c>
      <c r="I388" t="n">
        <v>0</v>
      </c>
      <c r="J388" t="n">
        <v>0</v>
      </c>
      <c r="K388" t="n">
        <v>0</v>
      </c>
      <c r="L388" t="n">
        <v>0</v>
      </c>
      <c r="M388" t="n">
        <v>0</v>
      </c>
      <c r="N388" t="n">
        <v>0</v>
      </c>
      <c r="O388" t="n">
        <v>0</v>
      </c>
      <c r="P388" t="n">
        <v>0</v>
      </c>
      <c r="Q388" t="n">
        <v>0</v>
      </c>
      <c r="R388" s="2" t="inlineStr"/>
    </row>
    <row r="389" ht="15" customHeight="1">
      <c r="A389" t="inlineStr">
        <is>
          <t>A 19506-2025</t>
        </is>
      </c>
      <c r="B389" s="1" t="n">
        <v>45770</v>
      </c>
      <c r="C389" s="1" t="n">
        <v>45892</v>
      </c>
      <c r="D389" t="inlineStr">
        <is>
          <t>VÄSTERBOTTENS LÄN</t>
        </is>
      </c>
      <c r="E389" t="inlineStr">
        <is>
          <t>VILHELMINA</t>
        </is>
      </c>
      <c r="G389" t="n">
        <v>22.4</v>
      </c>
      <c r="H389" t="n">
        <v>0</v>
      </c>
      <c r="I389" t="n">
        <v>0</v>
      </c>
      <c r="J389" t="n">
        <v>0</v>
      </c>
      <c r="K389" t="n">
        <v>0</v>
      </c>
      <c r="L389" t="n">
        <v>0</v>
      </c>
      <c r="M389" t="n">
        <v>0</v>
      </c>
      <c r="N389" t="n">
        <v>0</v>
      </c>
      <c r="O389" t="n">
        <v>0</v>
      </c>
      <c r="P389" t="n">
        <v>0</v>
      </c>
      <c r="Q389" t="n">
        <v>0</v>
      </c>
      <c r="R389" s="2" t="inlineStr"/>
    </row>
    <row r="390" ht="15" customHeight="1">
      <c r="A390" t="inlineStr">
        <is>
          <t>A 5575-2025</t>
        </is>
      </c>
      <c r="B390" s="1" t="n">
        <v>45693.53200231482</v>
      </c>
      <c r="C390" s="1" t="n">
        <v>45892</v>
      </c>
      <c r="D390" t="inlineStr">
        <is>
          <t>VÄSTERBOTTENS LÄN</t>
        </is>
      </c>
      <c r="E390" t="inlineStr">
        <is>
          <t>VILHELMINA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31095-2024</t>
        </is>
      </c>
      <c r="B391" s="1" t="n">
        <v>45502</v>
      </c>
      <c r="C391" s="1" t="n">
        <v>45892</v>
      </c>
      <c r="D391" t="inlineStr">
        <is>
          <t>VÄSTERBOTTENS LÄN</t>
        </is>
      </c>
      <c r="E391" t="inlineStr">
        <is>
          <t>VILHELMINA</t>
        </is>
      </c>
      <c r="G391" t="n">
        <v>4.7</v>
      </c>
      <c r="H391" t="n">
        <v>0</v>
      </c>
      <c r="I391" t="n">
        <v>0</v>
      </c>
      <c r="J391" t="n">
        <v>0</v>
      </c>
      <c r="K391" t="n">
        <v>0</v>
      </c>
      <c r="L391" t="n">
        <v>0</v>
      </c>
      <c r="M391" t="n">
        <v>0</v>
      </c>
      <c r="N391" t="n">
        <v>0</v>
      </c>
      <c r="O391" t="n">
        <v>0</v>
      </c>
      <c r="P391" t="n">
        <v>0</v>
      </c>
      <c r="Q391" t="n">
        <v>0</v>
      </c>
      <c r="R391" s="2" t="inlineStr"/>
    </row>
    <row r="392" ht="15" customHeight="1">
      <c r="A392" t="inlineStr">
        <is>
          <t>A 21069-2025</t>
        </is>
      </c>
      <c r="B392" s="1" t="n">
        <v>45777.59427083333</v>
      </c>
      <c r="C392" s="1" t="n">
        <v>45892</v>
      </c>
      <c r="D392" t="inlineStr">
        <is>
          <t>VÄSTERBOTTENS LÄN</t>
        </is>
      </c>
      <c r="E392" t="inlineStr">
        <is>
          <t>VILHELMINA</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45672-2023</t>
        </is>
      </c>
      <c r="B393" s="1" t="n">
        <v>45194</v>
      </c>
      <c r="C393" s="1" t="n">
        <v>45892</v>
      </c>
      <c r="D393" t="inlineStr">
        <is>
          <t>VÄSTERBOTTENS LÄN</t>
        </is>
      </c>
      <c r="E393" t="inlineStr">
        <is>
          <t>VILHELMINA</t>
        </is>
      </c>
      <c r="G393" t="n">
        <v>1.5</v>
      </c>
      <c r="H393" t="n">
        <v>0</v>
      </c>
      <c r="I393" t="n">
        <v>0</v>
      </c>
      <c r="J393" t="n">
        <v>0</v>
      </c>
      <c r="K393" t="n">
        <v>0</v>
      </c>
      <c r="L393" t="n">
        <v>0</v>
      </c>
      <c r="M393" t="n">
        <v>0</v>
      </c>
      <c r="N393" t="n">
        <v>0</v>
      </c>
      <c r="O393" t="n">
        <v>0</v>
      </c>
      <c r="P393" t="n">
        <v>0</v>
      </c>
      <c r="Q393" t="n">
        <v>0</v>
      </c>
      <c r="R393" s="2" t="inlineStr"/>
    </row>
    <row r="394" ht="15" customHeight="1">
      <c r="A394" t="inlineStr">
        <is>
          <t>A 21035-2025</t>
        </is>
      </c>
      <c r="B394" s="1" t="n">
        <v>45777.53157407408</v>
      </c>
      <c r="C394" s="1" t="n">
        <v>45892</v>
      </c>
      <c r="D394" t="inlineStr">
        <is>
          <t>VÄSTERBOTTENS LÄN</t>
        </is>
      </c>
      <c r="E394" t="inlineStr">
        <is>
          <t>VILHELMINA</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20523-2024</t>
        </is>
      </c>
      <c r="B395" s="1" t="n">
        <v>45435.94553240741</v>
      </c>
      <c r="C395" s="1" t="n">
        <v>45892</v>
      </c>
      <c r="D395" t="inlineStr">
        <is>
          <t>VÄSTERBOTTENS LÄN</t>
        </is>
      </c>
      <c r="E395" t="inlineStr">
        <is>
          <t>VILHELMINA</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47253-2022</t>
        </is>
      </c>
      <c r="B396" s="1" t="n">
        <v>44852</v>
      </c>
      <c r="C396" s="1" t="n">
        <v>45892</v>
      </c>
      <c r="D396" t="inlineStr">
        <is>
          <t>VÄSTERBOTTENS LÄN</t>
        </is>
      </c>
      <c r="E396" t="inlineStr">
        <is>
          <t>VILHELMINA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66917-2021</t>
        </is>
      </c>
      <c r="B397" s="1" t="n">
        <v>44522</v>
      </c>
      <c r="C397" s="1" t="n">
        <v>45892</v>
      </c>
      <c r="D397" t="inlineStr">
        <is>
          <t>VÄSTERBOTTENS LÄN</t>
        </is>
      </c>
      <c r="E397" t="inlineStr">
        <is>
          <t>VILHELMINA</t>
        </is>
      </c>
      <c r="F397" t="inlineStr">
        <is>
          <t>Allmännings- och besparingsskogar</t>
        </is>
      </c>
      <c r="G397" t="n">
        <v>11.7</v>
      </c>
      <c r="H397" t="n">
        <v>0</v>
      </c>
      <c r="I397" t="n">
        <v>0</v>
      </c>
      <c r="J397" t="n">
        <v>0</v>
      </c>
      <c r="K397" t="n">
        <v>0</v>
      </c>
      <c r="L397" t="n">
        <v>0</v>
      </c>
      <c r="M397" t="n">
        <v>0</v>
      </c>
      <c r="N397" t="n">
        <v>0</v>
      </c>
      <c r="O397" t="n">
        <v>0</v>
      </c>
      <c r="P397" t="n">
        <v>0</v>
      </c>
      <c r="Q397" t="n">
        <v>0</v>
      </c>
      <c r="R397" s="2" t="inlineStr"/>
    </row>
    <row r="398" ht="15" customHeight="1">
      <c r="A398" t="inlineStr">
        <is>
          <t>A 30583-2024</t>
        </is>
      </c>
      <c r="B398" s="1" t="n">
        <v>45492.96108796296</v>
      </c>
      <c r="C398" s="1" t="n">
        <v>45892</v>
      </c>
      <c r="D398" t="inlineStr">
        <is>
          <t>VÄSTERBOTTENS LÄN</t>
        </is>
      </c>
      <c r="E398" t="inlineStr">
        <is>
          <t>VILHELMINA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15059-2024</t>
        </is>
      </c>
      <c r="B399" s="1" t="n">
        <v>45399</v>
      </c>
      <c r="C399" s="1" t="n">
        <v>45892</v>
      </c>
      <c r="D399" t="inlineStr">
        <is>
          <t>VÄSTERBOTTENS LÄN</t>
        </is>
      </c>
      <c r="E399" t="inlineStr">
        <is>
          <t>VILHELMINA</t>
        </is>
      </c>
      <c r="G399" t="n">
        <v>0.8</v>
      </c>
      <c r="H399" t="n">
        <v>0</v>
      </c>
      <c r="I399" t="n">
        <v>0</v>
      </c>
      <c r="J399" t="n">
        <v>0</v>
      </c>
      <c r="K399" t="n">
        <v>0</v>
      </c>
      <c r="L399" t="n">
        <v>0</v>
      </c>
      <c r="M399" t="n">
        <v>0</v>
      </c>
      <c r="N399" t="n">
        <v>0</v>
      </c>
      <c r="O399" t="n">
        <v>0</v>
      </c>
      <c r="P399" t="n">
        <v>0</v>
      </c>
      <c r="Q399" t="n">
        <v>0</v>
      </c>
      <c r="R399" s="2" t="inlineStr"/>
    </row>
    <row r="400" ht="15" customHeight="1">
      <c r="A400" t="inlineStr">
        <is>
          <t>A 31696-2024</t>
        </is>
      </c>
      <c r="B400" s="1" t="n">
        <v>45508</v>
      </c>
      <c r="C400" s="1" t="n">
        <v>45892</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21205-2025</t>
        </is>
      </c>
      <c r="B401" s="1" t="n">
        <v>45779</v>
      </c>
      <c r="C401" s="1" t="n">
        <v>45892</v>
      </c>
      <c r="D401" t="inlineStr">
        <is>
          <t>VÄSTERBOTTENS LÄN</t>
        </is>
      </c>
      <c r="E401" t="inlineStr">
        <is>
          <t>VILHELMINA</t>
        </is>
      </c>
      <c r="F401" t="inlineStr">
        <is>
          <t>Allmännings- och besparingsskogar</t>
        </is>
      </c>
      <c r="G401" t="n">
        <v>6.2</v>
      </c>
      <c r="H401" t="n">
        <v>0</v>
      </c>
      <c r="I401" t="n">
        <v>0</v>
      </c>
      <c r="J401" t="n">
        <v>0</v>
      </c>
      <c r="K401" t="n">
        <v>0</v>
      </c>
      <c r="L401" t="n">
        <v>0</v>
      </c>
      <c r="M401" t="n">
        <v>0</v>
      </c>
      <c r="N401" t="n">
        <v>0</v>
      </c>
      <c r="O401" t="n">
        <v>0</v>
      </c>
      <c r="P401" t="n">
        <v>0</v>
      </c>
      <c r="Q401" t="n">
        <v>0</v>
      </c>
      <c r="R401" s="2" t="inlineStr"/>
    </row>
    <row r="402" ht="15" customHeight="1">
      <c r="A402" t="inlineStr">
        <is>
          <t>A 5435-2024</t>
        </is>
      </c>
      <c r="B402" s="1" t="n">
        <v>45331</v>
      </c>
      <c r="C402" s="1" t="n">
        <v>45892</v>
      </c>
      <c r="D402" t="inlineStr">
        <is>
          <t>VÄSTERBOTTENS LÄN</t>
        </is>
      </c>
      <c r="E402" t="inlineStr">
        <is>
          <t>VILHELMINA</t>
        </is>
      </c>
      <c r="G402" t="n">
        <v>6</v>
      </c>
      <c r="H402" t="n">
        <v>0</v>
      </c>
      <c r="I402" t="n">
        <v>0</v>
      </c>
      <c r="J402" t="n">
        <v>0</v>
      </c>
      <c r="K402" t="n">
        <v>0</v>
      </c>
      <c r="L402" t="n">
        <v>0</v>
      </c>
      <c r="M402" t="n">
        <v>0</v>
      </c>
      <c r="N402" t="n">
        <v>0</v>
      </c>
      <c r="O402" t="n">
        <v>0</v>
      </c>
      <c r="P402" t="n">
        <v>0</v>
      </c>
      <c r="Q402" t="n">
        <v>0</v>
      </c>
      <c r="R402" s="2" t="inlineStr"/>
    </row>
    <row r="403" ht="15" customHeight="1">
      <c r="A403" t="inlineStr">
        <is>
          <t>A 3745-2023</t>
        </is>
      </c>
      <c r="B403" s="1" t="n">
        <v>44949</v>
      </c>
      <c r="C403" s="1" t="n">
        <v>45892</v>
      </c>
      <c r="D403" t="inlineStr">
        <is>
          <t>VÄSTERBOTTENS LÄN</t>
        </is>
      </c>
      <c r="E403" t="inlineStr">
        <is>
          <t>VILHELMINA</t>
        </is>
      </c>
      <c r="G403" t="n">
        <v>36.6</v>
      </c>
      <c r="H403" t="n">
        <v>0</v>
      </c>
      <c r="I403" t="n">
        <v>0</v>
      </c>
      <c r="J403" t="n">
        <v>0</v>
      </c>
      <c r="K403" t="n">
        <v>0</v>
      </c>
      <c r="L403" t="n">
        <v>0</v>
      </c>
      <c r="M403" t="n">
        <v>0</v>
      </c>
      <c r="N403" t="n">
        <v>0</v>
      </c>
      <c r="O403" t="n">
        <v>0</v>
      </c>
      <c r="P403" t="n">
        <v>0</v>
      </c>
      <c r="Q403" t="n">
        <v>0</v>
      </c>
      <c r="R403" s="2" t="inlineStr"/>
    </row>
    <row r="404" ht="15" customHeight="1">
      <c r="A404" t="inlineStr">
        <is>
          <t>A 21204-2025</t>
        </is>
      </c>
      <c r="B404" s="1" t="n">
        <v>45779</v>
      </c>
      <c r="C404" s="1" t="n">
        <v>45892</v>
      </c>
      <c r="D404" t="inlineStr">
        <is>
          <t>VÄSTERBOTTENS LÄN</t>
        </is>
      </c>
      <c r="E404" t="inlineStr">
        <is>
          <t>VILHELMINA</t>
        </is>
      </c>
      <c r="F404" t="inlineStr">
        <is>
          <t>Allmännings- och besparingsskogar</t>
        </is>
      </c>
      <c r="G404" t="n">
        <v>0.9</v>
      </c>
      <c r="H404" t="n">
        <v>0</v>
      </c>
      <c r="I404" t="n">
        <v>0</v>
      </c>
      <c r="J404" t="n">
        <v>0</v>
      </c>
      <c r="K404" t="n">
        <v>0</v>
      </c>
      <c r="L404" t="n">
        <v>0</v>
      </c>
      <c r="M404" t="n">
        <v>0</v>
      </c>
      <c r="N404" t="n">
        <v>0</v>
      </c>
      <c r="O404" t="n">
        <v>0</v>
      </c>
      <c r="P404" t="n">
        <v>0</v>
      </c>
      <c r="Q404" t="n">
        <v>0</v>
      </c>
      <c r="R404" s="2" t="inlineStr"/>
    </row>
    <row r="405" ht="15" customHeight="1">
      <c r="A405" t="inlineStr">
        <is>
          <t>A 65133-2021</t>
        </is>
      </c>
      <c r="B405" s="1" t="n">
        <v>44515</v>
      </c>
      <c r="C405" s="1" t="n">
        <v>45892</v>
      </c>
      <c r="D405" t="inlineStr">
        <is>
          <t>VÄSTERBOTTENS LÄN</t>
        </is>
      </c>
      <c r="E405" t="inlineStr">
        <is>
          <t>VILHELMINA</t>
        </is>
      </c>
      <c r="G405" t="n">
        <v>16.4</v>
      </c>
      <c r="H405" t="n">
        <v>0</v>
      </c>
      <c r="I405" t="n">
        <v>0</v>
      </c>
      <c r="J405" t="n">
        <v>0</v>
      </c>
      <c r="K405" t="n">
        <v>0</v>
      </c>
      <c r="L405" t="n">
        <v>0</v>
      </c>
      <c r="M405" t="n">
        <v>0</v>
      </c>
      <c r="N405" t="n">
        <v>0</v>
      </c>
      <c r="O405" t="n">
        <v>0</v>
      </c>
      <c r="P405" t="n">
        <v>0</v>
      </c>
      <c r="Q405" t="n">
        <v>0</v>
      </c>
      <c r="R405" s="2" t="inlineStr"/>
    </row>
    <row r="406" ht="15" customHeight="1">
      <c r="A406" t="inlineStr">
        <is>
          <t>A 21410-2025</t>
        </is>
      </c>
      <c r="B406" s="1" t="n">
        <v>45782</v>
      </c>
      <c r="C406" s="1" t="n">
        <v>45892</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21448-2025</t>
        </is>
      </c>
      <c r="B407" s="1" t="n">
        <v>45782.55241898148</v>
      </c>
      <c r="C407" s="1" t="n">
        <v>45892</v>
      </c>
      <c r="D407" t="inlineStr">
        <is>
          <t>VÄSTERBOTTENS LÄN</t>
        </is>
      </c>
      <c r="E407" t="inlineStr">
        <is>
          <t>VILHELMINA</t>
        </is>
      </c>
      <c r="F407" t="inlineStr">
        <is>
          <t>SCA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33636-2021</t>
        </is>
      </c>
      <c r="B408" s="1" t="n">
        <v>44378</v>
      </c>
      <c r="C408" s="1" t="n">
        <v>45892</v>
      </c>
      <c r="D408" t="inlineStr">
        <is>
          <t>VÄSTERBOTTENS LÄN</t>
        </is>
      </c>
      <c r="E408" t="inlineStr">
        <is>
          <t>VILHELMINA</t>
        </is>
      </c>
      <c r="G408" t="n">
        <v>1.6</v>
      </c>
      <c r="H408" t="n">
        <v>0</v>
      </c>
      <c r="I408" t="n">
        <v>0</v>
      </c>
      <c r="J408" t="n">
        <v>0</v>
      </c>
      <c r="K408" t="n">
        <v>0</v>
      </c>
      <c r="L408" t="n">
        <v>0</v>
      </c>
      <c r="M408" t="n">
        <v>0</v>
      </c>
      <c r="N408" t="n">
        <v>0</v>
      </c>
      <c r="O408" t="n">
        <v>0</v>
      </c>
      <c r="P408" t="n">
        <v>0</v>
      </c>
      <c r="Q408" t="n">
        <v>0</v>
      </c>
      <c r="R408" s="2" t="inlineStr"/>
    </row>
    <row r="409" ht="15" customHeight="1">
      <c r="A409" t="inlineStr">
        <is>
          <t>A 23261-2021</t>
        </is>
      </c>
      <c r="B409" s="1" t="n">
        <v>44330</v>
      </c>
      <c r="C409" s="1" t="n">
        <v>45892</v>
      </c>
      <c r="D409" t="inlineStr">
        <is>
          <t>VÄSTERBOTTENS LÄN</t>
        </is>
      </c>
      <c r="E409" t="inlineStr">
        <is>
          <t>VILHELMINA</t>
        </is>
      </c>
      <c r="G409" t="n">
        <v>4.5</v>
      </c>
      <c r="H409" t="n">
        <v>0</v>
      </c>
      <c r="I409" t="n">
        <v>0</v>
      </c>
      <c r="J409" t="n">
        <v>0</v>
      </c>
      <c r="K409" t="n">
        <v>0</v>
      </c>
      <c r="L409" t="n">
        <v>0</v>
      </c>
      <c r="M409" t="n">
        <v>0</v>
      </c>
      <c r="N409" t="n">
        <v>0</v>
      </c>
      <c r="O409" t="n">
        <v>0</v>
      </c>
      <c r="P409" t="n">
        <v>0</v>
      </c>
      <c r="Q409" t="n">
        <v>0</v>
      </c>
      <c r="R409" s="2" t="inlineStr"/>
    </row>
    <row r="410" ht="15" customHeight="1">
      <c r="A410" t="inlineStr">
        <is>
          <t>A 35409-2024</t>
        </is>
      </c>
      <c r="B410" s="1" t="n">
        <v>45531</v>
      </c>
      <c r="C410" s="1" t="n">
        <v>45892</v>
      </c>
      <c r="D410" t="inlineStr">
        <is>
          <t>VÄSTERBOTTENS LÄN</t>
        </is>
      </c>
      <c r="E410" t="inlineStr">
        <is>
          <t>VILHELMINA</t>
        </is>
      </c>
      <c r="F410" t="inlineStr">
        <is>
          <t>SCA</t>
        </is>
      </c>
      <c r="G410" t="n">
        <v>13.1</v>
      </c>
      <c r="H410" t="n">
        <v>0</v>
      </c>
      <c r="I410" t="n">
        <v>0</v>
      </c>
      <c r="J410" t="n">
        <v>0</v>
      </c>
      <c r="K410" t="n">
        <v>0</v>
      </c>
      <c r="L410" t="n">
        <v>0</v>
      </c>
      <c r="M410" t="n">
        <v>0</v>
      </c>
      <c r="N410" t="n">
        <v>0</v>
      </c>
      <c r="O410" t="n">
        <v>0</v>
      </c>
      <c r="P410" t="n">
        <v>0</v>
      </c>
      <c r="Q410" t="n">
        <v>0</v>
      </c>
      <c r="R410" s="2" t="inlineStr"/>
    </row>
    <row r="411" ht="15" customHeight="1">
      <c r="A411" t="inlineStr">
        <is>
          <t>A 21623-2025</t>
        </is>
      </c>
      <c r="B411" s="1" t="n">
        <v>45783</v>
      </c>
      <c r="C411" s="1" t="n">
        <v>45892</v>
      </c>
      <c r="D411" t="inlineStr">
        <is>
          <t>VÄSTERBOTTENS LÄN</t>
        </is>
      </c>
      <c r="E411" t="inlineStr">
        <is>
          <t>VILHELMINA</t>
        </is>
      </c>
      <c r="F411" t="inlineStr">
        <is>
          <t>SCA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21670-2025</t>
        </is>
      </c>
      <c r="B412" s="1" t="n">
        <v>45783.46917824074</v>
      </c>
      <c r="C412" s="1" t="n">
        <v>45892</v>
      </c>
      <c r="D412" t="inlineStr">
        <is>
          <t>VÄSTERBOTTENS LÄN</t>
        </is>
      </c>
      <c r="E412" t="inlineStr">
        <is>
          <t>VILHELMINA</t>
        </is>
      </c>
      <c r="F412" t="inlineStr">
        <is>
          <t>SCA</t>
        </is>
      </c>
      <c r="G412" t="n">
        <v>3.4</v>
      </c>
      <c r="H412" t="n">
        <v>0</v>
      </c>
      <c r="I412" t="n">
        <v>0</v>
      </c>
      <c r="J412" t="n">
        <v>0</v>
      </c>
      <c r="K412" t="n">
        <v>0</v>
      </c>
      <c r="L412" t="n">
        <v>0</v>
      </c>
      <c r="M412" t="n">
        <v>0</v>
      </c>
      <c r="N412" t="n">
        <v>0</v>
      </c>
      <c r="O412" t="n">
        <v>0</v>
      </c>
      <c r="P412" t="n">
        <v>0</v>
      </c>
      <c r="Q412" t="n">
        <v>0</v>
      </c>
      <c r="R412" s="2" t="inlineStr"/>
    </row>
    <row r="413" ht="15" customHeight="1">
      <c r="A413" t="inlineStr">
        <is>
          <t>A 55620-2024</t>
        </is>
      </c>
      <c r="B413" s="1" t="n">
        <v>45622</v>
      </c>
      <c r="C413" s="1" t="n">
        <v>45892</v>
      </c>
      <c r="D413" t="inlineStr">
        <is>
          <t>VÄSTERBOTTENS LÄN</t>
        </is>
      </c>
      <c r="E413" t="inlineStr">
        <is>
          <t>VILHELMINA</t>
        </is>
      </c>
      <c r="F413" t="inlineStr">
        <is>
          <t>SCA</t>
        </is>
      </c>
      <c r="G413" t="n">
        <v>21.4</v>
      </c>
      <c r="H413" t="n">
        <v>0</v>
      </c>
      <c r="I413" t="n">
        <v>0</v>
      </c>
      <c r="J413" t="n">
        <v>0</v>
      </c>
      <c r="K413" t="n">
        <v>0</v>
      </c>
      <c r="L413" t="n">
        <v>0</v>
      </c>
      <c r="M413" t="n">
        <v>0</v>
      </c>
      <c r="N413" t="n">
        <v>0</v>
      </c>
      <c r="O413" t="n">
        <v>0</v>
      </c>
      <c r="P413" t="n">
        <v>0</v>
      </c>
      <c r="Q413" t="n">
        <v>0</v>
      </c>
      <c r="R413" s="2" t="inlineStr"/>
    </row>
    <row r="414" ht="15" customHeight="1">
      <c r="A414" t="inlineStr">
        <is>
          <t>A 30574-2024</t>
        </is>
      </c>
      <c r="B414" s="1" t="n">
        <v>45492.9580324074</v>
      </c>
      <c r="C414" s="1" t="n">
        <v>45892</v>
      </c>
      <c r="D414" t="inlineStr">
        <is>
          <t>VÄSTERBOTTENS LÄN</t>
        </is>
      </c>
      <c r="E414" t="inlineStr">
        <is>
          <t>VILHELMINA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55722-2023</t>
        </is>
      </c>
      <c r="B415" s="1" t="n">
        <v>45232</v>
      </c>
      <c r="C415" s="1" t="n">
        <v>45892</v>
      </c>
      <c r="D415" t="inlineStr">
        <is>
          <t>VÄSTERBOTTENS LÄN</t>
        </is>
      </c>
      <c r="E415" t="inlineStr">
        <is>
          <t>VILHELMINA</t>
        </is>
      </c>
      <c r="G415" t="n">
        <v>5.8</v>
      </c>
      <c r="H415" t="n">
        <v>0</v>
      </c>
      <c r="I415" t="n">
        <v>0</v>
      </c>
      <c r="J415" t="n">
        <v>0</v>
      </c>
      <c r="K415" t="n">
        <v>0</v>
      </c>
      <c r="L415" t="n">
        <v>0</v>
      </c>
      <c r="M415" t="n">
        <v>0</v>
      </c>
      <c r="N415" t="n">
        <v>0</v>
      </c>
      <c r="O415" t="n">
        <v>0</v>
      </c>
      <c r="P415" t="n">
        <v>0</v>
      </c>
      <c r="Q415" t="n">
        <v>0</v>
      </c>
      <c r="R415" s="2" t="inlineStr"/>
    </row>
    <row r="416" ht="15" customHeight="1">
      <c r="A416" t="inlineStr">
        <is>
          <t>A 36320-2024</t>
        </is>
      </c>
      <c r="B416" s="1" t="n">
        <v>45534.63586805556</v>
      </c>
      <c r="C416" s="1" t="n">
        <v>45892</v>
      </c>
      <c r="D416" t="inlineStr">
        <is>
          <t>VÄSTERBOTTENS LÄN</t>
        </is>
      </c>
      <c r="E416" t="inlineStr">
        <is>
          <t>VILHELMINA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44371-2023</t>
        </is>
      </c>
      <c r="B417" s="1" t="n">
        <v>45188</v>
      </c>
      <c r="C417" s="1" t="n">
        <v>45892</v>
      </c>
      <c r="D417" t="inlineStr">
        <is>
          <t>VÄSTERBOTTENS LÄN</t>
        </is>
      </c>
      <c r="E417" t="inlineStr">
        <is>
          <t>VILHELMINA</t>
        </is>
      </c>
      <c r="G417" t="n">
        <v>11</v>
      </c>
      <c r="H417" t="n">
        <v>0</v>
      </c>
      <c r="I417" t="n">
        <v>0</v>
      </c>
      <c r="J417" t="n">
        <v>0</v>
      </c>
      <c r="K417" t="n">
        <v>0</v>
      </c>
      <c r="L417" t="n">
        <v>0</v>
      </c>
      <c r="M417" t="n">
        <v>0</v>
      </c>
      <c r="N417" t="n">
        <v>0</v>
      </c>
      <c r="O417" t="n">
        <v>0</v>
      </c>
      <c r="P417" t="n">
        <v>0</v>
      </c>
      <c r="Q417" t="n">
        <v>0</v>
      </c>
      <c r="R417" s="2" t="inlineStr"/>
    </row>
    <row r="418" ht="15" customHeight="1">
      <c r="A418" t="inlineStr">
        <is>
          <t>A 21950-2025</t>
        </is>
      </c>
      <c r="B418" s="1" t="n">
        <v>45784.59418981482</v>
      </c>
      <c r="C418" s="1" t="n">
        <v>45892</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19349-2024</t>
        </is>
      </c>
      <c r="B419" s="1" t="n">
        <v>45428.97231481481</v>
      </c>
      <c r="C419" s="1" t="n">
        <v>45892</v>
      </c>
      <c r="D419" t="inlineStr">
        <is>
          <t>VÄSTERBOTTENS LÄN</t>
        </is>
      </c>
      <c r="E419" t="inlineStr">
        <is>
          <t>VILHELMINA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50482-2023</t>
        </is>
      </c>
      <c r="B420" s="1" t="n">
        <v>45216</v>
      </c>
      <c r="C420" s="1" t="n">
        <v>45892</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22048-2025</t>
        </is>
      </c>
      <c r="B421" s="1" t="n">
        <v>45785.3443287037</v>
      </c>
      <c r="C421" s="1" t="n">
        <v>45892</v>
      </c>
      <c r="D421" t="inlineStr">
        <is>
          <t>VÄSTERBOTTENS LÄN</t>
        </is>
      </c>
      <c r="E421" t="inlineStr">
        <is>
          <t>VILHELMINA</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21972-2025</t>
        </is>
      </c>
      <c r="B422" s="1" t="n">
        <v>45784.63592592593</v>
      </c>
      <c r="C422" s="1" t="n">
        <v>45892</v>
      </c>
      <c r="D422" t="inlineStr">
        <is>
          <t>VÄSTERBOTTENS LÄN</t>
        </is>
      </c>
      <c r="E422" t="inlineStr">
        <is>
          <t>VILHELMINA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35757-2023</t>
        </is>
      </c>
      <c r="B423" s="1" t="n">
        <v>45147.95444444445</v>
      </c>
      <c r="C423" s="1" t="n">
        <v>45892</v>
      </c>
      <c r="D423" t="inlineStr">
        <is>
          <t>VÄSTERBOTTENS LÄN</t>
        </is>
      </c>
      <c r="E423" t="inlineStr">
        <is>
          <t>VILHELMINA</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34809-2023</t>
        </is>
      </c>
      <c r="B424" s="1" t="n">
        <v>45140</v>
      </c>
      <c r="C424" s="1" t="n">
        <v>45892</v>
      </c>
      <c r="D424" t="inlineStr">
        <is>
          <t>VÄSTERBOTTENS LÄN</t>
        </is>
      </c>
      <c r="E424" t="inlineStr">
        <is>
          <t>VILHELMINA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44516-2024</t>
        </is>
      </c>
      <c r="B425" s="1" t="n">
        <v>45574</v>
      </c>
      <c r="C425" s="1" t="n">
        <v>45892</v>
      </c>
      <c r="D425" t="inlineStr">
        <is>
          <t>VÄSTERBOTTENS LÄN</t>
        </is>
      </c>
      <c r="E425" t="inlineStr">
        <is>
          <t>VILHELMINA</t>
        </is>
      </c>
      <c r="G425" t="n">
        <v>2.9</v>
      </c>
      <c r="H425" t="n">
        <v>0</v>
      </c>
      <c r="I425" t="n">
        <v>0</v>
      </c>
      <c r="J425" t="n">
        <v>0</v>
      </c>
      <c r="K425" t="n">
        <v>0</v>
      </c>
      <c r="L425" t="n">
        <v>0</v>
      </c>
      <c r="M425" t="n">
        <v>0</v>
      </c>
      <c r="N425" t="n">
        <v>0</v>
      </c>
      <c r="O425" t="n">
        <v>0</v>
      </c>
      <c r="P425" t="n">
        <v>0</v>
      </c>
      <c r="Q425" t="n">
        <v>0</v>
      </c>
      <c r="R425" s="2" t="inlineStr"/>
    </row>
    <row r="426" ht="15" customHeight="1">
      <c r="A426" t="inlineStr">
        <is>
          <t>A 21999-2025</t>
        </is>
      </c>
      <c r="B426" s="1" t="n">
        <v>45784</v>
      </c>
      <c r="C426" s="1" t="n">
        <v>45892</v>
      </c>
      <c r="D426" t="inlineStr">
        <is>
          <t>VÄSTERBOTTENS LÄN</t>
        </is>
      </c>
      <c r="E426" t="inlineStr">
        <is>
          <t>VILHELMINA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24457-2024</t>
        </is>
      </c>
      <c r="B427" s="1" t="n">
        <v>45457.96708333334</v>
      </c>
      <c r="C427" s="1" t="n">
        <v>45892</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21924-2025</t>
        </is>
      </c>
      <c r="B428" s="1" t="n">
        <v>45784</v>
      </c>
      <c r="C428" s="1" t="n">
        <v>45892</v>
      </c>
      <c r="D428" t="inlineStr">
        <is>
          <t>VÄSTERBOTTENS LÄN</t>
        </is>
      </c>
      <c r="E428" t="inlineStr">
        <is>
          <t>VILHELMINA</t>
        </is>
      </c>
      <c r="G428" t="n">
        <v>10.2</v>
      </c>
      <c r="H428" t="n">
        <v>0</v>
      </c>
      <c r="I428" t="n">
        <v>0</v>
      </c>
      <c r="J428" t="n">
        <v>0</v>
      </c>
      <c r="K428" t="n">
        <v>0</v>
      </c>
      <c r="L428" t="n">
        <v>0</v>
      </c>
      <c r="M428" t="n">
        <v>0</v>
      </c>
      <c r="N428" t="n">
        <v>0</v>
      </c>
      <c r="O428" t="n">
        <v>0</v>
      </c>
      <c r="P428" t="n">
        <v>0</v>
      </c>
      <c r="Q428" t="n">
        <v>0</v>
      </c>
      <c r="R428" s="2" t="inlineStr"/>
    </row>
    <row r="429" ht="15" customHeight="1">
      <c r="A429" t="inlineStr">
        <is>
          <t>A 12765-2025</t>
        </is>
      </c>
      <c r="B429" s="1" t="n">
        <v>45733</v>
      </c>
      <c r="C429" s="1" t="n">
        <v>45892</v>
      </c>
      <c r="D429" t="inlineStr">
        <is>
          <t>VÄSTERBOTTENS LÄN</t>
        </is>
      </c>
      <c r="E429" t="inlineStr">
        <is>
          <t>VILHELMINA</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31496-2023</t>
        </is>
      </c>
      <c r="B430" s="1" t="n">
        <v>45114.94138888889</v>
      </c>
      <c r="C430" s="1" t="n">
        <v>45892</v>
      </c>
      <c r="D430" t="inlineStr">
        <is>
          <t>VÄSTERBOTTENS LÄN</t>
        </is>
      </c>
      <c r="E430" t="inlineStr">
        <is>
          <t>VILHELMINA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28722-2022</t>
        </is>
      </c>
      <c r="B431" s="1" t="n">
        <v>44748</v>
      </c>
      <c r="C431" s="1" t="n">
        <v>45892</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46392-2024</t>
        </is>
      </c>
      <c r="B432" s="1" t="n">
        <v>45582</v>
      </c>
      <c r="C432" s="1" t="n">
        <v>45892</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39914-2023</t>
        </is>
      </c>
      <c r="B433" s="1" t="n">
        <v>45166</v>
      </c>
      <c r="C433" s="1" t="n">
        <v>45892</v>
      </c>
      <c r="D433" t="inlineStr">
        <is>
          <t>VÄSTERBOTTENS LÄN</t>
        </is>
      </c>
      <c r="E433" t="inlineStr">
        <is>
          <t>VILHELMINA</t>
        </is>
      </c>
      <c r="G433" t="n">
        <v>27.5</v>
      </c>
      <c r="H433" t="n">
        <v>0</v>
      </c>
      <c r="I433" t="n">
        <v>0</v>
      </c>
      <c r="J433" t="n">
        <v>0</v>
      </c>
      <c r="K433" t="n">
        <v>0</v>
      </c>
      <c r="L433" t="n">
        <v>0</v>
      </c>
      <c r="M433" t="n">
        <v>0</v>
      </c>
      <c r="N433" t="n">
        <v>0</v>
      </c>
      <c r="O433" t="n">
        <v>0</v>
      </c>
      <c r="P433" t="n">
        <v>0</v>
      </c>
      <c r="Q433" t="n">
        <v>0</v>
      </c>
      <c r="R433" s="2" t="inlineStr"/>
    </row>
    <row r="434" ht="15" customHeight="1">
      <c r="A434" t="inlineStr">
        <is>
          <t>A 16626-2024</t>
        </is>
      </c>
      <c r="B434" s="1" t="n">
        <v>45408</v>
      </c>
      <c r="C434" s="1" t="n">
        <v>45892</v>
      </c>
      <c r="D434" t="inlineStr">
        <is>
          <t>VÄSTERBOTTENS LÄN</t>
        </is>
      </c>
      <c r="E434" t="inlineStr">
        <is>
          <t>VILHELMINA</t>
        </is>
      </c>
      <c r="G434" t="n">
        <v>15.5</v>
      </c>
      <c r="H434" t="n">
        <v>0</v>
      </c>
      <c r="I434" t="n">
        <v>0</v>
      </c>
      <c r="J434" t="n">
        <v>0</v>
      </c>
      <c r="K434" t="n">
        <v>0</v>
      </c>
      <c r="L434" t="n">
        <v>0</v>
      </c>
      <c r="M434" t="n">
        <v>0</v>
      </c>
      <c r="N434" t="n">
        <v>0</v>
      </c>
      <c r="O434" t="n">
        <v>0</v>
      </c>
      <c r="P434" t="n">
        <v>0</v>
      </c>
      <c r="Q434" t="n">
        <v>0</v>
      </c>
      <c r="R434" s="2" t="inlineStr"/>
    </row>
    <row r="435" ht="15" customHeight="1">
      <c r="A435" t="inlineStr">
        <is>
          <t>A 47483-2023</t>
        </is>
      </c>
      <c r="B435" s="1" t="n">
        <v>45202.9413425926</v>
      </c>
      <c r="C435" s="1" t="n">
        <v>45892</v>
      </c>
      <c r="D435" t="inlineStr">
        <is>
          <t>VÄSTERBOTTENS LÄN</t>
        </is>
      </c>
      <c r="E435" t="inlineStr">
        <is>
          <t>VILHELMINA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10268-2025</t>
        </is>
      </c>
      <c r="B436" s="1" t="n">
        <v>45720</v>
      </c>
      <c r="C436" s="1" t="n">
        <v>45892</v>
      </c>
      <c r="D436" t="inlineStr">
        <is>
          <t>VÄSTERBOTTENS LÄN</t>
        </is>
      </c>
      <c r="E436" t="inlineStr">
        <is>
          <t>VILHELMINA</t>
        </is>
      </c>
      <c r="G436" t="n">
        <v>1.9</v>
      </c>
      <c r="H436" t="n">
        <v>0</v>
      </c>
      <c r="I436" t="n">
        <v>0</v>
      </c>
      <c r="J436" t="n">
        <v>0</v>
      </c>
      <c r="K436" t="n">
        <v>0</v>
      </c>
      <c r="L436" t="n">
        <v>0</v>
      </c>
      <c r="M436" t="n">
        <v>0</v>
      </c>
      <c r="N436" t="n">
        <v>0</v>
      </c>
      <c r="O436" t="n">
        <v>0</v>
      </c>
      <c r="P436" t="n">
        <v>0</v>
      </c>
      <c r="Q436" t="n">
        <v>0</v>
      </c>
      <c r="R436" s="2" t="inlineStr"/>
    </row>
    <row r="437" ht="15" customHeight="1">
      <c r="A437" t="inlineStr">
        <is>
          <t>A 23543-2024</t>
        </is>
      </c>
      <c r="B437" s="1" t="n">
        <v>45453</v>
      </c>
      <c r="C437" s="1" t="n">
        <v>45892</v>
      </c>
      <c r="D437" t="inlineStr">
        <is>
          <t>VÄSTERBOTTENS LÄN</t>
        </is>
      </c>
      <c r="E437" t="inlineStr">
        <is>
          <t>VILHELMINA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22107-2024</t>
        </is>
      </c>
      <c r="B438" s="1" t="n">
        <v>45443</v>
      </c>
      <c r="C438" s="1" t="n">
        <v>45892</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20336-2025</t>
        </is>
      </c>
      <c r="B439" s="1" t="n">
        <v>45775.36528935185</v>
      </c>
      <c r="C439" s="1" t="n">
        <v>45892</v>
      </c>
      <c r="D439" t="inlineStr">
        <is>
          <t>VÄSTERBOTTENS LÄN</t>
        </is>
      </c>
      <c r="E439" t="inlineStr">
        <is>
          <t>VILHELMINA</t>
        </is>
      </c>
      <c r="F439" t="inlineStr">
        <is>
          <t>SCA</t>
        </is>
      </c>
      <c r="G439" t="n">
        <v>9.4</v>
      </c>
      <c r="H439" t="n">
        <v>0</v>
      </c>
      <c r="I439" t="n">
        <v>0</v>
      </c>
      <c r="J439" t="n">
        <v>0</v>
      </c>
      <c r="K439" t="n">
        <v>0</v>
      </c>
      <c r="L439" t="n">
        <v>0</v>
      </c>
      <c r="M439" t="n">
        <v>0</v>
      </c>
      <c r="N439" t="n">
        <v>0</v>
      </c>
      <c r="O439" t="n">
        <v>0</v>
      </c>
      <c r="P439" t="n">
        <v>0</v>
      </c>
      <c r="Q439" t="n">
        <v>0</v>
      </c>
      <c r="R439" s="2" t="inlineStr"/>
    </row>
    <row r="440" ht="15" customHeight="1">
      <c r="A440" t="inlineStr">
        <is>
          <t>A 54729-2022</t>
        </is>
      </c>
      <c r="B440" s="1" t="n">
        <v>44881</v>
      </c>
      <c r="C440" s="1" t="n">
        <v>45892</v>
      </c>
      <c r="D440" t="inlineStr">
        <is>
          <t>VÄSTERBOTTENS LÄN</t>
        </is>
      </c>
      <c r="E440" t="inlineStr">
        <is>
          <t>VILHELMINA</t>
        </is>
      </c>
      <c r="G440" t="n">
        <v>19.2</v>
      </c>
      <c r="H440" t="n">
        <v>0</v>
      </c>
      <c r="I440" t="n">
        <v>0</v>
      </c>
      <c r="J440" t="n">
        <v>0</v>
      </c>
      <c r="K440" t="n">
        <v>0</v>
      </c>
      <c r="L440" t="n">
        <v>0</v>
      </c>
      <c r="M440" t="n">
        <v>0</v>
      </c>
      <c r="N440" t="n">
        <v>0</v>
      </c>
      <c r="O440" t="n">
        <v>0</v>
      </c>
      <c r="P440" t="n">
        <v>0</v>
      </c>
      <c r="Q440" t="n">
        <v>0</v>
      </c>
      <c r="R440" s="2" t="inlineStr"/>
    </row>
    <row r="441" ht="15" customHeight="1">
      <c r="A441" t="inlineStr">
        <is>
          <t>A 13829-2025</t>
        </is>
      </c>
      <c r="B441" s="1" t="n">
        <v>45737</v>
      </c>
      <c r="C441" s="1" t="n">
        <v>45892</v>
      </c>
      <c r="D441" t="inlineStr">
        <is>
          <t>VÄSTERBOTTENS LÄN</t>
        </is>
      </c>
      <c r="E441" t="inlineStr">
        <is>
          <t>VILHELMINA</t>
        </is>
      </c>
      <c r="F441" t="inlineStr">
        <is>
          <t>Övriga statliga verk och myndigheter</t>
        </is>
      </c>
      <c r="G441" t="n">
        <v>39.7</v>
      </c>
      <c r="H441" t="n">
        <v>0</v>
      </c>
      <c r="I441" t="n">
        <v>0</v>
      </c>
      <c r="J441" t="n">
        <v>0</v>
      </c>
      <c r="K441" t="n">
        <v>0</v>
      </c>
      <c r="L441" t="n">
        <v>0</v>
      </c>
      <c r="M441" t="n">
        <v>0</v>
      </c>
      <c r="N441" t="n">
        <v>0</v>
      </c>
      <c r="O441" t="n">
        <v>0</v>
      </c>
      <c r="P441" t="n">
        <v>0</v>
      </c>
      <c r="Q441" t="n">
        <v>0</v>
      </c>
      <c r="R441" s="2" t="inlineStr"/>
    </row>
    <row r="442" ht="15" customHeight="1">
      <c r="A442" t="inlineStr">
        <is>
          <t>A 52174-2020</t>
        </is>
      </c>
      <c r="B442" s="1" t="n">
        <v>44105</v>
      </c>
      <c r="C442" s="1" t="n">
        <v>45892</v>
      </c>
      <c r="D442" t="inlineStr">
        <is>
          <t>VÄSTERBOTTENS LÄN</t>
        </is>
      </c>
      <c r="E442" t="inlineStr">
        <is>
          <t>VILHELMINA</t>
        </is>
      </c>
      <c r="G442" t="n">
        <v>3</v>
      </c>
      <c r="H442" t="n">
        <v>0</v>
      </c>
      <c r="I442" t="n">
        <v>0</v>
      </c>
      <c r="J442" t="n">
        <v>0</v>
      </c>
      <c r="K442" t="n">
        <v>0</v>
      </c>
      <c r="L442" t="n">
        <v>0</v>
      </c>
      <c r="M442" t="n">
        <v>0</v>
      </c>
      <c r="N442" t="n">
        <v>0</v>
      </c>
      <c r="O442" t="n">
        <v>0</v>
      </c>
      <c r="P442" t="n">
        <v>0</v>
      </c>
      <c r="Q442" t="n">
        <v>0</v>
      </c>
      <c r="R442" s="2" t="inlineStr"/>
    </row>
    <row r="443" ht="15" customHeight="1">
      <c r="A443" t="inlineStr">
        <is>
          <t>A 58179-2024</t>
        </is>
      </c>
      <c r="B443" s="1" t="n">
        <v>45632.4690162037</v>
      </c>
      <c r="C443" s="1" t="n">
        <v>45892</v>
      </c>
      <c r="D443" t="inlineStr">
        <is>
          <t>VÄSTERBOTTENS LÄN</t>
        </is>
      </c>
      <c r="E443" t="inlineStr">
        <is>
          <t>VILHELMINA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32455-2024</t>
        </is>
      </c>
      <c r="B444" s="1" t="n">
        <v>45512.95870370371</v>
      </c>
      <c r="C444" s="1" t="n">
        <v>45892</v>
      </c>
      <c r="D444" t="inlineStr">
        <is>
          <t>VÄSTERBOTTENS LÄN</t>
        </is>
      </c>
      <c r="E444" t="inlineStr">
        <is>
          <t>VILHELMINA</t>
        </is>
      </c>
      <c r="F444" t="inlineStr">
        <is>
          <t>SCA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39670-2024</t>
        </is>
      </c>
      <c r="B445" s="1" t="n">
        <v>45552.5315162037</v>
      </c>
      <c r="C445" s="1" t="n">
        <v>45892</v>
      </c>
      <c r="D445" t="inlineStr">
        <is>
          <t>VÄSTERBOTTENS LÄN</t>
        </is>
      </c>
      <c r="E445" t="inlineStr">
        <is>
          <t>VILHELMINA</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55327-2023</t>
        </is>
      </c>
      <c r="B446" s="1" t="n">
        <v>45237.97375</v>
      </c>
      <c r="C446" s="1" t="n">
        <v>45892</v>
      </c>
      <c r="D446" t="inlineStr">
        <is>
          <t>VÄSTERBOTTENS LÄN</t>
        </is>
      </c>
      <c r="E446" t="inlineStr">
        <is>
          <t>VILHELMINA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22617-2025</t>
        </is>
      </c>
      <c r="B447" s="1" t="n">
        <v>45789</v>
      </c>
      <c r="C447" s="1" t="n">
        <v>45892</v>
      </c>
      <c r="D447" t="inlineStr">
        <is>
          <t>VÄSTERBOTTENS LÄN</t>
        </is>
      </c>
      <c r="E447" t="inlineStr">
        <is>
          <t>VILHELMINA</t>
        </is>
      </c>
      <c r="F447" t="inlineStr">
        <is>
          <t>SCA</t>
        </is>
      </c>
      <c r="G447" t="n">
        <v>7.3</v>
      </c>
      <c r="H447" t="n">
        <v>0</v>
      </c>
      <c r="I447" t="n">
        <v>0</v>
      </c>
      <c r="J447" t="n">
        <v>0</v>
      </c>
      <c r="K447" t="n">
        <v>0</v>
      </c>
      <c r="L447" t="n">
        <v>0</v>
      </c>
      <c r="M447" t="n">
        <v>0</v>
      </c>
      <c r="N447" t="n">
        <v>0</v>
      </c>
      <c r="O447" t="n">
        <v>0</v>
      </c>
      <c r="P447" t="n">
        <v>0</v>
      </c>
      <c r="Q447" t="n">
        <v>0</v>
      </c>
      <c r="R447" s="2" t="inlineStr"/>
    </row>
    <row r="448" ht="15" customHeight="1">
      <c r="A448" t="inlineStr">
        <is>
          <t>A 17186-2025</t>
        </is>
      </c>
      <c r="B448" s="1" t="n">
        <v>45756</v>
      </c>
      <c r="C448" s="1" t="n">
        <v>45892</v>
      </c>
      <c r="D448" t="inlineStr">
        <is>
          <t>VÄSTERBOTTENS LÄN</t>
        </is>
      </c>
      <c r="E448" t="inlineStr">
        <is>
          <t>VILHELMINA</t>
        </is>
      </c>
      <c r="F448" t="inlineStr">
        <is>
          <t>SCA</t>
        </is>
      </c>
      <c r="G448" t="n">
        <v>12.3</v>
      </c>
      <c r="H448" t="n">
        <v>0</v>
      </c>
      <c r="I448" t="n">
        <v>0</v>
      </c>
      <c r="J448" t="n">
        <v>0</v>
      </c>
      <c r="K448" t="n">
        <v>0</v>
      </c>
      <c r="L448" t="n">
        <v>0</v>
      </c>
      <c r="M448" t="n">
        <v>0</v>
      </c>
      <c r="N448" t="n">
        <v>0</v>
      </c>
      <c r="O448" t="n">
        <v>0</v>
      </c>
      <c r="P448" t="n">
        <v>0</v>
      </c>
      <c r="Q448" t="n">
        <v>0</v>
      </c>
      <c r="R448" s="2" t="inlineStr"/>
    </row>
    <row r="449" ht="15" customHeight="1">
      <c r="A449" t="inlineStr">
        <is>
          <t>A 48505-2023</t>
        </is>
      </c>
      <c r="B449" s="1" t="n">
        <v>45207.93900462963</v>
      </c>
      <c r="C449" s="1" t="n">
        <v>45892</v>
      </c>
      <c r="D449" t="inlineStr">
        <is>
          <t>VÄSTERBOTTENS LÄN</t>
        </is>
      </c>
      <c r="E449" t="inlineStr">
        <is>
          <t>VILHELMINA</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52749-2023</t>
        </is>
      </c>
      <c r="B450" s="1" t="n">
        <v>45225.9678587963</v>
      </c>
      <c r="C450" s="1" t="n">
        <v>45892</v>
      </c>
      <c r="D450" t="inlineStr">
        <is>
          <t>VÄSTERBOTTENS LÄN</t>
        </is>
      </c>
      <c r="E450" t="inlineStr">
        <is>
          <t>VILHELMINA</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23281-2025</t>
        </is>
      </c>
      <c r="B451" s="1" t="n">
        <v>45791.57324074074</v>
      </c>
      <c r="C451" s="1" t="n">
        <v>45892</v>
      </c>
      <c r="D451" t="inlineStr">
        <is>
          <t>VÄSTERBOTTENS LÄN</t>
        </is>
      </c>
      <c r="E451" t="inlineStr">
        <is>
          <t>VILHELMINA</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38187-2024</t>
        </is>
      </c>
      <c r="B452" s="1" t="n">
        <v>45545.49028935185</v>
      </c>
      <c r="C452" s="1" t="n">
        <v>45892</v>
      </c>
      <c r="D452" t="inlineStr">
        <is>
          <t>VÄSTERBOTTENS LÄN</t>
        </is>
      </c>
      <c r="E452" t="inlineStr">
        <is>
          <t>VILHELMINA</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40505-2024</t>
        </is>
      </c>
      <c r="B453" s="1" t="n">
        <v>45555.57373842593</v>
      </c>
      <c r="C453" s="1" t="n">
        <v>45892</v>
      </c>
      <c r="D453" t="inlineStr">
        <is>
          <t>VÄSTERBOTTENS LÄN</t>
        </is>
      </c>
      <c r="E453" t="inlineStr">
        <is>
          <t>VILHELMINA</t>
        </is>
      </c>
      <c r="G453" t="n">
        <v>0.3</v>
      </c>
      <c r="H453" t="n">
        <v>0</v>
      </c>
      <c r="I453" t="n">
        <v>0</v>
      </c>
      <c r="J453" t="n">
        <v>0</v>
      </c>
      <c r="K453" t="n">
        <v>0</v>
      </c>
      <c r="L453" t="n">
        <v>0</v>
      </c>
      <c r="M453" t="n">
        <v>0</v>
      </c>
      <c r="N453" t="n">
        <v>0</v>
      </c>
      <c r="O453" t="n">
        <v>0</v>
      </c>
      <c r="P453" t="n">
        <v>0</v>
      </c>
      <c r="Q453" t="n">
        <v>0</v>
      </c>
      <c r="R453" s="2" t="inlineStr"/>
    </row>
    <row r="454" ht="15" customHeight="1">
      <c r="A454" t="inlineStr">
        <is>
          <t>A 35412-2024</t>
        </is>
      </c>
      <c r="B454" s="1" t="n">
        <v>45531.4075</v>
      </c>
      <c r="C454" s="1" t="n">
        <v>45892</v>
      </c>
      <c r="D454" t="inlineStr">
        <is>
          <t>VÄSTERBOTTENS LÄN</t>
        </is>
      </c>
      <c r="E454" t="inlineStr">
        <is>
          <t>VILHELMINA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19873-2024</t>
        </is>
      </c>
      <c r="B455" s="1" t="n">
        <v>45433</v>
      </c>
      <c r="C455" s="1" t="n">
        <v>45892</v>
      </c>
      <c r="D455" t="inlineStr">
        <is>
          <t>VÄSTERBOTTENS LÄN</t>
        </is>
      </c>
      <c r="E455" t="inlineStr">
        <is>
          <t>VILHELMINA</t>
        </is>
      </c>
      <c r="G455" t="n">
        <v>8.6</v>
      </c>
      <c r="H455" t="n">
        <v>0</v>
      </c>
      <c r="I455" t="n">
        <v>0</v>
      </c>
      <c r="J455" t="n">
        <v>0</v>
      </c>
      <c r="K455" t="n">
        <v>0</v>
      </c>
      <c r="L455" t="n">
        <v>0</v>
      </c>
      <c r="M455" t="n">
        <v>0</v>
      </c>
      <c r="N455" t="n">
        <v>0</v>
      </c>
      <c r="O455" t="n">
        <v>0</v>
      </c>
      <c r="P455" t="n">
        <v>0</v>
      </c>
      <c r="Q455" t="n">
        <v>0</v>
      </c>
      <c r="R455" s="2" t="inlineStr"/>
    </row>
    <row r="456" ht="15" customHeight="1">
      <c r="A456" t="inlineStr">
        <is>
          <t>A 48423-2023</t>
        </is>
      </c>
      <c r="B456" s="1" t="n">
        <v>45205</v>
      </c>
      <c r="C456" s="1" t="n">
        <v>45892</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47242-2024</t>
        </is>
      </c>
      <c r="B457" s="1" t="n">
        <v>45586</v>
      </c>
      <c r="C457" s="1" t="n">
        <v>45892</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23412-2025</t>
        </is>
      </c>
      <c r="B458" s="1" t="n">
        <v>45792.34596064815</v>
      </c>
      <c r="C458" s="1" t="n">
        <v>45892</v>
      </c>
      <c r="D458" t="inlineStr">
        <is>
          <t>VÄSTERBOTTENS LÄN</t>
        </is>
      </c>
      <c r="E458" t="inlineStr">
        <is>
          <t>VILHELMINA</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55978-2024</t>
        </is>
      </c>
      <c r="B459" s="1" t="n">
        <v>45623</v>
      </c>
      <c r="C459" s="1" t="n">
        <v>45892</v>
      </c>
      <c r="D459" t="inlineStr">
        <is>
          <t>VÄSTERBOTTENS LÄN</t>
        </is>
      </c>
      <c r="E459" t="inlineStr">
        <is>
          <t>VILHELMINA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35984-2023</t>
        </is>
      </c>
      <c r="B460" s="1" t="n">
        <v>45148.96195601852</v>
      </c>
      <c r="C460" s="1" t="n">
        <v>45892</v>
      </c>
      <c r="D460" t="inlineStr">
        <is>
          <t>VÄSTERBOTTENS LÄN</t>
        </is>
      </c>
      <c r="E460" t="inlineStr">
        <is>
          <t>VILHELMINA</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23826-2025</t>
        </is>
      </c>
      <c r="B461" s="1" t="n">
        <v>45793.59461805555</v>
      </c>
      <c r="C461" s="1" t="n">
        <v>45892</v>
      </c>
      <c r="D461" t="inlineStr">
        <is>
          <t>VÄSTERBOTTENS LÄN</t>
        </is>
      </c>
      <c r="E461" t="inlineStr">
        <is>
          <t>VILHELMINA</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48422-2023</t>
        </is>
      </c>
      <c r="B462" s="1" t="n">
        <v>45205</v>
      </c>
      <c r="C462" s="1" t="n">
        <v>45892</v>
      </c>
      <c r="D462" t="inlineStr">
        <is>
          <t>VÄSTERBOTTENS LÄN</t>
        </is>
      </c>
      <c r="E462" t="inlineStr">
        <is>
          <t>VILHELMINA</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53987-2021</t>
        </is>
      </c>
      <c r="B463" s="1" t="n">
        <v>44470.31884259259</v>
      </c>
      <c r="C463" s="1" t="n">
        <v>45892</v>
      </c>
      <c r="D463" t="inlineStr">
        <is>
          <t>VÄSTERBOTTENS LÄN</t>
        </is>
      </c>
      <c r="E463" t="inlineStr">
        <is>
          <t>VILHELMINA</t>
        </is>
      </c>
      <c r="F463" t="inlineStr">
        <is>
          <t>Kommuner</t>
        </is>
      </c>
      <c r="G463" t="n">
        <v>10</v>
      </c>
      <c r="H463" t="n">
        <v>0</v>
      </c>
      <c r="I463" t="n">
        <v>0</v>
      </c>
      <c r="J463" t="n">
        <v>0</v>
      </c>
      <c r="K463" t="n">
        <v>0</v>
      </c>
      <c r="L463" t="n">
        <v>0</v>
      </c>
      <c r="M463" t="n">
        <v>0</v>
      </c>
      <c r="N463" t="n">
        <v>0</v>
      </c>
      <c r="O463" t="n">
        <v>0</v>
      </c>
      <c r="P463" t="n">
        <v>0</v>
      </c>
      <c r="Q463" t="n">
        <v>0</v>
      </c>
      <c r="R463" s="2" t="inlineStr"/>
    </row>
    <row r="464" ht="15" customHeight="1">
      <c r="A464" t="inlineStr">
        <is>
          <t>A 23686-2025</t>
        </is>
      </c>
      <c r="B464" s="1" t="n">
        <v>45793</v>
      </c>
      <c r="C464" s="1" t="n">
        <v>45892</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47440-2024</t>
        </is>
      </c>
      <c r="B465" s="1" t="n">
        <v>45587</v>
      </c>
      <c r="C465" s="1" t="n">
        <v>45892</v>
      </c>
      <c r="D465" t="inlineStr">
        <is>
          <t>VÄSTERBOTTENS LÄN</t>
        </is>
      </c>
      <c r="E465" t="inlineStr">
        <is>
          <t>VILHELMINA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23764-2025</t>
        </is>
      </c>
      <c r="B466" s="1" t="n">
        <v>45793</v>
      </c>
      <c r="C466" s="1" t="n">
        <v>45892</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146-2025</t>
        </is>
      </c>
      <c r="B467" s="1" t="n">
        <v>45659</v>
      </c>
      <c r="C467" s="1" t="n">
        <v>45892</v>
      </c>
      <c r="D467" t="inlineStr">
        <is>
          <t>VÄSTERBOTTENS LÄN</t>
        </is>
      </c>
      <c r="E467" t="inlineStr">
        <is>
          <t>VILHELMINA</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37325-2022</t>
        </is>
      </c>
      <c r="B468" s="1" t="n">
        <v>44806</v>
      </c>
      <c r="C468" s="1" t="n">
        <v>45892</v>
      </c>
      <c r="D468" t="inlineStr">
        <is>
          <t>VÄSTERBOTTENS LÄN</t>
        </is>
      </c>
      <c r="E468" t="inlineStr">
        <is>
          <t>VILHELMINA</t>
        </is>
      </c>
      <c r="F468" t="inlineStr">
        <is>
          <t>Övriga statliga verk och myndigheter</t>
        </is>
      </c>
      <c r="G468" t="n">
        <v>11</v>
      </c>
      <c r="H468" t="n">
        <v>0</v>
      </c>
      <c r="I468" t="n">
        <v>0</v>
      </c>
      <c r="J468" t="n">
        <v>0</v>
      </c>
      <c r="K468" t="n">
        <v>0</v>
      </c>
      <c r="L468" t="n">
        <v>0</v>
      </c>
      <c r="M468" t="n">
        <v>0</v>
      </c>
      <c r="N468" t="n">
        <v>0</v>
      </c>
      <c r="O468" t="n">
        <v>0</v>
      </c>
      <c r="P468" t="n">
        <v>0</v>
      </c>
      <c r="Q468" t="n">
        <v>0</v>
      </c>
      <c r="R468" s="2" t="inlineStr"/>
    </row>
    <row r="469" ht="15" customHeight="1">
      <c r="A469" t="inlineStr">
        <is>
          <t>A 25308-2025</t>
        </is>
      </c>
      <c r="B469" s="1" t="n">
        <v>45800</v>
      </c>
      <c r="C469" s="1" t="n">
        <v>45892</v>
      </c>
      <c r="D469" t="inlineStr">
        <is>
          <t>VÄSTERBOTTENS LÄN</t>
        </is>
      </c>
      <c r="E469" t="inlineStr">
        <is>
          <t>VILHELMINA</t>
        </is>
      </c>
      <c r="F469" t="inlineStr">
        <is>
          <t>SCA</t>
        </is>
      </c>
      <c r="G469" t="n">
        <v>5.9</v>
      </c>
      <c r="H469" t="n">
        <v>0</v>
      </c>
      <c r="I469" t="n">
        <v>0</v>
      </c>
      <c r="J469" t="n">
        <v>0</v>
      </c>
      <c r="K469" t="n">
        <v>0</v>
      </c>
      <c r="L469" t="n">
        <v>0</v>
      </c>
      <c r="M469" t="n">
        <v>0</v>
      </c>
      <c r="N469" t="n">
        <v>0</v>
      </c>
      <c r="O469" t="n">
        <v>0</v>
      </c>
      <c r="P469" t="n">
        <v>0</v>
      </c>
      <c r="Q469" t="n">
        <v>0</v>
      </c>
      <c r="R469" s="2" t="inlineStr"/>
    </row>
    <row r="470" ht="15" customHeight="1">
      <c r="A470" t="inlineStr">
        <is>
          <t>A 48088-2024</t>
        </is>
      </c>
      <c r="B470" s="1" t="n">
        <v>45589</v>
      </c>
      <c r="C470" s="1" t="n">
        <v>45892</v>
      </c>
      <c r="D470" t="inlineStr">
        <is>
          <t>VÄSTERBOTTENS LÄN</t>
        </is>
      </c>
      <c r="E470" t="inlineStr">
        <is>
          <t>VILHELMINA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39035-2024</t>
        </is>
      </c>
      <c r="B471" s="1" t="n">
        <v>45548.46918981482</v>
      </c>
      <c r="C471" s="1" t="n">
        <v>45892</v>
      </c>
      <c r="D471" t="inlineStr">
        <is>
          <t>VÄSTERBOTTENS LÄN</t>
        </is>
      </c>
      <c r="E471" t="inlineStr">
        <is>
          <t>VILHELMINA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17467-2025</t>
        </is>
      </c>
      <c r="B472" s="1" t="n">
        <v>45757</v>
      </c>
      <c r="C472" s="1" t="n">
        <v>45892</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23415-2025</t>
        </is>
      </c>
      <c r="B473" s="1" t="n">
        <v>45792.34643518519</v>
      </c>
      <c r="C473" s="1" t="n">
        <v>45892</v>
      </c>
      <c r="D473" t="inlineStr">
        <is>
          <t>VÄSTERBOTTENS LÄN</t>
        </is>
      </c>
      <c r="E473" t="inlineStr">
        <is>
          <t>VILHELMINA</t>
        </is>
      </c>
      <c r="F473" t="inlineStr">
        <is>
          <t>SCA</t>
        </is>
      </c>
      <c r="G473" t="n">
        <v>36.9</v>
      </c>
      <c r="H473" t="n">
        <v>0</v>
      </c>
      <c r="I473" t="n">
        <v>0</v>
      </c>
      <c r="J473" t="n">
        <v>0</v>
      </c>
      <c r="K473" t="n">
        <v>0</v>
      </c>
      <c r="L473" t="n">
        <v>0</v>
      </c>
      <c r="M473" t="n">
        <v>0</v>
      </c>
      <c r="N473" t="n">
        <v>0</v>
      </c>
      <c r="O473" t="n">
        <v>0</v>
      </c>
      <c r="P473" t="n">
        <v>0</v>
      </c>
      <c r="Q473" t="n">
        <v>0</v>
      </c>
      <c r="R473" s="2" t="inlineStr"/>
    </row>
    <row r="474" ht="15" customHeight="1">
      <c r="A474" t="inlineStr">
        <is>
          <t>A 23406-2025</t>
        </is>
      </c>
      <c r="B474" s="1" t="n">
        <v>45792.34540509259</v>
      </c>
      <c r="C474" s="1" t="n">
        <v>45892</v>
      </c>
      <c r="D474" t="inlineStr">
        <is>
          <t>VÄSTERBOTTENS LÄN</t>
        </is>
      </c>
      <c r="E474" t="inlineStr">
        <is>
          <t>VILHELMINA</t>
        </is>
      </c>
      <c r="F474" t="inlineStr">
        <is>
          <t>SCA</t>
        </is>
      </c>
      <c r="G474" t="n">
        <v>15.4</v>
      </c>
      <c r="H474" t="n">
        <v>0</v>
      </c>
      <c r="I474" t="n">
        <v>0</v>
      </c>
      <c r="J474" t="n">
        <v>0</v>
      </c>
      <c r="K474" t="n">
        <v>0</v>
      </c>
      <c r="L474" t="n">
        <v>0</v>
      </c>
      <c r="M474" t="n">
        <v>0</v>
      </c>
      <c r="N474" t="n">
        <v>0</v>
      </c>
      <c r="O474" t="n">
        <v>0</v>
      </c>
      <c r="P474" t="n">
        <v>0</v>
      </c>
      <c r="Q474" t="n">
        <v>0</v>
      </c>
      <c r="R474" s="2" t="inlineStr"/>
    </row>
    <row r="475" ht="15" customHeight="1">
      <c r="A475" t="inlineStr">
        <is>
          <t>A 23459-2025</t>
        </is>
      </c>
      <c r="B475" s="1" t="n">
        <v>45792</v>
      </c>
      <c r="C475" s="1" t="n">
        <v>45892</v>
      </c>
      <c r="D475" t="inlineStr">
        <is>
          <t>VÄSTERBOTTENS LÄN</t>
        </is>
      </c>
      <c r="E475" t="inlineStr">
        <is>
          <t>VILHELMINA</t>
        </is>
      </c>
      <c r="F475" t="inlineStr">
        <is>
          <t>SCA</t>
        </is>
      </c>
      <c r="G475" t="n">
        <v>7.4</v>
      </c>
      <c r="H475" t="n">
        <v>0</v>
      </c>
      <c r="I475" t="n">
        <v>0</v>
      </c>
      <c r="J475" t="n">
        <v>0</v>
      </c>
      <c r="K475" t="n">
        <v>0</v>
      </c>
      <c r="L475" t="n">
        <v>0</v>
      </c>
      <c r="M475" t="n">
        <v>0</v>
      </c>
      <c r="N475" t="n">
        <v>0</v>
      </c>
      <c r="O475" t="n">
        <v>0</v>
      </c>
      <c r="P475" t="n">
        <v>0</v>
      </c>
      <c r="Q475" t="n">
        <v>0</v>
      </c>
      <c r="R475" s="2" t="inlineStr"/>
    </row>
    <row r="476" ht="15" customHeight="1">
      <c r="A476" t="inlineStr">
        <is>
          <t>A 23461-2025</t>
        </is>
      </c>
      <c r="B476" s="1" t="n">
        <v>45792</v>
      </c>
      <c r="C476" s="1" t="n">
        <v>45892</v>
      </c>
      <c r="D476" t="inlineStr">
        <is>
          <t>VÄSTERBOTTENS LÄN</t>
        </is>
      </c>
      <c r="E476" t="inlineStr">
        <is>
          <t>VILHELMINA</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56891-2023</t>
        </is>
      </c>
      <c r="B477" s="1" t="n">
        <v>45239</v>
      </c>
      <c r="C477" s="1" t="n">
        <v>45892</v>
      </c>
      <c r="D477" t="inlineStr">
        <is>
          <t>VÄSTERBOTTENS LÄN</t>
        </is>
      </c>
      <c r="E477" t="inlineStr">
        <is>
          <t>VILHELMINA</t>
        </is>
      </c>
      <c r="G477" t="n">
        <v>1.1</v>
      </c>
      <c r="H477" t="n">
        <v>0</v>
      </c>
      <c r="I477" t="n">
        <v>0</v>
      </c>
      <c r="J477" t="n">
        <v>0</v>
      </c>
      <c r="K477" t="n">
        <v>0</v>
      </c>
      <c r="L477" t="n">
        <v>0</v>
      </c>
      <c r="M477" t="n">
        <v>0</v>
      </c>
      <c r="N477" t="n">
        <v>0</v>
      </c>
      <c r="O477" t="n">
        <v>0</v>
      </c>
      <c r="P477" t="n">
        <v>0</v>
      </c>
      <c r="Q477" t="n">
        <v>0</v>
      </c>
      <c r="R477" s="2" t="inlineStr"/>
    </row>
    <row r="478" ht="15" customHeight="1">
      <c r="A478" t="inlineStr">
        <is>
          <t>A 48062-2024</t>
        </is>
      </c>
      <c r="B478" s="1" t="n">
        <v>45589</v>
      </c>
      <c r="C478" s="1" t="n">
        <v>45892</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47548-2024</t>
        </is>
      </c>
      <c r="B479" s="1" t="n">
        <v>45587</v>
      </c>
      <c r="C479" s="1" t="n">
        <v>45892</v>
      </c>
      <c r="D479" t="inlineStr">
        <is>
          <t>VÄSTERBOTTENS LÄN</t>
        </is>
      </c>
      <c r="E479" t="inlineStr">
        <is>
          <t>VILHELMINA</t>
        </is>
      </c>
      <c r="F479" t="inlineStr">
        <is>
          <t>SCA</t>
        </is>
      </c>
      <c r="G479" t="n">
        <v>7.7</v>
      </c>
      <c r="H479" t="n">
        <v>0</v>
      </c>
      <c r="I479" t="n">
        <v>0</v>
      </c>
      <c r="J479" t="n">
        <v>0</v>
      </c>
      <c r="K479" t="n">
        <v>0</v>
      </c>
      <c r="L479" t="n">
        <v>0</v>
      </c>
      <c r="M479" t="n">
        <v>0</v>
      </c>
      <c r="N479" t="n">
        <v>0</v>
      </c>
      <c r="O479" t="n">
        <v>0</v>
      </c>
      <c r="P479" t="n">
        <v>0</v>
      </c>
      <c r="Q479" t="n">
        <v>0</v>
      </c>
      <c r="R479" s="2" t="inlineStr"/>
    </row>
    <row r="480" ht="15" customHeight="1">
      <c r="A480" t="inlineStr">
        <is>
          <t>A 36082-2022</t>
        </is>
      </c>
      <c r="B480" s="1" t="n">
        <v>44802</v>
      </c>
      <c r="C480" s="1" t="n">
        <v>45892</v>
      </c>
      <c r="D480" t="inlineStr">
        <is>
          <t>VÄSTERBOTTENS LÄN</t>
        </is>
      </c>
      <c r="E480" t="inlineStr">
        <is>
          <t>VILHELMINA</t>
        </is>
      </c>
      <c r="F480" t="inlineStr">
        <is>
          <t>SCA</t>
        </is>
      </c>
      <c r="G480" t="n">
        <v>6.2</v>
      </c>
      <c r="H480" t="n">
        <v>0</v>
      </c>
      <c r="I480" t="n">
        <v>0</v>
      </c>
      <c r="J480" t="n">
        <v>0</v>
      </c>
      <c r="K480" t="n">
        <v>0</v>
      </c>
      <c r="L480" t="n">
        <v>0</v>
      </c>
      <c r="M480" t="n">
        <v>0</v>
      </c>
      <c r="N480" t="n">
        <v>0</v>
      </c>
      <c r="O480" t="n">
        <v>0</v>
      </c>
      <c r="P480" t="n">
        <v>0</v>
      </c>
      <c r="Q480" t="n">
        <v>0</v>
      </c>
      <c r="R480" s="2" t="inlineStr"/>
    </row>
    <row r="481" ht="15" customHeight="1">
      <c r="A481" t="inlineStr">
        <is>
          <t>A 54985-2023</t>
        </is>
      </c>
      <c r="B481" s="1" t="n">
        <v>45236</v>
      </c>
      <c r="C481" s="1" t="n">
        <v>45892</v>
      </c>
      <c r="D481" t="inlineStr">
        <is>
          <t>VÄSTERBOTTENS LÄN</t>
        </is>
      </c>
      <c r="E481" t="inlineStr">
        <is>
          <t>VILHELMINA</t>
        </is>
      </c>
      <c r="F481" t="inlineStr">
        <is>
          <t>SCA</t>
        </is>
      </c>
      <c r="G481" t="n">
        <v>7.5</v>
      </c>
      <c r="H481" t="n">
        <v>0</v>
      </c>
      <c r="I481" t="n">
        <v>0</v>
      </c>
      <c r="J481" t="n">
        <v>0</v>
      </c>
      <c r="K481" t="n">
        <v>0</v>
      </c>
      <c r="L481" t="n">
        <v>0</v>
      </c>
      <c r="M481" t="n">
        <v>0</v>
      </c>
      <c r="N481" t="n">
        <v>0</v>
      </c>
      <c r="O481" t="n">
        <v>0</v>
      </c>
      <c r="P481" t="n">
        <v>0</v>
      </c>
      <c r="Q481" t="n">
        <v>0</v>
      </c>
      <c r="R481" s="2" t="inlineStr"/>
    </row>
    <row r="482" ht="15" customHeight="1">
      <c r="A482" t="inlineStr">
        <is>
          <t>A 59030-2022</t>
        </is>
      </c>
      <c r="B482" s="1" t="n">
        <v>44903</v>
      </c>
      <c r="C482" s="1" t="n">
        <v>45892</v>
      </c>
      <c r="D482" t="inlineStr">
        <is>
          <t>VÄSTERBOTTENS LÄN</t>
        </is>
      </c>
      <c r="E482" t="inlineStr">
        <is>
          <t>VILHELMINA</t>
        </is>
      </c>
      <c r="G482" t="n">
        <v>17.8</v>
      </c>
      <c r="H482" t="n">
        <v>0</v>
      </c>
      <c r="I482" t="n">
        <v>0</v>
      </c>
      <c r="J482" t="n">
        <v>0</v>
      </c>
      <c r="K482" t="n">
        <v>0</v>
      </c>
      <c r="L482" t="n">
        <v>0</v>
      </c>
      <c r="M482" t="n">
        <v>0</v>
      </c>
      <c r="N482" t="n">
        <v>0</v>
      </c>
      <c r="O482" t="n">
        <v>0</v>
      </c>
      <c r="P482" t="n">
        <v>0</v>
      </c>
      <c r="Q482" t="n">
        <v>0</v>
      </c>
      <c r="R482" s="2" t="inlineStr"/>
    </row>
    <row r="483" ht="15" customHeight="1">
      <c r="A483" t="inlineStr">
        <is>
          <t>A 9916-2021</t>
        </is>
      </c>
      <c r="B483" s="1" t="n">
        <v>44253</v>
      </c>
      <c r="C483" s="1" t="n">
        <v>45892</v>
      </c>
      <c r="D483" t="inlineStr">
        <is>
          <t>VÄSTERBOTTENS LÄN</t>
        </is>
      </c>
      <c r="E483" t="inlineStr">
        <is>
          <t>VILHELMINA</t>
        </is>
      </c>
      <c r="G483" t="n">
        <v>1</v>
      </c>
      <c r="H483" t="n">
        <v>0</v>
      </c>
      <c r="I483" t="n">
        <v>0</v>
      </c>
      <c r="J483" t="n">
        <v>0</v>
      </c>
      <c r="K483" t="n">
        <v>0</v>
      </c>
      <c r="L483" t="n">
        <v>0</v>
      </c>
      <c r="M483" t="n">
        <v>0</v>
      </c>
      <c r="N483" t="n">
        <v>0</v>
      </c>
      <c r="O483" t="n">
        <v>0</v>
      </c>
      <c r="P483" t="n">
        <v>0</v>
      </c>
      <c r="Q483" t="n">
        <v>0</v>
      </c>
      <c r="R483" s="2" t="inlineStr"/>
    </row>
    <row r="484" ht="15" customHeight="1">
      <c r="A484" t="inlineStr">
        <is>
          <t>A 51825-2023</t>
        </is>
      </c>
      <c r="B484" s="1" t="n">
        <v>45222</v>
      </c>
      <c r="C484" s="1" t="n">
        <v>45892</v>
      </c>
      <c r="D484" t="inlineStr">
        <is>
          <t>VÄSTERBOTTENS LÄN</t>
        </is>
      </c>
      <c r="E484" t="inlineStr">
        <is>
          <t>VILHELMINA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38569-2024</t>
        </is>
      </c>
      <c r="B485" s="1" t="n">
        <v>45546.63689814815</v>
      </c>
      <c r="C485" s="1" t="n">
        <v>45892</v>
      </c>
      <c r="D485" t="inlineStr">
        <is>
          <t>VÄSTERBOTTENS LÄN</t>
        </is>
      </c>
      <c r="E485" t="inlineStr">
        <is>
          <t>VILHELMINA</t>
        </is>
      </c>
      <c r="G485" t="n">
        <v>31.5</v>
      </c>
      <c r="H485" t="n">
        <v>0</v>
      </c>
      <c r="I485" t="n">
        <v>0</v>
      </c>
      <c r="J485" t="n">
        <v>0</v>
      </c>
      <c r="K485" t="n">
        <v>0</v>
      </c>
      <c r="L485" t="n">
        <v>0</v>
      </c>
      <c r="M485" t="n">
        <v>0</v>
      </c>
      <c r="N485" t="n">
        <v>0</v>
      </c>
      <c r="O485" t="n">
        <v>0</v>
      </c>
      <c r="P485" t="n">
        <v>0</v>
      </c>
      <c r="Q485" t="n">
        <v>0</v>
      </c>
      <c r="R485" s="2" t="inlineStr"/>
    </row>
    <row r="486" ht="15" customHeight="1">
      <c r="A486" t="inlineStr">
        <is>
          <t>A 19585-2024</t>
        </is>
      </c>
      <c r="B486" s="1" t="n">
        <v>45429</v>
      </c>
      <c r="C486" s="1" t="n">
        <v>45892</v>
      </c>
      <c r="D486" t="inlineStr">
        <is>
          <t>VÄSTERBOTTENS LÄN</t>
        </is>
      </c>
      <c r="E486" t="inlineStr">
        <is>
          <t>VILHELMINA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10548-2022</t>
        </is>
      </c>
      <c r="B487" s="1" t="n">
        <v>44623</v>
      </c>
      <c r="C487" s="1" t="n">
        <v>45892</v>
      </c>
      <c r="D487" t="inlineStr">
        <is>
          <t>VÄSTERBOTTENS LÄN</t>
        </is>
      </c>
      <c r="E487" t="inlineStr">
        <is>
          <t>VILHELMINA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44285-2024</t>
        </is>
      </c>
      <c r="B488" s="1" t="n">
        <v>45573</v>
      </c>
      <c r="C488" s="1" t="n">
        <v>45892</v>
      </c>
      <c r="D488" t="inlineStr">
        <is>
          <t>VÄSTERBOTTENS LÄN</t>
        </is>
      </c>
      <c r="E488" t="inlineStr">
        <is>
          <t>VILHELMINA</t>
        </is>
      </c>
      <c r="G488" t="n">
        <v>30.9</v>
      </c>
      <c r="H488" t="n">
        <v>0</v>
      </c>
      <c r="I488" t="n">
        <v>0</v>
      </c>
      <c r="J488" t="n">
        <v>0</v>
      </c>
      <c r="K488" t="n">
        <v>0</v>
      </c>
      <c r="L488" t="n">
        <v>0</v>
      </c>
      <c r="M488" t="n">
        <v>0</v>
      </c>
      <c r="N488" t="n">
        <v>0</v>
      </c>
      <c r="O488" t="n">
        <v>0</v>
      </c>
      <c r="P488" t="n">
        <v>0</v>
      </c>
      <c r="Q488" t="n">
        <v>0</v>
      </c>
      <c r="R488" s="2" t="inlineStr"/>
    </row>
    <row r="489" ht="15" customHeight="1">
      <c r="A489" t="inlineStr">
        <is>
          <t>A 54459-2024</t>
        </is>
      </c>
      <c r="B489" s="1" t="n">
        <v>45617</v>
      </c>
      <c r="C489" s="1" t="n">
        <v>45892</v>
      </c>
      <c r="D489" t="inlineStr">
        <is>
          <t>VÄSTERBOTTENS LÄN</t>
        </is>
      </c>
      <c r="E489" t="inlineStr">
        <is>
          <t>VILHELMINA</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24224-2025</t>
        </is>
      </c>
      <c r="B490" s="1" t="n">
        <v>45797</v>
      </c>
      <c r="C490" s="1" t="n">
        <v>45892</v>
      </c>
      <c r="D490" t="inlineStr">
        <is>
          <t>VÄSTERBOTTENS LÄN</t>
        </is>
      </c>
      <c r="E490" t="inlineStr">
        <is>
          <t>VILHELMINA</t>
        </is>
      </c>
      <c r="G490" t="n">
        <v>27.2</v>
      </c>
      <c r="H490" t="n">
        <v>0</v>
      </c>
      <c r="I490" t="n">
        <v>0</v>
      </c>
      <c r="J490" t="n">
        <v>0</v>
      </c>
      <c r="K490" t="n">
        <v>0</v>
      </c>
      <c r="L490" t="n">
        <v>0</v>
      </c>
      <c r="M490" t="n">
        <v>0</v>
      </c>
      <c r="N490" t="n">
        <v>0</v>
      </c>
      <c r="O490" t="n">
        <v>0</v>
      </c>
      <c r="P490" t="n">
        <v>0</v>
      </c>
      <c r="Q490" t="n">
        <v>0</v>
      </c>
      <c r="R490" s="2" t="inlineStr"/>
    </row>
    <row r="491" ht="15" customHeight="1">
      <c r="A491" t="inlineStr">
        <is>
          <t>A 33319-2024</t>
        </is>
      </c>
      <c r="B491" s="1" t="n">
        <v>45518</v>
      </c>
      <c r="C491" s="1" t="n">
        <v>45892</v>
      </c>
      <c r="D491" t="inlineStr">
        <is>
          <t>VÄSTERBOTTENS LÄN</t>
        </is>
      </c>
      <c r="E491" t="inlineStr">
        <is>
          <t>VILHELMINA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35760-2023</t>
        </is>
      </c>
      <c r="B492" s="1" t="n">
        <v>45147</v>
      </c>
      <c r="C492" s="1" t="n">
        <v>45892</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12229-2022</t>
        </is>
      </c>
      <c r="B493" s="1" t="n">
        <v>44637</v>
      </c>
      <c r="C493" s="1" t="n">
        <v>45892</v>
      </c>
      <c r="D493" t="inlineStr">
        <is>
          <t>VÄSTERBOTTENS LÄN</t>
        </is>
      </c>
      <c r="E493" t="inlineStr">
        <is>
          <t>VILHELMINA</t>
        </is>
      </c>
      <c r="G493" t="n">
        <v>5</v>
      </c>
      <c r="H493" t="n">
        <v>0</v>
      </c>
      <c r="I493" t="n">
        <v>0</v>
      </c>
      <c r="J493" t="n">
        <v>0</v>
      </c>
      <c r="K493" t="n">
        <v>0</v>
      </c>
      <c r="L493" t="n">
        <v>0</v>
      </c>
      <c r="M493" t="n">
        <v>0</v>
      </c>
      <c r="N493" t="n">
        <v>0</v>
      </c>
      <c r="O493" t="n">
        <v>0</v>
      </c>
      <c r="P493" t="n">
        <v>0</v>
      </c>
      <c r="Q493" t="n">
        <v>0</v>
      </c>
      <c r="R493" s="2" t="inlineStr"/>
    </row>
    <row r="494" ht="15" customHeight="1">
      <c r="A494" t="inlineStr">
        <is>
          <t>A 12368-2025</t>
        </is>
      </c>
      <c r="B494" s="1" t="n">
        <v>45730.37633101852</v>
      </c>
      <c r="C494" s="1" t="n">
        <v>45892</v>
      </c>
      <c r="D494" t="inlineStr">
        <is>
          <t>VÄSTERBOTTENS LÄN</t>
        </is>
      </c>
      <c r="E494" t="inlineStr">
        <is>
          <t>VILHELMINA</t>
        </is>
      </c>
      <c r="F494" t="inlineStr">
        <is>
          <t>Övriga statliga verk och myndigheter</t>
        </is>
      </c>
      <c r="G494" t="n">
        <v>14.8</v>
      </c>
      <c r="H494" t="n">
        <v>0</v>
      </c>
      <c r="I494" t="n">
        <v>0</v>
      </c>
      <c r="J494" t="n">
        <v>0</v>
      </c>
      <c r="K494" t="n">
        <v>0</v>
      </c>
      <c r="L494" t="n">
        <v>0</v>
      </c>
      <c r="M494" t="n">
        <v>0</v>
      </c>
      <c r="N494" t="n">
        <v>0</v>
      </c>
      <c r="O494" t="n">
        <v>0</v>
      </c>
      <c r="P494" t="n">
        <v>0</v>
      </c>
      <c r="Q494" t="n">
        <v>0</v>
      </c>
      <c r="R494" s="2" t="inlineStr"/>
    </row>
    <row r="495" ht="15" customHeight="1">
      <c r="A495" t="inlineStr">
        <is>
          <t>A 12373-2025</t>
        </is>
      </c>
      <c r="B495" s="1" t="n">
        <v>45730</v>
      </c>
      <c r="C495" s="1" t="n">
        <v>45892</v>
      </c>
      <c r="D495" t="inlineStr">
        <is>
          <t>VÄSTERBOTTENS LÄN</t>
        </is>
      </c>
      <c r="E495" t="inlineStr">
        <is>
          <t>VILHELMINA</t>
        </is>
      </c>
      <c r="F495" t="inlineStr">
        <is>
          <t>Övriga statliga verk och myndigheter</t>
        </is>
      </c>
      <c r="G495" t="n">
        <v>25.5</v>
      </c>
      <c r="H495" t="n">
        <v>0</v>
      </c>
      <c r="I495" t="n">
        <v>0</v>
      </c>
      <c r="J495" t="n">
        <v>0</v>
      </c>
      <c r="K495" t="n">
        <v>0</v>
      </c>
      <c r="L495" t="n">
        <v>0</v>
      </c>
      <c r="M495" t="n">
        <v>0</v>
      </c>
      <c r="N495" t="n">
        <v>0</v>
      </c>
      <c r="O495" t="n">
        <v>0</v>
      </c>
      <c r="P495" t="n">
        <v>0</v>
      </c>
      <c r="Q495" t="n">
        <v>0</v>
      </c>
      <c r="R495" s="2" t="inlineStr"/>
    </row>
    <row r="496" ht="15" customHeight="1">
      <c r="A496" t="inlineStr">
        <is>
          <t>A 27917-2024</t>
        </is>
      </c>
      <c r="B496" s="1" t="n">
        <v>45475.94844907407</v>
      </c>
      <c r="C496" s="1" t="n">
        <v>45892</v>
      </c>
      <c r="D496" t="inlineStr">
        <is>
          <t>VÄSTERBOTTENS LÄN</t>
        </is>
      </c>
      <c r="E496" t="inlineStr">
        <is>
          <t>VILHELMINA</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25062-2025</t>
        </is>
      </c>
      <c r="B497" s="1" t="n">
        <v>45799.69844907407</v>
      </c>
      <c r="C497" s="1" t="n">
        <v>45892</v>
      </c>
      <c r="D497" t="inlineStr">
        <is>
          <t>VÄSTERBOTTENS LÄN</t>
        </is>
      </c>
      <c r="E497" t="inlineStr">
        <is>
          <t>VILHELMINA</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69502-2020</t>
        </is>
      </c>
      <c r="B498" s="1" t="n">
        <v>44193</v>
      </c>
      <c r="C498" s="1" t="n">
        <v>45892</v>
      </c>
      <c r="D498" t="inlineStr">
        <is>
          <t>VÄSTERBOTTENS LÄN</t>
        </is>
      </c>
      <c r="E498" t="inlineStr">
        <is>
          <t>VILHELMINA</t>
        </is>
      </c>
      <c r="G498" t="n">
        <v>19</v>
      </c>
      <c r="H498" t="n">
        <v>0</v>
      </c>
      <c r="I498" t="n">
        <v>0</v>
      </c>
      <c r="J498" t="n">
        <v>0</v>
      </c>
      <c r="K498" t="n">
        <v>0</v>
      </c>
      <c r="L498" t="n">
        <v>0</v>
      </c>
      <c r="M498" t="n">
        <v>0</v>
      </c>
      <c r="N498" t="n">
        <v>0</v>
      </c>
      <c r="O498" t="n">
        <v>0</v>
      </c>
      <c r="P498" t="n">
        <v>0</v>
      </c>
      <c r="Q498" t="n">
        <v>0</v>
      </c>
      <c r="R498" s="2" t="inlineStr"/>
    </row>
    <row r="499" ht="15" customHeight="1">
      <c r="A499" t="inlineStr">
        <is>
          <t>A 15617-2024</t>
        </is>
      </c>
      <c r="B499" s="1" t="n">
        <v>45401.94358796296</v>
      </c>
      <c r="C499" s="1" t="n">
        <v>45892</v>
      </c>
      <c r="D499" t="inlineStr">
        <is>
          <t>VÄSTERBOTTENS LÄN</t>
        </is>
      </c>
      <c r="E499" t="inlineStr">
        <is>
          <t>VILHELMINA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15639-2024</t>
        </is>
      </c>
      <c r="B500" s="1" t="n">
        <v>45403</v>
      </c>
      <c r="C500" s="1" t="n">
        <v>45892</v>
      </c>
      <c r="D500" t="inlineStr">
        <is>
          <t>VÄSTERBOTTENS LÄN</t>
        </is>
      </c>
      <c r="E500" t="inlineStr">
        <is>
          <t>VILHELMINA</t>
        </is>
      </c>
      <c r="G500" t="n">
        <v>81.90000000000001</v>
      </c>
      <c r="H500" t="n">
        <v>0</v>
      </c>
      <c r="I500" t="n">
        <v>0</v>
      </c>
      <c r="J500" t="n">
        <v>0</v>
      </c>
      <c r="K500" t="n">
        <v>0</v>
      </c>
      <c r="L500" t="n">
        <v>0</v>
      </c>
      <c r="M500" t="n">
        <v>0</v>
      </c>
      <c r="N500" t="n">
        <v>0</v>
      </c>
      <c r="O500" t="n">
        <v>0</v>
      </c>
      <c r="P500" t="n">
        <v>0</v>
      </c>
      <c r="Q500" t="n">
        <v>0</v>
      </c>
      <c r="R500" s="2" t="inlineStr"/>
    </row>
    <row r="501" ht="15" customHeight="1">
      <c r="A501" t="inlineStr">
        <is>
          <t>A 22108-2024</t>
        </is>
      </c>
      <c r="B501" s="1" t="n">
        <v>45443</v>
      </c>
      <c r="C501" s="1" t="n">
        <v>45892</v>
      </c>
      <c r="D501" t="inlineStr">
        <is>
          <t>VÄSTERBOTTENS LÄN</t>
        </is>
      </c>
      <c r="E501" t="inlineStr">
        <is>
          <t>VILHELMINA</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8215-2023</t>
        </is>
      </c>
      <c r="B502" s="1" t="n">
        <v>44971</v>
      </c>
      <c r="C502" s="1" t="n">
        <v>45892</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8556-2025</t>
        </is>
      </c>
      <c r="B503" s="1" t="n">
        <v>45709</v>
      </c>
      <c r="C503" s="1" t="n">
        <v>45892</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26499-2024</t>
        </is>
      </c>
      <c r="B504" s="1" t="n">
        <v>45469</v>
      </c>
      <c r="C504" s="1" t="n">
        <v>45892</v>
      </c>
      <c r="D504" t="inlineStr">
        <is>
          <t>VÄSTERBOTTENS LÄN</t>
        </is>
      </c>
      <c r="E504" t="inlineStr">
        <is>
          <t>VILHELMINA</t>
        </is>
      </c>
      <c r="F504" t="inlineStr">
        <is>
          <t>Sveaskog</t>
        </is>
      </c>
      <c r="G504" t="n">
        <v>5.1</v>
      </c>
      <c r="H504" t="n">
        <v>0</v>
      </c>
      <c r="I504" t="n">
        <v>0</v>
      </c>
      <c r="J504" t="n">
        <v>0</v>
      </c>
      <c r="K504" t="n">
        <v>0</v>
      </c>
      <c r="L504" t="n">
        <v>0</v>
      </c>
      <c r="M504" t="n">
        <v>0</v>
      </c>
      <c r="N504" t="n">
        <v>0</v>
      </c>
      <c r="O504" t="n">
        <v>0</v>
      </c>
      <c r="P504" t="n">
        <v>0</v>
      </c>
      <c r="Q504" t="n">
        <v>0</v>
      </c>
      <c r="R504" s="2" t="inlineStr"/>
    </row>
    <row r="505" ht="15" customHeight="1">
      <c r="A505" t="inlineStr">
        <is>
          <t>A 33661-2023</t>
        </is>
      </c>
      <c r="B505" s="1" t="n">
        <v>45119</v>
      </c>
      <c r="C505" s="1" t="n">
        <v>45892</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55714-2023</t>
        </is>
      </c>
      <c r="B506" s="1" t="n">
        <v>45232</v>
      </c>
      <c r="C506" s="1" t="n">
        <v>45892</v>
      </c>
      <c r="D506" t="inlineStr">
        <is>
          <t>VÄSTERBOTTENS LÄN</t>
        </is>
      </c>
      <c r="E506" t="inlineStr">
        <is>
          <t>VILHELMINA</t>
        </is>
      </c>
      <c r="G506" t="n">
        <v>1.8</v>
      </c>
      <c r="H506" t="n">
        <v>0</v>
      </c>
      <c r="I506" t="n">
        <v>0</v>
      </c>
      <c r="J506" t="n">
        <v>0</v>
      </c>
      <c r="K506" t="n">
        <v>0</v>
      </c>
      <c r="L506" t="n">
        <v>0</v>
      </c>
      <c r="M506" t="n">
        <v>0</v>
      </c>
      <c r="N506" t="n">
        <v>0</v>
      </c>
      <c r="O506" t="n">
        <v>0</v>
      </c>
      <c r="P506" t="n">
        <v>0</v>
      </c>
      <c r="Q506" t="n">
        <v>0</v>
      </c>
      <c r="R506" s="2" t="inlineStr"/>
    </row>
    <row r="507" ht="15" customHeight="1">
      <c r="A507" t="inlineStr">
        <is>
          <t>A 19600-2025</t>
        </is>
      </c>
      <c r="B507" s="1" t="n">
        <v>45770</v>
      </c>
      <c r="C507" s="1" t="n">
        <v>45892</v>
      </c>
      <c r="D507" t="inlineStr">
        <is>
          <t>VÄSTERBOTTENS LÄN</t>
        </is>
      </c>
      <c r="E507" t="inlineStr">
        <is>
          <t>VILHELMINA</t>
        </is>
      </c>
      <c r="G507" t="n">
        <v>3.7</v>
      </c>
      <c r="H507" t="n">
        <v>0</v>
      </c>
      <c r="I507" t="n">
        <v>0</v>
      </c>
      <c r="J507" t="n">
        <v>0</v>
      </c>
      <c r="K507" t="n">
        <v>0</v>
      </c>
      <c r="L507" t="n">
        <v>0</v>
      </c>
      <c r="M507" t="n">
        <v>0</v>
      </c>
      <c r="N507" t="n">
        <v>0</v>
      </c>
      <c r="O507" t="n">
        <v>0</v>
      </c>
      <c r="P507" t="n">
        <v>0</v>
      </c>
      <c r="Q507" t="n">
        <v>0</v>
      </c>
      <c r="R507" s="2" t="inlineStr"/>
    </row>
    <row r="508" ht="15" customHeight="1">
      <c r="A508" t="inlineStr">
        <is>
          <t>A 34763-2024</t>
        </is>
      </c>
      <c r="B508" s="1" t="n">
        <v>45526.61646990741</v>
      </c>
      <c r="C508" s="1" t="n">
        <v>45892</v>
      </c>
      <c r="D508" t="inlineStr">
        <is>
          <t>VÄSTERBOTTENS LÄN</t>
        </is>
      </c>
      <c r="E508" t="inlineStr">
        <is>
          <t>VILHELMINA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34764-2024</t>
        </is>
      </c>
      <c r="B509" s="1" t="n">
        <v>45526.61664351852</v>
      </c>
      <c r="C509" s="1" t="n">
        <v>45892</v>
      </c>
      <c r="D509" t="inlineStr">
        <is>
          <t>VÄSTERBOTTENS LÄN</t>
        </is>
      </c>
      <c r="E509" t="inlineStr">
        <is>
          <t>VILHELMINA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62101-2024</t>
        </is>
      </c>
      <c r="B510" s="1" t="n">
        <v>45656.51119212963</v>
      </c>
      <c r="C510" s="1" t="n">
        <v>45892</v>
      </c>
      <c r="D510" t="inlineStr">
        <is>
          <t>VÄSTERBOTTENS LÄN</t>
        </is>
      </c>
      <c r="E510" t="inlineStr">
        <is>
          <t>VILHELMINA</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43987-2024</t>
        </is>
      </c>
      <c r="B511" s="1" t="n">
        <v>45572.51092592593</v>
      </c>
      <c r="C511" s="1" t="n">
        <v>45892</v>
      </c>
      <c r="D511" t="inlineStr">
        <is>
          <t>VÄSTERBOTTENS LÄN</t>
        </is>
      </c>
      <c r="E511" t="inlineStr">
        <is>
          <t>VILHELMINA</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34819-2024</t>
        </is>
      </c>
      <c r="B512" s="1" t="n">
        <v>45526.71134259259</v>
      </c>
      <c r="C512" s="1" t="n">
        <v>45892</v>
      </c>
      <c r="D512" t="inlineStr">
        <is>
          <t>VÄSTERBOTTENS LÄN</t>
        </is>
      </c>
      <c r="E512" t="inlineStr">
        <is>
          <t>VILHELMINA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57795-2023</t>
        </is>
      </c>
      <c r="B513" s="1" t="n">
        <v>45246.96861111111</v>
      </c>
      <c r="C513" s="1" t="n">
        <v>45892</v>
      </c>
      <c r="D513" t="inlineStr">
        <is>
          <t>VÄSTERBOTTENS LÄN</t>
        </is>
      </c>
      <c r="E513" t="inlineStr">
        <is>
          <t>VILHELMINA</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36215-2023</t>
        </is>
      </c>
      <c r="B514" s="1" t="n">
        <v>45149.95266203704</v>
      </c>
      <c r="C514" s="1" t="n">
        <v>45892</v>
      </c>
      <c r="D514" t="inlineStr">
        <is>
          <t>VÄSTERBOTTENS LÄN</t>
        </is>
      </c>
      <c r="E514" t="inlineStr">
        <is>
          <t>VILHELMINA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664-2022</t>
        </is>
      </c>
      <c r="B515" s="1" t="n">
        <v>44568</v>
      </c>
      <c r="C515" s="1" t="n">
        <v>45892</v>
      </c>
      <c r="D515" t="inlineStr">
        <is>
          <t>VÄSTERBOTTENS LÄN</t>
        </is>
      </c>
      <c r="E515" t="inlineStr">
        <is>
          <t>VILHELMINA</t>
        </is>
      </c>
      <c r="G515" t="n">
        <v>1.8</v>
      </c>
      <c r="H515" t="n">
        <v>0</v>
      </c>
      <c r="I515" t="n">
        <v>0</v>
      </c>
      <c r="J515" t="n">
        <v>0</v>
      </c>
      <c r="K515" t="n">
        <v>0</v>
      </c>
      <c r="L515" t="n">
        <v>0</v>
      </c>
      <c r="M515" t="n">
        <v>0</v>
      </c>
      <c r="N515" t="n">
        <v>0</v>
      </c>
      <c r="O515" t="n">
        <v>0</v>
      </c>
      <c r="P515" t="n">
        <v>0</v>
      </c>
      <c r="Q515" t="n">
        <v>0</v>
      </c>
      <c r="R515" s="2" t="inlineStr"/>
    </row>
    <row r="516" ht="15" customHeight="1">
      <c r="A516" t="inlineStr">
        <is>
          <t>A 6369-2024</t>
        </is>
      </c>
      <c r="B516" s="1" t="n">
        <v>45338</v>
      </c>
      <c r="C516" s="1" t="n">
        <v>45892</v>
      </c>
      <c r="D516" t="inlineStr">
        <is>
          <t>VÄSTERBOTTENS LÄN</t>
        </is>
      </c>
      <c r="E516" t="inlineStr">
        <is>
          <t>VILHELMINA</t>
        </is>
      </c>
      <c r="G516" t="n">
        <v>3.6</v>
      </c>
      <c r="H516" t="n">
        <v>0</v>
      </c>
      <c r="I516" t="n">
        <v>0</v>
      </c>
      <c r="J516" t="n">
        <v>0</v>
      </c>
      <c r="K516" t="n">
        <v>0</v>
      </c>
      <c r="L516" t="n">
        <v>0</v>
      </c>
      <c r="M516" t="n">
        <v>0</v>
      </c>
      <c r="N516" t="n">
        <v>0</v>
      </c>
      <c r="O516" t="n">
        <v>0</v>
      </c>
      <c r="P516" t="n">
        <v>0</v>
      </c>
      <c r="Q516" t="n">
        <v>0</v>
      </c>
      <c r="R516" s="2" t="inlineStr"/>
    </row>
    <row r="517" ht="15" customHeight="1">
      <c r="A517" t="inlineStr">
        <is>
          <t>A 34805-2023</t>
        </is>
      </c>
      <c r="B517" s="1" t="n">
        <v>45140</v>
      </c>
      <c r="C517" s="1" t="n">
        <v>45892</v>
      </c>
      <c r="D517" t="inlineStr">
        <is>
          <t>VÄSTERBOTTENS LÄN</t>
        </is>
      </c>
      <c r="E517" t="inlineStr">
        <is>
          <t>VILHELMINA</t>
        </is>
      </c>
      <c r="G517" t="n">
        <v>4.3</v>
      </c>
      <c r="H517" t="n">
        <v>0</v>
      </c>
      <c r="I517" t="n">
        <v>0</v>
      </c>
      <c r="J517" t="n">
        <v>0</v>
      </c>
      <c r="K517" t="n">
        <v>0</v>
      </c>
      <c r="L517" t="n">
        <v>0</v>
      </c>
      <c r="M517" t="n">
        <v>0</v>
      </c>
      <c r="N517" t="n">
        <v>0</v>
      </c>
      <c r="O517" t="n">
        <v>0</v>
      </c>
      <c r="P517" t="n">
        <v>0</v>
      </c>
      <c r="Q517" t="n">
        <v>0</v>
      </c>
      <c r="R517" s="2" t="inlineStr"/>
    </row>
    <row r="518" ht="15" customHeight="1">
      <c r="A518" t="inlineStr">
        <is>
          <t>A 24988-2025</t>
        </is>
      </c>
      <c r="B518" s="1" t="n">
        <v>45799</v>
      </c>
      <c r="C518" s="1" t="n">
        <v>45892</v>
      </c>
      <c r="D518" t="inlineStr">
        <is>
          <t>VÄSTERBOTTENS LÄN</t>
        </is>
      </c>
      <c r="E518" t="inlineStr">
        <is>
          <t>VILHELMINA</t>
        </is>
      </c>
      <c r="G518" t="n">
        <v>8.9</v>
      </c>
      <c r="H518" t="n">
        <v>0</v>
      </c>
      <c r="I518" t="n">
        <v>0</v>
      </c>
      <c r="J518" t="n">
        <v>0</v>
      </c>
      <c r="K518" t="n">
        <v>0</v>
      </c>
      <c r="L518" t="n">
        <v>0</v>
      </c>
      <c r="M518" t="n">
        <v>0</v>
      </c>
      <c r="N518" t="n">
        <v>0</v>
      </c>
      <c r="O518" t="n">
        <v>0</v>
      </c>
      <c r="P518" t="n">
        <v>0</v>
      </c>
      <c r="Q518" t="n">
        <v>0</v>
      </c>
      <c r="R518" s="2" t="inlineStr"/>
    </row>
    <row r="519" ht="15" customHeight="1">
      <c r="A519" t="inlineStr">
        <is>
          <t>A 24871-2025</t>
        </is>
      </c>
      <c r="B519" s="1" t="n">
        <v>45799.49028935185</v>
      </c>
      <c r="C519" s="1" t="n">
        <v>45892</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36214-2023</t>
        </is>
      </c>
      <c r="B520" s="1" t="n">
        <v>45149.95256944445</v>
      </c>
      <c r="C520" s="1" t="n">
        <v>45892</v>
      </c>
      <c r="D520" t="inlineStr">
        <is>
          <t>VÄSTERBOTTENS LÄN</t>
        </is>
      </c>
      <c r="E520" t="inlineStr">
        <is>
          <t>VILHELMINA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43637-2023</t>
        </is>
      </c>
      <c r="B521" s="1" t="n">
        <v>45186.51590277778</v>
      </c>
      <c r="C521" s="1" t="n">
        <v>45892</v>
      </c>
      <c r="D521" t="inlineStr">
        <is>
          <t>VÄSTERBOTTENS LÄN</t>
        </is>
      </c>
      <c r="E521" t="inlineStr">
        <is>
          <t>VILHELMINA</t>
        </is>
      </c>
      <c r="G521" t="n">
        <v>3.3</v>
      </c>
      <c r="H521" t="n">
        <v>0</v>
      </c>
      <c r="I521" t="n">
        <v>0</v>
      </c>
      <c r="J521" t="n">
        <v>0</v>
      </c>
      <c r="K521" t="n">
        <v>0</v>
      </c>
      <c r="L521" t="n">
        <v>0</v>
      </c>
      <c r="M521" t="n">
        <v>0</v>
      </c>
      <c r="N521" t="n">
        <v>0</v>
      </c>
      <c r="O521" t="n">
        <v>0</v>
      </c>
      <c r="P521" t="n">
        <v>0</v>
      </c>
      <c r="Q521" t="n">
        <v>0</v>
      </c>
      <c r="R521" s="2" t="inlineStr"/>
    </row>
    <row r="522" ht="15" customHeight="1">
      <c r="A522" t="inlineStr">
        <is>
          <t>A 21370-2024</t>
        </is>
      </c>
      <c r="B522" s="1" t="n">
        <v>45440.95310185185</v>
      </c>
      <c r="C522" s="1" t="n">
        <v>45892</v>
      </c>
      <c r="D522" t="inlineStr">
        <is>
          <t>VÄSTERBOTTENS LÄN</t>
        </is>
      </c>
      <c r="E522" t="inlineStr">
        <is>
          <t>VILHELMINA</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24870-2025</t>
        </is>
      </c>
      <c r="B523" s="1" t="n">
        <v>45799.49025462963</v>
      </c>
      <c r="C523" s="1" t="n">
        <v>45892</v>
      </c>
      <c r="D523" t="inlineStr">
        <is>
          <t>VÄSTERBOTTENS LÄN</t>
        </is>
      </c>
      <c r="E523" t="inlineStr">
        <is>
          <t>VILHELMINA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45972-2023</t>
        </is>
      </c>
      <c r="B524" s="1" t="n">
        <v>45195</v>
      </c>
      <c r="C524" s="1" t="n">
        <v>45892</v>
      </c>
      <c r="D524" t="inlineStr">
        <is>
          <t>VÄSTERBOTTENS LÄN</t>
        </is>
      </c>
      <c r="E524" t="inlineStr">
        <is>
          <t>VILHELMINA</t>
        </is>
      </c>
      <c r="F524" t="inlineStr">
        <is>
          <t>SCA</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56823-2023</t>
        </is>
      </c>
      <c r="B525" s="1" t="n">
        <v>45238</v>
      </c>
      <c r="C525" s="1" t="n">
        <v>45892</v>
      </c>
      <c r="D525" t="inlineStr">
        <is>
          <t>VÄSTERBOTTENS LÄN</t>
        </is>
      </c>
      <c r="E525" t="inlineStr">
        <is>
          <t>VILHELMINA</t>
        </is>
      </c>
      <c r="F525" t="inlineStr">
        <is>
          <t>Allmännings- och besparingsskogar</t>
        </is>
      </c>
      <c r="G525" t="n">
        <v>82</v>
      </c>
      <c r="H525" t="n">
        <v>0</v>
      </c>
      <c r="I525" t="n">
        <v>0</v>
      </c>
      <c r="J525" t="n">
        <v>0</v>
      </c>
      <c r="K525" t="n">
        <v>0</v>
      </c>
      <c r="L525" t="n">
        <v>0</v>
      </c>
      <c r="M525" t="n">
        <v>0</v>
      </c>
      <c r="N525" t="n">
        <v>0</v>
      </c>
      <c r="O525" t="n">
        <v>0</v>
      </c>
      <c r="P525" t="n">
        <v>0</v>
      </c>
      <c r="Q525" t="n">
        <v>0</v>
      </c>
      <c r="R525" s="2" t="inlineStr"/>
    </row>
    <row r="526" ht="15" customHeight="1">
      <c r="A526" t="inlineStr">
        <is>
          <t>A 56830-2023</t>
        </is>
      </c>
      <c r="B526" s="1" t="n">
        <v>45238</v>
      </c>
      <c r="C526" s="1" t="n">
        <v>45892</v>
      </c>
      <c r="D526" t="inlineStr">
        <is>
          <t>VÄSTERBOTTENS LÄN</t>
        </is>
      </c>
      <c r="E526" t="inlineStr">
        <is>
          <t>VILHELMINA</t>
        </is>
      </c>
      <c r="F526" t="inlineStr">
        <is>
          <t>Allmännings- och besparingsskogar</t>
        </is>
      </c>
      <c r="G526" t="n">
        <v>66</v>
      </c>
      <c r="H526" t="n">
        <v>0</v>
      </c>
      <c r="I526" t="n">
        <v>0</v>
      </c>
      <c r="J526" t="n">
        <v>0</v>
      </c>
      <c r="K526" t="n">
        <v>0</v>
      </c>
      <c r="L526" t="n">
        <v>0</v>
      </c>
      <c r="M526" t="n">
        <v>0</v>
      </c>
      <c r="N526" t="n">
        <v>0</v>
      </c>
      <c r="O526" t="n">
        <v>0</v>
      </c>
      <c r="P526" t="n">
        <v>0</v>
      </c>
      <c r="Q526" t="n">
        <v>0</v>
      </c>
      <c r="R526" s="2" t="inlineStr"/>
    </row>
    <row r="527" ht="15" customHeight="1">
      <c r="A527" t="inlineStr">
        <is>
          <t>A 8750-2021</t>
        </is>
      </c>
      <c r="B527" s="1" t="n">
        <v>44246</v>
      </c>
      <c r="C527" s="1" t="n">
        <v>45892</v>
      </c>
      <c r="D527" t="inlineStr">
        <is>
          <t>VÄSTERBOTTENS LÄN</t>
        </is>
      </c>
      <c r="E527" t="inlineStr">
        <is>
          <t>VILHELMINA</t>
        </is>
      </c>
      <c r="G527" t="n">
        <v>5.2</v>
      </c>
      <c r="H527" t="n">
        <v>0</v>
      </c>
      <c r="I527" t="n">
        <v>0</v>
      </c>
      <c r="J527" t="n">
        <v>0</v>
      </c>
      <c r="K527" t="n">
        <v>0</v>
      </c>
      <c r="L527" t="n">
        <v>0</v>
      </c>
      <c r="M527" t="n">
        <v>0</v>
      </c>
      <c r="N527" t="n">
        <v>0</v>
      </c>
      <c r="O527" t="n">
        <v>0</v>
      </c>
      <c r="P527" t="n">
        <v>0</v>
      </c>
      <c r="Q527" t="n">
        <v>0</v>
      </c>
      <c r="R527" s="2" t="inlineStr"/>
    </row>
    <row r="528" ht="15" customHeight="1">
      <c r="A528" t="inlineStr">
        <is>
          <t>A 36408-2023</t>
        </is>
      </c>
      <c r="B528" s="1" t="n">
        <v>45152</v>
      </c>
      <c r="C528" s="1" t="n">
        <v>45892</v>
      </c>
      <c r="D528" t="inlineStr">
        <is>
          <t>VÄSTERBOTTENS LÄN</t>
        </is>
      </c>
      <c r="E528" t="inlineStr">
        <is>
          <t>VILHELMINA</t>
        </is>
      </c>
      <c r="G528" t="n">
        <v>4.4</v>
      </c>
      <c r="H528" t="n">
        <v>0</v>
      </c>
      <c r="I528" t="n">
        <v>0</v>
      </c>
      <c r="J528" t="n">
        <v>0</v>
      </c>
      <c r="K528" t="n">
        <v>0</v>
      </c>
      <c r="L528" t="n">
        <v>0</v>
      </c>
      <c r="M528" t="n">
        <v>0</v>
      </c>
      <c r="N528" t="n">
        <v>0</v>
      </c>
      <c r="O528" t="n">
        <v>0</v>
      </c>
      <c r="P528" t="n">
        <v>0</v>
      </c>
      <c r="Q528" t="n">
        <v>0</v>
      </c>
      <c r="R528" s="2" t="inlineStr"/>
    </row>
    <row r="529" ht="15" customHeight="1">
      <c r="A529" t="inlineStr">
        <is>
          <t>A 35983-2023</t>
        </is>
      </c>
      <c r="B529" s="1" t="n">
        <v>45148.96185185185</v>
      </c>
      <c r="C529" s="1" t="n">
        <v>45892</v>
      </c>
      <c r="D529" t="inlineStr">
        <is>
          <t>VÄSTERBOTTENS LÄN</t>
        </is>
      </c>
      <c r="E529" t="inlineStr">
        <is>
          <t>VILHELMINA</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32253-2024</t>
        </is>
      </c>
      <c r="B530" s="1" t="n">
        <v>45511.95214120371</v>
      </c>
      <c r="C530" s="1" t="n">
        <v>45892</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49221-2024</t>
        </is>
      </c>
      <c r="B531" s="1" t="n">
        <v>45595.41166666667</v>
      </c>
      <c r="C531" s="1" t="n">
        <v>45892</v>
      </c>
      <c r="D531" t="inlineStr">
        <is>
          <t>VÄSTERBOTTENS LÄN</t>
        </is>
      </c>
      <c r="E531" t="inlineStr">
        <is>
          <t>VILHELMINA</t>
        </is>
      </c>
      <c r="G531" t="n">
        <v>11.4</v>
      </c>
      <c r="H531" t="n">
        <v>0</v>
      </c>
      <c r="I531" t="n">
        <v>0</v>
      </c>
      <c r="J531" t="n">
        <v>0</v>
      </c>
      <c r="K531" t="n">
        <v>0</v>
      </c>
      <c r="L531" t="n">
        <v>0</v>
      </c>
      <c r="M531" t="n">
        <v>0</v>
      </c>
      <c r="N531" t="n">
        <v>0</v>
      </c>
      <c r="O531" t="n">
        <v>0</v>
      </c>
      <c r="P531" t="n">
        <v>0</v>
      </c>
      <c r="Q531" t="n">
        <v>0</v>
      </c>
      <c r="R531" s="2" t="inlineStr"/>
    </row>
    <row r="532" ht="15" customHeight="1">
      <c r="A532" t="inlineStr">
        <is>
          <t>A 20534-2025</t>
        </is>
      </c>
      <c r="B532" s="1" t="n">
        <v>45775.61550925926</v>
      </c>
      <c r="C532" s="1" t="n">
        <v>45892</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37322-2022</t>
        </is>
      </c>
      <c r="B533" s="1" t="n">
        <v>44806</v>
      </c>
      <c r="C533" s="1" t="n">
        <v>45892</v>
      </c>
      <c r="D533" t="inlineStr">
        <is>
          <t>VÄSTERBOTTENS LÄN</t>
        </is>
      </c>
      <c r="E533" t="inlineStr">
        <is>
          <t>VILHELMINA</t>
        </is>
      </c>
      <c r="F533" t="inlineStr">
        <is>
          <t>Övriga statliga verk och myndigheter</t>
        </is>
      </c>
      <c r="G533" t="n">
        <v>15.4</v>
      </c>
      <c r="H533" t="n">
        <v>0</v>
      </c>
      <c r="I533" t="n">
        <v>0</v>
      </c>
      <c r="J533" t="n">
        <v>0</v>
      </c>
      <c r="K533" t="n">
        <v>0</v>
      </c>
      <c r="L533" t="n">
        <v>0</v>
      </c>
      <c r="M533" t="n">
        <v>0</v>
      </c>
      <c r="N533" t="n">
        <v>0</v>
      </c>
      <c r="O533" t="n">
        <v>0</v>
      </c>
      <c r="P533" t="n">
        <v>0</v>
      </c>
      <c r="Q533" t="n">
        <v>0</v>
      </c>
      <c r="R533" s="2" t="inlineStr"/>
    </row>
    <row r="534" ht="15" customHeight="1">
      <c r="A534" t="inlineStr">
        <is>
          <t>A 17587-2024</t>
        </is>
      </c>
      <c r="B534" s="1" t="n">
        <v>45415.94033564815</v>
      </c>
      <c r="C534" s="1" t="n">
        <v>45892</v>
      </c>
      <c r="D534" t="inlineStr">
        <is>
          <t>VÄSTERBOTTENS LÄN</t>
        </is>
      </c>
      <c r="E534" t="inlineStr">
        <is>
          <t>VILHELMINA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25524-2025</t>
        </is>
      </c>
      <c r="B535" s="1" t="n">
        <v>45803.38644675926</v>
      </c>
      <c r="C535" s="1" t="n">
        <v>45892</v>
      </c>
      <c r="D535" t="inlineStr">
        <is>
          <t>VÄSTERBOTTENS LÄN</t>
        </is>
      </c>
      <c r="E535" t="inlineStr">
        <is>
          <t>VILHELMINA</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34762-2024</t>
        </is>
      </c>
      <c r="B536" s="1" t="n">
        <v>45526.61637731481</v>
      </c>
      <c r="C536" s="1" t="n">
        <v>45892</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25180-2025</t>
        </is>
      </c>
      <c r="B537" s="1" t="n">
        <v>45800.44892361111</v>
      </c>
      <c r="C537" s="1" t="n">
        <v>45892</v>
      </c>
      <c r="D537" t="inlineStr">
        <is>
          <t>VÄSTERBOTTENS LÄN</t>
        </is>
      </c>
      <c r="E537" t="inlineStr">
        <is>
          <t>VILHELMINA</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25176-2025</t>
        </is>
      </c>
      <c r="B538" s="1" t="n">
        <v>45800.44840277778</v>
      </c>
      <c r="C538" s="1" t="n">
        <v>45892</v>
      </c>
      <c r="D538" t="inlineStr">
        <is>
          <t>VÄSTERBOTTENS LÄN</t>
        </is>
      </c>
      <c r="E538" t="inlineStr">
        <is>
          <t>VILHELMINA</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46318-2022</t>
        </is>
      </c>
      <c r="B539" s="1" t="n">
        <v>44847</v>
      </c>
      <c r="C539" s="1" t="n">
        <v>45892</v>
      </c>
      <c r="D539" t="inlineStr">
        <is>
          <t>VÄSTERBOTTENS LÄN</t>
        </is>
      </c>
      <c r="E539" t="inlineStr">
        <is>
          <t>VILHELMINA</t>
        </is>
      </c>
      <c r="G539" t="n">
        <v>11.7</v>
      </c>
      <c r="H539" t="n">
        <v>0</v>
      </c>
      <c r="I539" t="n">
        <v>0</v>
      </c>
      <c r="J539" t="n">
        <v>0</v>
      </c>
      <c r="K539" t="n">
        <v>0</v>
      </c>
      <c r="L539" t="n">
        <v>0</v>
      </c>
      <c r="M539" t="n">
        <v>0</v>
      </c>
      <c r="N539" t="n">
        <v>0</v>
      </c>
      <c r="O539" t="n">
        <v>0</v>
      </c>
      <c r="P539" t="n">
        <v>0</v>
      </c>
      <c r="Q539" t="n">
        <v>0</v>
      </c>
      <c r="R539" s="2" t="inlineStr"/>
    </row>
    <row r="540" ht="15" customHeight="1">
      <c r="A540" t="inlineStr">
        <is>
          <t>A 25309-2025</t>
        </is>
      </c>
      <c r="B540" s="1" t="n">
        <v>45800.57380787037</v>
      </c>
      <c r="C540" s="1" t="n">
        <v>45892</v>
      </c>
      <c r="D540" t="inlineStr">
        <is>
          <t>VÄSTERBOTTENS LÄN</t>
        </is>
      </c>
      <c r="E540" t="inlineStr">
        <is>
          <t>VILHELMINA</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25239-2025</t>
        </is>
      </c>
      <c r="B541" s="1" t="n">
        <v>45800</v>
      </c>
      <c r="C541" s="1" t="n">
        <v>45892</v>
      </c>
      <c r="D541" t="inlineStr">
        <is>
          <t>VÄSTERBOTTENS LÄN</t>
        </is>
      </c>
      <c r="E541" t="inlineStr">
        <is>
          <t>VILHELMINA</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25770-2025</t>
        </is>
      </c>
      <c r="B542" s="1" t="n">
        <v>45804.3449537037</v>
      </c>
      <c r="C542" s="1" t="n">
        <v>45892</v>
      </c>
      <c r="D542" t="inlineStr">
        <is>
          <t>VÄSTERBOTTENS LÄN</t>
        </is>
      </c>
      <c r="E542" t="inlineStr">
        <is>
          <t>VILHELMINA</t>
        </is>
      </c>
      <c r="F542" t="inlineStr">
        <is>
          <t>SCA</t>
        </is>
      </c>
      <c r="G542" t="n">
        <v>7.9</v>
      </c>
      <c r="H542" t="n">
        <v>0</v>
      </c>
      <c r="I542" t="n">
        <v>0</v>
      </c>
      <c r="J542" t="n">
        <v>0</v>
      </c>
      <c r="K542" t="n">
        <v>0</v>
      </c>
      <c r="L542" t="n">
        <v>0</v>
      </c>
      <c r="M542" t="n">
        <v>0</v>
      </c>
      <c r="N542" t="n">
        <v>0</v>
      </c>
      <c r="O542" t="n">
        <v>0</v>
      </c>
      <c r="P542" t="n">
        <v>0</v>
      </c>
      <c r="Q542" t="n">
        <v>0</v>
      </c>
      <c r="R542" s="2" t="inlineStr"/>
    </row>
    <row r="543" ht="15" customHeight="1">
      <c r="A543" t="inlineStr">
        <is>
          <t>A 49886-2024</t>
        </is>
      </c>
      <c r="B543" s="1" t="n">
        <v>45597</v>
      </c>
      <c r="C543" s="1" t="n">
        <v>45892</v>
      </c>
      <c r="D543" t="inlineStr">
        <is>
          <t>VÄSTERBOTTENS LÄN</t>
        </is>
      </c>
      <c r="E543" t="inlineStr">
        <is>
          <t>VILHELMINA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47254-2022</t>
        </is>
      </c>
      <c r="B544" s="1" t="n">
        <v>44852.94685185186</v>
      </c>
      <c r="C544" s="1" t="n">
        <v>45892</v>
      </c>
      <c r="D544" t="inlineStr">
        <is>
          <t>VÄSTERBOTTENS LÄN</t>
        </is>
      </c>
      <c r="E544" t="inlineStr">
        <is>
          <t>VILHELMINA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27355-2023</t>
        </is>
      </c>
      <c r="B545" s="1" t="n">
        <v>45096</v>
      </c>
      <c r="C545" s="1" t="n">
        <v>45892</v>
      </c>
      <c r="D545" t="inlineStr">
        <is>
          <t>VÄSTERBOTTENS LÄN</t>
        </is>
      </c>
      <c r="E545" t="inlineStr">
        <is>
          <t>VILHELMINA</t>
        </is>
      </c>
      <c r="G545" t="n">
        <v>2.6</v>
      </c>
      <c r="H545" t="n">
        <v>0</v>
      </c>
      <c r="I545" t="n">
        <v>0</v>
      </c>
      <c r="J545" t="n">
        <v>0</v>
      </c>
      <c r="K545" t="n">
        <v>0</v>
      </c>
      <c r="L545" t="n">
        <v>0</v>
      </c>
      <c r="M545" t="n">
        <v>0</v>
      </c>
      <c r="N545" t="n">
        <v>0</v>
      </c>
      <c r="O545" t="n">
        <v>0</v>
      </c>
      <c r="P545" t="n">
        <v>0</v>
      </c>
      <c r="Q545" t="n">
        <v>0</v>
      </c>
      <c r="R545" s="2" t="inlineStr"/>
    </row>
    <row r="546" ht="15" customHeight="1">
      <c r="A546" t="inlineStr">
        <is>
          <t>A 31851-2024</t>
        </is>
      </c>
      <c r="B546" s="1" t="n">
        <v>45509</v>
      </c>
      <c r="C546" s="1" t="n">
        <v>45892</v>
      </c>
      <c r="D546" t="inlineStr">
        <is>
          <t>VÄSTERBOTTENS LÄN</t>
        </is>
      </c>
      <c r="E546" t="inlineStr">
        <is>
          <t>VILHELMINA</t>
        </is>
      </c>
      <c r="G546" t="n">
        <v>5.1</v>
      </c>
      <c r="H546" t="n">
        <v>0</v>
      </c>
      <c r="I546" t="n">
        <v>0</v>
      </c>
      <c r="J546" t="n">
        <v>0</v>
      </c>
      <c r="K546" t="n">
        <v>0</v>
      </c>
      <c r="L546" t="n">
        <v>0</v>
      </c>
      <c r="M546" t="n">
        <v>0</v>
      </c>
      <c r="N546" t="n">
        <v>0</v>
      </c>
      <c r="O546" t="n">
        <v>0</v>
      </c>
      <c r="P546" t="n">
        <v>0</v>
      </c>
      <c r="Q546" t="n">
        <v>0</v>
      </c>
      <c r="R546" s="2" t="inlineStr"/>
    </row>
    <row r="547" ht="15" customHeight="1">
      <c r="A547" t="inlineStr">
        <is>
          <t>A 26018-2025</t>
        </is>
      </c>
      <c r="B547" s="1" t="n">
        <v>45804.67799768518</v>
      </c>
      <c r="C547" s="1" t="n">
        <v>45892</v>
      </c>
      <c r="D547" t="inlineStr">
        <is>
          <t>VÄSTERBOTTENS LÄN</t>
        </is>
      </c>
      <c r="E547" t="inlineStr">
        <is>
          <t>VILHELMINA</t>
        </is>
      </c>
      <c r="F547" t="inlineStr">
        <is>
          <t>SCA</t>
        </is>
      </c>
      <c r="G547" t="n">
        <v>7.3</v>
      </c>
      <c r="H547" t="n">
        <v>0</v>
      </c>
      <c r="I547" t="n">
        <v>0</v>
      </c>
      <c r="J547" t="n">
        <v>0</v>
      </c>
      <c r="K547" t="n">
        <v>0</v>
      </c>
      <c r="L547" t="n">
        <v>0</v>
      </c>
      <c r="M547" t="n">
        <v>0</v>
      </c>
      <c r="N547" t="n">
        <v>0</v>
      </c>
      <c r="O547" t="n">
        <v>0</v>
      </c>
      <c r="P547" t="n">
        <v>0</v>
      </c>
      <c r="Q547" t="n">
        <v>0</v>
      </c>
      <c r="R547" s="2" t="inlineStr"/>
    </row>
    <row r="548" ht="15" customHeight="1">
      <c r="A548" t="inlineStr">
        <is>
          <t>A 37320-2021</t>
        </is>
      </c>
      <c r="B548" s="1" t="n">
        <v>44397</v>
      </c>
      <c r="C548" s="1" t="n">
        <v>45892</v>
      </c>
      <c r="D548" t="inlineStr">
        <is>
          <t>VÄSTERBOTTENS LÄN</t>
        </is>
      </c>
      <c r="E548" t="inlineStr">
        <is>
          <t>VILHELMINA</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57246-2023</t>
        </is>
      </c>
      <c r="B549" s="1" t="n">
        <v>45239</v>
      </c>
      <c r="C549" s="1" t="n">
        <v>45892</v>
      </c>
      <c r="D549" t="inlineStr">
        <is>
          <t>VÄSTERBOTTENS LÄN</t>
        </is>
      </c>
      <c r="E549" t="inlineStr">
        <is>
          <t>VILHELMINA</t>
        </is>
      </c>
      <c r="G549" t="n">
        <v>15.3</v>
      </c>
      <c r="H549" t="n">
        <v>0</v>
      </c>
      <c r="I549" t="n">
        <v>0</v>
      </c>
      <c r="J549" t="n">
        <v>0</v>
      </c>
      <c r="K549" t="n">
        <v>0</v>
      </c>
      <c r="L549" t="n">
        <v>0</v>
      </c>
      <c r="M549" t="n">
        <v>0</v>
      </c>
      <c r="N549" t="n">
        <v>0</v>
      </c>
      <c r="O549" t="n">
        <v>0</v>
      </c>
      <c r="P549" t="n">
        <v>0</v>
      </c>
      <c r="Q549" t="n">
        <v>0</v>
      </c>
      <c r="R549" s="2" t="inlineStr"/>
    </row>
    <row r="550" ht="15" customHeight="1">
      <c r="A550" t="inlineStr">
        <is>
          <t>A 31896-2024</t>
        </is>
      </c>
      <c r="B550" s="1" t="n">
        <v>45509</v>
      </c>
      <c r="C550" s="1" t="n">
        <v>45892</v>
      </c>
      <c r="D550" t="inlineStr">
        <is>
          <t>VÄSTERBOTTENS LÄN</t>
        </is>
      </c>
      <c r="E550" t="inlineStr">
        <is>
          <t>VILHELMINA</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22440-2025</t>
        </is>
      </c>
      <c r="B551" s="1" t="n">
        <v>45786</v>
      </c>
      <c r="C551" s="1" t="n">
        <v>45892</v>
      </c>
      <c r="D551" t="inlineStr">
        <is>
          <t>VÄSTERBOTTENS LÄN</t>
        </is>
      </c>
      <c r="E551" t="inlineStr">
        <is>
          <t>VILHELMINA</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55697-2024</t>
        </is>
      </c>
      <c r="B552" s="1" t="n">
        <v>45622</v>
      </c>
      <c r="C552" s="1" t="n">
        <v>45892</v>
      </c>
      <c r="D552" t="inlineStr">
        <is>
          <t>VÄSTERBOTTENS LÄN</t>
        </is>
      </c>
      <c r="E552" t="inlineStr">
        <is>
          <t>VILHELMINA</t>
        </is>
      </c>
      <c r="G552" t="n">
        <v>3.2</v>
      </c>
      <c r="H552" t="n">
        <v>0</v>
      </c>
      <c r="I552" t="n">
        <v>0</v>
      </c>
      <c r="J552" t="n">
        <v>0</v>
      </c>
      <c r="K552" t="n">
        <v>0</v>
      </c>
      <c r="L552" t="n">
        <v>0</v>
      </c>
      <c r="M552" t="n">
        <v>0</v>
      </c>
      <c r="N552" t="n">
        <v>0</v>
      </c>
      <c r="O552" t="n">
        <v>0</v>
      </c>
      <c r="P552" t="n">
        <v>0</v>
      </c>
      <c r="Q552" t="n">
        <v>0</v>
      </c>
      <c r="R552" s="2" t="inlineStr"/>
    </row>
    <row r="553" ht="15" customHeight="1">
      <c r="A553" t="inlineStr">
        <is>
          <t>A 55695-2024</t>
        </is>
      </c>
      <c r="B553" s="1" t="n">
        <v>45622</v>
      </c>
      <c r="C553" s="1" t="n">
        <v>45892</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58946-2024</t>
        </is>
      </c>
      <c r="B554" s="1" t="n">
        <v>45636.55063657407</v>
      </c>
      <c r="C554" s="1" t="n">
        <v>45892</v>
      </c>
      <c r="D554" t="inlineStr">
        <is>
          <t>VÄSTERBOTTENS LÄN</t>
        </is>
      </c>
      <c r="E554" t="inlineStr">
        <is>
          <t>VILHELMINA</t>
        </is>
      </c>
      <c r="F554" t="inlineStr">
        <is>
          <t>Kommuner</t>
        </is>
      </c>
      <c r="G554" t="n">
        <v>4.9</v>
      </c>
      <c r="H554" t="n">
        <v>0</v>
      </c>
      <c r="I554" t="n">
        <v>0</v>
      </c>
      <c r="J554" t="n">
        <v>0</v>
      </c>
      <c r="K554" t="n">
        <v>0</v>
      </c>
      <c r="L554" t="n">
        <v>0</v>
      </c>
      <c r="M554" t="n">
        <v>0</v>
      </c>
      <c r="N554" t="n">
        <v>0</v>
      </c>
      <c r="O554" t="n">
        <v>0</v>
      </c>
      <c r="P554" t="n">
        <v>0</v>
      </c>
      <c r="Q554" t="n">
        <v>0</v>
      </c>
      <c r="R554" s="2" t="inlineStr"/>
    </row>
    <row r="555" ht="15" customHeight="1">
      <c r="A555" t="inlineStr">
        <is>
          <t>A 25942-2025</t>
        </is>
      </c>
      <c r="B555" s="1" t="n">
        <v>45804.59461805555</v>
      </c>
      <c r="C555" s="1" t="n">
        <v>45892</v>
      </c>
      <c r="D555" t="inlineStr">
        <is>
          <t>VÄSTERBOTTENS LÄN</t>
        </is>
      </c>
      <c r="E555" t="inlineStr">
        <is>
          <t>VILHELMINA</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21345-2024</t>
        </is>
      </c>
      <c r="B556" s="1" t="n">
        <v>45440.92866898148</v>
      </c>
      <c r="C556" s="1" t="n">
        <v>45892</v>
      </c>
      <c r="D556" t="inlineStr">
        <is>
          <t>VÄSTERBOTTENS LÄN</t>
        </is>
      </c>
      <c r="E556" t="inlineStr">
        <is>
          <t>VILHELMINA</t>
        </is>
      </c>
      <c r="G556" t="n">
        <v>3</v>
      </c>
      <c r="H556" t="n">
        <v>0</v>
      </c>
      <c r="I556" t="n">
        <v>0</v>
      </c>
      <c r="J556" t="n">
        <v>0</v>
      </c>
      <c r="K556" t="n">
        <v>0</v>
      </c>
      <c r="L556" t="n">
        <v>0</v>
      </c>
      <c r="M556" t="n">
        <v>0</v>
      </c>
      <c r="N556" t="n">
        <v>0</v>
      </c>
      <c r="O556" t="n">
        <v>0</v>
      </c>
      <c r="P556" t="n">
        <v>0</v>
      </c>
      <c r="Q556" t="n">
        <v>0</v>
      </c>
      <c r="R556" s="2" t="inlineStr"/>
    </row>
    <row r="557" ht="15" customHeight="1">
      <c r="A557" t="inlineStr">
        <is>
          <t>A 43251-2024</t>
        </is>
      </c>
      <c r="B557" s="1" t="n">
        <v>45568.34429398148</v>
      </c>
      <c r="C557" s="1" t="n">
        <v>45892</v>
      </c>
      <c r="D557" t="inlineStr">
        <is>
          <t>VÄSTERBOTTENS LÄN</t>
        </is>
      </c>
      <c r="E557" t="inlineStr">
        <is>
          <t>VILHELMINA</t>
        </is>
      </c>
      <c r="F557" t="inlineStr">
        <is>
          <t>SCA</t>
        </is>
      </c>
      <c r="G557" t="n">
        <v>5.4</v>
      </c>
      <c r="H557" t="n">
        <v>0</v>
      </c>
      <c r="I557" t="n">
        <v>0</v>
      </c>
      <c r="J557" t="n">
        <v>0</v>
      </c>
      <c r="K557" t="n">
        <v>0</v>
      </c>
      <c r="L557" t="n">
        <v>0</v>
      </c>
      <c r="M557" t="n">
        <v>0</v>
      </c>
      <c r="N557" t="n">
        <v>0</v>
      </c>
      <c r="O557" t="n">
        <v>0</v>
      </c>
      <c r="P557" t="n">
        <v>0</v>
      </c>
      <c r="Q557" t="n">
        <v>0</v>
      </c>
      <c r="R557" s="2" t="inlineStr"/>
    </row>
    <row r="558" ht="15" customHeight="1">
      <c r="A558" t="inlineStr">
        <is>
          <t>A 26098-2025</t>
        </is>
      </c>
      <c r="B558" s="1" t="n">
        <v>45805</v>
      </c>
      <c r="C558" s="1" t="n">
        <v>45892</v>
      </c>
      <c r="D558" t="inlineStr">
        <is>
          <t>VÄSTERBOTTENS LÄN</t>
        </is>
      </c>
      <c r="E558" t="inlineStr">
        <is>
          <t>VILHELMINA</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47010-2024</t>
        </is>
      </c>
      <c r="B559" s="1" t="n">
        <v>45586</v>
      </c>
      <c r="C559" s="1" t="n">
        <v>45892</v>
      </c>
      <c r="D559" t="inlineStr">
        <is>
          <t>VÄSTERBOTTENS LÄN</t>
        </is>
      </c>
      <c r="E559" t="inlineStr">
        <is>
          <t>VILHELMINA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56627-2024</t>
        </is>
      </c>
      <c r="B560" s="1" t="n">
        <v>45625</v>
      </c>
      <c r="C560" s="1" t="n">
        <v>45892</v>
      </c>
      <c r="D560" t="inlineStr">
        <is>
          <t>VÄSTERBOTTENS LÄN</t>
        </is>
      </c>
      <c r="E560" t="inlineStr">
        <is>
          <t>VILHELMINA</t>
        </is>
      </c>
      <c r="F560" t="inlineStr">
        <is>
          <t>Allmännings- och besparingsskogar</t>
        </is>
      </c>
      <c r="G560" t="n">
        <v>21.5</v>
      </c>
      <c r="H560" t="n">
        <v>0</v>
      </c>
      <c r="I560" t="n">
        <v>0</v>
      </c>
      <c r="J560" t="n">
        <v>0</v>
      </c>
      <c r="K560" t="n">
        <v>0</v>
      </c>
      <c r="L560" t="n">
        <v>0</v>
      </c>
      <c r="M560" t="n">
        <v>0</v>
      </c>
      <c r="N560" t="n">
        <v>0</v>
      </c>
      <c r="O560" t="n">
        <v>0</v>
      </c>
      <c r="P560" t="n">
        <v>0</v>
      </c>
      <c r="Q560" t="n">
        <v>0</v>
      </c>
      <c r="R560" s="2" t="inlineStr"/>
    </row>
    <row r="561" ht="15" customHeight="1">
      <c r="A561" t="inlineStr">
        <is>
          <t>A 59003-2024</t>
        </is>
      </c>
      <c r="B561" s="1" t="n">
        <v>45636</v>
      </c>
      <c r="C561" s="1" t="n">
        <v>45892</v>
      </c>
      <c r="D561" t="inlineStr">
        <is>
          <t>VÄSTERBOTTENS LÄN</t>
        </is>
      </c>
      <c r="E561" t="inlineStr">
        <is>
          <t>VILHELMINA</t>
        </is>
      </c>
      <c r="F561" t="inlineStr">
        <is>
          <t>Allmännings- och besparingsskogar</t>
        </is>
      </c>
      <c r="G561" t="n">
        <v>21.8</v>
      </c>
      <c r="H561" t="n">
        <v>0</v>
      </c>
      <c r="I561" t="n">
        <v>0</v>
      </c>
      <c r="J561" t="n">
        <v>0</v>
      </c>
      <c r="K561" t="n">
        <v>0</v>
      </c>
      <c r="L561" t="n">
        <v>0</v>
      </c>
      <c r="M561" t="n">
        <v>0</v>
      </c>
      <c r="N561" t="n">
        <v>0</v>
      </c>
      <c r="O561" t="n">
        <v>0</v>
      </c>
      <c r="P561" t="n">
        <v>0</v>
      </c>
      <c r="Q561" t="n">
        <v>0</v>
      </c>
      <c r="R561" s="2" t="inlineStr"/>
    </row>
    <row r="562" ht="15" customHeight="1">
      <c r="A562" t="inlineStr">
        <is>
          <t>A 46908-2024</t>
        </is>
      </c>
      <c r="B562" s="1" t="n">
        <v>45583</v>
      </c>
      <c r="C562" s="1" t="n">
        <v>45892</v>
      </c>
      <c r="D562" t="inlineStr">
        <is>
          <t>VÄSTERBOTTENS LÄN</t>
        </is>
      </c>
      <c r="E562" t="inlineStr">
        <is>
          <t>VILHELMINA</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59011-2024</t>
        </is>
      </c>
      <c r="B563" s="1" t="n">
        <v>45636</v>
      </c>
      <c r="C563" s="1" t="n">
        <v>45892</v>
      </c>
      <c r="D563" t="inlineStr">
        <is>
          <t>VÄSTERBOTTENS LÄN</t>
        </is>
      </c>
      <c r="E563" t="inlineStr">
        <is>
          <t>VILHELMINA</t>
        </is>
      </c>
      <c r="F563" t="inlineStr">
        <is>
          <t>Allmännings- och besparingsskogar</t>
        </is>
      </c>
      <c r="G563" t="n">
        <v>35.2</v>
      </c>
      <c r="H563" t="n">
        <v>0</v>
      </c>
      <c r="I563" t="n">
        <v>0</v>
      </c>
      <c r="J563" t="n">
        <v>0</v>
      </c>
      <c r="K563" t="n">
        <v>0</v>
      </c>
      <c r="L563" t="n">
        <v>0</v>
      </c>
      <c r="M563" t="n">
        <v>0</v>
      </c>
      <c r="N563" t="n">
        <v>0</v>
      </c>
      <c r="O563" t="n">
        <v>0</v>
      </c>
      <c r="P563" t="n">
        <v>0</v>
      </c>
      <c r="Q563" t="n">
        <v>0</v>
      </c>
      <c r="R563" s="2" t="inlineStr"/>
    </row>
    <row r="564" ht="15" customHeight="1">
      <c r="A564" t="inlineStr">
        <is>
          <t>A 59018-2024</t>
        </is>
      </c>
      <c r="B564" s="1" t="n">
        <v>45636</v>
      </c>
      <c r="C564" s="1" t="n">
        <v>45892</v>
      </c>
      <c r="D564" t="inlineStr">
        <is>
          <t>VÄSTERBOTTENS LÄN</t>
        </is>
      </c>
      <c r="E564" t="inlineStr">
        <is>
          <t>VILHELMINA</t>
        </is>
      </c>
      <c r="F564" t="inlineStr">
        <is>
          <t>Allmännings- och besparingsskogar</t>
        </is>
      </c>
      <c r="G564" t="n">
        <v>13.9</v>
      </c>
      <c r="H564" t="n">
        <v>0</v>
      </c>
      <c r="I564" t="n">
        <v>0</v>
      </c>
      <c r="J564" t="n">
        <v>0</v>
      </c>
      <c r="K564" t="n">
        <v>0</v>
      </c>
      <c r="L564" t="n">
        <v>0</v>
      </c>
      <c r="M564" t="n">
        <v>0</v>
      </c>
      <c r="N564" t="n">
        <v>0</v>
      </c>
      <c r="O564" t="n">
        <v>0</v>
      </c>
      <c r="P564" t="n">
        <v>0</v>
      </c>
      <c r="Q564" t="n">
        <v>0</v>
      </c>
      <c r="R564" s="2" t="inlineStr"/>
    </row>
    <row r="565" ht="15" customHeight="1">
      <c r="A565" t="inlineStr">
        <is>
          <t>A 56624-2024</t>
        </is>
      </c>
      <c r="B565" s="1" t="n">
        <v>45625</v>
      </c>
      <c r="C565" s="1" t="n">
        <v>45892</v>
      </c>
      <c r="D565" t="inlineStr">
        <is>
          <t>VÄSTERBOTTENS LÄN</t>
        </is>
      </c>
      <c r="E565" t="inlineStr">
        <is>
          <t>VILHELMINA</t>
        </is>
      </c>
      <c r="F565" t="inlineStr">
        <is>
          <t>Allmännings- och besparingsskogar</t>
        </is>
      </c>
      <c r="G565" t="n">
        <v>17.8</v>
      </c>
      <c r="H565" t="n">
        <v>0</v>
      </c>
      <c r="I565" t="n">
        <v>0</v>
      </c>
      <c r="J565" t="n">
        <v>0</v>
      </c>
      <c r="K565" t="n">
        <v>0</v>
      </c>
      <c r="L565" t="n">
        <v>0</v>
      </c>
      <c r="M565" t="n">
        <v>0</v>
      </c>
      <c r="N565" t="n">
        <v>0</v>
      </c>
      <c r="O565" t="n">
        <v>0</v>
      </c>
      <c r="P565" t="n">
        <v>0</v>
      </c>
      <c r="Q565" t="n">
        <v>0</v>
      </c>
      <c r="R565" s="2" t="inlineStr"/>
    </row>
    <row r="566" ht="15" customHeight="1">
      <c r="A566" t="inlineStr">
        <is>
          <t>A 58999-2024</t>
        </is>
      </c>
      <c r="B566" s="1" t="n">
        <v>45636</v>
      </c>
      <c r="C566" s="1" t="n">
        <v>45892</v>
      </c>
      <c r="D566" t="inlineStr">
        <is>
          <t>VÄSTERBOTTENS LÄN</t>
        </is>
      </c>
      <c r="E566" t="inlineStr">
        <is>
          <t>VILHELMINA</t>
        </is>
      </c>
      <c r="F566" t="inlineStr">
        <is>
          <t>Allmännings- och besparingsskogar</t>
        </is>
      </c>
      <c r="G566" t="n">
        <v>12.3</v>
      </c>
      <c r="H566" t="n">
        <v>0</v>
      </c>
      <c r="I566" t="n">
        <v>0</v>
      </c>
      <c r="J566" t="n">
        <v>0</v>
      </c>
      <c r="K566" t="n">
        <v>0</v>
      </c>
      <c r="L566" t="n">
        <v>0</v>
      </c>
      <c r="M566" t="n">
        <v>0</v>
      </c>
      <c r="N566" t="n">
        <v>0</v>
      </c>
      <c r="O566" t="n">
        <v>0</v>
      </c>
      <c r="P566" t="n">
        <v>0</v>
      </c>
      <c r="Q566" t="n">
        <v>0</v>
      </c>
      <c r="R566" s="2" t="inlineStr"/>
    </row>
    <row r="567" ht="15" customHeight="1">
      <c r="A567" t="inlineStr">
        <is>
          <t>A 70849-2021</t>
        </is>
      </c>
      <c r="B567" s="1" t="n">
        <v>44532</v>
      </c>
      <c r="C567" s="1" t="n">
        <v>45892</v>
      </c>
      <c r="D567" t="inlineStr">
        <is>
          <t>VÄSTERBOTTENS LÄN</t>
        </is>
      </c>
      <c r="E567" t="inlineStr">
        <is>
          <t>VILHELMINA</t>
        </is>
      </c>
      <c r="G567" t="n">
        <v>21.4</v>
      </c>
      <c r="H567" t="n">
        <v>0</v>
      </c>
      <c r="I567" t="n">
        <v>0</v>
      </c>
      <c r="J567" t="n">
        <v>0</v>
      </c>
      <c r="K567" t="n">
        <v>0</v>
      </c>
      <c r="L567" t="n">
        <v>0</v>
      </c>
      <c r="M567" t="n">
        <v>0</v>
      </c>
      <c r="N567" t="n">
        <v>0</v>
      </c>
      <c r="O567" t="n">
        <v>0</v>
      </c>
      <c r="P567" t="n">
        <v>0</v>
      </c>
      <c r="Q567" t="n">
        <v>0</v>
      </c>
      <c r="R567" s="2" t="inlineStr"/>
    </row>
    <row r="568" ht="15" customHeight="1">
      <c r="A568" t="inlineStr">
        <is>
          <t>A 56629-2024</t>
        </is>
      </c>
      <c r="B568" s="1" t="n">
        <v>45625</v>
      </c>
      <c r="C568" s="1" t="n">
        <v>45892</v>
      </c>
      <c r="D568" t="inlineStr">
        <is>
          <t>VÄSTERBOTTENS LÄN</t>
        </is>
      </c>
      <c r="E568" t="inlineStr">
        <is>
          <t>VILHELMINA</t>
        </is>
      </c>
      <c r="F568" t="inlineStr">
        <is>
          <t>Allmännings- och besparingsskogar</t>
        </is>
      </c>
      <c r="G568" t="n">
        <v>19.7</v>
      </c>
      <c r="H568" t="n">
        <v>0</v>
      </c>
      <c r="I568" t="n">
        <v>0</v>
      </c>
      <c r="J568" t="n">
        <v>0</v>
      </c>
      <c r="K568" t="n">
        <v>0</v>
      </c>
      <c r="L568" t="n">
        <v>0</v>
      </c>
      <c r="M568" t="n">
        <v>0</v>
      </c>
      <c r="N568" t="n">
        <v>0</v>
      </c>
      <c r="O568" t="n">
        <v>0</v>
      </c>
      <c r="P568" t="n">
        <v>0</v>
      </c>
      <c r="Q568" t="n">
        <v>0</v>
      </c>
      <c r="R568" s="2" t="inlineStr"/>
    </row>
    <row r="569" ht="15" customHeight="1">
      <c r="A569" t="inlineStr">
        <is>
          <t>A 12043-2023</t>
        </is>
      </c>
      <c r="B569" s="1" t="n">
        <v>44995</v>
      </c>
      <c r="C569" s="1" t="n">
        <v>45892</v>
      </c>
      <c r="D569" t="inlineStr">
        <is>
          <t>VÄSTERBOTTENS LÄN</t>
        </is>
      </c>
      <c r="E569" t="inlineStr">
        <is>
          <t>VILHELMINA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72-2025</t>
        </is>
      </c>
      <c r="B570" s="1" t="n">
        <v>45659</v>
      </c>
      <c r="C570" s="1" t="n">
        <v>45892</v>
      </c>
      <c r="D570" t="inlineStr">
        <is>
          <t>VÄSTERBOTTENS LÄN</t>
        </is>
      </c>
      <c r="E570" t="inlineStr">
        <is>
          <t>VILHELMINA</t>
        </is>
      </c>
      <c r="G570" t="n">
        <v>0.9</v>
      </c>
      <c r="H570" t="n">
        <v>0</v>
      </c>
      <c r="I570" t="n">
        <v>0</v>
      </c>
      <c r="J570" t="n">
        <v>0</v>
      </c>
      <c r="K570" t="n">
        <v>0</v>
      </c>
      <c r="L570" t="n">
        <v>0</v>
      </c>
      <c r="M570" t="n">
        <v>0</v>
      </c>
      <c r="N570" t="n">
        <v>0</v>
      </c>
      <c r="O570" t="n">
        <v>0</v>
      </c>
      <c r="P570" t="n">
        <v>0</v>
      </c>
      <c r="Q570" t="n">
        <v>0</v>
      </c>
      <c r="R570" s="2" t="inlineStr"/>
    </row>
    <row r="571" ht="15" customHeight="1">
      <c r="A571" t="inlineStr">
        <is>
          <t>A 7035-2025</t>
        </is>
      </c>
      <c r="B571" s="1" t="n">
        <v>45701.63577546296</v>
      </c>
      <c r="C571" s="1" t="n">
        <v>45892</v>
      </c>
      <c r="D571" t="inlineStr">
        <is>
          <t>VÄSTERBOTTENS LÄN</t>
        </is>
      </c>
      <c r="E571" t="inlineStr">
        <is>
          <t>VILHELMINA</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57108-2023</t>
        </is>
      </c>
      <c r="B572" s="1" t="n">
        <v>45239</v>
      </c>
      <c r="C572" s="1" t="n">
        <v>45892</v>
      </c>
      <c r="D572" t="inlineStr">
        <is>
          <t>VÄSTERBOTTENS LÄN</t>
        </is>
      </c>
      <c r="E572" t="inlineStr">
        <is>
          <t>VILHELMINA</t>
        </is>
      </c>
      <c r="G572" t="n">
        <v>0.6</v>
      </c>
      <c r="H572" t="n">
        <v>0</v>
      </c>
      <c r="I572" t="n">
        <v>0</v>
      </c>
      <c r="J572" t="n">
        <v>0</v>
      </c>
      <c r="K572" t="n">
        <v>0</v>
      </c>
      <c r="L572" t="n">
        <v>0</v>
      </c>
      <c r="M572" t="n">
        <v>0</v>
      </c>
      <c r="N572" t="n">
        <v>0</v>
      </c>
      <c r="O572" t="n">
        <v>0</v>
      </c>
      <c r="P572" t="n">
        <v>0</v>
      </c>
      <c r="Q572" t="n">
        <v>0</v>
      </c>
      <c r="R572" s="2" t="inlineStr"/>
    </row>
    <row r="573" ht="15" customHeight="1">
      <c r="A573" t="inlineStr">
        <is>
          <t>A 54727-2022</t>
        </is>
      </c>
      <c r="B573" s="1" t="n">
        <v>44881</v>
      </c>
      <c r="C573" s="1" t="n">
        <v>45892</v>
      </c>
      <c r="D573" t="inlineStr">
        <is>
          <t>VÄSTERBOTTENS LÄN</t>
        </is>
      </c>
      <c r="E573" t="inlineStr">
        <is>
          <t>VILHELMINA</t>
        </is>
      </c>
      <c r="G573" t="n">
        <v>4.3</v>
      </c>
      <c r="H573" t="n">
        <v>0</v>
      </c>
      <c r="I573" t="n">
        <v>0</v>
      </c>
      <c r="J573" t="n">
        <v>0</v>
      </c>
      <c r="K573" t="n">
        <v>0</v>
      </c>
      <c r="L573" t="n">
        <v>0</v>
      </c>
      <c r="M573" t="n">
        <v>0</v>
      </c>
      <c r="N573" t="n">
        <v>0</v>
      </c>
      <c r="O573" t="n">
        <v>0</v>
      </c>
      <c r="P573" t="n">
        <v>0</v>
      </c>
      <c r="Q573" t="n">
        <v>0</v>
      </c>
      <c r="R573" s="2" t="inlineStr"/>
    </row>
    <row r="574" ht="15" customHeight="1">
      <c r="A574" t="inlineStr">
        <is>
          <t>A 26744-2025</t>
        </is>
      </c>
      <c r="B574" s="1" t="n">
        <v>45810.53185185185</v>
      </c>
      <c r="C574" s="1" t="n">
        <v>45892</v>
      </c>
      <c r="D574" t="inlineStr">
        <is>
          <t>VÄSTERBOTTENS LÄN</t>
        </is>
      </c>
      <c r="E574" t="inlineStr">
        <is>
          <t>VILHELMINA</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50506-2023</t>
        </is>
      </c>
      <c r="B575" s="1" t="n">
        <v>45216.9580787037</v>
      </c>
      <c r="C575" s="1" t="n">
        <v>45892</v>
      </c>
      <c r="D575" t="inlineStr">
        <is>
          <t>VÄSTERBOTTENS LÄN</t>
        </is>
      </c>
      <c r="E575" t="inlineStr">
        <is>
          <t>VILHELMINA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7982-2025</t>
        </is>
      </c>
      <c r="B576" s="1" t="n">
        <v>45707.46905092592</v>
      </c>
      <c r="C576" s="1" t="n">
        <v>45892</v>
      </c>
      <c r="D576" t="inlineStr">
        <is>
          <t>VÄSTERBOTTENS LÄN</t>
        </is>
      </c>
      <c r="E576" t="inlineStr">
        <is>
          <t>VILHELMINA</t>
        </is>
      </c>
      <c r="G576" t="n">
        <v>6</v>
      </c>
      <c r="H576" t="n">
        <v>0</v>
      </c>
      <c r="I576" t="n">
        <v>0</v>
      </c>
      <c r="J576" t="n">
        <v>0</v>
      </c>
      <c r="K576" t="n">
        <v>0</v>
      </c>
      <c r="L576" t="n">
        <v>0</v>
      </c>
      <c r="M576" t="n">
        <v>0</v>
      </c>
      <c r="N576" t="n">
        <v>0</v>
      </c>
      <c r="O576" t="n">
        <v>0</v>
      </c>
      <c r="P576" t="n">
        <v>0</v>
      </c>
      <c r="Q576" t="n">
        <v>0</v>
      </c>
      <c r="R576" s="2" t="inlineStr"/>
    </row>
    <row r="577" ht="15" customHeight="1">
      <c r="A577" t="inlineStr">
        <is>
          <t>A 41267-2020</t>
        </is>
      </c>
      <c r="B577" s="1" t="n">
        <v>44071</v>
      </c>
      <c r="C577" s="1" t="n">
        <v>45892</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11538-2024</t>
        </is>
      </c>
      <c r="B578" s="1" t="n">
        <v>45372</v>
      </c>
      <c r="C578" s="1" t="n">
        <v>45892</v>
      </c>
      <c r="D578" t="inlineStr">
        <is>
          <t>VÄSTERBOTTENS LÄN</t>
        </is>
      </c>
      <c r="E578" t="inlineStr">
        <is>
          <t>VILHELMINA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35230-2025</t>
        </is>
      </c>
      <c r="B579" s="1" t="n">
        <v>45853.59447916667</v>
      </c>
      <c r="C579" s="1" t="n">
        <v>45892</v>
      </c>
      <c r="D579" t="inlineStr">
        <is>
          <t>VÄSTERBOTTENS LÄN</t>
        </is>
      </c>
      <c r="E579" t="inlineStr">
        <is>
          <t>VILHELMINA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35231-2025</t>
        </is>
      </c>
      <c r="B580" s="1" t="n">
        <v>45853.59453703704</v>
      </c>
      <c r="C580" s="1" t="n">
        <v>45892</v>
      </c>
      <c r="D580" t="inlineStr">
        <is>
          <t>VÄSTERBOTTENS LÄN</t>
        </is>
      </c>
      <c r="E580" t="inlineStr">
        <is>
          <t>VILHELMINA</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26790-2025</t>
        </is>
      </c>
      <c r="B581" s="1" t="n">
        <v>45810.59417824074</v>
      </c>
      <c r="C581" s="1" t="n">
        <v>45892</v>
      </c>
      <c r="D581" t="inlineStr">
        <is>
          <t>VÄSTERBOTTENS LÄN</t>
        </is>
      </c>
      <c r="E581" t="inlineStr">
        <is>
          <t>VILHELMINA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29922-2024</t>
        </is>
      </c>
      <c r="B582" s="1" t="n">
        <v>45487.9563425926</v>
      </c>
      <c r="C582" s="1" t="n">
        <v>45892</v>
      </c>
      <c r="D582" t="inlineStr">
        <is>
          <t>VÄSTERBOTTENS LÄN</t>
        </is>
      </c>
      <c r="E582" t="inlineStr">
        <is>
          <t>VILHELMINA</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2022-2024</t>
        </is>
      </c>
      <c r="B583" s="1" t="n">
        <v>45308</v>
      </c>
      <c r="C583" s="1" t="n">
        <v>45892</v>
      </c>
      <c r="D583" t="inlineStr">
        <is>
          <t>VÄSTERBOTTENS LÄN</t>
        </is>
      </c>
      <c r="E583" t="inlineStr">
        <is>
          <t>VILHELMINA</t>
        </is>
      </c>
      <c r="G583" t="n">
        <v>8.5</v>
      </c>
      <c r="H583" t="n">
        <v>0</v>
      </c>
      <c r="I583" t="n">
        <v>0</v>
      </c>
      <c r="J583" t="n">
        <v>0</v>
      </c>
      <c r="K583" t="n">
        <v>0</v>
      </c>
      <c r="L583" t="n">
        <v>0</v>
      </c>
      <c r="M583" t="n">
        <v>0</v>
      </c>
      <c r="N583" t="n">
        <v>0</v>
      </c>
      <c r="O583" t="n">
        <v>0</v>
      </c>
      <c r="P583" t="n">
        <v>0</v>
      </c>
      <c r="Q583" t="n">
        <v>0</v>
      </c>
      <c r="R583" s="2" t="inlineStr"/>
    </row>
    <row r="584" ht="15" customHeight="1">
      <c r="A584" t="inlineStr">
        <is>
          <t>A 58456-2023</t>
        </is>
      </c>
      <c r="B584" s="1" t="n">
        <v>45250.96092592592</v>
      </c>
      <c r="C584" s="1" t="n">
        <v>45892</v>
      </c>
      <c r="D584" t="inlineStr">
        <is>
          <t>VÄSTERBOTTENS LÄN</t>
        </is>
      </c>
      <c r="E584" t="inlineStr">
        <is>
          <t>VILHELMINA</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60782-2023</t>
        </is>
      </c>
      <c r="B585" s="1" t="n">
        <v>45259</v>
      </c>
      <c r="C585" s="1" t="n">
        <v>45892</v>
      </c>
      <c r="D585" t="inlineStr">
        <is>
          <t>VÄSTERBOTTENS LÄN</t>
        </is>
      </c>
      <c r="E585" t="inlineStr">
        <is>
          <t>VILHELMINA</t>
        </is>
      </c>
      <c r="G585" t="n">
        <v>12.7</v>
      </c>
      <c r="H585" t="n">
        <v>0</v>
      </c>
      <c r="I585" t="n">
        <v>0</v>
      </c>
      <c r="J585" t="n">
        <v>0</v>
      </c>
      <c r="K585" t="n">
        <v>0</v>
      </c>
      <c r="L585" t="n">
        <v>0</v>
      </c>
      <c r="M585" t="n">
        <v>0</v>
      </c>
      <c r="N585" t="n">
        <v>0</v>
      </c>
      <c r="O585" t="n">
        <v>0</v>
      </c>
      <c r="P585" t="n">
        <v>0</v>
      </c>
      <c r="Q585" t="n">
        <v>0</v>
      </c>
      <c r="R585" s="2" t="inlineStr"/>
    </row>
    <row r="586" ht="15" customHeight="1">
      <c r="A586" t="inlineStr">
        <is>
          <t>A 26722-2025</t>
        </is>
      </c>
      <c r="B586" s="1" t="n">
        <v>45810</v>
      </c>
      <c r="C586" s="1" t="n">
        <v>45892</v>
      </c>
      <c r="D586" t="inlineStr">
        <is>
          <t>VÄSTERBOTTENS LÄN</t>
        </is>
      </c>
      <c r="E586" t="inlineStr">
        <is>
          <t>VILHELMINA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65151-2021</t>
        </is>
      </c>
      <c r="B587" s="1" t="n">
        <v>44515</v>
      </c>
      <c r="C587" s="1" t="n">
        <v>45892</v>
      </c>
      <c r="D587" t="inlineStr">
        <is>
          <t>VÄSTERBOTTENS LÄN</t>
        </is>
      </c>
      <c r="E587" t="inlineStr">
        <is>
          <t>VILHELMINA</t>
        </is>
      </c>
      <c r="G587" t="n">
        <v>11.8</v>
      </c>
      <c r="H587" t="n">
        <v>0</v>
      </c>
      <c r="I587" t="n">
        <v>0</v>
      </c>
      <c r="J587" t="n">
        <v>0</v>
      </c>
      <c r="K587" t="n">
        <v>0</v>
      </c>
      <c r="L587" t="n">
        <v>0</v>
      </c>
      <c r="M587" t="n">
        <v>0</v>
      </c>
      <c r="N587" t="n">
        <v>0</v>
      </c>
      <c r="O587" t="n">
        <v>0</v>
      </c>
      <c r="P587" t="n">
        <v>0</v>
      </c>
      <c r="Q587" t="n">
        <v>0</v>
      </c>
      <c r="R587" s="2" t="inlineStr"/>
    </row>
    <row r="588" ht="15" customHeight="1">
      <c r="A588" t="inlineStr">
        <is>
          <t>A 65159-2021</t>
        </is>
      </c>
      <c r="B588" s="1" t="n">
        <v>44515</v>
      </c>
      <c r="C588" s="1" t="n">
        <v>45892</v>
      </c>
      <c r="D588" t="inlineStr">
        <is>
          <t>VÄSTERBOTTENS LÄN</t>
        </is>
      </c>
      <c r="E588" t="inlineStr">
        <is>
          <t>VILHELMINA</t>
        </is>
      </c>
      <c r="G588" t="n">
        <v>5</v>
      </c>
      <c r="H588" t="n">
        <v>0</v>
      </c>
      <c r="I588" t="n">
        <v>0</v>
      </c>
      <c r="J588" t="n">
        <v>0</v>
      </c>
      <c r="K588" t="n">
        <v>0</v>
      </c>
      <c r="L588" t="n">
        <v>0</v>
      </c>
      <c r="M588" t="n">
        <v>0</v>
      </c>
      <c r="N588" t="n">
        <v>0</v>
      </c>
      <c r="O588" t="n">
        <v>0</v>
      </c>
      <c r="P588" t="n">
        <v>0</v>
      </c>
      <c r="Q588" t="n">
        <v>0</v>
      </c>
      <c r="R588" s="2" t="inlineStr"/>
    </row>
    <row r="589" ht="15" customHeight="1">
      <c r="A589" t="inlineStr">
        <is>
          <t>A 45593-2024</t>
        </is>
      </c>
      <c r="B589" s="1" t="n">
        <v>45579</v>
      </c>
      <c r="C589" s="1" t="n">
        <v>45892</v>
      </c>
      <c r="D589" t="inlineStr">
        <is>
          <t>VÄSTERBOTTENS LÄN</t>
        </is>
      </c>
      <c r="E589" t="inlineStr">
        <is>
          <t>VILHELMINA</t>
        </is>
      </c>
      <c r="G589" t="n">
        <v>0.9</v>
      </c>
      <c r="H589" t="n">
        <v>0</v>
      </c>
      <c r="I589" t="n">
        <v>0</v>
      </c>
      <c r="J589" t="n">
        <v>0</v>
      </c>
      <c r="K589" t="n">
        <v>0</v>
      </c>
      <c r="L589" t="n">
        <v>0</v>
      </c>
      <c r="M589" t="n">
        <v>0</v>
      </c>
      <c r="N589" t="n">
        <v>0</v>
      </c>
      <c r="O589" t="n">
        <v>0</v>
      </c>
      <c r="P589" t="n">
        <v>0</v>
      </c>
      <c r="Q589" t="n">
        <v>0</v>
      </c>
      <c r="R589" s="2" t="inlineStr"/>
    </row>
    <row r="590" ht="15" customHeight="1">
      <c r="A590" t="inlineStr">
        <is>
          <t>A 26745-2025</t>
        </is>
      </c>
      <c r="B590" s="1" t="n">
        <v>45810.53188657408</v>
      </c>
      <c r="C590" s="1" t="n">
        <v>45892</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8859-2023</t>
        </is>
      </c>
      <c r="B591" s="1" t="n">
        <v>44978</v>
      </c>
      <c r="C591" s="1" t="n">
        <v>45892</v>
      </c>
      <c r="D591" t="inlineStr">
        <is>
          <t>VÄSTERBOTTENS LÄN</t>
        </is>
      </c>
      <c r="E591" t="inlineStr">
        <is>
          <t>VILHELMINA</t>
        </is>
      </c>
      <c r="G591" t="n">
        <v>6.3</v>
      </c>
      <c r="H591" t="n">
        <v>0</v>
      </c>
      <c r="I591" t="n">
        <v>0</v>
      </c>
      <c r="J591" t="n">
        <v>0</v>
      </c>
      <c r="K591" t="n">
        <v>0</v>
      </c>
      <c r="L591" t="n">
        <v>0</v>
      </c>
      <c r="M591" t="n">
        <v>0</v>
      </c>
      <c r="N591" t="n">
        <v>0</v>
      </c>
      <c r="O591" t="n">
        <v>0</v>
      </c>
      <c r="P591" t="n">
        <v>0</v>
      </c>
      <c r="Q591" t="n">
        <v>0</v>
      </c>
      <c r="R591" s="2" t="inlineStr"/>
    </row>
    <row r="592" ht="15" customHeight="1">
      <c r="A592" t="inlineStr">
        <is>
          <t>A 2008-2025</t>
        </is>
      </c>
      <c r="B592" s="1" t="n">
        <v>45672.45302083333</v>
      </c>
      <c r="C592" s="1" t="n">
        <v>45892</v>
      </c>
      <c r="D592" t="inlineStr">
        <is>
          <t>VÄSTERBOTTENS LÄN</t>
        </is>
      </c>
      <c r="E592" t="inlineStr">
        <is>
          <t>VILHELMINA</t>
        </is>
      </c>
      <c r="G592" t="n">
        <v>0.7</v>
      </c>
      <c r="H592" t="n">
        <v>0</v>
      </c>
      <c r="I592" t="n">
        <v>0</v>
      </c>
      <c r="J592" t="n">
        <v>0</v>
      </c>
      <c r="K592" t="n">
        <v>0</v>
      </c>
      <c r="L592" t="n">
        <v>0</v>
      </c>
      <c r="M592" t="n">
        <v>0</v>
      </c>
      <c r="N592" t="n">
        <v>0</v>
      </c>
      <c r="O592" t="n">
        <v>0</v>
      </c>
      <c r="P592" t="n">
        <v>0</v>
      </c>
      <c r="Q592" t="n">
        <v>0</v>
      </c>
      <c r="R592" s="2" t="inlineStr"/>
    </row>
    <row r="593" ht="15" customHeight="1">
      <c r="A593" t="inlineStr">
        <is>
          <t>A 41484-2022</t>
        </is>
      </c>
      <c r="B593" s="1" t="n">
        <v>44826</v>
      </c>
      <c r="C593" s="1" t="n">
        <v>45892</v>
      </c>
      <c r="D593" t="inlineStr">
        <is>
          <t>VÄSTERBOTTENS LÄN</t>
        </is>
      </c>
      <c r="E593" t="inlineStr">
        <is>
          <t>VILHELMINA</t>
        </is>
      </c>
      <c r="F593" t="inlineStr">
        <is>
          <t>SCA</t>
        </is>
      </c>
      <c r="G593" t="n">
        <v>18.1</v>
      </c>
      <c r="H593" t="n">
        <v>0</v>
      </c>
      <c r="I593" t="n">
        <v>0</v>
      </c>
      <c r="J593" t="n">
        <v>0</v>
      </c>
      <c r="K593" t="n">
        <v>0</v>
      </c>
      <c r="L593" t="n">
        <v>0</v>
      </c>
      <c r="M593" t="n">
        <v>0</v>
      </c>
      <c r="N593" t="n">
        <v>0</v>
      </c>
      <c r="O593" t="n">
        <v>0</v>
      </c>
      <c r="P593" t="n">
        <v>0</v>
      </c>
      <c r="Q593" t="n">
        <v>0</v>
      </c>
      <c r="R593" s="2" t="inlineStr"/>
    </row>
    <row r="594" ht="15" customHeight="1">
      <c r="A594" t="inlineStr">
        <is>
          <t>A 17302-2025</t>
        </is>
      </c>
      <c r="B594" s="1" t="n">
        <v>45756</v>
      </c>
      <c r="C594" s="1" t="n">
        <v>45892</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17307-2025</t>
        </is>
      </c>
      <c r="B595" s="1" t="n">
        <v>45756</v>
      </c>
      <c r="C595" s="1" t="n">
        <v>45892</v>
      </c>
      <c r="D595" t="inlineStr">
        <is>
          <t>VÄSTERBOTTENS LÄN</t>
        </is>
      </c>
      <c r="E595" t="inlineStr">
        <is>
          <t>VILHELMINA</t>
        </is>
      </c>
      <c r="G595" t="n">
        <v>11.2</v>
      </c>
      <c r="H595" t="n">
        <v>0</v>
      </c>
      <c r="I595" t="n">
        <v>0</v>
      </c>
      <c r="J595" t="n">
        <v>0</v>
      </c>
      <c r="K595" t="n">
        <v>0</v>
      </c>
      <c r="L595" t="n">
        <v>0</v>
      </c>
      <c r="M595" t="n">
        <v>0</v>
      </c>
      <c r="N595" t="n">
        <v>0</v>
      </c>
      <c r="O595" t="n">
        <v>0</v>
      </c>
      <c r="P595" t="n">
        <v>0</v>
      </c>
      <c r="Q595" t="n">
        <v>0</v>
      </c>
      <c r="R595" s="2" t="inlineStr"/>
    </row>
    <row r="596" ht="15" customHeight="1">
      <c r="A596" t="inlineStr">
        <is>
          <t>A 17314-2025</t>
        </is>
      </c>
      <c r="B596" s="1" t="n">
        <v>45756</v>
      </c>
      <c r="C596" s="1" t="n">
        <v>45892</v>
      </c>
      <c r="D596" t="inlineStr">
        <is>
          <t>VÄSTERBOTTENS LÄN</t>
        </is>
      </c>
      <c r="E596" t="inlineStr">
        <is>
          <t>VILHELMINA</t>
        </is>
      </c>
      <c r="G596" t="n">
        <v>3.4</v>
      </c>
      <c r="H596" t="n">
        <v>0</v>
      </c>
      <c r="I596" t="n">
        <v>0</v>
      </c>
      <c r="J596" t="n">
        <v>0</v>
      </c>
      <c r="K596" t="n">
        <v>0</v>
      </c>
      <c r="L596" t="n">
        <v>0</v>
      </c>
      <c r="M596" t="n">
        <v>0</v>
      </c>
      <c r="N596" t="n">
        <v>0</v>
      </c>
      <c r="O596" t="n">
        <v>0</v>
      </c>
      <c r="P596" t="n">
        <v>0</v>
      </c>
      <c r="Q596" t="n">
        <v>0</v>
      </c>
      <c r="R596" s="2" t="inlineStr"/>
    </row>
    <row r="597" ht="15" customHeight="1">
      <c r="A597" t="inlineStr">
        <is>
          <t>A 8745-2023</t>
        </is>
      </c>
      <c r="B597" s="1" t="n">
        <v>44972</v>
      </c>
      <c r="C597" s="1" t="n">
        <v>45892</v>
      </c>
      <c r="D597" t="inlineStr">
        <is>
          <t>VÄSTERBOTTENS LÄN</t>
        </is>
      </c>
      <c r="E597" t="inlineStr">
        <is>
          <t>VILHELMINA</t>
        </is>
      </c>
      <c r="F597" t="inlineStr">
        <is>
          <t>Allmännings- och besparingsskogar</t>
        </is>
      </c>
      <c r="G597" t="n">
        <v>41</v>
      </c>
      <c r="H597" t="n">
        <v>0</v>
      </c>
      <c r="I597" t="n">
        <v>0</v>
      </c>
      <c r="J597" t="n">
        <v>0</v>
      </c>
      <c r="K597" t="n">
        <v>0</v>
      </c>
      <c r="L597" t="n">
        <v>0</v>
      </c>
      <c r="M597" t="n">
        <v>0</v>
      </c>
      <c r="N597" t="n">
        <v>0</v>
      </c>
      <c r="O597" t="n">
        <v>0</v>
      </c>
      <c r="P597" t="n">
        <v>0</v>
      </c>
      <c r="Q597" t="n">
        <v>0</v>
      </c>
      <c r="R597" s="2" t="inlineStr"/>
    </row>
    <row r="598" ht="15" customHeight="1">
      <c r="A598" t="inlineStr">
        <is>
          <t>A 46316-2022</t>
        </is>
      </c>
      <c r="B598" s="1" t="n">
        <v>44847</v>
      </c>
      <c r="C598" s="1" t="n">
        <v>45892</v>
      </c>
      <c r="D598" t="inlineStr">
        <is>
          <t>VÄSTERBOTTENS LÄN</t>
        </is>
      </c>
      <c r="E598" t="inlineStr">
        <is>
          <t>VILHELMINA</t>
        </is>
      </c>
      <c r="G598" t="n">
        <v>2.1</v>
      </c>
      <c r="H598" t="n">
        <v>0</v>
      </c>
      <c r="I598" t="n">
        <v>0</v>
      </c>
      <c r="J598" t="n">
        <v>0</v>
      </c>
      <c r="K598" t="n">
        <v>0</v>
      </c>
      <c r="L598" t="n">
        <v>0</v>
      </c>
      <c r="M598" t="n">
        <v>0</v>
      </c>
      <c r="N598" t="n">
        <v>0</v>
      </c>
      <c r="O598" t="n">
        <v>0</v>
      </c>
      <c r="P598" t="n">
        <v>0</v>
      </c>
      <c r="Q598" t="n">
        <v>0</v>
      </c>
      <c r="R598" s="2" t="inlineStr"/>
    </row>
    <row r="599" ht="15" customHeight="1">
      <c r="A599" t="inlineStr">
        <is>
          <t>A 8229-2022</t>
        </is>
      </c>
      <c r="B599" s="1" t="n">
        <v>44609</v>
      </c>
      <c r="C599" s="1" t="n">
        <v>45892</v>
      </c>
      <c r="D599" t="inlineStr">
        <is>
          <t>VÄSTERBOTTENS LÄN</t>
        </is>
      </c>
      <c r="E599" t="inlineStr">
        <is>
          <t>VILHELMINA</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252-2025</t>
        </is>
      </c>
      <c r="B600" s="1" t="n">
        <v>45660.42734953704</v>
      </c>
      <c r="C600" s="1" t="n">
        <v>45892</v>
      </c>
      <c r="D600" t="inlineStr">
        <is>
          <t>VÄSTERBOTTENS LÄN</t>
        </is>
      </c>
      <c r="E600" t="inlineStr">
        <is>
          <t>VILHELMINA</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296-2025</t>
        </is>
      </c>
      <c r="B601" s="1" t="n">
        <v>45660.53215277778</v>
      </c>
      <c r="C601" s="1" t="n">
        <v>45892</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25551-2024</t>
        </is>
      </c>
      <c r="B602" s="1" t="n">
        <v>45463</v>
      </c>
      <c r="C602" s="1" t="n">
        <v>45892</v>
      </c>
      <c r="D602" t="inlineStr">
        <is>
          <t>VÄSTERBOTTENS LÄN</t>
        </is>
      </c>
      <c r="E602" t="inlineStr">
        <is>
          <t>VILHELMINA</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36219-2023</t>
        </is>
      </c>
      <c r="B603" s="1" t="n">
        <v>45149.95310185185</v>
      </c>
      <c r="C603" s="1" t="n">
        <v>45892</v>
      </c>
      <c r="D603" t="inlineStr">
        <is>
          <t>VÄSTERBOTTENS LÄN</t>
        </is>
      </c>
      <c r="E603" t="inlineStr">
        <is>
          <t>VILHELMINA</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12374-2025</t>
        </is>
      </c>
      <c r="B604" s="1" t="n">
        <v>45730</v>
      </c>
      <c r="C604" s="1" t="n">
        <v>45892</v>
      </c>
      <c r="D604" t="inlineStr">
        <is>
          <t>VÄSTERBOTTENS LÄN</t>
        </is>
      </c>
      <c r="E604" t="inlineStr">
        <is>
          <t>VILHELMINA</t>
        </is>
      </c>
      <c r="F604" t="inlineStr">
        <is>
          <t>Övriga statliga verk och myndigheter</t>
        </is>
      </c>
      <c r="G604" t="n">
        <v>18.7</v>
      </c>
      <c r="H604" t="n">
        <v>0</v>
      </c>
      <c r="I604" t="n">
        <v>0</v>
      </c>
      <c r="J604" t="n">
        <v>0</v>
      </c>
      <c r="K604" t="n">
        <v>0</v>
      </c>
      <c r="L604" t="n">
        <v>0</v>
      </c>
      <c r="M604" t="n">
        <v>0</v>
      </c>
      <c r="N604" t="n">
        <v>0</v>
      </c>
      <c r="O604" t="n">
        <v>0</v>
      </c>
      <c r="P604" t="n">
        <v>0</v>
      </c>
      <c r="Q604" t="n">
        <v>0</v>
      </c>
      <c r="R604" s="2" t="inlineStr"/>
    </row>
    <row r="605" ht="15" customHeight="1">
      <c r="A605" t="inlineStr">
        <is>
          <t>A 12375-2025</t>
        </is>
      </c>
      <c r="B605" s="1" t="n">
        <v>45730</v>
      </c>
      <c r="C605" s="1" t="n">
        <v>45892</v>
      </c>
      <c r="D605" t="inlineStr">
        <is>
          <t>VÄSTERBOTTENS LÄN</t>
        </is>
      </c>
      <c r="E605" t="inlineStr">
        <is>
          <t>VILHELMINA</t>
        </is>
      </c>
      <c r="F605" t="inlineStr">
        <is>
          <t>Övriga statliga verk och myndigheter</t>
        </is>
      </c>
      <c r="G605" t="n">
        <v>22.3</v>
      </c>
      <c r="H605" t="n">
        <v>0</v>
      </c>
      <c r="I605" t="n">
        <v>0</v>
      </c>
      <c r="J605" t="n">
        <v>0</v>
      </c>
      <c r="K605" t="n">
        <v>0</v>
      </c>
      <c r="L605" t="n">
        <v>0</v>
      </c>
      <c r="M605" t="n">
        <v>0</v>
      </c>
      <c r="N605" t="n">
        <v>0</v>
      </c>
      <c r="O605" t="n">
        <v>0</v>
      </c>
      <c r="P605" t="n">
        <v>0</v>
      </c>
      <c r="Q605" t="n">
        <v>0</v>
      </c>
      <c r="R605" s="2" t="inlineStr"/>
    </row>
    <row r="606" ht="15" customHeight="1">
      <c r="A606" t="inlineStr">
        <is>
          <t>A 56246-2023</t>
        </is>
      </c>
      <c r="B606" s="1" t="n">
        <v>45240</v>
      </c>
      <c r="C606" s="1" t="n">
        <v>45892</v>
      </c>
      <c r="D606" t="inlineStr">
        <is>
          <t>VÄSTERBOTTENS LÄN</t>
        </is>
      </c>
      <c r="E606" t="inlineStr">
        <is>
          <t>VILHELMINA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54727-2024</t>
        </is>
      </c>
      <c r="B607" s="1" t="n">
        <v>45618.43804398148</v>
      </c>
      <c r="C607" s="1" t="n">
        <v>45892</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48470-2023</t>
        </is>
      </c>
      <c r="B608" s="1" t="n">
        <v>45206.95747685185</v>
      </c>
      <c r="C608" s="1" t="n">
        <v>45892</v>
      </c>
      <c r="D608" t="inlineStr">
        <is>
          <t>VÄSTERBOTTENS LÄN</t>
        </is>
      </c>
      <c r="E608" t="inlineStr">
        <is>
          <t>VILHELMINA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27601-2025</t>
        </is>
      </c>
      <c r="B609" s="1" t="n">
        <v>45813.52791666667</v>
      </c>
      <c r="C609" s="1" t="n">
        <v>45892</v>
      </c>
      <c r="D609" t="inlineStr">
        <is>
          <t>VÄSTERBOTTENS LÄN</t>
        </is>
      </c>
      <c r="E609" t="inlineStr">
        <is>
          <t>VILHELMINA</t>
        </is>
      </c>
      <c r="F609" t="inlineStr">
        <is>
          <t>Övriga statliga verk och myndigheter</t>
        </is>
      </c>
      <c r="G609" t="n">
        <v>36.5</v>
      </c>
      <c r="H609" t="n">
        <v>0</v>
      </c>
      <c r="I609" t="n">
        <v>0</v>
      </c>
      <c r="J609" t="n">
        <v>0</v>
      </c>
      <c r="K609" t="n">
        <v>0</v>
      </c>
      <c r="L609" t="n">
        <v>0</v>
      </c>
      <c r="M609" t="n">
        <v>0</v>
      </c>
      <c r="N609" t="n">
        <v>0</v>
      </c>
      <c r="O609" t="n">
        <v>0</v>
      </c>
      <c r="P609" t="n">
        <v>0</v>
      </c>
      <c r="Q609" t="n">
        <v>0</v>
      </c>
      <c r="R609" s="2" t="inlineStr"/>
    </row>
    <row r="610" ht="15" customHeight="1">
      <c r="A610" t="inlineStr">
        <is>
          <t>A 63218-2021</t>
        </is>
      </c>
      <c r="B610" s="1" t="n">
        <v>44505</v>
      </c>
      <c r="C610" s="1" t="n">
        <v>45892</v>
      </c>
      <c r="D610" t="inlineStr">
        <is>
          <t>VÄSTERBOTTENS LÄN</t>
        </is>
      </c>
      <c r="E610" t="inlineStr">
        <is>
          <t>VILHELMINA</t>
        </is>
      </c>
      <c r="G610" t="n">
        <v>6.8</v>
      </c>
      <c r="H610" t="n">
        <v>0</v>
      </c>
      <c r="I610" t="n">
        <v>0</v>
      </c>
      <c r="J610" t="n">
        <v>0</v>
      </c>
      <c r="K610" t="n">
        <v>0</v>
      </c>
      <c r="L610" t="n">
        <v>0</v>
      </c>
      <c r="M610" t="n">
        <v>0</v>
      </c>
      <c r="N610" t="n">
        <v>0</v>
      </c>
      <c r="O610" t="n">
        <v>0</v>
      </c>
      <c r="P610" t="n">
        <v>0</v>
      </c>
      <c r="Q610" t="n">
        <v>0</v>
      </c>
      <c r="R610" s="2" t="inlineStr"/>
    </row>
    <row r="611" ht="15" customHeight="1">
      <c r="A611" t="inlineStr">
        <is>
          <t>A 74-2025</t>
        </is>
      </c>
      <c r="B611" s="1" t="n">
        <v>45659</v>
      </c>
      <c r="C611" s="1" t="n">
        <v>45892</v>
      </c>
      <c r="D611" t="inlineStr">
        <is>
          <t>VÄSTERBOTTENS LÄN</t>
        </is>
      </c>
      <c r="E611" t="inlineStr">
        <is>
          <t>VILHELMINA</t>
        </is>
      </c>
      <c r="G611" t="n">
        <v>5.9</v>
      </c>
      <c r="H611" t="n">
        <v>0</v>
      </c>
      <c r="I611" t="n">
        <v>0</v>
      </c>
      <c r="J611" t="n">
        <v>0</v>
      </c>
      <c r="K611" t="n">
        <v>0</v>
      </c>
      <c r="L611" t="n">
        <v>0</v>
      </c>
      <c r="M611" t="n">
        <v>0</v>
      </c>
      <c r="N611" t="n">
        <v>0</v>
      </c>
      <c r="O611" t="n">
        <v>0</v>
      </c>
      <c r="P611" t="n">
        <v>0</v>
      </c>
      <c r="Q611" t="n">
        <v>0</v>
      </c>
      <c r="R611" s="2" t="inlineStr"/>
    </row>
    <row r="612" ht="15" customHeight="1">
      <c r="A612" t="inlineStr">
        <is>
          <t>A 78-2025</t>
        </is>
      </c>
      <c r="B612" s="1" t="n">
        <v>45659</v>
      </c>
      <c r="C612" s="1" t="n">
        <v>45892</v>
      </c>
      <c r="D612" t="inlineStr">
        <is>
          <t>VÄSTERBOTTENS LÄN</t>
        </is>
      </c>
      <c r="E612" t="inlineStr">
        <is>
          <t>VILHELMINA</t>
        </is>
      </c>
      <c r="G612" t="n">
        <v>7.3</v>
      </c>
      <c r="H612" t="n">
        <v>0</v>
      </c>
      <c r="I612" t="n">
        <v>0</v>
      </c>
      <c r="J612" t="n">
        <v>0</v>
      </c>
      <c r="K612" t="n">
        <v>0</v>
      </c>
      <c r="L612" t="n">
        <v>0</v>
      </c>
      <c r="M612" t="n">
        <v>0</v>
      </c>
      <c r="N612" t="n">
        <v>0</v>
      </c>
      <c r="O612" t="n">
        <v>0</v>
      </c>
      <c r="P612" t="n">
        <v>0</v>
      </c>
      <c r="Q612" t="n">
        <v>0</v>
      </c>
      <c r="R612" s="2" t="inlineStr"/>
    </row>
    <row r="613" ht="15" customHeight="1">
      <c r="A613" t="inlineStr">
        <is>
          <t>A 35287-2025</t>
        </is>
      </c>
      <c r="B613" s="1" t="n">
        <v>45854.3653587963</v>
      </c>
      <c r="C613" s="1" t="n">
        <v>45892</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35288-2025</t>
        </is>
      </c>
      <c r="B614" s="1" t="n">
        <v>45854.36543981481</v>
      </c>
      <c r="C614" s="1" t="n">
        <v>45892</v>
      </c>
      <c r="D614" t="inlineStr">
        <is>
          <t>VÄSTERBOTTENS LÄN</t>
        </is>
      </c>
      <c r="E614" t="inlineStr">
        <is>
          <t>VILHELMINA</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47011-2024</t>
        </is>
      </c>
      <c r="B615" s="1" t="n">
        <v>45586.38592592593</v>
      </c>
      <c r="C615" s="1" t="n">
        <v>45892</v>
      </c>
      <c r="D615" t="inlineStr">
        <is>
          <t>VÄSTERBOTTENS LÄN</t>
        </is>
      </c>
      <c r="E615" t="inlineStr">
        <is>
          <t>VILHELMINA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58824-2024</t>
        </is>
      </c>
      <c r="B616" s="1" t="n">
        <v>45636.36488425926</v>
      </c>
      <c r="C616" s="1" t="n">
        <v>45892</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27943-2025</t>
        </is>
      </c>
      <c r="B617" s="1" t="n">
        <v>45817.51078703703</v>
      </c>
      <c r="C617" s="1" t="n">
        <v>45892</v>
      </c>
      <c r="D617" t="inlineStr">
        <is>
          <t>VÄSTERBOTTENS LÄN</t>
        </is>
      </c>
      <c r="E617" t="inlineStr">
        <is>
          <t>VILHELMINA</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12362-2025</t>
        </is>
      </c>
      <c r="B618" s="1" t="n">
        <v>45730</v>
      </c>
      <c r="C618" s="1" t="n">
        <v>45892</v>
      </c>
      <c r="D618" t="inlineStr">
        <is>
          <t>VÄSTERBOTTENS LÄN</t>
        </is>
      </c>
      <c r="E618" t="inlineStr">
        <is>
          <t>VILHELMINA</t>
        </is>
      </c>
      <c r="F618" t="inlineStr">
        <is>
          <t>Övriga statliga verk och myndigheter</t>
        </is>
      </c>
      <c r="G618" t="n">
        <v>6.1</v>
      </c>
      <c r="H618" t="n">
        <v>0</v>
      </c>
      <c r="I618" t="n">
        <v>0</v>
      </c>
      <c r="J618" t="n">
        <v>0</v>
      </c>
      <c r="K618" t="n">
        <v>0</v>
      </c>
      <c r="L618" t="n">
        <v>0</v>
      </c>
      <c r="M618" t="n">
        <v>0</v>
      </c>
      <c r="N618" t="n">
        <v>0</v>
      </c>
      <c r="O618" t="n">
        <v>0</v>
      </c>
      <c r="P618" t="n">
        <v>0</v>
      </c>
      <c r="Q618" t="n">
        <v>0</v>
      </c>
      <c r="R618" s="2" t="inlineStr"/>
    </row>
    <row r="619" ht="15" customHeight="1">
      <c r="A619" t="inlineStr">
        <is>
          <t>A 12364-2025</t>
        </is>
      </c>
      <c r="B619" s="1" t="n">
        <v>45730.37515046296</v>
      </c>
      <c r="C619" s="1" t="n">
        <v>45892</v>
      </c>
      <c r="D619" t="inlineStr">
        <is>
          <t>VÄSTERBOTTENS LÄN</t>
        </is>
      </c>
      <c r="E619" t="inlineStr">
        <is>
          <t>VILHELMINA</t>
        </is>
      </c>
      <c r="F619" t="inlineStr">
        <is>
          <t>Övriga statliga verk och myndigheter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12990-2025</t>
        </is>
      </c>
      <c r="B620" s="1" t="n">
        <v>45734</v>
      </c>
      <c r="C620" s="1" t="n">
        <v>45892</v>
      </c>
      <c r="D620" t="inlineStr">
        <is>
          <t>VÄSTERBOTTENS LÄN</t>
        </is>
      </c>
      <c r="E620" t="inlineStr">
        <is>
          <t>VILHELMINA</t>
        </is>
      </c>
      <c r="G620" t="n">
        <v>11.2</v>
      </c>
      <c r="H620" t="n">
        <v>0</v>
      </c>
      <c r="I620" t="n">
        <v>0</v>
      </c>
      <c r="J620" t="n">
        <v>0</v>
      </c>
      <c r="K620" t="n">
        <v>0</v>
      </c>
      <c r="L620" t="n">
        <v>0</v>
      </c>
      <c r="M620" t="n">
        <v>0</v>
      </c>
      <c r="N620" t="n">
        <v>0</v>
      </c>
      <c r="O620" t="n">
        <v>0</v>
      </c>
      <c r="P620" t="n">
        <v>0</v>
      </c>
      <c r="Q620" t="n">
        <v>0</v>
      </c>
      <c r="R620" s="2" t="inlineStr"/>
    </row>
    <row r="621" ht="15" customHeight="1">
      <c r="A621" t="inlineStr">
        <is>
          <t>A 12377-2025</t>
        </is>
      </c>
      <c r="B621" s="1" t="n">
        <v>45730</v>
      </c>
      <c r="C621" s="1" t="n">
        <v>45892</v>
      </c>
      <c r="D621" t="inlineStr">
        <is>
          <t>VÄSTERBOTTENS LÄN</t>
        </is>
      </c>
      <c r="E621" t="inlineStr">
        <is>
          <t>VILHELMINA</t>
        </is>
      </c>
      <c r="F621" t="inlineStr">
        <is>
          <t>Övriga statliga verk och myndigheter</t>
        </is>
      </c>
      <c r="G621" t="n">
        <v>37.1</v>
      </c>
      <c r="H621" t="n">
        <v>0</v>
      </c>
      <c r="I621" t="n">
        <v>0</v>
      </c>
      <c r="J621" t="n">
        <v>0</v>
      </c>
      <c r="K621" t="n">
        <v>0</v>
      </c>
      <c r="L621" t="n">
        <v>0</v>
      </c>
      <c r="M621" t="n">
        <v>0</v>
      </c>
      <c r="N621" t="n">
        <v>0</v>
      </c>
      <c r="O621" t="n">
        <v>0</v>
      </c>
      <c r="P621" t="n">
        <v>0</v>
      </c>
      <c r="Q621" t="n">
        <v>0</v>
      </c>
      <c r="R621" s="2" t="inlineStr"/>
    </row>
    <row r="622" ht="15" customHeight="1">
      <c r="A622" t="inlineStr">
        <is>
          <t>A 46547-2023</t>
        </is>
      </c>
      <c r="B622" s="1" t="n">
        <v>45197.94158564815</v>
      </c>
      <c r="C622" s="1" t="n">
        <v>45892</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37937-2023</t>
        </is>
      </c>
      <c r="B623" s="1" t="n">
        <v>45159</v>
      </c>
      <c r="C623" s="1" t="n">
        <v>45892</v>
      </c>
      <c r="D623" t="inlineStr">
        <is>
          <t>VÄSTERBOTTENS LÄN</t>
        </is>
      </c>
      <c r="E623" t="inlineStr">
        <is>
          <t>VILHELMINA</t>
        </is>
      </c>
      <c r="G623" t="n">
        <v>2.2</v>
      </c>
      <c r="H623" t="n">
        <v>0</v>
      </c>
      <c r="I623" t="n">
        <v>0</v>
      </c>
      <c r="J623" t="n">
        <v>0</v>
      </c>
      <c r="K623" t="n">
        <v>0</v>
      </c>
      <c r="L623" t="n">
        <v>0</v>
      </c>
      <c r="M623" t="n">
        <v>0</v>
      </c>
      <c r="N623" t="n">
        <v>0</v>
      </c>
      <c r="O623" t="n">
        <v>0</v>
      </c>
      <c r="P623" t="n">
        <v>0</v>
      </c>
      <c r="Q623" t="n">
        <v>0</v>
      </c>
      <c r="R623" s="2" t="inlineStr"/>
    </row>
    <row r="624" ht="15" customHeight="1">
      <c r="A624" t="inlineStr">
        <is>
          <t>A 1470-2021</t>
        </is>
      </c>
      <c r="B624" s="1" t="n">
        <v>44208</v>
      </c>
      <c r="C624" s="1" t="n">
        <v>45892</v>
      </c>
      <c r="D624" t="inlineStr">
        <is>
          <t>VÄSTERBOTTENS LÄN</t>
        </is>
      </c>
      <c r="E624" t="inlineStr">
        <is>
          <t>VILHELMINA</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46177-2023</t>
        </is>
      </c>
      <c r="B625" s="1" t="n">
        <v>45190</v>
      </c>
      <c r="C625" s="1" t="n">
        <v>45892</v>
      </c>
      <c r="D625" t="inlineStr">
        <is>
          <t>VÄSTERBOTTENS LÄN</t>
        </is>
      </c>
      <c r="E625" t="inlineStr">
        <is>
          <t>VILHELMINA</t>
        </is>
      </c>
      <c r="F625" t="inlineStr">
        <is>
          <t>Övriga Aktiebolag</t>
        </is>
      </c>
      <c r="G625" t="n">
        <v>7.7</v>
      </c>
      <c r="H625" t="n">
        <v>0</v>
      </c>
      <c r="I625" t="n">
        <v>0</v>
      </c>
      <c r="J625" t="n">
        <v>0</v>
      </c>
      <c r="K625" t="n">
        <v>0</v>
      </c>
      <c r="L625" t="n">
        <v>0</v>
      </c>
      <c r="M625" t="n">
        <v>0</v>
      </c>
      <c r="N625" t="n">
        <v>0</v>
      </c>
      <c r="O625" t="n">
        <v>0</v>
      </c>
      <c r="P625" t="n">
        <v>0</v>
      </c>
      <c r="Q625" t="n">
        <v>0</v>
      </c>
      <c r="R625" s="2" t="inlineStr"/>
    </row>
    <row r="626" ht="15" customHeight="1">
      <c r="A626" t="inlineStr">
        <is>
          <t>A 27952-2025</t>
        </is>
      </c>
      <c r="B626" s="1" t="n">
        <v>45817.53157407408</v>
      </c>
      <c r="C626" s="1" t="n">
        <v>45892</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28016-2025</t>
        </is>
      </c>
      <c r="B627" s="1" t="n">
        <v>45817.61506944444</v>
      </c>
      <c r="C627" s="1" t="n">
        <v>45892</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27945-2025</t>
        </is>
      </c>
      <c r="B628" s="1" t="n">
        <v>45817</v>
      </c>
      <c r="C628" s="1" t="n">
        <v>45892</v>
      </c>
      <c r="D628" t="inlineStr">
        <is>
          <t>VÄSTERBOTTENS LÄN</t>
        </is>
      </c>
      <c r="E628" t="inlineStr">
        <is>
          <t>VILHELMINA</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28071-2025</t>
        </is>
      </c>
      <c r="B629" s="1" t="n">
        <v>45817.67755787037</v>
      </c>
      <c r="C629" s="1" t="n">
        <v>45892</v>
      </c>
      <c r="D629" t="inlineStr">
        <is>
          <t>VÄSTERBOTTENS LÄN</t>
        </is>
      </c>
      <c r="E629" t="inlineStr">
        <is>
          <t>VILHELMINA</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28019-2025</t>
        </is>
      </c>
      <c r="B630" s="1" t="n">
        <v>45817.61545138889</v>
      </c>
      <c r="C630" s="1" t="n">
        <v>45892</v>
      </c>
      <c r="D630" t="inlineStr">
        <is>
          <t>VÄSTERBOTTENS LÄN</t>
        </is>
      </c>
      <c r="E630" t="inlineStr">
        <is>
          <t>VILHELMINA</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28050-2025</t>
        </is>
      </c>
      <c r="B631" s="1" t="n">
        <v>45817.65658564815</v>
      </c>
      <c r="C631" s="1" t="n">
        <v>45892</v>
      </c>
      <c r="D631" t="inlineStr">
        <is>
          <t>VÄSTERBOTTENS LÄN</t>
        </is>
      </c>
      <c r="E631" t="inlineStr">
        <is>
          <t>VILHELMINA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18564-2022</t>
        </is>
      </c>
      <c r="B632" s="1" t="n">
        <v>44686</v>
      </c>
      <c r="C632" s="1" t="n">
        <v>45892</v>
      </c>
      <c r="D632" t="inlineStr">
        <is>
          <t>VÄSTERBOTTENS LÄN</t>
        </is>
      </c>
      <c r="E632" t="inlineStr">
        <is>
          <t>VILHELMINA</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468-2024</t>
        </is>
      </c>
      <c r="B633" s="1" t="n">
        <v>45297</v>
      </c>
      <c r="C633" s="1" t="n">
        <v>45892</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62100-2024</t>
        </is>
      </c>
      <c r="B634" s="1" t="n">
        <v>45656</v>
      </c>
      <c r="C634" s="1" t="n">
        <v>45892</v>
      </c>
      <c r="D634" t="inlineStr">
        <is>
          <t>VÄSTERBOTTENS LÄN</t>
        </is>
      </c>
      <c r="E634" t="inlineStr">
        <is>
          <t>VILHELMINA</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9181-2023</t>
        </is>
      </c>
      <c r="B635" s="1" t="n">
        <v>44972</v>
      </c>
      <c r="C635" s="1" t="n">
        <v>45892</v>
      </c>
      <c r="D635" t="inlineStr">
        <is>
          <t>VÄSTERBOTTENS LÄN</t>
        </is>
      </c>
      <c r="E635" t="inlineStr">
        <is>
          <t>VILHELMINA</t>
        </is>
      </c>
      <c r="F635" t="inlineStr">
        <is>
          <t>Allmännings- och besparingsskogar</t>
        </is>
      </c>
      <c r="G635" t="n">
        <v>220.1</v>
      </c>
      <c r="H635" t="n">
        <v>0</v>
      </c>
      <c r="I635" t="n">
        <v>0</v>
      </c>
      <c r="J635" t="n">
        <v>0</v>
      </c>
      <c r="K635" t="n">
        <v>0</v>
      </c>
      <c r="L635" t="n">
        <v>0</v>
      </c>
      <c r="M635" t="n">
        <v>0</v>
      </c>
      <c r="N635" t="n">
        <v>0</v>
      </c>
      <c r="O635" t="n">
        <v>0</v>
      </c>
      <c r="P635" t="n">
        <v>0</v>
      </c>
      <c r="Q635" t="n">
        <v>0</v>
      </c>
      <c r="R635" s="2" t="inlineStr"/>
    </row>
    <row r="636" ht="15" customHeight="1">
      <c r="A636" t="inlineStr">
        <is>
          <t>A 32683-2024</t>
        </is>
      </c>
      <c r="B636" s="1" t="n">
        <v>45515</v>
      </c>
      <c r="C636" s="1" t="n">
        <v>45892</v>
      </c>
      <c r="D636" t="inlineStr">
        <is>
          <t>VÄSTERBOTTENS LÄN</t>
        </is>
      </c>
      <c r="E636" t="inlineStr">
        <is>
          <t>VILHELMINA</t>
        </is>
      </c>
      <c r="G636" t="n">
        <v>6.1</v>
      </c>
      <c r="H636" t="n">
        <v>0</v>
      </c>
      <c r="I636" t="n">
        <v>0</v>
      </c>
      <c r="J636" t="n">
        <v>0</v>
      </c>
      <c r="K636" t="n">
        <v>0</v>
      </c>
      <c r="L636" t="n">
        <v>0</v>
      </c>
      <c r="M636" t="n">
        <v>0</v>
      </c>
      <c r="N636" t="n">
        <v>0</v>
      </c>
      <c r="O636" t="n">
        <v>0</v>
      </c>
      <c r="P636" t="n">
        <v>0</v>
      </c>
      <c r="Q636" t="n">
        <v>0</v>
      </c>
      <c r="R636" s="2" t="inlineStr"/>
    </row>
    <row r="637" ht="15" customHeight="1">
      <c r="A637" t="inlineStr">
        <is>
          <t>A 33412-2023</t>
        </is>
      </c>
      <c r="B637" s="1" t="n">
        <v>45117</v>
      </c>
      <c r="C637" s="1" t="n">
        <v>45892</v>
      </c>
      <c r="D637" t="inlineStr">
        <is>
          <t>VÄSTERBOTTENS LÄN</t>
        </is>
      </c>
      <c r="E637" t="inlineStr">
        <is>
          <t>VILHELMINA</t>
        </is>
      </c>
      <c r="F637" t="inlineStr">
        <is>
          <t>Övriga Aktiebolag</t>
        </is>
      </c>
      <c r="G637" t="n">
        <v>0.3</v>
      </c>
      <c r="H637" t="n">
        <v>0</v>
      </c>
      <c r="I637" t="n">
        <v>0</v>
      </c>
      <c r="J637" t="n">
        <v>0</v>
      </c>
      <c r="K637" t="n">
        <v>0</v>
      </c>
      <c r="L637" t="n">
        <v>0</v>
      </c>
      <c r="M637" t="n">
        <v>0</v>
      </c>
      <c r="N637" t="n">
        <v>0</v>
      </c>
      <c r="O637" t="n">
        <v>0</v>
      </c>
      <c r="P637" t="n">
        <v>0</v>
      </c>
      <c r="Q637" t="n">
        <v>0</v>
      </c>
      <c r="R637" s="2" t="inlineStr"/>
    </row>
    <row r="638" ht="15" customHeight="1">
      <c r="A638" t="inlineStr">
        <is>
          <t>A 21965-2025</t>
        </is>
      </c>
      <c r="B638" s="1" t="n">
        <v>45784</v>
      </c>
      <c r="C638" s="1" t="n">
        <v>45892</v>
      </c>
      <c r="D638" t="inlineStr">
        <is>
          <t>VÄSTERBOTTENS LÄN</t>
        </is>
      </c>
      <c r="E638" t="inlineStr">
        <is>
          <t>VILHELMINA</t>
        </is>
      </c>
      <c r="G638" t="n">
        <v>7.4</v>
      </c>
      <c r="H638" t="n">
        <v>0</v>
      </c>
      <c r="I638" t="n">
        <v>0</v>
      </c>
      <c r="J638" t="n">
        <v>0</v>
      </c>
      <c r="K638" t="n">
        <v>0</v>
      </c>
      <c r="L638" t="n">
        <v>0</v>
      </c>
      <c r="M638" t="n">
        <v>0</v>
      </c>
      <c r="N638" t="n">
        <v>0</v>
      </c>
      <c r="O638" t="n">
        <v>0</v>
      </c>
      <c r="P638" t="n">
        <v>0</v>
      </c>
      <c r="Q638" t="n">
        <v>0</v>
      </c>
      <c r="R638" s="2" t="inlineStr"/>
    </row>
    <row r="639" ht="15" customHeight="1">
      <c r="A639" t="inlineStr">
        <is>
          <t>A 11139-2022</t>
        </is>
      </c>
      <c r="B639" s="1" t="n">
        <v>44628</v>
      </c>
      <c r="C639" s="1" t="n">
        <v>45892</v>
      </c>
      <c r="D639" t="inlineStr">
        <is>
          <t>VÄSTERBOTTENS LÄN</t>
        </is>
      </c>
      <c r="E639" t="inlineStr">
        <is>
          <t>VILHELMINA</t>
        </is>
      </c>
      <c r="G639" t="n">
        <v>13.6</v>
      </c>
      <c r="H639" t="n">
        <v>0</v>
      </c>
      <c r="I639" t="n">
        <v>0</v>
      </c>
      <c r="J639" t="n">
        <v>0</v>
      </c>
      <c r="K639" t="n">
        <v>0</v>
      </c>
      <c r="L639" t="n">
        <v>0</v>
      </c>
      <c r="M639" t="n">
        <v>0</v>
      </c>
      <c r="N639" t="n">
        <v>0</v>
      </c>
      <c r="O639" t="n">
        <v>0</v>
      </c>
      <c r="P639" t="n">
        <v>0</v>
      </c>
      <c r="Q639" t="n">
        <v>0</v>
      </c>
      <c r="R639" s="2" t="inlineStr"/>
    </row>
    <row r="640" ht="15" customHeight="1">
      <c r="A640" t="inlineStr">
        <is>
          <t>A 29347-2021</t>
        </is>
      </c>
      <c r="B640" s="1" t="n">
        <v>44361</v>
      </c>
      <c r="C640" s="1" t="n">
        <v>45892</v>
      </c>
      <c r="D640" t="inlineStr">
        <is>
          <t>VÄSTERBOTTENS LÄN</t>
        </is>
      </c>
      <c r="E640" t="inlineStr">
        <is>
          <t>VILHELMINA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29722-2024</t>
        </is>
      </c>
      <c r="B641" s="1" t="n">
        <v>45485</v>
      </c>
      <c r="C641" s="1" t="n">
        <v>45892</v>
      </c>
      <c r="D641" t="inlineStr">
        <is>
          <t>VÄSTERBOTTENS LÄN</t>
        </is>
      </c>
      <c r="E641" t="inlineStr">
        <is>
          <t>VILHELMINA</t>
        </is>
      </c>
      <c r="G641" t="n">
        <v>2.5</v>
      </c>
      <c r="H641" t="n">
        <v>0</v>
      </c>
      <c r="I641" t="n">
        <v>0</v>
      </c>
      <c r="J641" t="n">
        <v>0</v>
      </c>
      <c r="K641" t="n">
        <v>0</v>
      </c>
      <c r="L641" t="n">
        <v>0</v>
      </c>
      <c r="M641" t="n">
        <v>0</v>
      </c>
      <c r="N641" t="n">
        <v>0</v>
      </c>
      <c r="O641" t="n">
        <v>0</v>
      </c>
      <c r="P641" t="n">
        <v>0</v>
      </c>
      <c r="Q641" t="n">
        <v>0</v>
      </c>
      <c r="R641" s="2" t="inlineStr"/>
    </row>
    <row r="642" ht="15" customHeight="1">
      <c r="A642" t="inlineStr">
        <is>
          <t>A 46071-2022</t>
        </is>
      </c>
      <c r="B642" s="1" t="n">
        <v>44847</v>
      </c>
      <c r="C642" s="1" t="n">
        <v>45892</v>
      </c>
      <c r="D642" t="inlineStr">
        <is>
          <t>VÄSTERBOTTENS LÄN</t>
        </is>
      </c>
      <c r="E642" t="inlineStr">
        <is>
          <t>VILHELMINA</t>
        </is>
      </c>
      <c r="G642" t="n">
        <v>10.6</v>
      </c>
      <c r="H642" t="n">
        <v>0</v>
      </c>
      <c r="I642" t="n">
        <v>0</v>
      </c>
      <c r="J642" t="n">
        <v>0</v>
      </c>
      <c r="K642" t="n">
        <v>0</v>
      </c>
      <c r="L642" t="n">
        <v>0</v>
      </c>
      <c r="M642" t="n">
        <v>0</v>
      </c>
      <c r="N642" t="n">
        <v>0</v>
      </c>
      <c r="O642" t="n">
        <v>0</v>
      </c>
      <c r="P642" t="n">
        <v>0</v>
      </c>
      <c r="Q642" t="n">
        <v>0</v>
      </c>
      <c r="R642" s="2" t="inlineStr"/>
    </row>
    <row r="643" ht="15" customHeight="1">
      <c r="A643" t="inlineStr">
        <is>
          <t>A 25701-2024</t>
        </is>
      </c>
      <c r="B643" s="1" t="n">
        <v>45463.94247685185</v>
      </c>
      <c r="C643" s="1" t="n">
        <v>45892</v>
      </c>
      <c r="D643" t="inlineStr">
        <is>
          <t>VÄSTERBOTTENS LÄN</t>
        </is>
      </c>
      <c r="E643" t="inlineStr">
        <is>
          <t>VILHELMINA</t>
        </is>
      </c>
      <c r="F643" t="inlineStr">
        <is>
          <t>SCA</t>
        </is>
      </c>
      <c r="G643" t="n">
        <v>8.6</v>
      </c>
      <c r="H643" t="n">
        <v>0</v>
      </c>
      <c r="I643" t="n">
        <v>0</v>
      </c>
      <c r="J643" t="n">
        <v>0</v>
      </c>
      <c r="K643" t="n">
        <v>0</v>
      </c>
      <c r="L643" t="n">
        <v>0</v>
      </c>
      <c r="M643" t="n">
        <v>0</v>
      </c>
      <c r="N643" t="n">
        <v>0</v>
      </c>
      <c r="O643" t="n">
        <v>0</v>
      </c>
      <c r="P643" t="n">
        <v>0</v>
      </c>
      <c r="Q643" t="n">
        <v>0</v>
      </c>
      <c r="R643" s="2" t="inlineStr"/>
    </row>
    <row r="644" ht="15" customHeight="1">
      <c r="A644" t="inlineStr">
        <is>
          <t>A 28144-2025</t>
        </is>
      </c>
      <c r="B644" s="1" t="n">
        <v>45818</v>
      </c>
      <c r="C644" s="1" t="n">
        <v>45892</v>
      </c>
      <c r="D644" t="inlineStr">
        <is>
          <t>VÄSTERBOTTENS LÄN</t>
        </is>
      </c>
      <c r="E644" t="inlineStr">
        <is>
          <t>VILHELMINA</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38364-2023</t>
        </is>
      </c>
      <c r="B645" s="1" t="n">
        <v>45161</v>
      </c>
      <c r="C645" s="1" t="n">
        <v>45892</v>
      </c>
      <c r="D645" t="inlineStr">
        <is>
          <t>VÄSTERBOTTENS LÄN</t>
        </is>
      </c>
      <c r="E645" t="inlineStr">
        <is>
          <t>VILHELMINA</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33318-2024</t>
        </is>
      </c>
      <c r="B646" s="1" t="n">
        <v>45518.97211805556</v>
      </c>
      <c r="C646" s="1" t="n">
        <v>45892</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48229-2024</t>
        </is>
      </c>
      <c r="B647" s="1" t="n">
        <v>45590.37554398148</v>
      </c>
      <c r="C647" s="1" t="n">
        <v>45892</v>
      </c>
      <c r="D647" t="inlineStr">
        <is>
          <t>VÄSTERBOTTENS LÄN</t>
        </is>
      </c>
      <c r="E647" t="inlineStr">
        <is>
          <t>VILHELMINA</t>
        </is>
      </c>
      <c r="G647" t="n">
        <v>11.6</v>
      </c>
      <c r="H647" t="n">
        <v>0</v>
      </c>
      <c r="I647" t="n">
        <v>0</v>
      </c>
      <c r="J647" t="n">
        <v>0</v>
      </c>
      <c r="K647" t="n">
        <v>0</v>
      </c>
      <c r="L647" t="n">
        <v>0</v>
      </c>
      <c r="M647" t="n">
        <v>0</v>
      </c>
      <c r="N647" t="n">
        <v>0</v>
      </c>
      <c r="O647" t="n">
        <v>0</v>
      </c>
      <c r="P647" t="n">
        <v>0</v>
      </c>
      <c r="Q647" t="n">
        <v>0</v>
      </c>
      <c r="R647" s="2" t="inlineStr"/>
    </row>
    <row r="648" ht="15" customHeight="1">
      <c r="A648" t="inlineStr">
        <is>
          <t>A 23278-2021</t>
        </is>
      </c>
      <c r="B648" s="1" t="n">
        <v>44328</v>
      </c>
      <c r="C648" s="1" t="n">
        <v>45892</v>
      </c>
      <c r="D648" t="inlineStr">
        <is>
          <t>VÄSTERBOTTENS LÄN</t>
        </is>
      </c>
      <c r="E648" t="inlineStr">
        <is>
          <t>VILHELMINA</t>
        </is>
      </c>
      <c r="F648" t="inlineStr">
        <is>
          <t>Allmännings- och besparingsskogar</t>
        </is>
      </c>
      <c r="G648" t="n">
        <v>13.6</v>
      </c>
      <c r="H648" t="n">
        <v>0</v>
      </c>
      <c r="I648" t="n">
        <v>0</v>
      </c>
      <c r="J648" t="n">
        <v>0</v>
      </c>
      <c r="K648" t="n">
        <v>0</v>
      </c>
      <c r="L648" t="n">
        <v>0</v>
      </c>
      <c r="M648" t="n">
        <v>0</v>
      </c>
      <c r="N648" t="n">
        <v>0</v>
      </c>
      <c r="O648" t="n">
        <v>0</v>
      </c>
      <c r="P648" t="n">
        <v>0</v>
      </c>
      <c r="Q648" t="n">
        <v>0</v>
      </c>
      <c r="R648" s="2" t="inlineStr"/>
    </row>
    <row r="649" ht="15" customHeight="1">
      <c r="A649" t="inlineStr">
        <is>
          <t>A 64421-2023</t>
        </is>
      </c>
      <c r="B649" s="1" t="n">
        <v>45280</v>
      </c>
      <c r="C649" s="1" t="n">
        <v>45892</v>
      </c>
      <c r="D649" t="inlineStr">
        <is>
          <t>VÄSTERBOTTENS LÄN</t>
        </is>
      </c>
      <c r="E649" t="inlineStr">
        <is>
          <t>VILHELMINA</t>
        </is>
      </c>
      <c r="G649" t="n">
        <v>4.9</v>
      </c>
      <c r="H649" t="n">
        <v>0</v>
      </c>
      <c r="I649" t="n">
        <v>0</v>
      </c>
      <c r="J649" t="n">
        <v>0</v>
      </c>
      <c r="K649" t="n">
        <v>0</v>
      </c>
      <c r="L649" t="n">
        <v>0</v>
      </c>
      <c r="M649" t="n">
        <v>0</v>
      </c>
      <c r="N649" t="n">
        <v>0</v>
      </c>
      <c r="O649" t="n">
        <v>0</v>
      </c>
      <c r="P649" t="n">
        <v>0</v>
      </c>
      <c r="Q649" t="n">
        <v>0</v>
      </c>
      <c r="R649" s="2" t="inlineStr"/>
    </row>
    <row r="650" ht="15" customHeight="1">
      <c r="A650" t="inlineStr">
        <is>
          <t>A 28897-2025</t>
        </is>
      </c>
      <c r="B650" s="1" t="n">
        <v>45820.6360300926</v>
      </c>
      <c r="C650" s="1" t="n">
        <v>45892</v>
      </c>
      <c r="D650" t="inlineStr">
        <is>
          <t>VÄSTERBOTTENS LÄN</t>
        </is>
      </c>
      <c r="E650" t="inlineStr">
        <is>
          <t>VILHELMINA</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34807-2023</t>
        </is>
      </c>
      <c r="B651" s="1" t="n">
        <v>45140</v>
      </c>
      <c r="C651" s="1" t="n">
        <v>45892</v>
      </c>
      <c r="D651" t="inlineStr">
        <is>
          <t>VÄSTERBOTTENS LÄN</t>
        </is>
      </c>
      <c r="E651" t="inlineStr">
        <is>
          <t>VILHELMINA</t>
        </is>
      </c>
      <c r="G651" t="n">
        <v>8.1</v>
      </c>
      <c r="H651" t="n">
        <v>0</v>
      </c>
      <c r="I651" t="n">
        <v>0</v>
      </c>
      <c r="J651" t="n">
        <v>0</v>
      </c>
      <c r="K651" t="n">
        <v>0</v>
      </c>
      <c r="L651" t="n">
        <v>0</v>
      </c>
      <c r="M651" t="n">
        <v>0</v>
      </c>
      <c r="N651" t="n">
        <v>0</v>
      </c>
      <c r="O651" t="n">
        <v>0</v>
      </c>
      <c r="P651" t="n">
        <v>0</v>
      </c>
      <c r="Q651" t="n">
        <v>0</v>
      </c>
      <c r="R651" s="2" t="inlineStr"/>
    </row>
    <row r="652" ht="15" customHeight="1">
      <c r="A652" t="inlineStr">
        <is>
          <t>A 53606-2024</t>
        </is>
      </c>
      <c r="B652" s="1" t="n">
        <v>45614</v>
      </c>
      <c r="C652" s="1" t="n">
        <v>45892</v>
      </c>
      <c r="D652" t="inlineStr">
        <is>
          <t>VÄSTERBOTTENS LÄN</t>
        </is>
      </c>
      <c r="E652" t="inlineStr">
        <is>
          <t>VILHELMINA</t>
        </is>
      </c>
      <c r="F652" t="inlineStr">
        <is>
          <t>SCA</t>
        </is>
      </c>
      <c r="G652" t="n">
        <v>10.1</v>
      </c>
      <c r="H652" t="n">
        <v>0</v>
      </c>
      <c r="I652" t="n">
        <v>0</v>
      </c>
      <c r="J652" t="n">
        <v>0</v>
      </c>
      <c r="K652" t="n">
        <v>0</v>
      </c>
      <c r="L652" t="n">
        <v>0</v>
      </c>
      <c r="M652" t="n">
        <v>0</v>
      </c>
      <c r="N652" t="n">
        <v>0</v>
      </c>
      <c r="O652" t="n">
        <v>0</v>
      </c>
      <c r="P652" t="n">
        <v>0</v>
      </c>
      <c r="Q652" t="n">
        <v>0</v>
      </c>
      <c r="R652" s="2" t="inlineStr"/>
    </row>
    <row r="653" ht="15" customHeight="1">
      <c r="A653" t="inlineStr">
        <is>
          <t>A 35888-2025</t>
        </is>
      </c>
      <c r="B653" s="1" t="n">
        <v>45862.44034722223</v>
      </c>
      <c r="C653" s="1" t="n">
        <v>45892</v>
      </c>
      <c r="D653" t="inlineStr">
        <is>
          <t>VÄSTERBOTTENS LÄN</t>
        </is>
      </c>
      <c r="E653" t="inlineStr">
        <is>
          <t>VILHELMINA</t>
        </is>
      </c>
      <c r="G653" t="n">
        <v>2.4</v>
      </c>
      <c r="H653" t="n">
        <v>0</v>
      </c>
      <c r="I653" t="n">
        <v>0</v>
      </c>
      <c r="J653" t="n">
        <v>0</v>
      </c>
      <c r="K653" t="n">
        <v>0</v>
      </c>
      <c r="L653" t="n">
        <v>0</v>
      </c>
      <c r="M653" t="n">
        <v>0</v>
      </c>
      <c r="N653" t="n">
        <v>0</v>
      </c>
      <c r="O653" t="n">
        <v>0</v>
      </c>
      <c r="P653" t="n">
        <v>0</v>
      </c>
      <c r="Q653" t="n">
        <v>0</v>
      </c>
      <c r="R653" s="2" t="inlineStr"/>
    </row>
    <row r="654" ht="15" customHeight="1">
      <c r="A654" t="inlineStr">
        <is>
          <t>A 54804-2024</t>
        </is>
      </c>
      <c r="B654" s="1" t="n">
        <v>45618</v>
      </c>
      <c r="C654" s="1" t="n">
        <v>45892</v>
      </c>
      <c r="D654" t="inlineStr">
        <is>
          <t>VÄSTERBOTTENS LÄN</t>
        </is>
      </c>
      <c r="E654" t="inlineStr">
        <is>
          <t>VILHELMINA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26663-2023</t>
        </is>
      </c>
      <c r="B655" s="1" t="n">
        <v>45092.94042824074</v>
      </c>
      <c r="C655" s="1" t="n">
        <v>45892</v>
      </c>
      <c r="D655" t="inlineStr">
        <is>
          <t>VÄSTERBOTTENS LÄN</t>
        </is>
      </c>
      <c r="E655" t="inlineStr">
        <is>
          <t>VILHELMINA</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20322-2022</t>
        </is>
      </c>
      <c r="B656" s="1" t="n">
        <v>44698</v>
      </c>
      <c r="C656" s="1" t="n">
        <v>45892</v>
      </c>
      <c r="D656" t="inlineStr">
        <is>
          <t>VÄSTERBOTTENS LÄN</t>
        </is>
      </c>
      <c r="E656" t="inlineStr">
        <is>
          <t>VILHELMINA</t>
        </is>
      </c>
      <c r="G656" t="n">
        <v>10.5</v>
      </c>
      <c r="H656" t="n">
        <v>0</v>
      </c>
      <c r="I656" t="n">
        <v>0</v>
      </c>
      <c r="J656" t="n">
        <v>0</v>
      </c>
      <c r="K656" t="n">
        <v>0</v>
      </c>
      <c r="L656" t="n">
        <v>0</v>
      </c>
      <c r="M656" t="n">
        <v>0</v>
      </c>
      <c r="N656" t="n">
        <v>0</v>
      </c>
      <c r="O656" t="n">
        <v>0</v>
      </c>
      <c r="P656" t="n">
        <v>0</v>
      </c>
      <c r="Q656" t="n">
        <v>0</v>
      </c>
      <c r="R656" s="2" t="inlineStr"/>
    </row>
    <row r="657" ht="15" customHeight="1">
      <c r="A657" t="inlineStr">
        <is>
          <t>A 38222-2024</t>
        </is>
      </c>
      <c r="B657" s="1" t="n">
        <v>45545.53619212963</v>
      </c>
      <c r="C657" s="1" t="n">
        <v>45892</v>
      </c>
      <c r="D657" t="inlineStr">
        <is>
          <t>VÄSTERBOTTENS LÄN</t>
        </is>
      </c>
      <c r="E657" t="inlineStr">
        <is>
          <t>VILHELMINA</t>
        </is>
      </c>
      <c r="F657" t="inlineStr">
        <is>
          <t>Sveaskog</t>
        </is>
      </c>
      <c r="G657" t="n">
        <v>6</v>
      </c>
      <c r="H657" t="n">
        <v>0</v>
      </c>
      <c r="I657" t="n">
        <v>0</v>
      </c>
      <c r="J657" t="n">
        <v>0</v>
      </c>
      <c r="K657" t="n">
        <v>0</v>
      </c>
      <c r="L657" t="n">
        <v>0</v>
      </c>
      <c r="M657" t="n">
        <v>0</v>
      </c>
      <c r="N657" t="n">
        <v>0</v>
      </c>
      <c r="O657" t="n">
        <v>0</v>
      </c>
      <c r="P657" t="n">
        <v>0</v>
      </c>
      <c r="Q657" t="n">
        <v>0</v>
      </c>
      <c r="R657" s="2" t="inlineStr"/>
    </row>
    <row r="658" ht="15" customHeight="1">
      <c r="A658" t="inlineStr">
        <is>
          <t>A 56747-2023</t>
        </is>
      </c>
      <c r="B658" s="1" t="n">
        <v>45238</v>
      </c>
      <c r="C658" s="1" t="n">
        <v>45892</v>
      </c>
      <c r="D658" t="inlineStr">
        <is>
          <t>VÄSTERBOTTENS LÄN</t>
        </is>
      </c>
      <c r="E658" t="inlineStr">
        <is>
          <t>VILHELMINA</t>
        </is>
      </c>
      <c r="F658" t="inlineStr">
        <is>
          <t>Allmännings- och besparingsskogar</t>
        </is>
      </c>
      <c r="G658" t="n">
        <v>16.2</v>
      </c>
      <c r="H658" t="n">
        <v>0</v>
      </c>
      <c r="I658" t="n">
        <v>0</v>
      </c>
      <c r="J658" t="n">
        <v>0</v>
      </c>
      <c r="K658" t="n">
        <v>0</v>
      </c>
      <c r="L658" t="n">
        <v>0</v>
      </c>
      <c r="M658" t="n">
        <v>0</v>
      </c>
      <c r="N658" t="n">
        <v>0</v>
      </c>
      <c r="O658" t="n">
        <v>0</v>
      </c>
      <c r="P658" t="n">
        <v>0</v>
      </c>
      <c r="Q658" t="n">
        <v>0</v>
      </c>
      <c r="R658" s="2" t="inlineStr"/>
    </row>
    <row r="659" ht="15" customHeight="1">
      <c r="A659" t="inlineStr">
        <is>
          <t>A 56758-2023</t>
        </is>
      </c>
      <c r="B659" s="1" t="n">
        <v>45238</v>
      </c>
      <c r="C659" s="1" t="n">
        <v>45892</v>
      </c>
      <c r="D659" t="inlineStr">
        <is>
          <t>VÄSTERBOTTENS LÄN</t>
        </is>
      </c>
      <c r="E659" t="inlineStr">
        <is>
          <t>VILHELMINA</t>
        </is>
      </c>
      <c r="F659" t="inlineStr">
        <is>
          <t>Allmännings- och besparingsskogar</t>
        </is>
      </c>
      <c r="G659" t="n">
        <v>371.4</v>
      </c>
      <c r="H659" t="n">
        <v>0</v>
      </c>
      <c r="I659" t="n">
        <v>0</v>
      </c>
      <c r="J659" t="n">
        <v>0</v>
      </c>
      <c r="K659" t="n">
        <v>0</v>
      </c>
      <c r="L659" t="n">
        <v>0</v>
      </c>
      <c r="M659" t="n">
        <v>0</v>
      </c>
      <c r="N659" t="n">
        <v>0</v>
      </c>
      <c r="O659" t="n">
        <v>0</v>
      </c>
      <c r="P659" t="n">
        <v>0</v>
      </c>
      <c r="Q659" t="n">
        <v>0</v>
      </c>
      <c r="R659" s="2" t="inlineStr"/>
    </row>
    <row r="660" ht="15" customHeight="1">
      <c r="A660" t="inlineStr">
        <is>
          <t>A 12118-2024</t>
        </is>
      </c>
      <c r="B660" s="1" t="n">
        <v>45376</v>
      </c>
      <c r="C660" s="1" t="n">
        <v>45892</v>
      </c>
      <c r="D660" t="inlineStr">
        <is>
          <t>VÄSTERBOTTENS LÄN</t>
        </is>
      </c>
      <c r="E660" t="inlineStr">
        <is>
          <t>VILHELMINA</t>
        </is>
      </c>
      <c r="G660" t="n">
        <v>3.6</v>
      </c>
      <c r="H660" t="n">
        <v>0</v>
      </c>
      <c r="I660" t="n">
        <v>0</v>
      </c>
      <c r="J660" t="n">
        <v>0</v>
      </c>
      <c r="K660" t="n">
        <v>0</v>
      </c>
      <c r="L660" t="n">
        <v>0</v>
      </c>
      <c r="M660" t="n">
        <v>0</v>
      </c>
      <c r="N660" t="n">
        <v>0</v>
      </c>
      <c r="O660" t="n">
        <v>0</v>
      </c>
      <c r="P660" t="n">
        <v>0</v>
      </c>
      <c r="Q660" t="n">
        <v>0</v>
      </c>
      <c r="R660" s="2" t="inlineStr"/>
    </row>
    <row r="661" ht="15" customHeight="1">
      <c r="A661" t="inlineStr">
        <is>
          <t>A 15326-2024</t>
        </is>
      </c>
      <c r="B661" s="1" t="n">
        <v>45400</v>
      </c>
      <c r="C661" s="1" t="n">
        <v>45892</v>
      </c>
      <c r="D661" t="inlineStr">
        <is>
          <t>VÄSTERBOTTENS LÄN</t>
        </is>
      </c>
      <c r="E661" t="inlineStr">
        <is>
          <t>VILHELMINA</t>
        </is>
      </c>
      <c r="G661" t="n">
        <v>4.7</v>
      </c>
      <c r="H661" t="n">
        <v>0</v>
      </c>
      <c r="I661" t="n">
        <v>0</v>
      </c>
      <c r="J661" t="n">
        <v>0</v>
      </c>
      <c r="K661" t="n">
        <v>0</v>
      </c>
      <c r="L661" t="n">
        <v>0</v>
      </c>
      <c r="M661" t="n">
        <v>0</v>
      </c>
      <c r="N661" t="n">
        <v>0</v>
      </c>
      <c r="O661" t="n">
        <v>0</v>
      </c>
      <c r="P661" t="n">
        <v>0</v>
      </c>
      <c r="Q661" t="n">
        <v>0</v>
      </c>
      <c r="R661" s="2" t="inlineStr"/>
    </row>
    <row r="662" ht="15" customHeight="1">
      <c r="A662" t="inlineStr">
        <is>
          <t>A 29120-2025</t>
        </is>
      </c>
      <c r="B662" s="1" t="n">
        <v>45821</v>
      </c>
      <c r="C662" s="1" t="n">
        <v>45892</v>
      </c>
      <c r="D662" t="inlineStr">
        <is>
          <t>VÄSTERBOTTENS LÄN</t>
        </is>
      </c>
      <c r="E662" t="inlineStr">
        <is>
          <t>VILHELMINA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48472-2023</t>
        </is>
      </c>
      <c r="B663" s="1" t="n">
        <v>45206.95761574074</v>
      </c>
      <c r="C663" s="1" t="n">
        <v>45892</v>
      </c>
      <c r="D663" t="inlineStr">
        <is>
          <t>VÄSTERBOTTENS LÄN</t>
        </is>
      </c>
      <c r="E663" t="inlineStr">
        <is>
          <t>VILHELMINA</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30681-2024</t>
        </is>
      </c>
      <c r="B664" s="1" t="n">
        <v>45495.9509837963</v>
      </c>
      <c r="C664" s="1" t="n">
        <v>45892</v>
      </c>
      <c r="D664" t="inlineStr">
        <is>
          <t>VÄSTERBOTTENS LÄN</t>
        </is>
      </c>
      <c r="E664" t="inlineStr">
        <is>
          <t>VILHELMINA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52740-2023</t>
        </is>
      </c>
      <c r="B665" s="1" t="n">
        <v>45225</v>
      </c>
      <c r="C665" s="1" t="n">
        <v>45892</v>
      </c>
      <c r="D665" t="inlineStr">
        <is>
          <t>VÄSTERBOTTENS LÄN</t>
        </is>
      </c>
      <c r="E665" t="inlineStr">
        <is>
          <t>VILHELMINA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29466-2025</t>
        </is>
      </c>
      <c r="B666" s="1" t="n">
        <v>45824.69865740741</v>
      </c>
      <c r="C666" s="1" t="n">
        <v>45892</v>
      </c>
      <c r="D666" t="inlineStr">
        <is>
          <t>VÄSTERBOTTENS LÄN</t>
        </is>
      </c>
      <c r="E666" t="inlineStr">
        <is>
          <t>VILHELMINA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66952-2021</t>
        </is>
      </c>
      <c r="B667" s="1" t="n">
        <v>44522</v>
      </c>
      <c r="C667" s="1" t="n">
        <v>45892</v>
      </c>
      <c r="D667" t="inlineStr">
        <is>
          <t>VÄSTERBOTTENS LÄN</t>
        </is>
      </c>
      <c r="E667" t="inlineStr">
        <is>
          <t>VILHELMINA</t>
        </is>
      </c>
      <c r="F667" t="inlineStr">
        <is>
          <t>Allmännings- och besparingsskogar</t>
        </is>
      </c>
      <c r="G667" t="n">
        <v>70</v>
      </c>
      <c r="H667" t="n">
        <v>0</v>
      </c>
      <c r="I667" t="n">
        <v>0</v>
      </c>
      <c r="J667" t="n">
        <v>0</v>
      </c>
      <c r="K667" t="n">
        <v>0</v>
      </c>
      <c r="L667" t="n">
        <v>0</v>
      </c>
      <c r="M667" t="n">
        <v>0</v>
      </c>
      <c r="N667" t="n">
        <v>0</v>
      </c>
      <c r="O667" t="n">
        <v>0</v>
      </c>
      <c r="P667" t="n">
        <v>0</v>
      </c>
      <c r="Q667" t="n">
        <v>0</v>
      </c>
      <c r="R667" s="2" t="inlineStr"/>
    </row>
    <row r="668" ht="15" customHeight="1">
      <c r="A668" t="inlineStr">
        <is>
          <t>A 29203-2025</t>
        </is>
      </c>
      <c r="B668" s="1" t="n">
        <v>45823</v>
      </c>
      <c r="C668" s="1" t="n">
        <v>45892</v>
      </c>
      <c r="D668" t="inlineStr">
        <is>
          <t>VÄSTERBOTTENS LÄN</t>
        </is>
      </c>
      <c r="E668" t="inlineStr">
        <is>
          <t>VILHELMINA</t>
        </is>
      </c>
      <c r="G668" t="n">
        <v>2.3</v>
      </c>
      <c r="H668" t="n">
        <v>0</v>
      </c>
      <c r="I668" t="n">
        <v>0</v>
      </c>
      <c r="J668" t="n">
        <v>0</v>
      </c>
      <c r="K668" t="n">
        <v>0</v>
      </c>
      <c r="L668" t="n">
        <v>0</v>
      </c>
      <c r="M668" t="n">
        <v>0</v>
      </c>
      <c r="N668" t="n">
        <v>0</v>
      </c>
      <c r="O668" t="n">
        <v>0</v>
      </c>
      <c r="P668" t="n">
        <v>0</v>
      </c>
      <c r="Q668" t="n">
        <v>0</v>
      </c>
      <c r="R668" s="2" t="inlineStr"/>
    </row>
    <row r="669" ht="15" customHeight="1">
      <c r="A669" t="inlineStr">
        <is>
          <t>A 24828-2023</t>
        </is>
      </c>
      <c r="B669" s="1" t="n">
        <v>45084</v>
      </c>
      <c r="C669" s="1" t="n">
        <v>45892</v>
      </c>
      <c r="D669" t="inlineStr">
        <is>
          <t>VÄSTERBOTTENS LÄN</t>
        </is>
      </c>
      <c r="E669" t="inlineStr">
        <is>
          <t>VILHELMINA</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36972-2023</t>
        </is>
      </c>
      <c r="B670" s="1" t="n">
        <v>45154</v>
      </c>
      <c r="C670" s="1" t="n">
        <v>45892</v>
      </c>
      <c r="D670" t="inlineStr">
        <is>
          <t>VÄSTERBOTTENS LÄN</t>
        </is>
      </c>
      <c r="E670" t="inlineStr">
        <is>
          <t>VILHELMINA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30575-2024</t>
        </is>
      </c>
      <c r="B671" s="1" t="n">
        <v>45492.95818287037</v>
      </c>
      <c r="C671" s="1" t="n">
        <v>45892</v>
      </c>
      <c r="D671" t="inlineStr">
        <is>
          <t>VÄSTERBOTTENS LÄN</t>
        </is>
      </c>
      <c r="E671" t="inlineStr">
        <is>
          <t>VILHELMINA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30578-2024</t>
        </is>
      </c>
      <c r="B672" s="1" t="n">
        <v>45492.95939814814</v>
      </c>
      <c r="C672" s="1" t="n">
        <v>45892</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30580-2024</t>
        </is>
      </c>
      <c r="B673" s="1" t="n">
        <v>45492.95981481481</v>
      </c>
      <c r="C673" s="1" t="n">
        <v>45892</v>
      </c>
      <c r="D673" t="inlineStr">
        <is>
          <t>VÄSTERBOTTENS LÄN</t>
        </is>
      </c>
      <c r="E673" t="inlineStr">
        <is>
          <t>VILHELMINA</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26381-2024</t>
        </is>
      </c>
      <c r="B674" s="1" t="n">
        <v>45469</v>
      </c>
      <c r="C674" s="1" t="n">
        <v>45892</v>
      </c>
      <c r="D674" t="inlineStr">
        <is>
          <t>VÄSTERBOTTENS LÄN</t>
        </is>
      </c>
      <c r="E674" t="inlineStr">
        <is>
          <t>VILHELMINA</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29234-2025</t>
        </is>
      </c>
      <c r="B675" s="1" t="n">
        <v>45824.34478009259</v>
      </c>
      <c r="C675" s="1" t="n">
        <v>45892</v>
      </c>
      <c r="D675" t="inlineStr">
        <is>
          <t>VÄSTERBOTTENS LÄN</t>
        </is>
      </c>
      <c r="E675" t="inlineStr">
        <is>
          <t>VILHELMINA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53034-2023</t>
        </is>
      </c>
      <c r="B676" s="1" t="n">
        <v>45226.96258101852</v>
      </c>
      <c r="C676" s="1" t="n">
        <v>45892</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36288-2021</t>
        </is>
      </c>
      <c r="B677" s="1" t="n">
        <v>44389</v>
      </c>
      <c r="C677" s="1" t="n">
        <v>45892</v>
      </c>
      <c r="D677" t="inlineStr">
        <is>
          <t>VÄSTERBOTTENS LÄN</t>
        </is>
      </c>
      <c r="E677" t="inlineStr">
        <is>
          <t>VILHELMINA</t>
        </is>
      </c>
      <c r="G677" t="n">
        <v>20.5</v>
      </c>
      <c r="H677" t="n">
        <v>0</v>
      </c>
      <c r="I677" t="n">
        <v>0</v>
      </c>
      <c r="J677" t="n">
        <v>0</v>
      </c>
      <c r="K677" t="n">
        <v>0</v>
      </c>
      <c r="L677" t="n">
        <v>0</v>
      </c>
      <c r="M677" t="n">
        <v>0</v>
      </c>
      <c r="N677" t="n">
        <v>0</v>
      </c>
      <c r="O677" t="n">
        <v>0</v>
      </c>
      <c r="P677" t="n">
        <v>0</v>
      </c>
      <c r="Q677" t="n">
        <v>0</v>
      </c>
      <c r="R677" s="2" t="inlineStr"/>
    </row>
    <row r="678" ht="15" customHeight="1">
      <c r="A678" t="inlineStr">
        <is>
          <t>A 48754-2021</t>
        </is>
      </c>
      <c r="B678" s="1" t="n">
        <v>44452</v>
      </c>
      <c r="C678" s="1" t="n">
        <v>45892</v>
      </c>
      <c r="D678" t="inlineStr">
        <is>
          <t>VÄSTERBOTTENS LÄN</t>
        </is>
      </c>
      <c r="E678" t="inlineStr">
        <is>
          <t>VILHELMINA</t>
        </is>
      </c>
      <c r="G678" t="n">
        <v>5.6</v>
      </c>
      <c r="H678" t="n">
        <v>0</v>
      </c>
      <c r="I678" t="n">
        <v>0</v>
      </c>
      <c r="J678" t="n">
        <v>0</v>
      </c>
      <c r="K678" t="n">
        <v>0</v>
      </c>
      <c r="L678" t="n">
        <v>0</v>
      </c>
      <c r="M678" t="n">
        <v>0</v>
      </c>
      <c r="N678" t="n">
        <v>0</v>
      </c>
      <c r="O678" t="n">
        <v>0</v>
      </c>
      <c r="P678" t="n">
        <v>0</v>
      </c>
      <c r="Q678" t="n">
        <v>0</v>
      </c>
      <c r="R678" s="2" t="inlineStr"/>
    </row>
    <row r="679" ht="15" customHeight="1">
      <c r="A679" t="inlineStr">
        <is>
          <t>A 48756-2021</t>
        </is>
      </c>
      <c r="B679" s="1" t="n">
        <v>44452</v>
      </c>
      <c r="C679" s="1" t="n">
        <v>45892</v>
      </c>
      <c r="D679" t="inlineStr">
        <is>
          <t>VÄSTERBOTTENS LÄN</t>
        </is>
      </c>
      <c r="E679" t="inlineStr">
        <is>
          <t>VILHELMINA</t>
        </is>
      </c>
      <c r="G679" t="n">
        <v>13.3</v>
      </c>
      <c r="H679" t="n">
        <v>0</v>
      </c>
      <c r="I679" t="n">
        <v>0</v>
      </c>
      <c r="J679" t="n">
        <v>0</v>
      </c>
      <c r="K679" t="n">
        <v>0</v>
      </c>
      <c r="L679" t="n">
        <v>0</v>
      </c>
      <c r="M679" t="n">
        <v>0</v>
      </c>
      <c r="N679" t="n">
        <v>0</v>
      </c>
      <c r="O679" t="n">
        <v>0</v>
      </c>
      <c r="P679" t="n">
        <v>0</v>
      </c>
      <c r="Q679" t="n">
        <v>0</v>
      </c>
      <c r="R679" s="2" t="inlineStr"/>
    </row>
    <row r="680" ht="15" customHeight="1">
      <c r="A680" t="inlineStr">
        <is>
          <t>A 29468-2025</t>
        </is>
      </c>
      <c r="B680" s="1" t="n">
        <v>45824.69888888889</v>
      </c>
      <c r="C680" s="1" t="n">
        <v>45892</v>
      </c>
      <c r="D680" t="inlineStr">
        <is>
          <t>VÄSTERBOTTENS LÄN</t>
        </is>
      </c>
      <c r="E680" t="inlineStr">
        <is>
          <t>VILHELMINA</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16719-2025</t>
        </is>
      </c>
      <c r="B681" s="1" t="n">
        <v>45754.49008101852</v>
      </c>
      <c r="C681" s="1" t="n">
        <v>45892</v>
      </c>
      <c r="D681" t="inlineStr">
        <is>
          <t>VÄSTERBOTTENS LÄN</t>
        </is>
      </c>
      <c r="E681" t="inlineStr">
        <is>
          <t>VILHELMINA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69621-2020</t>
        </is>
      </c>
      <c r="B682" s="1" t="n">
        <v>44195</v>
      </c>
      <c r="C682" s="1" t="n">
        <v>45892</v>
      </c>
      <c r="D682" t="inlineStr">
        <is>
          <t>VÄSTERBOTTENS LÄN</t>
        </is>
      </c>
      <c r="E682" t="inlineStr">
        <is>
          <t>VILHELMINA</t>
        </is>
      </c>
      <c r="G682" t="n">
        <v>2.9</v>
      </c>
      <c r="H682" t="n">
        <v>0</v>
      </c>
      <c r="I682" t="n">
        <v>0</v>
      </c>
      <c r="J682" t="n">
        <v>0</v>
      </c>
      <c r="K682" t="n">
        <v>0</v>
      </c>
      <c r="L682" t="n">
        <v>0</v>
      </c>
      <c r="M682" t="n">
        <v>0</v>
      </c>
      <c r="N682" t="n">
        <v>0</v>
      </c>
      <c r="O682" t="n">
        <v>0</v>
      </c>
      <c r="P682" t="n">
        <v>0</v>
      </c>
      <c r="Q682" t="n">
        <v>0</v>
      </c>
      <c r="R682" s="2" t="inlineStr"/>
    </row>
    <row r="683" ht="15" customHeight="1">
      <c r="A683" t="inlineStr">
        <is>
          <t>A 7102-2024</t>
        </is>
      </c>
      <c r="B683" s="1" t="n">
        <v>45343</v>
      </c>
      <c r="C683" s="1" t="n">
        <v>45892</v>
      </c>
      <c r="D683" t="inlineStr">
        <is>
          <t>VÄSTERBOTTENS LÄN</t>
        </is>
      </c>
      <c r="E683" t="inlineStr">
        <is>
          <t>VILHELMINA</t>
        </is>
      </c>
      <c r="G683" t="n">
        <v>3.2</v>
      </c>
      <c r="H683" t="n">
        <v>0</v>
      </c>
      <c r="I683" t="n">
        <v>0</v>
      </c>
      <c r="J683" t="n">
        <v>0</v>
      </c>
      <c r="K683" t="n">
        <v>0</v>
      </c>
      <c r="L683" t="n">
        <v>0</v>
      </c>
      <c r="M683" t="n">
        <v>0</v>
      </c>
      <c r="N683" t="n">
        <v>0</v>
      </c>
      <c r="O683" t="n">
        <v>0</v>
      </c>
      <c r="P683" t="n">
        <v>0</v>
      </c>
      <c r="Q683" t="n">
        <v>0</v>
      </c>
      <c r="R683" s="2" t="inlineStr"/>
    </row>
    <row r="684" ht="15" customHeight="1">
      <c r="A684" t="inlineStr">
        <is>
          <t>A 54457-2024</t>
        </is>
      </c>
      <c r="B684" s="1" t="n">
        <v>45617</v>
      </c>
      <c r="C684" s="1" t="n">
        <v>45892</v>
      </c>
      <c r="D684" t="inlineStr">
        <is>
          <t>VÄSTERBOTTENS LÄN</t>
        </is>
      </c>
      <c r="E684" t="inlineStr">
        <is>
          <t>VILHELMINA</t>
        </is>
      </c>
      <c r="F684" t="inlineStr">
        <is>
          <t>SCA</t>
        </is>
      </c>
      <c r="G684" t="n">
        <v>8</v>
      </c>
      <c r="H684" t="n">
        <v>0</v>
      </c>
      <c r="I684" t="n">
        <v>0</v>
      </c>
      <c r="J684" t="n">
        <v>0</v>
      </c>
      <c r="K684" t="n">
        <v>0</v>
      </c>
      <c r="L684" t="n">
        <v>0</v>
      </c>
      <c r="M684" t="n">
        <v>0</v>
      </c>
      <c r="N684" t="n">
        <v>0</v>
      </c>
      <c r="O684" t="n">
        <v>0</v>
      </c>
      <c r="P684" t="n">
        <v>0</v>
      </c>
      <c r="Q684" t="n">
        <v>0</v>
      </c>
      <c r="R684" s="2" t="inlineStr"/>
    </row>
    <row r="685" ht="15" customHeight="1">
      <c r="A685" t="inlineStr">
        <is>
          <t>A 39677-2024</t>
        </is>
      </c>
      <c r="B685" s="1" t="n">
        <v>45552</v>
      </c>
      <c r="C685" s="1" t="n">
        <v>45892</v>
      </c>
      <c r="D685" t="inlineStr">
        <is>
          <t>VÄSTERBOTTENS LÄN</t>
        </is>
      </c>
      <c r="E685" t="inlineStr">
        <is>
          <t>VILHELMINA</t>
        </is>
      </c>
      <c r="F685" t="inlineStr">
        <is>
          <t>SCA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26000-2023</t>
        </is>
      </c>
      <c r="B686" s="1" t="n">
        <v>45090</v>
      </c>
      <c r="C686" s="1" t="n">
        <v>45892</v>
      </c>
      <c r="D686" t="inlineStr">
        <is>
          <t>VÄSTERBOTTENS LÄN</t>
        </is>
      </c>
      <c r="E686" t="inlineStr">
        <is>
          <t>VILHELMINA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29940-2025</t>
        </is>
      </c>
      <c r="B687" s="1" t="n">
        <v>45826.45104166667</v>
      </c>
      <c r="C687" s="1" t="n">
        <v>45892</v>
      </c>
      <c r="D687" t="inlineStr">
        <is>
          <t>VÄSTERBOTTENS LÄN</t>
        </is>
      </c>
      <c r="E687" t="inlineStr">
        <is>
          <t>VILHELMINA</t>
        </is>
      </c>
      <c r="F687" t="inlineStr">
        <is>
          <t>Sveaskog</t>
        </is>
      </c>
      <c r="G687" t="n">
        <v>11.6</v>
      </c>
      <c r="H687" t="n">
        <v>0</v>
      </c>
      <c r="I687" t="n">
        <v>0</v>
      </c>
      <c r="J687" t="n">
        <v>0</v>
      </c>
      <c r="K687" t="n">
        <v>0</v>
      </c>
      <c r="L687" t="n">
        <v>0</v>
      </c>
      <c r="M687" t="n">
        <v>0</v>
      </c>
      <c r="N687" t="n">
        <v>0</v>
      </c>
      <c r="O687" t="n">
        <v>0</v>
      </c>
      <c r="P687" t="n">
        <v>0</v>
      </c>
      <c r="Q687" t="n">
        <v>0</v>
      </c>
      <c r="R687" s="2" t="inlineStr"/>
    </row>
    <row r="688" ht="15" customHeight="1">
      <c r="A688" t="inlineStr">
        <is>
          <t>A 29942-2025</t>
        </is>
      </c>
      <c r="B688" s="1" t="n">
        <v>45826.45702546297</v>
      </c>
      <c r="C688" s="1" t="n">
        <v>45892</v>
      </c>
      <c r="D688" t="inlineStr">
        <is>
          <t>VÄSTERBOTTENS LÄN</t>
        </is>
      </c>
      <c r="E688" t="inlineStr">
        <is>
          <t>VILHELMINA</t>
        </is>
      </c>
      <c r="F688" t="inlineStr">
        <is>
          <t>Sveaskog</t>
        </is>
      </c>
      <c r="G688" t="n">
        <v>2.6</v>
      </c>
      <c r="H688" t="n">
        <v>0</v>
      </c>
      <c r="I688" t="n">
        <v>0</v>
      </c>
      <c r="J688" t="n">
        <v>0</v>
      </c>
      <c r="K688" t="n">
        <v>0</v>
      </c>
      <c r="L688" t="n">
        <v>0</v>
      </c>
      <c r="M688" t="n">
        <v>0</v>
      </c>
      <c r="N688" t="n">
        <v>0</v>
      </c>
      <c r="O688" t="n">
        <v>0</v>
      </c>
      <c r="P688" t="n">
        <v>0</v>
      </c>
      <c r="Q688" t="n">
        <v>0</v>
      </c>
      <c r="R688" s="2" t="inlineStr"/>
    </row>
    <row r="689" ht="15" customHeight="1">
      <c r="A689" t="inlineStr">
        <is>
          <t>A 19223-2025</t>
        </is>
      </c>
      <c r="B689" s="1" t="n">
        <v>45769</v>
      </c>
      <c r="C689" s="1" t="n">
        <v>45892</v>
      </c>
      <c r="D689" t="inlineStr">
        <is>
          <t>VÄSTERBOTTENS LÄN</t>
        </is>
      </c>
      <c r="E689" t="inlineStr">
        <is>
          <t>VILHELMINA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37716-2024</t>
        </is>
      </c>
      <c r="B690" s="1" t="n">
        <v>45541.63592592593</v>
      </c>
      <c r="C690" s="1" t="n">
        <v>45892</v>
      </c>
      <c r="D690" t="inlineStr">
        <is>
          <t>VÄSTERBOTTENS LÄN</t>
        </is>
      </c>
      <c r="E690" t="inlineStr">
        <is>
          <t>VILHELMINA</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9534-2023</t>
        </is>
      </c>
      <c r="B691" s="1" t="n">
        <v>44981.72646990741</v>
      </c>
      <c r="C691" s="1" t="n">
        <v>45892</v>
      </c>
      <c r="D691" t="inlineStr">
        <is>
          <t>VÄSTERBOTTENS LÄN</t>
        </is>
      </c>
      <c r="E691" t="inlineStr">
        <is>
          <t>VILHELMINA</t>
        </is>
      </c>
      <c r="G691" t="n">
        <v>1.7</v>
      </c>
      <c r="H691" t="n">
        <v>0</v>
      </c>
      <c r="I691" t="n">
        <v>0</v>
      </c>
      <c r="J691" t="n">
        <v>0</v>
      </c>
      <c r="K691" t="n">
        <v>0</v>
      </c>
      <c r="L691" t="n">
        <v>0</v>
      </c>
      <c r="M691" t="n">
        <v>0</v>
      </c>
      <c r="N691" t="n">
        <v>0</v>
      </c>
      <c r="O691" t="n">
        <v>0</v>
      </c>
      <c r="P691" t="n">
        <v>0</v>
      </c>
      <c r="Q691" t="n">
        <v>0</v>
      </c>
      <c r="R691" s="2" t="inlineStr"/>
    </row>
    <row r="692" ht="15" customHeight="1">
      <c r="A692" t="inlineStr">
        <is>
          <t>A 40781-2023</t>
        </is>
      </c>
      <c r="B692" s="1" t="n">
        <v>45170.95747685185</v>
      </c>
      <c r="C692" s="1" t="n">
        <v>45892</v>
      </c>
      <c r="D692" t="inlineStr">
        <is>
          <t>VÄSTERBOTTENS LÄN</t>
        </is>
      </c>
      <c r="E692" t="inlineStr">
        <is>
          <t>VILHELMINA</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30553-2025</t>
        </is>
      </c>
      <c r="B693" s="1" t="n">
        <v>45831.38579861111</v>
      </c>
      <c r="C693" s="1" t="n">
        <v>45892</v>
      </c>
      <c r="D693" t="inlineStr">
        <is>
          <t>VÄSTERBOTTENS LÄN</t>
        </is>
      </c>
      <c r="E693" t="inlineStr">
        <is>
          <t>VILHELMINA</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30746-2025</t>
        </is>
      </c>
      <c r="B694" s="1" t="n">
        <v>45831.58256944444</v>
      </c>
      <c r="C694" s="1" t="n">
        <v>45892</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20653-2021</t>
        </is>
      </c>
      <c r="B695" s="1" t="n">
        <v>44316.41677083333</v>
      </c>
      <c r="C695" s="1" t="n">
        <v>45892</v>
      </c>
      <c r="D695" t="inlineStr">
        <is>
          <t>VÄSTERBOTTENS LÄN</t>
        </is>
      </c>
      <c r="E695" t="inlineStr">
        <is>
          <t>VILHELMINA</t>
        </is>
      </c>
      <c r="F695" t="inlineStr">
        <is>
          <t>Kommuner</t>
        </is>
      </c>
      <c r="G695" t="n">
        <v>2.5</v>
      </c>
      <c r="H695" t="n">
        <v>0</v>
      </c>
      <c r="I695" t="n">
        <v>0</v>
      </c>
      <c r="J695" t="n">
        <v>0</v>
      </c>
      <c r="K695" t="n">
        <v>0</v>
      </c>
      <c r="L695" t="n">
        <v>0</v>
      </c>
      <c r="M695" t="n">
        <v>0</v>
      </c>
      <c r="N695" t="n">
        <v>0</v>
      </c>
      <c r="O695" t="n">
        <v>0</v>
      </c>
      <c r="P695" t="n">
        <v>0</v>
      </c>
      <c r="Q695" t="n">
        <v>0</v>
      </c>
      <c r="R695" s="2" t="inlineStr"/>
    </row>
    <row r="696" ht="15" customHeight="1">
      <c r="A696" t="inlineStr">
        <is>
          <t>A 13200-2025</t>
        </is>
      </c>
      <c r="B696" s="1" t="n">
        <v>45735</v>
      </c>
      <c r="C696" s="1" t="n">
        <v>45892</v>
      </c>
      <c r="D696" t="inlineStr">
        <is>
          <t>VÄSTERBOTTENS LÄN</t>
        </is>
      </c>
      <c r="E696" t="inlineStr">
        <is>
          <t>VILHELMINA</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22457-2025</t>
        </is>
      </c>
      <c r="B697" s="1" t="n">
        <v>45786</v>
      </c>
      <c r="C697" s="1" t="n">
        <v>45892</v>
      </c>
      <c r="D697" t="inlineStr">
        <is>
          <t>VÄSTERBOTTENS LÄN</t>
        </is>
      </c>
      <c r="E697" t="inlineStr">
        <is>
          <t>VILHELMINA</t>
        </is>
      </c>
      <c r="G697" t="n">
        <v>10.8</v>
      </c>
      <c r="H697" t="n">
        <v>0</v>
      </c>
      <c r="I697" t="n">
        <v>0</v>
      </c>
      <c r="J697" t="n">
        <v>0</v>
      </c>
      <c r="K697" t="n">
        <v>0</v>
      </c>
      <c r="L697" t="n">
        <v>0</v>
      </c>
      <c r="M697" t="n">
        <v>0</v>
      </c>
      <c r="N697" t="n">
        <v>0</v>
      </c>
      <c r="O697" t="n">
        <v>0</v>
      </c>
      <c r="P697" t="n">
        <v>0</v>
      </c>
      <c r="Q697" t="n">
        <v>0</v>
      </c>
      <c r="R697" s="2" t="inlineStr"/>
    </row>
    <row r="698" ht="15" customHeight="1">
      <c r="A698" t="inlineStr">
        <is>
          <t>A 35285-2025</t>
        </is>
      </c>
      <c r="B698" s="1" t="n">
        <v>45854</v>
      </c>
      <c r="C698" s="1" t="n">
        <v>45892</v>
      </c>
      <c r="D698" t="inlineStr">
        <is>
          <t>VÄSTERBOTTENS LÄN</t>
        </is>
      </c>
      <c r="E698" t="inlineStr">
        <is>
          <t>VILHELMINA</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36569-2025</t>
        </is>
      </c>
      <c r="B699" s="1" t="n">
        <v>45870</v>
      </c>
      <c r="C699" s="1" t="n">
        <v>45892</v>
      </c>
      <c r="D699" t="inlineStr">
        <is>
          <t>VÄSTERBOTTENS LÄN</t>
        </is>
      </c>
      <c r="E699" t="inlineStr">
        <is>
          <t>VILHELMINA</t>
        </is>
      </c>
      <c r="F699" t="inlineStr">
        <is>
          <t>SCA</t>
        </is>
      </c>
      <c r="G699" t="n">
        <v>5.1</v>
      </c>
      <c r="H699" t="n">
        <v>0</v>
      </c>
      <c r="I699" t="n">
        <v>0</v>
      </c>
      <c r="J699" t="n">
        <v>0</v>
      </c>
      <c r="K699" t="n">
        <v>0</v>
      </c>
      <c r="L699" t="n">
        <v>0</v>
      </c>
      <c r="M699" t="n">
        <v>0</v>
      </c>
      <c r="N699" t="n">
        <v>0</v>
      </c>
      <c r="O699" t="n">
        <v>0</v>
      </c>
      <c r="P699" t="n">
        <v>0</v>
      </c>
      <c r="Q699" t="n">
        <v>0</v>
      </c>
      <c r="R699" s="2" t="inlineStr"/>
    </row>
    <row r="700" ht="15" customHeight="1">
      <c r="A700" t="inlineStr">
        <is>
          <t>A 36376-2023</t>
        </is>
      </c>
      <c r="B700" s="1" t="n">
        <v>45152</v>
      </c>
      <c r="C700" s="1" t="n">
        <v>45892</v>
      </c>
      <c r="D700" t="inlineStr">
        <is>
          <t>VÄSTERBOTTENS LÄN</t>
        </is>
      </c>
      <c r="E700" t="inlineStr">
        <is>
          <t>VILHELMINA</t>
        </is>
      </c>
      <c r="G700" t="n">
        <v>12.7</v>
      </c>
      <c r="H700" t="n">
        <v>0</v>
      </c>
      <c r="I700" t="n">
        <v>0</v>
      </c>
      <c r="J700" t="n">
        <v>0</v>
      </c>
      <c r="K700" t="n">
        <v>0</v>
      </c>
      <c r="L700" t="n">
        <v>0</v>
      </c>
      <c r="M700" t="n">
        <v>0</v>
      </c>
      <c r="N700" t="n">
        <v>0</v>
      </c>
      <c r="O700" t="n">
        <v>0</v>
      </c>
      <c r="P700" t="n">
        <v>0</v>
      </c>
      <c r="Q700" t="n">
        <v>0</v>
      </c>
      <c r="R700" s="2" t="inlineStr"/>
    </row>
    <row r="701" ht="15" customHeight="1">
      <c r="A701" t="inlineStr">
        <is>
          <t>A 54984-2023</t>
        </is>
      </c>
      <c r="B701" s="1" t="n">
        <v>45236</v>
      </c>
      <c r="C701" s="1" t="n">
        <v>45892</v>
      </c>
      <c r="D701" t="inlineStr">
        <is>
          <t>VÄSTERBOTTENS LÄN</t>
        </is>
      </c>
      <c r="E701" t="inlineStr">
        <is>
          <t>VILHELMINA</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35753-2023</t>
        </is>
      </c>
      <c r="B702" s="1" t="n">
        <v>45147.95390046296</v>
      </c>
      <c r="C702" s="1" t="n">
        <v>45892</v>
      </c>
      <c r="D702" t="inlineStr">
        <is>
          <t>VÄSTERBOTTENS LÄN</t>
        </is>
      </c>
      <c r="E702" t="inlineStr">
        <is>
          <t>VILHELMINA</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10956-2023</t>
        </is>
      </c>
      <c r="B703" s="1" t="n">
        <v>44985</v>
      </c>
      <c r="C703" s="1" t="n">
        <v>45892</v>
      </c>
      <c r="D703" t="inlineStr">
        <is>
          <t>VÄSTERBOTTENS LÄN</t>
        </is>
      </c>
      <c r="E703" t="inlineStr">
        <is>
          <t>VILHELMINA</t>
        </is>
      </c>
      <c r="G703" t="n">
        <v>3.3</v>
      </c>
      <c r="H703" t="n">
        <v>0</v>
      </c>
      <c r="I703" t="n">
        <v>0</v>
      </c>
      <c r="J703" t="n">
        <v>0</v>
      </c>
      <c r="K703" t="n">
        <v>0</v>
      </c>
      <c r="L703" t="n">
        <v>0</v>
      </c>
      <c r="M703" t="n">
        <v>0</v>
      </c>
      <c r="N703" t="n">
        <v>0</v>
      </c>
      <c r="O703" t="n">
        <v>0</v>
      </c>
      <c r="P703" t="n">
        <v>0</v>
      </c>
      <c r="Q703" t="n">
        <v>0</v>
      </c>
      <c r="R703" s="2" t="inlineStr"/>
    </row>
    <row r="704" ht="15" customHeight="1">
      <c r="A704" t="inlineStr">
        <is>
          <t>A 31868-2024</t>
        </is>
      </c>
      <c r="B704" s="1" t="n">
        <v>45509</v>
      </c>
      <c r="C704" s="1" t="n">
        <v>45892</v>
      </c>
      <c r="D704" t="inlineStr">
        <is>
          <t>VÄSTERBOTTENS LÄN</t>
        </is>
      </c>
      <c r="E704" t="inlineStr">
        <is>
          <t>VILHELMINA</t>
        </is>
      </c>
      <c r="G704" t="n">
        <v>4.5</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45892</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50505-2023</t>
        </is>
      </c>
      <c r="B706" s="1" t="n">
        <v>45216.95800925926</v>
      </c>
      <c r="C706" s="1" t="n">
        <v>45892</v>
      </c>
      <c r="D706" t="inlineStr">
        <is>
          <t>VÄSTERBOTTENS LÄN</t>
        </is>
      </c>
      <c r="E706" t="inlineStr">
        <is>
          <t>VILHELMINA</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44505-2024</t>
        </is>
      </c>
      <c r="B707" s="1" t="n">
        <v>45574.40974537037</v>
      </c>
      <c r="C707" s="1" t="n">
        <v>45892</v>
      </c>
      <c r="D707" t="inlineStr">
        <is>
          <t>VÄSTERBOTTENS LÄN</t>
        </is>
      </c>
      <c r="E707" t="inlineStr">
        <is>
          <t>VILHELMINA</t>
        </is>
      </c>
      <c r="G707" t="n">
        <v>15.5</v>
      </c>
      <c r="H707" t="n">
        <v>0</v>
      </c>
      <c r="I707" t="n">
        <v>0</v>
      </c>
      <c r="J707" t="n">
        <v>0</v>
      </c>
      <c r="K707" t="n">
        <v>0</v>
      </c>
      <c r="L707" t="n">
        <v>0</v>
      </c>
      <c r="M707" t="n">
        <v>0</v>
      </c>
      <c r="N707" t="n">
        <v>0</v>
      </c>
      <c r="O707" t="n">
        <v>0</v>
      </c>
      <c r="P707" t="n">
        <v>0</v>
      </c>
      <c r="Q707" t="n">
        <v>0</v>
      </c>
      <c r="R707" s="2" t="inlineStr"/>
    </row>
    <row r="708" ht="15" customHeight="1">
      <c r="A708" t="inlineStr">
        <is>
          <t>A 23180-2024</t>
        </is>
      </c>
      <c r="B708" s="1" t="n">
        <v>45450.9444212963</v>
      </c>
      <c r="C708" s="1" t="n">
        <v>45892</v>
      </c>
      <c r="D708" t="inlineStr">
        <is>
          <t>VÄSTERBOTTENS LÄN</t>
        </is>
      </c>
      <c r="E708" t="inlineStr">
        <is>
          <t>VILHELMINA</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63877-2023</t>
        </is>
      </c>
      <c r="B709" s="1" t="n">
        <v>45278</v>
      </c>
      <c r="C709" s="1" t="n">
        <v>45892</v>
      </c>
      <c r="D709" t="inlineStr">
        <is>
          <t>VÄSTERBOTTENS LÄN</t>
        </is>
      </c>
      <c r="E709" t="inlineStr">
        <is>
          <t>VILHELMINA</t>
        </is>
      </c>
      <c r="G709" t="n">
        <v>1.2</v>
      </c>
      <c r="H709" t="n">
        <v>0</v>
      </c>
      <c r="I709" t="n">
        <v>0</v>
      </c>
      <c r="J709" t="n">
        <v>0</v>
      </c>
      <c r="K709" t="n">
        <v>0</v>
      </c>
      <c r="L709" t="n">
        <v>0</v>
      </c>
      <c r="M709" t="n">
        <v>0</v>
      </c>
      <c r="N709" t="n">
        <v>0</v>
      </c>
      <c r="O709" t="n">
        <v>0</v>
      </c>
      <c r="P709" t="n">
        <v>0</v>
      </c>
      <c r="Q709" t="n">
        <v>0</v>
      </c>
      <c r="R709" s="2" t="inlineStr"/>
    </row>
    <row r="710" ht="15" customHeight="1">
      <c r="A710" t="inlineStr">
        <is>
          <t>A 36973-2025</t>
        </is>
      </c>
      <c r="B710" s="1" t="n">
        <v>45874.63747685185</v>
      </c>
      <c r="C710" s="1" t="n">
        <v>45892</v>
      </c>
      <c r="D710" t="inlineStr">
        <is>
          <t>VÄSTERBOTTENS LÄN</t>
        </is>
      </c>
      <c r="E710" t="inlineStr">
        <is>
          <t>VILHELMINA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29463-2024</t>
        </is>
      </c>
      <c r="B711" s="1" t="n">
        <v>45483.96994212963</v>
      </c>
      <c r="C711" s="1" t="n">
        <v>45892</v>
      </c>
      <c r="D711" t="inlineStr">
        <is>
          <t>VÄSTERBOTTENS LÄN</t>
        </is>
      </c>
      <c r="E711" t="inlineStr">
        <is>
          <t>VILHELMINA</t>
        </is>
      </c>
      <c r="F711" t="inlineStr">
        <is>
          <t>SCA</t>
        </is>
      </c>
      <c r="G711" t="n">
        <v>4.4</v>
      </c>
      <c r="H711" t="n">
        <v>0</v>
      </c>
      <c r="I711" t="n">
        <v>0</v>
      </c>
      <c r="J711" t="n">
        <v>0</v>
      </c>
      <c r="K711" t="n">
        <v>0</v>
      </c>
      <c r="L711" t="n">
        <v>0</v>
      </c>
      <c r="M711" t="n">
        <v>0</v>
      </c>
      <c r="N711" t="n">
        <v>0</v>
      </c>
      <c r="O711" t="n">
        <v>0</v>
      </c>
      <c r="P711" t="n">
        <v>0</v>
      </c>
      <c r="Q711" t="n">
        <v>0</v>
      </c>
      <c r="R711" s="2" t="inlineStr"/>
    </row>
    <row r="712" ht="15" customHeight="1">
      <c r="A712" t="inlineStr">
        <is>
          <t>A 36944-2025</t>
        </is>
      </c>
      <c r="B712" s="1" t="n">
        <v>45874.59450231482</v>
      </c>
      <c r="C712" s="1" t="n">
        <v>45892</v>
      </c>
      <c r="D712" t="inlineStr">
        <is>
          <t>VÄSTERBOTTENS LÄN</t>
        </is>
      </c>
      <c r="E712" t="inlineStr">
        <is>
          <t>VILHELMINA</t>
        </is>
      </c>
      <c r="F712" t="inlineStr">
        <is>
          <t>SCA</t>
        </is>
      </c>
      <c r="G712" t="n">
        <v>17.4</v>
      </c>
      <c r="H712" t="n">
        <v>0</v>
      </c>
      <c r="I712" t="n">
        <v>0</v>
      </c>
      <c r="J712" t="n">
        <v>0</v>
      </c>
      <c r="K712" t="n">
        <v>0</v>
      </c>
      <c r="L712" t="n">
        <v>0</v>
      </c>
      <c r="M712" t="n">
        <v>0</v>
      </c>
      <c r="N712" t="n">
        <v>0</v>
      </c>
      <c r="O712" t="n">
        <v>0</v>
      </c>
      <c r="P712" t="n">
        <v>0</v>
      </c>
      <c r="Q712" t="n">
        <v>0</v>
      </c>
      <c r="R712" s="2" t="inlineStr"/>
    </row>
    <row r="713" ht="15" customHeight="1">
      <c r="A713" t="inlineStr">
        <is>
          <t>A 72153-2021</t>
        </is>
      </c>
      <c r="B713" s="1" t="n">
        <v>44543</v>
      </c>
      <c r="C713" s="1" t="n">
        <v>45892</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27918-2022</t>
        </is>
      </c>
      <c r="B714" s="1" t="n">
        <v>44743.94145833333</v>
      </c>
      <c r="C714" s="1" t="n">
        <v>45892</v>
      </c>
      <c r="D714" t="inlineStr">
        <is>
          <t>VÄSTERBOTTENS LÄN</t>
        </is>
      </c>
      <c r="E714" t="inlineStr">
        <is>
          <t>VILHELMINA</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3096-2021</t>
        </is>
      </c>
      <c r="B715" s="1" t="n">
        <v>44216.93865740741</v>
      </c>
      <c r="C715" s="1" t="n">
        <v>45892</v>
      </c>
      <c r="D715" t="inlineStr">
        <is>
          <t>VÄSTERBOTTENS LÄN</t>
        </is>
      </c>
      <c r="E715" t="inlineStr">
        <is>
          <t>VILHELMINA</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11825-2023</t>
        </is>
      </c>
      <c r="B716" s="1" t="n">
        <v>44994</v>
      </c>
      <c r="C716" s="1" t="n">
        <v>45892</v>
      </c>
      <c r="D716" t="inlineStr">
        <is>
          <t>VÄSTERBOTTENS LÄN</t>
        </is>
      </c>
      <c r="E716" t="inlineStr">
        <is>
          <t>VILHELMINA</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8003-2021</t>
        </is>
      </c>
      <c r="B717" s="1" t="n">
        <v>44243</v>
      </c>
      <c r="C717" s="1" t="n">
        <v>45892</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31307-2025</t>
        </is>
      </c>
      <c r="B718" s="1" t="n">
        <v>45833</v>
      </c>
      <c r="C718" s="1" t="n">
        <v>45892</v>
      </c>
      <c r="D718" t="inlineStr">
        <is>
          <t>VÄSTERBOTTENS LÄN</t>
        </is>
      </c>
      <c r="E718" t="inlineStr">
        <is>
          <t>VILHELMINA</t>
        </is>
      </c>
      <c r="G718" t="n">
        <v>9.9</v>
      </c>
      <c r="H718" t="n">
        <v>0</v>
      </c>
      <c r="I718" t="n">
        <v>0</v>
      </c>
      <c r="J718" t="n">
        <v>0</v>
      </c>
      <c r="K718" t="n">
        <v>0</v>
      </c>
      <c r="L718" t="n">
        <v>0</v>
      </c>
      <c r="M718" t="n">
        <v>0</v>
      </c>
      <c r="N718" t="n">
        <v>0</v>
      </c>
      <c r="O718" t="n">
        <v>0</v>
      </c>
      <c r="P718" t="n">
        <v>0</v>
      </c>
      <c r="Q718" t="n">
        <v>0</v>
      </c>
      <c r="R718" s="2" t="inlineStr"/>
    </row>
    <row r="719" ht="15" customHeight="1">
      <c r="A719" t="inlineStr">
        <is>
          <t>A 37015-2025</t>
        </is>
      </c>
      <c r="B719" s="1" t="n">
        <v>45874.71912037037</v>
      </c>
      <c r="C719" s="1" t="n">
        <v>45892</v>
      </c>
      <c r="D719" t="inlineStr">
        <is>
          <t>VÄSTERBOTTENS LÄN</t>
        </is>
      </c>
      <c r="E719" t="inlineStr">
        <is>
          <t>VILHELMINA</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15782-2025</t>
        </is>
      </c>
      <c r="B720" s="1" t="n">
        <v>45748</v>
      </c>
      <c r="C720" s="1" t="n">
        <v>45892</v>
      </c>
      <c r="D720" t="inlineStr">
        <is>
          <t>VÄSTERBOTTENS LÄN</t>
        </is>
      </c>
      <c r="E720" t="inlineStr">
        <is>
          <t>VILHELMINA</t>
        </is>
      </c>
      <c r="G720" t="n">
        <v>2.5</v>
      </c>
      <c r="H720" t="n">
        <v>0</v>
      </c>
      <c r="I720" t="n">
        <v>0</v>
      </c>
      <c r="J720" t="n">
        <v>0</v>
      </c>
      <c r="K720" t="n">
        <v>0</v>
      </c>
      <c r="L720" t="n">
        <v>0</v>
      </c>
      <c r="M720" t="n">
        <v>0</v>
      </c>
      <c r="N720" t="n">
        <v>0</v>
      </c>
      <c r="O720" t="n">
        <v>0</v>
      </c>
      <c r="P720" t="n">
        <v>0</v>
      </c>
      <c r="Q720" t="n">
        <v>0</v>
      </c>
      <c r="R720" s="2" t="inlineStr"/>
    </row>
    <row r="721" ht="15" customHeight="1">
      <c r="A721" t="inlineStr">
        <is>
          <t>A 5955-2023</t>
        </is>
      </c>
      <c r="B721" s="1" t="n">
        <v>44963.93989583333</v>
      </c>
      <c r="C721" s="1" t="n">
        <v>45892</v>
      </c>
      <c r="D721" t="inlineStr">
        <is>
          <t>VÄSTERBOTTENS LÄN</t>
        </is>
      </c>
      <c r="E721" t="inlineStr">
        <is>
          <t>VILHELMINA</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31485-2025</t>
        </is>
      </c>
      <c r="B722" s="1" t="n">
        <v>45833</v>
      </c>
      <c r="C722" s="1" t="n">
        <v>45892</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42478-2024</t>
        </is>
      </c>
      <c r="B723" s="1" t="n">
        <v>45565.4912962963</v>
      </c>
      <c r="C723" s="1" t="n">
        <v>45892</v>
      </c>
      <c r="D723" t="inlineStr">
        <is>
          <t>VÄSTERBOTTENS LÄN</t>
        </is>
      </c>
      <c r="E723" t="inlineStr">
        <is>
          <t>VILHELMINA</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31308-2025</t>
        </is>
      </c>
      <c r="B724" s="1" t="n">
        <v>45833</v>
      </c>
      <c r="C724" s="1" t="n">
        <v>45892</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31730-2025</t>
        </is>
      </c>
      <c r="B725" s="1" t="n">
        <v>45834</v>
      </c>
      <c r="C725" s="1" t="n">
        <v>45892</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37376-2025</t>
        </is>
      </c>
      <c r="B726" s="1" t="n">
        <v>45877.36513888889</v>
      </c>
      <c r="C726" s="1" t="n">
        <v>45892</v>
      </c>
      <c r="D726" t="inlineStr">
        <is>
          <t>VÄSTERBOTTENS LÄN</t>
        </is>
      </c>
      <c r="E726" t="inlineStr">
        <is>
          <t>VILHELMINA</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60842-2023</t>
        </is>
      </c>
      <c r="B727" s="1" t="n">
        <v>45260.9258912037</v>
      </c>
      <c r="C727" s="1" t="n">
        <v>45892</v>
      </c>
      <c r="D727" t="inlineStr">
        <is>
          <t>VÄSTERBOTTENS LÄN</t>
        </is>
      </c>
      <c r="E727" t="inlineStr">
        <is>
          <t>VILHELMINA</t>
        </is>
      </c>
      <c r="G727" t="n">
        <v>2.9</v>
      </c>
      <c r="H727" t="n">
        <v>0</v>
      </c>
      <c r="I727" t="n">
        <v>0</v>
      </c>
      <c r="J727" t="n">
        <v>0</v>
      </c>
      <c r="K727" t="n">
        <v>0</v>
      </c>
      <c r="L727" t="n">
        <v>0</v>
      </c>
      <c r="M727" t="n">
        <v>0</v>
      </c>
      <c r="N727" t="n">
        <v>0</v>
      </c>
      <c r="O727" t="n">
        <v>0</v>
      </c>
      <c r="P727" t="n">
        <v>0</v>
      </c>
      <c r="Q727" t="n">
        <v>0</v>
      </c>
      <c r="R727" s="2" t="inlineStr"/>
    </row>
    <row r="728" ht="15" customHeight="1">
      <c r="A728" t="inlineStr">
        <is>
          <t>A 27881-2022</t>
        </is>
      </c>
      <c r="B728" s="1" t="n">
        <v>44743</v>
      </c>
      <c r="C728" s="1" t="n">
        <v>45892</v>
      </c>
      <c r="D728" t="inlineStr">
        <is>
          <t>VÄSTERBOTTENS LÄN</t>
        </is>
      </c>
      <c r="E728" t="inlineStr">
        <is>
          <t>VILHELMINA</t>
        </is>
      </c>
      <c r="F728" t="inlineStr">
        <is>
          <t>Sveaskog</t>
        </is>
      </c>
      <c r="G728" t="n">
        <v>14.3</v>
      </c>
      <c r="H728" t="n">
        <v>0</v>
      </c>
      <c r="I728" t="n">
        <v>0</v>
      </c>
      <c r="J728" t="n">
        <v>0</v>
      </c>
      <c r="K728" t="n">
        <v>0</v>
      </c>
      <c r="L728" t="n">
        <v>0</v>
      </c>
      <c r="M728" t="n">
        <v>0</v>
      </c>
      <c r="N728" t="n">
        <v>0</v>
      </c>
      <c r="O728" t="n">
        <v>0</v>
      </c>
      <c r="P728" t="n">
        <v>0</v>
      </c>
      <c r="Q728" t="n">
        <v>0</v>
      </c>
      <c r="R728" s="2" t="inlineStr"/>
    </row>
    <row r="729" ht="15" customHeight="1">
      <c r="A729" t="inlineStr">
        <is>
          <t>A 45673-2023</t>
        </is>
      </c>
      <c r="B729" s="1" t="n">
        <v>45194</v>
      </c>
      <c r="C729" s="1" t="n">
        <v>45892</v>
      </c>
      <c r="D729" t="inlineStr">
        <is>
          <t>VÄSTERBOTTENS LÄN</t>
        </is>
      </c>
      <c r="E729" t="inlineStr">
        <is>
          <t>VILHELMINA</t>
        </is>
      </c>
      <c r="G729" t="n">
        <v>13.4</v>
      </c>
      <c r="H729" t="n">
        <v>0</v>
      </c>
      <c r="I729" t="n">
        <v>0</v>
      </c>
      <c r="J729" t="n">
        <v>0</v>
      </c>
      <c r="K729" t="n">
        <v>0</v>
      </c>
      <c r="L729" t="n">
        <v>0</v>
      </c>
      <c r="M729" t="n">
        <v>0</v>
      </c>
      <c r="N729" t="n">
        <v>0</v>
      </c>
      <c r="O729" t="n">
        <v>0</v>
      </c>
      <c r="P729" t="n">
        <v>0</v>
      </c>
      <c r="Q729" t="n">
        <v>0</v>
      </c>
      <c r="R729" s="2" t="inlineStr"/>
    </row>
    <row r="730" ht="15" customHeight="1">
      <c r="A730" t="inlineStr">
        <is>
          <t>A 367-2024</t>
        </is>
      </c>
      <c r="B730" s="1" t="n">
        <v>45295</v>
      </c>
      <c r="C730" s="1" t="n">
        <v>45892</v>
      </c>
      <c r="D730" t="inlineStr">
        <is>
          <t>VÄSTERBOTTENS LÄN</t>
        </is>
      </c>
      <c r="E730" t="inlineStr">
        <is>
          <t>VILHELMINA</t>
        </is>
      </c>
      <c r="F730" t="inlineStr">
        <is>
          <t>SCA</t>
        </is>
      </c>
      <c r="G730" t="n">
        <v>5.4</v>
      </c>
      <c r="H730" t="n">
        <v>0</v>
      </c>
      <c r="I730" t="n">
        <v>0</v>
      </c>
      <c r="J730" t="n">
        <v>0</v>
      </c>
      <c r="K730" t="n">
        <v>0</v>
      </c>
      <c r="L730" t="n">
        <v>0</v>
      </c>
      <c r="M730" t="n">
        <v>0</v>
      </c>
      <c r="N730" t="n">
        <v>0</v>
      </c>
      <c r="O730" t="n">
        <v>0</v>
      </c>
      <c r="P730" t="n">
        <v>0</v>
      </c>
      <c r="Q730" t="n">
        <v>0</v>
      </c>
      <c r="R730" s="2" t="inlineStr"/>
    </row>
    <row r="731" ht="15" customHeight="1">
      <c r="A731" t="inlineStr">
        <is>
          <t>A 48068-2022</t>
        </is>
      </c>
      <c r="B731" s="1" t="n">
        <v>44855</v>
      </c>
      <c r="C731" s="1" t="n">
        <v>45892</v>
      </c>
      <c r="D731" t="inlineStr">
        <is>
          <t>VÄSTERBOTTENS LÄN</t>
        </is>
      </c>
      <c r="E731" t="inlineStr">
        <is>
          <t>VILHELMINA</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33349-2023</t>
        </is>
      </c>
      <c r="B732" s="1" t="n">
        <v>45117</v>
      </c>
      <c r="C732" s="1" t="n">
        <v>45892</v>
      </c>
      <c r="D732" t="inlineStr">
        <is>
          <t>VÄSTERBOTTENS LÄN</t>
        </is>
      </c>
      <c r="E732" t="inlineStr">
        <is>
          <t>VILHELMINA</t>
        </is>
      </c>
      <c r="G732" t="n">
        <v>1.3</v>
      </c>
      <c r="H732" t="n">
        <v>0</v>
      </c>
      <c r="I732" t="n">
        <v>0</v>
      </c>
      <c r="J732" t="n">
        <v>0</v>
      </c>
      <c r="K732" t="n">
        <v>0</v>
      </c>
      <c r="L732" t="n">
        <v>0</v>
      </c>
      <c r="M732" t="n">
        <v>0</v>
      </c>
      <c r="N732" t="n">
        <v>0</v>
      </c>
      <c r="O732" t="n">
        <v>0</v>
      </c>
      <c r="P732" t="n">
        <v>0</v>
      </c>
      <c r="Q732" t="n">
        <v>0</v>
      </c>
      <c r="R732" s="2" t="inlineStr"/>
    </row>
    <row r="733" ht="15" customHeight="1">
      <c r="A733" t="inlineStr">
        <is>
          <t>A 58833-2023</t>
        </is>
      </c>
      <c r="B733" s="1" t="n">
        <v>45248</v>
      </c>
      <c r="C733" s="1" t="n">
        <v>45892</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8726-2023</t>
        </is>
      </c>
      <c r="B734" s="1" t="n">
        <v>44972</v>
      </c>
      <c r="C734" s="1" t="n">
        <v>45892</v>
      </c>
      <c r="D734" t="inlineStr">
        <is>
          <t>VÄSTERBOTTENS LÄN</t>
        </is>
      </c>
      <c r="E734" t="inlineStr">
        <is>
          <t>VILHELMINA</t>
        </is>
      </c>
      <c r="F734" t="inlineStr">
        <is>
          <t>Allmännings- och besparingsskogar</t>
        </is>
      </c>
      <c r="G734" t="n">
        <v>50</v>
      </c>
      <c r="H734" t="n">
        <v>0</v>
      </c>
      <c r="I734" t="n">
        <v>0</v>
      </c>
      <c r="J734" t="n">
        <v>0</v>
      </c>
      <c r="K734" t="n">
        <v>0</v>
      </c>
      <c r="L734" t="n">
        <v>0</v>
      </c>
      <c r="M734" t="n">
        <v>0</v>
      </c>
      <c r="N734" t="n">
        <v>0</v>
      </c>
      <c r="O734" t="n">
        <v>0</v>
      </c>
      <c r="P734" t="n">
        <v>0</v>
      </c>
      <c r="Q734" t="n">
        <v>0</v>
      </c>
      <c r="R734" s="2" t="inlineStr"/>
    </row>
    <row r="735" ht="15" customHeight="1">
      <c r="A735" t="inlineStr">
        <is>
          <t>A 38125-2024</t>
        </is>
      </c>
      <c r="B735" s="1" t="n">
        <v>45545.40717592592</v>
      </c>
      <c r="C735" s="1" t="n">
        <v>45892</v>
      </c>
      <c r="D735" t="inlineStr">
        <is>
          <t>VÄSTERBOTTENS LÄN</t>
        </is>
      </c>
      <c r="E735" t="inlineStr">
        <is>
          <t>VILHELMINA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38126-2024</t>
        </is>
      </c>
      <c r="B736" s="1" t="n">
        <v>45545</v>
      </c>
      <c r="C736" s="1" t="n">
        <v>45892</v>
      </c>
      <c r="D736" t="inlineStr">
        <is>
          <t>VÄSTERBOTTENS LÄN</t>
        </is>
      </c>
      <c r="E736" t="inlineStr">
        <is>
          <t>VILHELMINA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38130-2024</t>
        </is>
      </c>
      <c r="B737" s="1" t="n">
        <v>45545</v>
      </c>
      <c r="C737" s="1" t="n">
        <v>45892</v>
      </c>
      <c r="D737" t="inlineStr">
        <is>
          <t>VÄSTERBOTTENS LÄN</t>
        </is>
      </c>
      <c r="E737" t="inlineStr">
        <is>
          <t>VILHELMINA</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19465-2025</t>
        </is>
      </c>
      <c r="B738" s="1" t="n">
        <v>45770</v>
      </c>
      <c r="C738" s="1" t="n">
        <v>45892</v>
      </c>
      <c r="D738" t="inlineStr">
        <is>
          <t>VÄSTERBOTTENS LÄN</t>
        </is>
      </c>
      <c r="E738" t="inlineStr">
        <is>
          <t>VILHELMINA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41330-2022</t>
        </is>
      </c>
      <c r="B739" s="1" t="n">
        <v>44826</v>
      </c>
      <c r="C739" s="1" t="n">
        <v>45892</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12825-2023</t>
        </is>
      </c>
      <c r="B740" s="1" t="n">
        <v>45000</v>
      </c>
      <c r="C740" s="1" t="n">
        <v>45892</v>
      </c>
      <c r="D740" t="inlineStr">
        <is>
          <t>VÄSTERBOTTENS LÄN</t>
        </is>
      </c>
      <c r="E740" t="inlineStr">
        <is>
          <t>VILHELMINA</t>
        </is>
      </c>
      <c r="G740" t="n">
        <v>22.4</v>
      </c>
      <c r="H740" t="n">
        <v>0</v>
      </c>
      <c r="I740" t="n">
        <v>0</v>
      </c>
      <c r="J740" t="n">
        <v>0</v>
      </c>
      <c r="K740" t="n">
        <v>0</v>
      </c>
      <c r="L740" t="n">
        <v>0</v>
      </c>
      <c r="M740" t="n">
        <v>0</v>
      </c>
      <c r="N740" t="n">
        <v>0</v>
      </c>
      <c r="O740" t="n">
        <v>0</v>
      </c>
      <c r="P740" t="n">
        <v>0</v>
      </c>
      <c r="Q740" t="n">
        <v>0</v>
      </c>
      <c r="R740" s="2" t="inlineStr"/>
    </row>
    <row r="741" ht="15" customHeight="1">
      <c r="A741" t="inlineStr">
        <is>
          <t>A 20510-2024</t>
        </is>
      </c>
      <c r="B741" s="1" t="n">
        <v>45435.94324074074</v>
      </c>
      <c r="C741" s="1" t="n">
        <v>45892</v>
      </c>
      <c r="D741" t="inlineStr">
        <is>
          <t>VÄSTERBOTTENS LÄN</t>
        </is>
      </c>
      <c r="E741" t="inlineStr">
        <is>
          <t>VILHELMINA</t>
        </is>
      </c>
      <c r="F741" t="inlineStr">
        <is>
          <t>SCA</t>
        </is>
      </c>
      <c r="G741" t="n">
        <v>7.7</v>
      </c>
      <c r="H741" t="n">
        <v>0</v>
      </c>
      <c r="I741" t="n">
        <v>0</v>
      </c>
      <c r="J741" t="n">
        <v>0</v>
      </c>
      <c r="K741" t="n">
        <v>0</v>
      </c>
      <c r="L741" t="n">
        <v>0</v>
      </c>
      <c r="M741" t="n">
        <v>0</v>
      </c>
      <c r="N741" t="n">
        <v>0</v>
      </c>
      <c r="O741" t="n">
        <v>0</v>
      </c>
      <c r="P741" t="n">
        <v>0</v>
      </c>
      <c r="Q741" t="n">
        <v>0</v>
      </c>
      <c r="R741" s="2" t="inlineStr"/>
    </row>
    <row r="742" ht="15" customHeight="1">
      <c r="A742" t="inlineStr">
        <is>
          <t>A 2488-2023</t>
        </is>
      </c>
      <c r="B742" s="1" t="n">
        <v>44943</v>
      </c>
      <c r="C742" s="1" t="n">
        <v>45892</v>
      </c>
      <c r="D742" t="inlineStr">
        <is>
          <t>VÄSTERBOTTENS LÄN</t>
        </is>
      </c>
      <c r="E742" t="inlineStr">
        <is>
          <t>VILHELMINA</t>
        </is>
      </c>
      <c r="G742" t="n">
        <v>69.3</v>
      </c>
      <c r="H742" t="n">
        <v>0</v>
      </c>
      <c r="I742" t="n">
        <v>0</v>
      </c>
      <c r="J742" t="n">
        <v>0</v>
      </c>
      <c r="K742" t="n">
        <v>0</v>
      </c>
      <c r="L742" t="n">
        <v>0</v>
      </c>
      <c r="M742" t="n">
        <v>0</v>
      </c>
      <c r="N742" t="n">
        <v>0</v>
      </c>
      <c r="O742" t="n">
        <v>0</v>
      </c>
      <c r="P742" t="n">
        <v>0</v>
      </c>
      <c r="Q742" t="n">
        <v>0</v>
      </c>
      <c r="R742" s="2" t="inlineStr"/>
    </row>
    <row r="743" ht="15" customHeight="1">
      <c r="A743" t="inlineStr">
        <is>
          <t>A 6653-2021</t>
        </is>
      </c>
      <c r="B743" s="1" t="n">
        <v>44235</v>
      </c>
      <c r="C743" s="1" t="n">
        <v>45892</v>
      </c>
      <c r="D743" t="inlineStr">
        <is>
          <t>VÄSTERBOTTENS LÄN</t>
        </is>
      </c>
      <c r="E743" t="inlineStr">
        <is>
          <t>VILHELMINA</t>
        </is>
      </c>
      <c r="G743" t="n">
        <v>18</v>
      </c>
      <c r="H743" t="n">
        <v>0</v>
      </c>
      <c r="I743" t="n">
        <v>0</v>
      </c>
      <c r="J743" t="n">
        <v>0</v>
      </c>
      <c r="K743" t="n">
        <v>0</v>
      </c>
      <c r="L743" t="n">
        <v>0</v>
      </c>
      <c r="M743" t="n">
        <v>0</v>
      </c>
      <c r="N743" t="n">
        <v>0</v>
      </c>
      <c r="O743" t="n">
        <v>0</v>
      </c>
      <c r="P743" t="n">
        <v>0</v>
      </c>
      <c r="Q743" t="n">
        <v>0</v>
      </c>
      <c r="R743" s="2" t="inlineStr"/>
    </row>
    <row r="744" ht="15" customHeight="1">
      <c r="A744" t="inlineStr">
        <is>
          <t>A 706-2024</t>
        </is>
      </c>
      <c r="B744" s="1" t="n">
        <v>45300</v>
      </c>
      <c r="C744" s="1" t="n">
        <v>45892</v>
      </c>
      <c r="D744" t="inlineStr">
        <is>
          <t>VÄSTERBOTTENS LÄN</t>
        </is>
      </c>
      <c r="E744" t="inlineStr">
        <is>
          <t>VILHELMINA</t>
        </is>
      </c>
      <c r="G744" t="n">
        <v>2.8</v>
      </c>
      <c r="H744" t="n">
        <v>0</v>
      </c>
      <c r="I744" t="n">
        <v>0</v>
      </c>
      <c r="J744" t="n">
        <v>0</v>
      </c>
      <c r="K744" t="n">
        <v>0</v>
      </c>
      <c r="L744" t="n">
        <v>0</v>
      </c>
      <c r="M744" t="n">
        <v>0</v>
      </c>
      <c r="N744" t="n">
        <v>0</v>
      </c>
      <c r="O744" t="n">
        <v>0</v>
      </c>
      <c r="P744" t="n">
        <v>0</v>
      </c>
      <c r="Q744" t="n">
        <v>0</v>
      </c>
      <c r="R744" s="2" t="inlineStr"/>
    </row>
    <row r="745" ht="15" customHeight="1">
      <c r="A745" t="inlineStr">
        <is>
          <t>A 11114-2022</t>
        </is>
      </c>
      <c r="B745" s="1" t="n">
        <v>44628.925625</v>
      </c>
      <c r="C745" s="1" t="n">
        <v>45892</v>
      </c>
      <c r="D745" t="inlineStr">
        <is>
          <t>VÄSTERBOTTENS LÄN</t>
        </is>
      </c>
      <c r="E745" t="inlineStr">
        <is>
          <t>VILHELMINA</t>
        </is>
      </c>
      <c r="G745" t="n">
        <v>8.6</v>
      </c>
      <c r="H745" t="n">
        <v>0</v>
      </c>
      <c r="I745" t="n">
        <v>0</v>
      </c>
      <c r="J745" t="n">
        <v>0</v>
      </c>
      <c r="K745" t="n">
        <v>0</v>
      </c>
      <c r="L745" t="n">
        <v>0</v>
      </c>
      <c r="M745" t="n">
        <v>0</v>
      </c>
      <c r="N745" t="n">
        <v>0</v>
      </c>
      <c r="O745" t="n">
        <v>0</v>
      </c>
      <c r="P745" t="n">
        <v>0</v>
      </c>
      <c r="Q745" t="n">
        <v>0</v>
      </c>
      <c r="R745" s="2" t="inlineStr"/>
    </row>
    <row r="746" ht="15" customHeight="1">
      <c r="A746" t="inlineStr">
        <is>
          <t>A 58749-2023</t>
        </is>
      </c>
      <c r="B746" s="1" t="n">
        <v>45251.92947916667</v>
      </c>
      <c r="C746" s="1" t="n">
        <v>45892</v>
      </c>
      <c r="D746" t="inlineStr">
        <is>
          <t>VÄSTERBOTTENS LÄN</t>
        </is>
      </c>
      <c r="E746" t="inlineStr">
        <is>
          <t>VILHELMINA</t>
        </is>
      </c>
      <c r="G746" t="n">
        <v>2.8</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45892</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51826-2023</t>
        </is>
      </c>
      <c r="B748" s="1" t="n">
        <v>45222.9678125</v>
      </c>
      <c r="C748" s="1" t="n">
        <v>45892</v>
      </c>
      <c r="D748" t="inlineStr">
        <is>
          <t>VÄSTERBOTTENS LÄN</t>
        </is>
      </c>
      <c r="E748" t="inlineStr">
        <is>
          <t>VILHELMINA</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6664-2021</t>
        </is>
      </c>
      <c r="B749" s="1" t="n">
        <v>44235</v>
      </c>
      <c r="C749" s="1" t="n">
        <v>45892</v>
      </c>
      <c r="D749" t="inlineStr">
        <is>
          <t>VÄSTERBOTTENS LÄN</t>
        </is>
      </c>
      <c r="E749" t="inlineStr">
        <is>
          <t>VILHELMINA</t>
        </is>
      </c>
      <c r="G749" t="n">
        <v>2.5</v>
      </c>
      <c r="H749" t="n">
        <v>0</v>
      </c>
      <c r="I749" t="n">
        <v>0</v>
      </c>
      <c r="J749" t="n">
        <v>0</v>
      </c>
      <c r="K749" t="n">
        <v>0</v>
      </c>
      <c r="L749" t="n">
        <v>0</v>
      </c>
      <c r="M749" t="n">
        <v>0</v>
      </c>
      <c r="N749" t="n">
        <v>0</v>
      </c>
      <c r="O749" t="n">
        <v>0</v>
      </c>
      <c r="P749" t="n">
        <v>0</v>
      </c>
      <c r="Q749" t="n">
        <v>0</v>
      </c>
      <c r="R749" s="2" t="inlineStr"/>
    </row>
    <row r="750" ht="15" customHeight="1">
      <c r="A750" t="inlineStr">
        <is>
          <t>A 37369-2025</t>
        </is>
      </c>
      <c r="B750" s="1" t="n">
        <v>45877.34444444445</v>
      </c>
      <c r="C750" s="1" t="n">
        <v>45892</v>
      </c>
      <c r="D750" t="inlineStr">
        <is>
          <t>VÄSTERBOTTENS LÄN</t>
        </is>
      </c>
      <c r="E750" t="inlineStr">
        <is>
          <t>VILHELMINA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31724-2025</t>
        </is>
      </c>
      <c r="B751" s="1" t="n">
        <v>45834</v>
      </c>
      <c r="C751" s="1" t="n">
        <v>45892</v>
      </c>
      <c r="D751" t="inlineStr">
        <is>
          <t>VÄSTERBOTTENS LÄN</t>
        </is>
      </c>
      <c r="E751" t="inlineStr">
        <is>
          <t>VILHELMINA</t>
        </is>
      </c>
      <c r="G751" t="n">
        <v>19.7</v>
      </c>
      <c r="H751" t="n">
        <v>0</v>
      </c>
      <c r="I751" t="n">
        <v>0</v>
      </c>
      <c r="J751" t="n">
        <v>0</v>
      </c>
      <c r="K751" t="n">
        <v>0</v>
      </c>
      <c r="L751" t="n">
        <v>0</v>
      </c>
      <c r="M751" t="n">
        <v>0</v>
      </c>
      <c r="N751" t="n">
        <v>0</v>
      </c>
      <c r="O751" t="n">
        <v>0</v>
      </c>
      <c r="P751" t="n">
        <v>0</v>
      </c>
      <c r="Q751" t="n">
        <v>0</v>
      </c>
      <c r="R751" s="2" t="inlineStr"/>
    </row>
    <row r="752" ht="15" customHeight="1">
      <c r="A752" t="inlineStr">
        <is>
          <t>A 31733-2025</t>
        </is>
      </c>
      <c r="B752" s="1" t="n">
        <v>45834.47035879629</v>
      </c>
      <c r="C752" s="1" t="n">
        <v>45892</v>
      </c>
      <c r="D752" t="inlineStr">
        <is>
          <t>VÄSTERBOTTENS LÄN</t>
        </is>
      </c>
      <c r="E752" t="inlineStr">
        <is>
          <t>VILHELMINA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61920-2020</t>
        </is>
      </c>
      <c r="B753" s="1" t="n">
        <v>44155</v>
      </c>
      <c r="C753" s="1" t="n">
        <v>45892</v>
      </c>
      <c r="D753" t="inlineStr">
        <is>
          <t>VÄSTERBOTTENS LÄN</t>
        </is>
      </c>
      <c r="E753" t="inlineStr">
        <is>
          <t>VILHELMINA</t>
        </is>
      </c>
      <c r="G753" t="n">
        <v>7.7</v>
      </c>
      <c r="H753" t="n">
        <v>0</v>
      </c>
      <c r="I753" t="n">
        <v>0</v>
      </c>
      <c r="J753" t="n">
        <v>0</v>
      </c>
      <c r="K753" t="n">
        <v>0</v>
      </c>
      <c r="L753" t="n">
        <v>0</v>
      </c>
      <c r="M753" t="n">
        <v>0</v>
      </c>
      <c r="N753" t="n">
        <v>0</v>
      </c>
      <c r="O753" t="n">
        <v>0</v>
      </c>
      <c r="P753" t="n">
        <v>0</v>
      </c>
      <c r="Q753" t="n">
        <v>0</v>
      </c>
      <c r="R753" s="2" t="inlineStr"/>
    </row>
    <row r="754" ht="15" customHeight="1">
      <c r="A754" t="inlineStr">
        <is>
          <t>A 72057-2021</t>
        </is>
      </c>
      <c r="B754" s="1" t="n">
        <v>44540</v>
      </c>
      <c r="C754" s="1" t="n">
        <v>45892</v>
      </c>
      <c r="D754" t="inlineStr">
        <is>
          <t>VÄSTERBOTTENS LÄN</t>
        </is>
      </c>
      <c r="E754" t="inlineStr">
        <is>
          <t>VILHELMINA</t>
        </is>
      </c>
      <c r="G754" t="n">
        <v>7</v>
      </c>
      <c r="H754" t="n">
        <v>0</v>
      </c>
      <c r="I754" t="n">
        <v>0</v>
      </c>
      <c r="J754" t="n">
        <v>0</v>
      </c>
      <c r="K754" t="n">
        <v>0</v>
      </c>
      <c r="L754" t="n">
        <v>0</v>
      </c>
      <c r="M754" t="n">
        <v>0</v>
      </c>
      <c r="N754" t="n">
        <v>0</v>
      </c>
      <c r="O754" t="n">
        <v>0</v>
      </c>
      <c r="P754" t="n">
        <v>0</v>
      </c>
      <c r="Q754" t="n">
        <v>0</v>
      </c>
      <c r="R754" s="2" t="inlineStr"/>
    </row>
    <row r="755" ht="15" customHeight="1">
      <c r="A755" t="inlineStr">
        <is>
          <t>A 23360-2025</t>
        </is>
      </c>
      <c r="B755" s="1" t="n">
        <v>45791</v>
      </c>
      <c r="C755" s="1" t="n">
        <v>45892</v>
      </c>
      <c r="D755" t="inlineStr">
        <is>
          <t>VÄSTERBOTTENS LÄN</t>
        </is>
      </c>
      <c r="E755" t="inlineStr">
        <is>
          <t>VILHELMINA</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58934-2024</t>
        </is>
      </c>
      <c r="B756" s="1" t="n">
        <v>45636</v>
      </c>
      <c r="C756" s="1" t="n">
        <v>45892</v>
      </c>
      <c r="D756" t="inlineStr">
        <is>
          <t>VÄSTERBOTTENS LÄN</t>
        </is>
      </c>
      <c r="E756" t="inlineStr">
        <is>
          <t>VILHELMINA</t>
        </is>
      </c>
      <c r="F756" t="inlineStr">
        <is>
          <t>Allmännings- och besparingsskogar</t>
        </is>
      </c>
      <c r="G756" t="n">
        <v>45.6</v>
      </c>
      <c r="H756" t="n">
        <v>0</v>
      </c>
      <c r="I756" t="n">
        <v>0</v>
      </c>
      <c r="J756" t="n">
        <v>0</v>
      </c>
      <c r="K756" t="n">
        <v>0</v>
      </c>
      <c r="L756" t="n">
        <v>0</v>
      </c>
      <c r="M756" t="n">
        <v>0</v>
      </c>
      <c r="N756" t="n">
        <v>0</v>
      </c>
      <c r="O756" t="n">
        <v>0</v>
      </c>
      <c r="P756" t="n">
        <v>0</v>
      </c>
      <c r="Q756" t="n">
        <v>0</v>
      </c>
      <c r="R756" s="2" t="inlineStr"/>
    </row>
    <row r="757" ht="15" customHeight="1">
      <c r="A757" t="inlineStr">
        <is>
          <t>A 37269-2025</t>
        </is>
      </c>
      <c r="B757" s="1" t="n">
        <v>45876</v>
      </c>
      <c r="C757" s="1" t="n">
        <v>45892</v>
      </c>
      <c r="D757" t="inlineStr">
        <is>
          <t>VÄSTERBOTTENS LÄN</t>
        </is>
      </c>
      <c r="E757" t="inlineStr">
        <is>
          <t>VILHELMINA</t>
        </is>
      </c>
      <c r="G757" t="n">
        <v>2.5</v>
      </c>
      <c r="H757" t="n">
        <v>0</v>
      </c>
      <c r="I757" t="n">
        <v>0</v>
      </c>
      <c r="J757" t="n">
        <v>0</v>
      </c>
      <c r="K757" t="n">
        <v>0</v>
      </c>
      <c r="L757" t="n">
        <v>0</v>
      </c>
      <c r="M757" t="n">
        <v>0</v>
      </c>
      <c r="N757" t="n">
        <v>0</v>
      </c>
      <c r="O757" t="n">
        <v>0</v>
      </c>
      <c r="P757" t="n">
        <v>0</v>
      </c>
      <c r="Q757" t="n">
        <v>0</v>
      </c>
      <c r="R757" s="2" t="inlineStr"/>
    </row>
    <row r="758" ht="15" customHeight="1">
      <c r="A758" t="inlineStr">
        <is>
          <t>A 37302-2025</t>
        </is>
      </c>
      <c r="B758" s="1" t="n">
        <v>45876</v>
      </c>
      <c r="C758" s="1" t="n">
        <v>45892</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59031-2024</t>
        </is>
      </c>
      <c r="B759" s="1" t="n">
        <v>45636</v>
      </c>
      <c r="C759" s="1" t="n">
        <v>45892</v>
      </c>
      <c r="D759" t="inlineStr">
        <is>
          <t>VÄSTERBOTTENS LÄN</t>
        </is>
      </c>
      <c r="E759" t="inlineStr">
        <is>
          <t>VILHELMINA</t>
        </is>
      </c>
      <c r="G759" t="n">
        <v>38.9</v>
      </c>
      <c r="H759" t="n">
        <v>0</v>
      </c>
      <c r="I759" t="n">
        <v>0</v>
      </c>
      <c r="J759" t="n">
        <v>0</v>
      </c>
      <c r="K759" t="n">
        <v>0</v>
      </c>
      <c r="L759" t="n">
        <v>0</v>
      </c>
      <c r="M759" t="n">
        <v>0</v>
      </c>
      <c r="N759" t="n">
        <v>0</v>
      </c>
      <c r="O759" t="n">
        <v>0</v>
      </c>
      <c r="P759" t="n">
        <v>0</v>
      </c>
      <c r="Q759" t="n">
        <v>0</v>
      </c>
      <c r="R759" s="2" t="inlineStr"/>
    </row>
    <row r="760" ht="15" customHeight="1">
      <c r="A760" t="inlineStr">
        <is>
          <t>A 34087-2023</t>
        </is>
      </c>
      <c r="B760" s="1" t="n">
        <v>45125</v>
      </c>
      <c r="C760" s="1" t="n">
        <v>45892</v>
      </c>
      <c r="D760" t="inlineStr">
        <is>
          <t>VÄSTERBOTTENS LÄN</t>
        </is>
      </c>
      <c r="E760" t="inlineStr">
        <is>
          <t>VILHELMINA</t>
        </is>
      </c>
      <c r="G760" t="n">
        <v>13.2</v>
      </c>
      <c r="H760" t="n">
        <v>0</v>
      </c>
      <c r="I760" t="n">
        <v>0</v>
      </c>
      <c r="J760" t="n">
        <v>0</v>
      </c>
      <c r="K760" t="n">
        <v>0</v>
      </c>
      <c r="L760" t="n">
        <v>0</v>
      </c>
      <c r="M760" t="n">
        <v>0</v>
      </c>
      <c r="N760" t="n">
        <v>0</v>
      </c>
      <c r="O760" t="n">
        <v>0</v>
      </c>
      <c r="P760" t="n">
        <v>0</v>
      </c>
      <c r="Q760" t="n">
        <v>0</v>
      </c>
      <c r="R760" s="2" t="inlineStr"/>
    </row>
    <row r="761" ht="15" customHeight="1">
      <c r="A761" t="inlineStr">
        <is>
          <t>A 62405-2022</t>
        </is>
      </c>
      <c r="B761" s="1" t="n">
        <v>44923</v>
      </c>
      <c r="C761" s="1" t="n">
        <v>45892</v>
      </c>
      <c r="D761" t="inlineStr">
        <is>
          <t>VÄSTERBOTTENS LÄN</t>
        </is>
      </c>
      <c r="E761" t="inlineStr">
        <is>
          <t>VILHELMINA</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48424-2023</t>
        </is>
      </c>
      <c r="B762" s="1" t="n">
        <v>45205</v>
      </c>
      <c r="C762" s="1" t="n">
        <v>45892</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38297-2024</t>
        </is>
      </c>
      <c r="B763" s="1" t="n">
        <v>45545</v>
      </c>
      <c r="C763" s="1" t="n">
        <v>45892</v>
      </c>
      <c r="D763" t="inlineStr">
        <is>
          <t>VÄSTERBOTTENS LÄN</t>
        </is>
      </c>
      <c r="E763" t="inlineStr">
        <is>
          <t>VILHELMINA</t>
        </is>
      </c>
      <c r="G763" t="n">
        <v>139.8</v>
      </c>
      <c r="H763" t="n">
        <v>0</v>
      </c>
      <c r="I763" t="n">
        <v>0</v>
      </c>
      <c r="J763" t="n">
        <v>0</v>
      </c>
      <c r="K763" t="n">
        <v>0</v>
      </c>
      <c r="L763" t="n">
        <v>0</v>
      </c>
      <c r="M763" t="n">
        <v>0</v>
      </c>
      <c r="N763" t="n">
        <v>0</v>
      </c>
      <c r="O763" t="n">
        <v>0</v>
      </c>
      <c r="P763" t="n">
        <v>0</v>
      </c>
      <c r="Q763" t="n">
        <v>0</v>
      </c>
      <c r="R763" s="2" t="inlineStr"/>
    </row>
    <row r="764" ht="15" customHeight="1">
      <c r="A764" t="inlineStr">
        <is>
          <t>A 35886-2025</t>
        </is>
      </c>
      <c r="B764" s="1" t="n">
        <v>45862</v>
      </c>
      <c r="C764" s="1" t="n">
        <v>45892</v>
      </c>
      <c r="D764" t="inlineStr">
        <is>
          <t>VÄSTERBOTTENS LÄN</t>
        </is>
      </c>
      <c r="E764" t="inlineStr">
        <is>
          <t>VILHELMINA</t>
        </is>
      </c>
      <c r="G764" t="n">
        <v>7</v>
      </c>
      <c r="H764" t="n">
        <v>0</v>
      </c>
      <c r="I764" t="n">
        <v>0</v>
      </c>
      <c r="J764" t="n">
        <v>0</v>
      </c>
      <c r="K764" t="n">
        <v>0</v>
      </c>
      <c r="L764" t="n">
        <v>0</v>
      </c>
      <c r="M764" t="n">
        <v>0</v>
      </c>
      <c r="N764" t="n">
        <v>0</v>
      </c>
      <c r="O764" t="n">
        <v>0</v>
      </c>
      <c r="P764" t="n">
        <v>0</v>
      </c>
      <c r="Q764" t="n">
        <v>0</v>
      </c>
      <c r="R764" s="2" t="inlineStr"/>
    </row>
    <row r="765" ht="15" customHeight="1">
      <c r="A765" t="inlineStr">
        <is>
          <t>A 32947-2025</t>
        </is>
      </c>
      <c r="B765" s="1" t="n">
        <v>45839</v>
      </c>
      <c r="C765" s="1" t="n">
        <v>45892</v>
      </c>
      <c r="D765" t="inlineStr">
        <is>
          <t>VÄSTERBOTTENS LÄN</t>
        </is>
      </c>
      <c r="E765" t="inlineStr">
        <is>
          <t>VILHELMINA</t>
        </is>
      </c>
      <c r="G765" t="n">
        <v>19.1</v>
      </c>
      <c r="H765" t="n">
        <v>0</v>
      </c>
      <c r="I765" t="n">
        <v>0</v>
      </c>
      <c r="J765" t="n">
        <v>0</v>
      </c>
      <c r="K765" t="n">
        <v>0</v>
      </c>
      <c r="L765" t="n">
        <v>0</v>
      </c>
      <c r="M765" t="n">
        <v>0</v>
      </c>
      <c r="N765" t="n">
        <v>0</v>
      </c>
      <c r="O765" t="n">
        <v>0</v>
      </c>
      <c r="P765" t="n">
        <v>0</v>
      </c>
      <c r="Q765" t="n">
        <v>0</v>
      </c>
      <c r="R765" s="2" t="inlineStr"/>
    </row>
    <row r="766" ht="15" customHeight="1">
      <c r="A766" t="inlineStr">
        <is>
          <t>A 38363-2023</t>
        </is>
      </c>
      <c r="B766" s="1" t="n">
        <v>45161</v>
      </c>
      <c r="C766" s="1" t="n">
        <v>45892</v>
      </c>
      <c r="D766" t="inlineStr">
        <is>
          <t>VÄSTERBOTTENS LÄN</t>
        </is>
      </c>
      <c r="E766" t="inlineStr">
        <is>
          <t>VILHELMINA</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6665-2021</t>
        </is>
      </c>
      <c r="B767" s="1" t="n">
        <v>44235</v>
      </c>
      <c r="C767" s="1" t="n">
        <v>45892</v>
      </c>
      <c r="D767" t="inlineStr">
        <is>
          <t>VÄSTERBOTTENS LÄN</t>
        </is>
      </c>
      <c r="E767" t="inlineStr">
        <is>
          <t>VILHELMINA</t>
        </is>
      </c>
      <c r="G767" t="n">
        <v>20</v>
      </c>
      <c r="H767" t="n">
        <v>0</v>
      </c>
      <c r="I767" t="n">
        <v>0</v>
      </c>
      <c r="J767" t="n">
        <v>0</v>
      </c>
      <c r="K767" t="n">
        <v>0</v>
      </c>
      <c r="L767" t="n">
        <v>0</v>
      </c>
      <c r="M767" t="n">
        <v>0</v>
      </c>
      <c r="N767" t="n">
        <v>0</v>
      </c>
      <c r="O767" t="n">
        <v>0</v>
      </c>
      <c r="P767" t="n">
        <v>0</v>
      </c>
      <c r="Q767" t="n">
        <v>0</v>
      </c>
      <c r="R767" s="2" t="inlineStr"/>
    </row>
    <row r="768" ht="15" customHeight="1">
      <c r="A768" t="inlineStr">
        <is>
          <t>A 40732-2024</t>
        </is>
      </c>
      <c r="B768" s="1" t="n">
        <v>45558</v>
      </c>
      <c r="C768" s="1" t="n">
        <v>45892</v>
      </c>
      <c r="D768" t="inlineStr">
        <is>
          <t>VÄSTERBOTTENS LÄN</t>
        </is>
      </c>
      <c r="E768" t="inlineStr">
        <is>
          <t>VILHELMINA</t>
        </is>
      </c>
      <c r="F768" t="inlineStr">
        <is>
          <t>Allmännings- och besparingsskogar</t>
        </is>
      </c>
      <c r="G768" t="n">
        <v>89.59999999999999</v>
      </c>
      <c r="H768" t="n">
        <v>0</v>
      </c>
      <c r="I768" t="n">
        <v>0</v>
      </c>
      <c r="J768" t="n">
        <v>0</v>
      </c>
      <c r="K768" t="n">
        <v>0</v>
      </c>
      <c r="L768" t="n">
        <v>0</v>
      </c>
      <c r="M768" t="n">
        <v>0</v>
      </c>
      <c r="N768" t="n">
        <v>0</v>
      </c>
      <c r="O768" t="n">
        <v>0</v>
      </c>
      <c r="P768" t="n">
        <v>0</v>
      </c>
      <c r="Q768" t="n">
        <v>0</v>
      </c>
      <c r="R768" s="2" t="inlineStr"/>
    </row>
    <row r="769" ht="15" customHeight="1">
      <c r="A769" t="inlineStr">
        <is>
          <t>A 16608-2024</t>
        </is>
      </c>
      <c r="B769" s="1" t="n">
        <v>45408</v>
      </c>
      <c r="C769" s="1" t="n">
        <v>45892</v>
      </c>
      <c r="D769" t="inlineStr">
        <is>
          <t>VÄSTERBOTTENS LÄN</t>
        </is>
      </c>
      <c r="E769" t="inlineStr">
        <is>
          <t>VILHELMINA</t>
        </is>
      </c>
      <c r="G769" t="n">
        <v>17.5</v>
      </c>
      <c r="H769" t="n">
        <v>0</v>
      </c>
      <c r="I769" t="n">
        <v>0</v>
      </c>
      <c r="J769" t="n">
        <v>0</v>
      </c>
      <c r="K769" t="n">
        <v>0</v>
      </c>
      <c r="L769" t="n">
        <v>0</v>
      </c>
      <c r="M769" t="n">
        <v>0</v>
      </c>
      <c r="N769" t="n">
        <v>0</v>
      </c>
      <c r="O769" t="n">
        <v>0</v>
      </c>
      <c r="P769" t="n">
        <v>0</v>
      </c>
      <c r="Q769" t="n">
        <v>0</v>
      </c>
      <c r="R769" s="2" t="inlineStr"/>
    </row>
    <row r="770" ht="15" customHeight="1">
      <c r="A770" t="inlineStr">
        <is>
          <t>A 37368-2025</t>
        </is>
      </c>
      <c r="B770" s="1" t="n">
        <v>45877.34436342592</v>
      </c>
      <c r="C770" s="1" t="n">
        <v>45892</v>
      </c>
      <c r="D770" t="inlineStr">
        <is>
          <t>VÄSTERBOTTENS LÄN</t>
        </is>
      </c>
      <c r="E770" t="inlineStr">
        <is>
          <t>VILHELMINA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45258-2024</t>
        </is>
      </c>
      <c r="B771" s="1" t="n">
        <v>45576.34444444445</v>
      </c>
      <c r="C771" s="1" t="n">
        <v>45892</v>
      </c>
      <c r="D771" t="inlineStr">
        <is>
          <t>VÄSTERBOTTENS LÄN</t>
        </is>
      </c>
      <c r="E771" t="inlineStr">
        <is>
          <t>VILHELMINA</t>
        </is>
      </c>
      <c r="F771" t="inlineStr">
        <is>
          <t>SCA</t>
        </is>
      </c>
      <c r="G771" t="n">
        <v>6.2</v>
      </c>
      <c r="H771" t="n">
        <v>0</v>
      </c>
      <c r="I771" t="n">
        <v>0</v>
      </c>
      <c r="J771" t="n">
        <v>0</v>
      </c>
      <c r="K771" t="n">
        <v>0</v>
      </c>
      <c r="L771" t="n">
        <v>0</v>
      </c>
      <c r="M771" t="n">
        <v>0</v>
      </c>
      <c r="N771" t="n">
        <v>0</v>
      </c>
      <c r="O771" t="n">
        <v>0</v>
      </c>
      <c r="P771" t="n">
        <v>0</v>
      </c>
      <c r="Q771" t="n">
        <v>0</v>
      </c>
      <c r="R771" s="2" t="inlineStr"/>
    </row>
    <row r="772" ht="15" customHeight="1">
      <c r="A772" t="inlineStr">
        <is>
          <t>A 40726-2024</t>
        </is>
      </c>
      <c r="B772" s="1" t="n">
        <v>45558</v>
      </c>
      <c r="C772" s="1" t="n">
        <v>45892</v>
      </c>
      <c r="D772" t="inlineStr">
        <is>
          <t>VÄSTERBOTTENS LÄN</t>
        </is>
      </c>
      <c r="E772" t="inlineStr">
        <is>
          <t>VILHELMINA</t>
        </is>
      </c>
      <c r="F772" t="inlineStr">
        <is>
          <t>Allmännings- och besparingsskogar</t>
        </is>
      </c>
      <c r="G772" t="n">
        <v>73.59999999999999</v>
      </c>
      <c r="H772" t="n">
        <v>0</v>
      </c>
      <c r="I772" t="n">
        <v>0</v>
      </c>
      <c r="J772" t="n">
        <v>0</v>
      </c>
      <c r="K772" t="n">
        <v>0</v>
      </c>
      <c r="L772" t="n">
        <v>0</v>
      </c>
      <c r="M772" t="n">
        <v>0</v>
      </c>
      <c r="N772" t="n">
        <v>0</v>
      </c>
      <c r="O772" t="n">
        <v>0</v>
      </c>
      <c r="P772" t="n">
        <v>0</v>
      </c>
      <c r="Q772" t="n">
        <v>0</v>
      </c>
      <c r="R772" s="2" t="inlineStr"/>
    </row>
    <row r="773" ht="15" customHeight="1">
      <c r="A773" t="inlineStr">
        <is>
          <t>A 17996-2024</t>
        </is>
      </c>
      <c r="B773" s="1" t="n">
        <v>45419</v>
      </c>
      <c r="C773" s="1" t="n">
        <v>45892</v>
      </c>
      <c r="D773" t="inlineStr">
        <is>
          <t>VÄSTERBOTTENS LÄN</t>
        </is>
      </c>
      <c r="E773" t="inlineStr">
        <is>
          <t>VILHELMINA</t>
        </is>
      </c>
      <c r="G773" t="n">
        <v>5.3</v>
      </c>
      <c r="H773" t="n">
        <v>0</v>
      </c>
      <c r="I773" t="n">
        <v>0</v>
      </c>
      <c r="J773" t="n">
        <v>0</v>
      </c>
      <c r="K773" t="n">
        <v>0</v>
      </c>
      <c r="L773" t="n">
        <v>0</v>
      </c>
      <c r="M773" t="n">
        <v>0</v>
      </c>
      <c r="N773" t="n">
        <v>0</v>
      </c>
      <c r="O773" t="n">
        <v>0</v>
      </c>
      <c r="P773" t="n">
        <v>0</v>
      </c>
      <c r="Q773" t="n">
        <v>0</v>
      </c>
      <c r="R773" s="2" t="inlineStr"/>
    </row>
    <row r="774" ht="15" customHeight="1">
      <c r="A774" t="inlineStr">
        <is>
          <t>A 54387-2024</t>
        </is>
      </c>
      <c r="B774" s="1" t="n">
        <v>45617</v>
      </c>
      <c r="C774" s="1" t="n">
        <v>45892</v>
      </c>
      <c r="D774" t="inlineStr">
        <is>
          <t>VÄSTERBOTTENS LÄN</t>
        </is>
      </c>
      <c r="E774" t="inlineStr">
        <is>
          <t>VILHELMINA</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38211-2025</t>
        </is>
      </c>
      <c r="B775" s="1" t="n">
        <v>45882.93524305556</v>
      </c>
      <c r="C775" s="1" t="n">
        <v>45892</v>
      </c>
      <c r="D775" t="inlineStr">
        <is>
          <t>VÄSTERBOTTENS LÄN</t>
        </is>
      </c>
      <c r="E775" t="inlineStr">
        <is>
          <t>VILHELMINA</t>
        </is>
      </c>
      <c r="G775" t="n">
        <v>13.8</v>
      </c>
      <c r="H775" t="n">
        <v>0</v>
      </c>
      <c r="I775" t="n">
        <v>0</v>
      </c>
      <c r="J775" t="n">
        <v>0</v>
      </c>
      <c r="K775" t="n">
        <v>0</v>
      </c>
      <c r="L775" t="n">
        <v>0</v>
      </c>
      <c r="M775" t="n">
        <v>0</v>
      </c>
      <c r="N775" t="n">
        <v>0</v>
      </c>
      <c r="O775" t="n">
        <v>0</v>
      </c>
      <c r="P775" t="n">
        <v>0</v>
      </c>
      <c r="Q775" t="n">
        <v>0</v>
      </c>
      <c r="R775" s="2" t="inlineStr"/>
    </row>
    <row r="776" ht="15" customHeight="1">
      <c r="A776" t="inlineStr">
        <is>
          <t>A 38212-2025</t>
        </is>
      </c>
      <c r="B776" s="1" t="n">
        <v>45882.95137731481</v>
      </c>
      <c r="C776" s="1" t="n">
        <v>45892</v>
      </c>
      <c r="D776" t="inlineStr">
        <is>
          <t>VÄSTERBOTTENS LÄN</t>
        </is>
      </c>
      <c r="E776" t="inlineStr">
        <is>
          <t>VILHELMINA</t>
        </is>
      </c>
      <c r="G776" t="n">
        <v>11.7</v>
      </c>
      <c r="H776" t="n">
        <v>0</v>
      </c>
      <c r="I776" t="n">
        <v>0</v>
      </c>
      <c r="J776" t="n">
        <v>0</v>
      </c>
      <c r="K776" t="n">
        <v>0</v>
      </c>
      <c r="L776" t="n">
        <v>0</v>
      </c>
      <c r="M776" t="n">
        <v>0</v>
      </c>
      <c r="N776" t="n">
        <v>0</v>
      </c>
      <c r="O776" t="n">
        <v>0</v>
      </c>
      <c r="P776" t="n">
        <v>0</v>
      </c>
      <c r="Q776" t="n">
        <v>0</v>
      </c>
      <c r="R776" s="2" t="inlineStr"/>
    </row>
    <row r="777" ht="15" customHeight="1">
      <c r="A777" t="inlineStr">
        <is>
          <t>A 34135-2024</t>
        </is>
      </c>
      <c r="B777" s="1" t="n">
        <v>45524.35605324074</v>
      </c>
      <c r="C777" s="1" t="n">
        <v>45892</v>
      </c>
      <c r="D777" t="inlineStr">
        <is>
          <t>VÄSTERBOTTENS LÄN</t>
        </is>
      </c>
      <c r="E777" t="inlineStr">
        <is>
          <t>VILHELMINA</t>
        </is>
      </c>
      <c r="F777" t="inlineStr">
        <is>
          <t>Sveaskog</t>
        </is>
      </c>
      <c r="G777" t="n">
        <v>5.7</v>
      </c>
      <c r="H777" t="n">
        <v>0</v>
      </c>
      <c r="I777" t="n">
        <v>0</v>
      </c>
      <c r="J777" t="n">
        <v>0</v>
      </c>
      <c r="K777" t="n">
        <v>0</v>
      </c>
      <c r="L777" t="n">
        <v>0</v>
      </c>
      <c r="M777" t="n">
        <v>0</v>
      </c>
      <c r="N777" t="n">
        <v>0</v>
      </c>
      <c r="O777" t="n">
        <v>0</v>
      </c>
      <c r="P777" t="n">
        <v>0</v>
      </c>
      <c r="Q777" t="n">
        <v>0</v>
      </c>
      <c r="R777" s="2" t="inlineStr"/>
    </row>
    <row r="778" ht="15" customHeight="1">
      <c r="A778" t="inlineStr">
        <is>
          <t>A 210-2022</t>
        </is>
      </c>
      <c r="B778" s="1" t="n">
        <v>44564.80189814815</v>
      </c>
      <c r="C778" s="1" t="n">
        <v>45892</v>
      </c>
      <c r="D778" t="inlineStr">
        <is>
          <t>VÄSTERBOTTENS LÄN</t>
        </is>
      </c>
      <c r="E778" t="inlineStr">
        <is>
          <t>VILHELMINA</t>
        </is>
      </c>
      <c r="G778" t="n">
        <v>2</v>
      </c>
      <c r="H778" t="n">
        <v>0</v>
      </c>
      <c r="I778" t="n">
        <v>0</v>
      </c>
      <c r="J778" t="n">
        <v>0</v>
      </c>
      <c r="K778" t="n">
        <v>0</v>
      </c>
      <c r="L778" t="n">
        <v>0</v>
      </c>
      <c r="M778" t="n">
        <v>0</v>
      </c>
      <c r="N778" t="n">
        <v>0</v>
      </c>
      <c r="O778" t="n">
        <v>0</v>
      </c>
      <c r="P778" t="n">
        <v>0</v>
      </c>
      <c r="Q778" t="n">
        <v>0</v>
      </c>
      <c r="R778" s="2" t="inlineStr"/>
    </row>
    <row r="779" ht="15" customHeight="1">
      <c r="A779" t="inlineStr">
        <is>
          <t>A 38387-2025</t>
        </is>
      </c>
      <c r="B779" s="1" t="n">
        <v>45883.57451388889</v>
      </c>
      <c r="C779" s="1" t="n">
        <v>45892</v>
      </c>
      <c r="D779" t="inlineStr">
        <is>
          <t>VÄSTERBOTTENS LÄN</t>
        </is>
      </c>
      <c r="E779" t="inlineStr">
        <is>
          <t>VILHELMINA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33319-2025</t>
        </is>
      </c>
      <c r="B780" s="1" t="n">
        <v>45841</v>
      </c>
      <c r="C780" s="1" t="n">
        <v>45892</v>
      </c>
      <c r="D780" t="inlineStr">
        <is>
          <t>VÄSTERBOTTENS LÄN</t>
        </is>
      </c>
      <c r="E780" t="inlineStr">
        <is>
          <t>VILHELMINA</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21726-2021</t>
        </is>
      </c>
      <c r="B781" s="1" t="n">
        <v>44322</v>
      </c>
      <c r="C781" s="1" t="n">
        <v>45892</v>
      </c>
      <c r="D781" t="inlineStr">
        <is>
          <t>VÄSTERBOTTENS LÄN</t>
        </is>
      </c>
      <c r="E781" t="inlineStr">
        <is>
          <t>VILHELMINA</t>
        </is>
      </c>
      <c r="G781" t="n">
        <v>19.6</v>
      </c>
      <c r="H781" t="n">
        <v>0</v>
      </c>
      <c r="I781" t="n">
        <v>0</v>
      </c>
      <c r="J781" t="n">
        <v>0</v>
      </c>
      <c r="K781" t="n">
        <v>0</v>
      </c>
      <c r="L781" t="n">
        <v>0</v>
      </c>
      <c r="M781" t="n">
        <v>0</v>
      </c>
      <c r="N781" t="n">
        <v>0</v>
      </c>
      <c r="O781" t="n">
        <v>0</v>
      </c>
      <c r="P781" t="n">
        <v>0</v>
      </c>
      <c r="Q781" t="n">
        <v>0</v>
      </c>
      <c r="R781" s="2" t="inlineStr"/>
    </row>
    <row r="782" ht="15" customHeight="1">
      <c r="A782" t="inlineStr">
        <is>
          <t>A 33641-2025</t>
        </is>
      </c>
      <c r="B782" s="1" t="n">
        <v>45841.65045138889</v>
      </c>
      <c r="C782" s="1" t="n">
        <v>45892</v>
      </c>
      <c r="D782" t="inlineStr">
        <is>
          <t>VÄSTERBOTTENS LÄN</t>
        </is>
      </c>
      <c r="E782" t="inlineStr">
        <is>
          <t>VILHELMINA</t>
        </is>
      </c>
      <c r="G782" t="n">
        <v>7.3</v>
      </c>
      <c r="H782" t="n">
        <v>0</v>
      </c>
      <c r="I782" t="n">
        <v>0</v>
      </c>
      <c r="J782" t="n">
        <v>0</v>
      </c>
      <c r="K782" t="n">
        <v>0</v>
      </c>
      <c r="L782" t="n">
        <v>0</v>
      </c>
      <c r="M782" t="n">
        <v>0</v>
      </c>
      <c r="N782" t="n">
        <v>0</v>
      </c>
      <c r="O782" t="n">
        <v>0</v>
      </c>
      <c r="P782" t="n">
        <v>0</v>
      </c>
      <c r="Q782" t="n">
        <v>0</v>
      </c>
      <c r="R782" s="2" t="inlineStr"/>
    </row>
    <row r="783" ht="15" customHeight="1">
      <c r="A783" t="inlineStr">
        <is>
          <t>A 38454-2025</t>
        </is>
      </c>
      <c r="B783" s="1" t="n">
        <v>45883.67839120371</v>
      </c>
      <c r="C783" s="1" t="n">
        <v>45892</v>
      </c>
      <c r="D783" t="inlineStr">
        <is>
          <t>VÄSTERBOTTENS LÄN</t>
        </is>
      </c>
      <c r="E783" t="inlineStr">
        <is>
          <t>VILHELMINA</t>
        </is>
      </c>
      <c r="G783" t="n">
        <v>4.8</v>
      </c>
      <c r="H783" t="n">
        <v>0</v>
      </c>
      <c r="I783" t="n">
        <v>0</v>
      </c>
      <c r="J783" t="n">
        <v>0</v>
      </c>
      <c r="K783" t="n">
        <v>0</v>
      </c>
      <c r="L783" t="n">
        <v>0</v>
      </c>
      <c r="M783" t="n">
        <v>0</v>
      </c>
      <c r="N783" t="n">
        <v>0</v>
      </c>
      <c r="O783" t="n">
        <v>0</v>
      </c>
      <c r="P783" t="n">
        <v>0</v>
      </c>
      <c r="Q783" t="n">
        <v>0</v>
      </c>
      <c r="R783" s="2" t="inlineStr"/>
    </row>
    <row r="784" ht="15" customHeight="1">
      <c r="A784" t="inlineStr">
        <is>
          <t>A 44714-2021</t>
        </is>
      </c>
      <c r="B784" s="1" t="n">
        <v>44435</v>
      </c>
      <c r="C784" s="1" t="n">
        <v>45892</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38355-2025</t>
        </is>
      </c>
      <c r="B785" s="1" t="n">
        <v>45883.53228009259</v>
      </c>
      <c r="C785" s="1" t="n">
        <v>45892</v>
      </c>
      <c r="D785" t="inlineStr">
        <is>
          <t>VÄSTERBOTTENS LÄN</t>
        </is>
      </c>
      <c r="E785" t="inlineStr">
        <is>
          <t>VILHELMINA</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15792-2025</t>
        </is>
      </c>
      <c r="B786" s="1" t="n">
        <v>45748.63356481482</v>
      </c>
      <c r="C786" s="1" t="n">
        <v>45892</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17432-2025</t>
        </is>
      </c>
      <c r="B787" s="1" t="n">
        <v>45757</v>
      </c>
      <c r="C787" s="1" t="n">
        <v>45892</v>
      </c>
      <c r="D787" t="inlineStr">
        <is>
          <t>VÄSTERBOTTENS LÄN</t>
        </is>
      </c>
      <c r="E787" t="inlineStr">
        <is>
          <t>VILHELMINA</t>
        </is>
      </c>
      <c r="G787" t="n">
        <v>4.6</v>
      </c>
      <c r="H787" t="n">
        <v>0</v>
      </c>
      <c r="I787" t="n">
        <v>0</v>
      </c>
      <c r="J787" t="n">
        <v>0</v>
      </c>
      <c r="K787" t="n">
        <v>0</v>
      </c>
      <c r="L787" t="n">
        <v>0</v>
      </c>
      <c r="M787" t="n">
        <v>0</v>
      </c>
      <c r="N787" t="n">
        <v>0</v>
      </c>
      <c r="O787" t="n">
        <v>0</v>
      </c>
      <c r="P787" t="n">
        <v>0</v>
      </c>
      <c r="Q787" t="n">
        <v>0</v>
      </c>
      <c r="R787" s="2" t="inlineStr"/>
    </row>
    <row r="788" ht="15" customHeight="1">
      <c r="A788" t="inlineStr">
        <is>
          <t>A 48483-2023</t>
        </is>
      </c>
      <c r="B788" s="1" t="n">
        <v>45206.95854166667</v>
      </c>
      <c r="C788" s="1" t="n">
        <v>45892</v>
      </c>
      <c r="D788" t="inlineStr">
        <is>
          <t>VÄSTERBOTTENS LÄN</t>
        </is>
      </c>
      <c r="E788" t="inlineStr">
        <is>
          <t>VILHELMINA</t>
        </is>
      </c>
      <c r="F788" t="inlineStr">
        <is>
          <t>SCA</t>
        </is>
      </c>
      <c r="G788" t="n">
        <v>7.6</v>
      </c>
      <c r="H788" t="n">
        <v>0</v>
      </c>
      <c r="I788" t="n">
        <v>0</v>
      </c>
      <c r="J788" t="n">
        <v>0</v>
      </c>
      <c r="K788" t="n">
        <v>0</v>
      </c>
      <c r="L788" t="n">
        <v>0</v>
      </c>
      <c r="M788" t="n">
        <v>0</v>
      </c>
      <c r="N788" t="n">
        <v>0</v>
      </c>
      <c r="O788" t="n">
        <v>0</v>
      </c>
      <c r="P788" t="n">
        <v>0</v>
      </c>
      <c r="Q788" t="n">
        <v>0</v>
      </c>
      <c r="R788" s="2" t="inlineStr"/>
    </row>
    <row r="789" ht="15" customHeight="1">
      <c r="A789" t="inlineStr">
        <is>
          <t>A 8652-2023</t>
        </is>
      </c>
      <c r="B789" s="1" t="n">
        <v>44977.98401620371</v>
      </c>
      <c r="C789" s="1" t="n">
        <v>45892</v>
      </c>
      <c r="D789" t="inlineStr">
        <is>
          <t>VÄSTERBOTTENS LÄN</t>
        </is>
      </c>
      <c r="E789" t="inlineStr">
        <is>
          <t>VILHELMINA</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8653-2023</t>
        </is>
      </c>
      <c r="B790" s="1" t="n">
        <v>44977</v>
      </c>
      <c r="C790" s="1" t="n">
        <v>45892</v>
      </c>
      <c r="D790" t="inlineStr">
        <is>
          <t>VÄSTERBOTTENS LÄN</t>
        </is>
      </c>
      <c r="E790" t="inlineStr">
        <is>
          <t>VILHELMINA</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33320-2025</t>
        </is>
      </c>
      <c r="B791" s="1" t="n">
        <v>45841.34461805555</v>
      </c>
      <c r="C791" s="1" t="n">
        <v>45892</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38429-2025</t>
        </is>
      </c>
      <c r="B792" s="1" t="n">
        <v>45883.63638888889</v>
      </c>
      <c r="C792" s="1" t="n">
        <v>45892</v>
      </c>
      <c r="D792" t="inlineStr">
        <is>
          <t>VÄSTERBOTTENS LÄN</t>
        </is>
      </c>
      <c r="E792" t="inlineStr">
        <is>
          <t>VILHELMINA</t>
        </is>
      </c>
      <c r="G792" t="n">
        <v>5.5</v>
      </c>
      <c r="H792" t="n">
        <v>0</v>
      </c>
      <c r="I792" t="n">
        <v>0</v>
      </c>
      <c r="J792" t="n">
        <v>0</v>
      </c>
      <c r="K792" t="n">
        <v>0</v>
      </c>
      <c r="L792" t="n">
        <v>0</v>
      </c>
      <c r="M792" t="n">
        <v>0</v>
      </c>
      <c r="N792" t="n">
        <v>0</v>
      </c>
      <c r="O792" t="n">
        <v>0</v>
      </c>
      <c r="P792" t="n">
        <v>0</v>
      </c>
      <c r="Q792" t="n">
        <v>0</v>
      </c>
      <c r="R792" s="2" t="inlineStr"/>
    </row>
    <row r="793" ht="15" customHeight="1">
      <c r="A793" t="inlineStr">
        <is>
          <t>A 38430-2025</t>
        </is>
      </c>
      <c r="B793" s="1" t="n">
        <v>45883.6364699074</v>
      </c>
      <c r="C793" s="1" t="n">
        <v>45892</v>
      </c>
      <c r="D793" t="inlineStr">
        <is>
          <t>VÄSTERBOTTENS LÄN</t>
        </is>
      </c>
      <c r="E793" t="inlineStr">
        <is>
          <t>VILHELMINA</t>
        </is>
      </c>
      <c r="G793" t="n">
        <v>36.7</v>
      </c>
      <c r="H793" t="n">
        <v>0</v>
      </c>
      <c r="I793" t="n">
        <v>0</v>
      </c>
      <c r="J793" t="n">
        <v>0</v>
      </c>
      <c r="K793" t="n">
        <v>0</v>
      </c>
      <c r="L793" t="n">
        <v>0</v>
      </c>
      <c r="M793" t="n">
        <v>0</v>
      </c>
      <c r="N793" t="n">
        <v>0</v>
      </c>
      <c r="O793" t="n">
        <v>0</v>
      </c>
      <c r="P793" t="n">
        <v>0</v>
      </c>
      <c r="Q793" t="n">
        <v>0</v>
      </c>
      <c r="R793" s="2" t="inlineStr"/>
    </row>
    <row r="794" ht="15" customHeight="1">
      <c r="A794" t="inlineStr">
        <is>
          <t>A 38427-2025</t>
        </is>
      </c>
      <c r="B794" s="1" t="n">
        <v>45883.63611111111</v>
      </c>
      <c r="C794" s="1" t="n">
        <v>45892</v>
      </c>
      <c r="D794" t="inlineStr">
        <is>
          <t>VÄSTERBOTTENS LÄN</t>
        </is>
      </c>
      <c r="E794" t="inlineStr">
        <is>
          <t>VILHELMINA</t>
        </is>
      </c>
      <c r="F794" t="inlineStr">
        <is>
          <t>SCA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38242-2025</t>
        </is>
      </c>
      <c r="B795" s="1" t="n">
        <v>45883.36547453704</v>
      </c>
      <c r="C795" s="1" t="n">
        <v>45892</v>
      </c>
      <c r="D795" t="inlineStr">
        <is>
          <t>VÄSTERBOTTENS LÄN</t>
        </is>
      </c>
      <c r="E795" t="inlineStr">
        <is>
          <t>VILHELMINA</t>
        </is>
      </c>
      <c r="G795" t="n">
        <v>1.4</v>
      </c>
      <c r="H795" t="n">
        <v>0</v>
      </c>
      <c r="I795" t="n">
        <v>0</v>
      </c>
      <c r="J795" t="n">
        <v>0</v>
      </c>
      <c r="K795" t="n">
        <v>0</v>
      </c>
      <c r="L795" t="n">
        <v>0</v>
      </c>
      <c r="M795" t="n">
        <v>0</v>
      </c>
      <c r="N795" t="n">
        <v>0</v>
      </c>
      <c r="O795" t="n">
        <v>0</v>
      </c>
      <c r="P795" t="n">
        <v>0</v>
      </c>
      <c r="Q795" t="n">
        <v>0</v>
      </c>
      <c r="R795" s="2" t="inlineStr"/>
    </row>
    <row r="796" ht="15" customHeight="1">
      <c r="A796" t="inlineStr">
        <is>
          <t>A 33322-2025</t>
        </is>
      </c>
      <c r="B796" s="1" t="n">
        <v>45841.3452662037</v>
      </c>
      <c r="C796" s="1" t="n">
        <v>45892</v>
      </c>
      <c r="D796" t="inlineStr">
        <is>
          <t>VÄSTERBOTTENS LÄN</t>
        </is>
      </c>
      <c r="E796" t="inlineStr">
        <is>
          <t>VILHELMINA</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33142-2025</t>
        </is>
      </c>
      <c r="B797" s="1" t="n">
        <v>45840</v>
      </c>
      <c r="C797" s="1" t="n">
        <v>45892</v>
      </c>
      <c r="D797" t="inlineStr">
        <is>
          <t>VÄSTERBOTTENS LÄN</t>
        </is>
      </c>
      <c r="E797" t="inlineStr">
        <is>
          <t>VILHELMINA</t>
        </is>
      </c>
      <c r="G797" t="n">
        <v>15.2</v>
      </c>
      <c r="H797" t="n">
        <v>0</v>
      </c>
      <c r="I797" t="n">
        <v>0</v>
      </c>
      <c r="J797" t="n">
        <v>0</v>
      </c>
      <c r="K797" t="n">
        <v>0</v>
      </c>
      <c r="L797" t="n">
        <v>0</v>
      </c>
      <c r="M797" t="n">
        <v>0</v>
      </c>
      <c r="N797" t="n">
        <v>0</v>
      </c>
      <c r="O797" t="n">
        <v>0</v>
      </c>
      <c r="P797" t="n">
        <v>0</v>
      </c>
      <c r="Q797" t="n">
        <v>0</v>
      </c>
      <c r="R797" s="2" t="inlineStr"/>
    </row>
    <row r="798" ht="15" customHeight="1">
      <c r="A798" t="inlineStr">
        <is>
          <t>A 37717-2024</t>
        </is>
      </c>
      <c r="B798" s="1" t="n">
        <v>45541</v>
      </c>
      <c r="C798" s="1" t="n">
        <v>45892</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38243-2025</t>
        </is>
      </c>
      <c r="B799" s="1" t="n">
        <v>45883.36553240741</v>
      </c>
      <c r="C799" s="1" t="n">
        <v>45892</v>
      </c>
      <c r="D799" t="inlineStr">
        <is>
          <t>VÄSTERBOTTENS LÄN</t>
        </is>
      </c>
      <c r="E799" t="inlineStr">
        <is>
          <t>VILHELMINA</t>
        </is>
      </c>
      <c r="G799" t="n">
        <v>4.7</v>
      </c>
      <c r="H799" t="n">
        <v>0</v>
      </c>
      <c r="I799" t="n">
        <v>0</v>
      </c>
      <c r="J799" t="n">
        <v>0</v>
      </c>
      <c r="K799" t="n">
        <v>0</v>
      </c>
      <c r="L799" t="n">
        <v>0</v>
      </c>
      <c r="M799" t="n">
        <v>0</v>
      </c>
      <c r="N799" t="n">
        <v>0</v>
      </c>
      <c r="O799" t="n">
        <v>0</v>
      </c>
      <c r="P799" t="n">
        <v>0</v>
      </c>
      <c r="Q799" t="n">
        <v>0</v>
      </c>
      <c r="R799" s="2" t="inlineStr"/>
    </row>
    <row r="800" ht="15" customHeight="1">
      <c r="A800" t="inlineStr">
        <is>
          <t>A 38409-2025</t>
        </is>
      </c>
      <c r="B800" s="1" t="n">
        <v>45883.59429398148</v>
      </c>
      <c r="C800" s="1" t="n">
        <v>45892</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38356-2025</t>
        </is>
      </c>
      <c r="B801" s="1" t="n">
        <v>45883.53247685185</v>
      </c>
      <c r="C801" s="1" t="n">
        <v>45892</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38357-2025</t>
        </is>
      </c>
      <c r="B802" s="1" t="n">
        <v>45883.53263888889</v>
      </c>
      <c r="C802" s="1" t="n">
        <v>45892</v>
      </c>
      <c r="D802" t="inlineStr">
        <is>
          <t>VÄSTERBOTTENS LÄN</t>
        </is>
      </c>
      <c r="E802" t="inlineStr">
        <is>
          <t>VILHELMINA</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6638-2025</t>
        </is>
      </c>
      <c r="B803" s="1" t="n">
        <v>45700</v>
      </c>
      <c r="C803" s="1" t="n">
        <v>45892</v>
      </c>
      <c r="D803" t="inlineStr">
        <is>
          <t>VÄSTERBOTTENS LÄN</t>
        </is>
      </c>
      <c r="E803" t="inlineStr">
        <is>
          <t>VILHELMINA</t>
        </is>
      </c>
      <c r="G803" t="n">
        <v>21.5</v>
      </c>
      <c r="H803" t="n">
        <v>0</v>
      </c>
      <c r="I803" t="n">
        <v>0</v>
      </c>
      <c r="J803" t="n">
        <v>0</v>
      </c>
      <c r="K803" t="n">
        <v>0</v>
      </c>
      <c r="L803" t="n">
        <v>0</v>
      </c>
      <c r="M803" t="n">
        <v>0</v>
      </c>
      <c r="N803" t="n">
        <v>0</v>
      </c>
      <c r="O803" t="n">
        <v>0</v>
      </c>
      <c r="P803" t="n">
        <v>0</v>
      </c>
      <c r="Q803" t="n">
        <v>0</v>
      </c>
      <c r="R803" s="2" t="inlineStr"/>
    </row>
    <row r="804" ht="15" customHeight="1">
      <c r="A804" t="inlineStr">
        <is>
          <t>A 48117-2022</t>
        </is>
      </c>
      <c r="B804" s="1" t="n">
        <v>44857</v>
      </c>
      <c r="C804" s="1" t="n">
        <v>45892</v>
      </c>
      <c r="D804" t="inlineStr">
        <is>
          <t>VÄSTERBOTTENS LÄN</t>
        </is>
      </c>
      <c r="E804" t="inlineStr">
        <is>
          <t>VILHELMINA</t>
        </is>
      </c>
      <c r="G804" t="n">
        <v>5.6</v>
      </c>
      <c r="H804" t="n">
        <v>0</v>
      </c>
      <c r="I804" t="n">
        <v>0</v>
      </c>
      <c r="J804" t="n">
        <v>0</v>
      </c>
      <c r="K804" t="n">
        <v>0</v>
      </c>
      <c r="L804" t="n">
        <v>0</v>
      </c>
      <c r="M804" t="n">
        <v>0</v>
      </c>
      <c r="N804" t="n">
        <v>0</v>
      </c>
      <c r="O804" t="n">
        <v>0</v>
      </c>
      <c r="P804" t="n">
        <v>0</v>
      </c>
      <c r="Q804" t="n">
        <v>0</v>
      </c>
      <c r="R804" s="2" t="inlineStr"/>
    </row>
    <row r="805" ht="15" customHeight="1">
      <c r="A805" t="inlineStr">
        <is>
          <t>A 38597-2025</t>
        </is>
      </c>
      <c r="B805" s="1" t="n">
        <v>45884.49061342593</v>
      </c>
      <c r="C805" s="1" t="n">
        <v>45892</v>
      </c>
      <c r="D805" t="inlineStr">
        <is>
          <t>VÄSTERBOTTENS LÄN</t>
        </is>
      </c>
      <c r="E805" t="inlineStr">
        <is>
          <t>VILHELMINA</t>
        </is>
      </c>
      <c r="F805" t="inlineStr">
        <is>
          <t>SCA</t>
        </is>
      </c>
      <c r="G805" t="n">
        <v>7.5</v>
      </c>
      <c r="H805" t="n">
        <v>0</v>
      </c>
      <c r="I805" t="n">
        <v>0</v>
      </c>
      <c r="J805" t="n">
        <v>0</v>
      </c>
      <c r="K805" t="n">
        <v>0</v>
      </c>
      <c r="L805" t="n">
        <v>0</v>
      </c>
      <c r="M805" t="n">
        <v>0</v>
      </c>
      <c r="N805" t="n">
        <v>0</v>
      </c>
      <c r="O805" t="n">
        <v>0</v>
      </c>
      <c r="P805" t="n">
        <v>0</v>
      </c>
      <c r="Q805" t="n">
        <v>0</v>
      </c>
      <c r="R805" s="2" t="inlineStr"/>
    </row>
    <row r="806" ht="15" customHeight="1">
      <c r="A806" t="inlineStr">
        <is>
          <t>A 34253-2025</t>
        </is>
      </c>
      <c r="B806" s="1" t="n">
        <v>45845</v>
      </c>
      <c r="C806" s="1" t="n">
        <v>45892</v>
      </c>
      <c r="D806" t="inlineStr">
        <is>
          <t>VÄSTERBOTTENS LÄN</t>
        </is>
      </c>
      <c r="E806" t="inlineStr">
        <is>
          <t>VILHELMINA</t>
        </is>
      </c>
      <c r="G806" t="n">
        <v>14.3</v>
      </c>
      <c r="H806" t="n">
        <v>0</v>
      </c>
      <c r="I806" t="n">
        <v>0</v>
      </c>
      <c r="J806" t="n">
        <v>0</v>
      </c>
      <c r="K806" t="n">
        <v>0</v>
      </c>
      <c r="L806" t="n">
        <v>0</v>
      </c>
      <c r="M806" t="n">
        <v>0</v>
      </c>
      <c r="N806" t="n">
        <v>0</v>
      </c>
      <c r="O806" t="n">
        <v>0</v>
      </c>
      <c r="P806" t="n">
        <v>0</v>
      </c>
      <c r="Q806" t="n">
        <v>0</v>
      </c>
      <c r="R806" s="2" t="inlineStr"/>
    </row>
    <row r="807" ht="15" customHeight="1">
      <c r="A807" t="inlineStr">
        <is>
          <t>A 38540-2025</t>
        </is>
      </c>
      <c r="B807" s="1" t="n">
        <v>45884.42768518518</v>
      </c>
      <c r="C807" s="1" t="n">
        <v>45892</v>
      </c>
      <c r="D807" t="inlineStr">
        <is>
          <t>VÄSTERBOTTENS LÄN</t>
        </is>
      </c>
      <c r="E807" t="inlineStr">
        <is>
          <t>VILHELMINA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38543-2025</t>
        </is>
      </c>
      <c r="B808" s="1" t="n">
        <v>45884.42813657408</v>
      </c>
      <c r="C808" s="1" t="n">
        <v>45892</v>
      </c>
      <c r="D808" t="inlineStr">
        <is>
          <t>VÄSTERBOTTENS LÄN</t>
        </is>
      </c>
      <c r="E808" t="inlineStr">
        <is>
          <t>VILHELMINA</t>
        </is>
      </c>
      <c r="G808" t="n">
        <v>2.4</v>
      </c>
      <c r="H808" t="n">
        <v>0</v>
      </c>
      <c r="I808" t="n">
        <v>0</v>
      </c>
      <c r="J808" t="n">
        <v>0</v>
      </c>
      <c r="K808" t="n">
        <v>0</v>
      </c>
      <c r="L808" t="n">
        <v>0</v>
      </c>
      <c r="M808" t="n">
        <v>0</v>
      </c>
      <c r="N808" t="n">
        <v>0</v>
      </c>
      <c r="O808" t="n">
        <v>0</v>
      </c>
      <c r="P808" t="n">
        <v>0</v>
      </c>
      <c r="Q808" t="n">
        <v>0</v>
      </c>
      <c r="R808" s="2" t="inlineStr"/>
    </row>
    <row r="809" ht="15" customHeight="1">
      <c r="A809" t="inlineStr">
        <is>
          <t>A 38620-2025</t>
        </is>
      </c>
      <c r="B809" s="1" t="n">
        <v>45884.55297453704</v>
      </c>
      <c r="C809" s="1" t="n">
        <v>45892</v>
      </c>
      <c r="D809" t="inlineStr">
        <is>
          <t>VÄSTERBOTTENS LÄN</t>
        </is>
      </c>
      <c r="E809" t="inlineStr">
        <is>
          <t>VILHELMINA</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26143-2025</t>
        </is>
      </c>
      <c r="B810" s="1" t="n">
        <v>45805</v>
      </c>
      <c r="C810" s="1" t="n">
        <v>45892</v>
      </c>
      <c r="D810" t="inlineStr">
        <is>
          <t>VÄSTERBOTTENS LÄN</t>
        </is>
      </c>
      <c r="E810" t="inlineStr">
        <is>
          <t>VILHELMINA</t>
        </is>
      </c>
      <c r="G810" t="n">
        <v>20</v>
      </c>
      <c r="H810" t="n">
        <v>0</v>
      </c>
      <c r="I810" t="n">
        <v>0</v>
      </c>
      <c r="J810" t="n">
        <v>0</v>
      </c>
      <c r="K810" t="n">
        <v>0</v>
      </c>
      <c r="L810" t="n">
        <v>0</v>
      </c>
      <c r="M810" t="n">
        <v>0</v>
      </c>
      <c r="N810" t="n">
        <v>0</v>
      </c>
      <c r="O810" t="n">
        <v>0</v>
      </c>
      <c r="P810" t="n">
        <v>0</v>
      </c>
      <c r="Q810" t="n">
        <v>0</v>
      </c>
      <c r="R810" s="2" t="inlineStr"/>
    </row>
    <row r="811" ht="15" customHeight="1">
      <c r="A811" t="inlineStr">
        <is>
          <t>A 38580-2025</t>
        </is>
      </c>
      <c r="B811" s="1" t="n">
        <v>45884.46951388889</v>
      </c>
      <c r="C811" s="1" t="n">
        <v>45892</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7777-2024</t>
        </is>
      </c>
      <c r="B812" s="1" t="n">
        <v>45349</v>
      </c>
      <c r="C812" s="1" t="n">
        <v>45892</v>
      </c>
      <c r="D812" t="inlineStr">
        <is>
          <t>VÄSTERBOTTENS LÄN</t>
        </is>
      </c>
      <c r="E812" t="inlineStr">
        <is>
          <t>VILHELMINA</t>
        </is>
      </c>
      <c r="G812" t="n">
        <v>7</v>
      </c>
      <c r="H812" t="n">
        <v>0</v>
      </c>
      <c r="I812" t="n">
        <v>0</v>
      </c>
      <c r="J812" t="n">
        <v>0</v>
      </c>
      <c r="K812" t="n">
        <v>0</v>
      </c>
      <c r="L812" t="n">
        <v>0</v>
      </c>
      <c r="M812" t="n">
        <v>0</v>
      </c>
      <c r="N812" t="n">
        <v>0</v>
      </c>
      <c r="O812" t="n">
        <v>0</v>
      </c>
      <c r="P812" t="n">
        <v>0</v>
      </c>
      <c r="Q812" t="n">
        <v>0</v>
      </c>
      <c r="R812" s="2" t="inlineStr"/>
    </row>
    <row r="813" ht="15" customHeight="1">
      <c r="A813" t="inlineStr">
        <is>
          <t>A 59022-2024</t>
        </is>
      </c>
      <c r="B813" s="1" t="n">
        <v>45636</v>
      </c>
      <c r="C813" s="1" t="n">
        <v>45892</v>
      </c>
      <c r="D813" t="inlineStr">
        <is>
          <t>VÄSTERBOTTENS LÄN</t>
        </is>
      </c>
      <c r="E813" t="inlineStr">
        <is>
          <t>VILHELMINA</t>
        </is>
      </c>
      <c r="F813" t="inlineStr">
        <is>
          <t>Allmännings- och besparingsskogar</t>
        </is>
      </c>
      <c r="G813" t="n">
        <v>35.1</v>
      </c>
      <c r="H813" t="n">
        <v>0</v>
      </c>
      <c r="I813" t="n">
        <v>0</v>
      </c>
      <c r="J813" t="n">
        <v>0</v>
      </c>
      <c r="K813" t="n">
        <v>0</v>
      </c>
      <c r="L813" t="n">
        <v>0</v>
      </c>
      <c r="M813" t="n">
        <v>0</v>
      </c>
      <c r="N813" t="n">
        <v>0</v>
      </c>
      <c r="O813" t="n">
        <v>0</v>
      </c>
      <c r="P813" t="n">
        <v>0</v>
      </c>
      <c r="Q813" t="n">
        <v>0</v>
      </c>
      <c r="R813" s="2" t="inlineStr"/>
    </row>
    <row r="814" ht="15" customHeight="1">
      <c r="A814" t="inlineStr">
        <is>
          <t>A 9162-2022</t>
        </is>
      </c>
      <c r="B814" s="1" t="n">
        <v>44615</v>
      </c>
      <c r="C814" s="1" t="n">
        <v>45892</v>
      </c>
      <c r="D814" t="inlineStr">
        <is>
          <t>VÄSTERBOTTENS LÄN</t>
        </is>
      </c>
      <c r="E814" t="inlineStr">
        <is>
          <t>VILHELMINA</t>
        </is>
      </c>
      <c r="G814" t="n">
        <v>7.2</v>
      </c>
      <c r="H814" t="n">
        <v>0</v>
      </c>
      <c r="I814" t="n">
        <v>0</v>
      </c>
      <c r="J814" t="n">
        <v>0</v>
      </c>
      <c r="K814" t="n">
        <v>0</v>
      </c>
      <c r="L814" t="n">
        <v>0</v>
      </c>
      <c r="M814" t="n">
        <v>0</v>
      </c>
      <c r="N814" t="n">
        <v>0</v>
      </c>
      <c r="O814" t="n">
        <v>0</v>
      </c>
      <c r="P814" t="n">
        <v>0</v>
      </c>
      <c r="Q814" t="n">
        <v>0</v>
      </c>
      <c r="R814" s="2" t="inlineStr"/>
    </row>
    <row r="815" ht="15" customHeight="1">
      <c r="A815" t="inlineStr">
        <is>
          <t>A 38360-2025</t>
        </is>
      </c>
      <c r="B815" s="1" t="n">
        <v>45883.53290509259</v>
      </c>
      <c r="C815" s="1" t="n">
        <v>45892</v>
      </c>
      <c r="D815" t="inlineStr">
        <is>
          <t>VÄSTERBOTTENS LÄN</t>
        </is>
      </c>
      <c r="E815" t="inlineStr">
        <is>
          <t>VILHELMINA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38384-2025</t>
        </is>
      </c>
      <c r="B816" s="1" t="n">
        <v>45883</v>
      </c>
      <c r="C816" s="1" t="n">
        <v>45892</v>
      </c>
      <c r="D816" t="inlineStr">
        <is>
          <t>VÄSTERBOTTENS LÄN</t>
        </is>
      </c>
      <c r="E816" t="inlineStr">
        <is>
          <t>VILHELMINA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34413-2025</t>
        </is>
      </c>
      <c r="B817" s="1" t="n">
        <v>45845</v>
      </c>
      <c r="C817" s="1" t="n">
        <v>45892</v>
      </c>
      <c r="D817" t="inlineStr">
        <is>
          <t>VÄSTERBOTTENS LÄN</t>
        </is>
      </c>
      <c r="E817" t="inlineStr">
        <is>
          <t>VILHELMINA</t>
        </is>
      </c>
      <c r="G817" t="n">
        <v>6.8</v>
      </c>
      <c r="H817" t="n">
        <v>0</v>
      </c>
      <c r="I817" t="n">
        <v>0</v>
      </c>
      <c r="J817" t="n">
        <v>0</v>
      </c>
      <c r="K817" t="n">
        <v>0</v>
      </c>
      <c r="L817" t="n">
        <v>0</v>
      </c>
      <c r="M817" t="n">
        <v>0</v>
      </c>
      <c r="N817" t="n">
        <v>0</v>
      </c>
      <c r="O817" t="n">
        <v>0</v>
      </c>
      <c r="P817" t="n">
        <v>0</v>
      </c>
      <c r="Q817" t="n">
        <v>0</v>
      </c>
      <c r="R817" s="2" t="inlineStr"/>
    </row>
    <row r="818" ht="15" customHeight="1">
      <c r="A818" t="inlineStr">
        <is>
          <t>A 6669-2021</t>
        </is>
      </c>
      <c r="B818" s="1" t="n">
        <v>44235</v>
      </c>
      <c r="C818" s="1" t="n">
        <v>45892</v>
      </c>
      <c r="D818" t="inlineStr">
        <is>
          <t>VÄSTERBOTTENS LÄN</t>
        </is>
      </c>
      <c r="E818" t="inlineStr">
        <is>
          <t>VILHELMINA</t>
        </is>
      </c>
      <c r="G818" t="n">
        <v>19.8</v>
      </c>
      <c r="H818" t="n">
        <v>0</v>
      </c>
      <c r="I818" t="n">
        <v>0</v>
      </c>
      <c r="J818" t="n">
        <v>0</v>
      </c>
      <c r="K818" t="n">
        <v>0</v>
      </c>
      <c r="L818" t="n">
        <v>0</v>
      </c>
      <c r="M818" t="n">
        <v>0</v>
      </c>
      <c r="N818" t="n">
        <v>0</v>
      </c>
      <c r="O818" t="n">
        <v>0</v>
      </c>
      <c r="P818" t="n">
        <v>0</v>
      </c>
      <c r="Q818" t="n">
        <v>0</v>
      </c>
      <c r="R818" s="2" t="inlineStr"/>
    </row>
    <row r="819" ht="15" customHeight="1">
      <c r="A819" t="inlineStr">
        <is>
          <t>A 6706-2021</t>
        </is>
      </c>
      <c r="B819" s="1" t="n">
        <v>44235</v>
      </c>
      <c r="C819" s="1" t="n">
        <v>45892</v>
      </c>
      <c r="D819" t="inlineStr">
        <is>
          <t>VÄSTERBOTTENS LÄN</t>
        </is>
      </c>
      <c r="E819" t="inlineStr">
        <is>
          <t>VILHELMINA</t>
        </is>
      </c>
      <c r="G819" t="n">
        <v>3.8</v>
      </c>
      <c r="H819" t="n">
        <v>0</v>
      </c>
      <c r="I819" t="n">
        <v>0</v>
      </c>
      <c r="J819" t="n">
        <v>0</v>
      </c>
      <c r="K819" t="n">
        <v>0</v>
      </c>
      <c r="L819" t="n">
        <v>0</v>
      </c>
      <c r="M819" t="n">
        <v>0</v>
      </c>
      <c r="N819" t="n">
        <v>0</v>
      </c>
      <c r="O819" t="n">
        <v>0</v>
      </c>
      <c r="P819" t="n">
        <v>0</v>
      </c>
      <c r="Q819" t="n">
        <v>0</v>
      </c>
      <c r="R819" s="2" t="inlineStr"/>
    </row>
    <row r="820" ht="15" customHeight="1">
      <c r="A820" t="inlineStr">
        <is>
          <t>A 61778-2023</t>
        </is>
      </c>
      <c r="B820" s="1" t="n">
        <v>45265.95667824074</v>
      </c>
      <c r="C820" s="1" t="n">
        <v>45892</v>
      </c>
      <c r="D820" t="inlineStr">
        <is>
          <t>VÄSTERBOTTENS LÄN</t>
        </is>
      </c>
      <c r="E820" t="inlineStr">
        <is>
          <t>VILHELMINA</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58377-2021</t>
        </is>
      </c>
      <c r="B821" s="1" t="n">
        <v>44488</v>
      </c>
      <c r="C821" s="1" t="n">
        <v>45892</v>
      </c>
      <c r="D821" t="inlineStr">
        <is>
          <t>VÄSTERBOTTENS LÄN</t>
        </is>
      </c>
      <c r="E821" t="inlineStr">
        <is>
          <t>VILHELMINA</t>
        </is>
      </c>
      <c r="G821" t="n">
        <v>1.5</v>
      </c>
      <c r="H821" t="n">
        <v>0</v>
      </c>
      <c r="I821" t="n">
        <v>0</v>
      </c>
      <c r="J821" t="n">
        <v>0</v>
      </c>
      <c r="K821" t="n">
        <v>0</v>
      </c>
      <c r="L821" t="n">
        <v>0</v>
      </c>
      <c r="M821" t="n">
        <v>0</v>
      </c>
      <c r="N821" t="n">
        <v>0</v>
      </c>
      <c r="O821" t="n">
        <v>0</v>
      </c>
      <c r="P821" t="n">
        <v>0</v>
      </c>
      <c r="Q821" t="n">
        <v>0</v>
      </c>
      <c r="R821" s="2" t="inlineStr"/>
    </row>
    <row r="822" ht="15" customHeight="1">
      <c r="A822" t="inlineStr">
        <is>
          <t>A 475-2024</t>
        </is>
      </c>
      <c r="B822" s="1" t="n">
        <v>45297.83246527778</v>
      </c>
      <c r="C822" s="1" t="n">
        <v>45892</v>
      </c>
      <c r="D822" t="inlineStr">
        <is>
          <t>VÄSTERBOTTENS LÄN</t>
        </is>
      </c>
      <c r="E822" t="inlineStr">
        <is>
          <t>VILHELMINA</t>
        </is>
      </c>
      <c r="G822" t="n">
        <v>6.1</v>
      </c>
      <c r="H822" t="n">
        <v>0</v>
      </c>
      <c r="I822" t="n">
        <v>0</v>
      </c>
      <c r="J822" t="n">
        <v>0</v>
      </c>
      <c r="K822" t="n">
        <v>0</v>
      </c>
      <c r="L822" t="n">
        <v>0</v>
      </c>
      <c r="M822" t="n">
        <v>0</v>
      </c>
      <c r="N822" t="n">
        <v>0</v>
      </c>
      <c r="O822" t="n">
        <v>0</v>
      </c>
      <c r="P822" t="n">
        <v>0</v>
      </c>
      <c r="Q822" t="n">
        <v>0</v>
      </c>
      <c r="R822" s="2" t="inlineStr"/>
    </row>
    <row r="823" ht="15" customHeight="1">
      <c r="A823" t="inlineStr">
        <is>
          <t>A 14254-2025</t>
        </is>
      </c>
      <c r="B823" s="1" t="n">
        <v>45740.61644675926</v>
      </c>
      <c r="C823" s="1" t="n">
        <v>45892</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56396-2022</t>
        </is>
      </c>
      <c r="B824" s="1" t="n">
        <v>44890</v>
      </c>
      <c r="C824" s="1" t="n">
        <v>45892</v>
      </c>
      <c r="D824" t="inlineStr">
        <is>
          <t>VÄSTERBOTTENS LÄN</t>
        </is>
      </c>
      <c r="E824" t="inlineStr">
        <is>
          <t>VILHELMINA</t>
        </is>
      </c>
      <c r="G824" t="n">
        <v>1.6</v>
      </c>
      <c r="H824" t="n">
        <v>0</v>
      </c>
      <c r="I824" t="n">
        <v>0</v>
      </c>
      <c r="J824" t="n">
        <v>0</v>
      </c>
      <c r="K824" t="n">
        <v>0</v>
      </c>
      <c r="L824" t="n">
        <v>0</v>
      </c>
      <c r="M824" t="n">
        <v>0</v>
      </c>
      <c r="N824" t="n">
        <v>0</v>
      </c>
      <c r="O824" t="n">
        <v>0</v>
      </c>
      <c r="P824" t="n">
        <v>0</v>
      </c>
      <c r="Q824" t="n">
        <v>0</v>
      </c>
      <c r="R824" s="2" t="inlineStr"/>
    </row>
    <row r="825" ht="15" customHeight="1">
      <c r="A825" t="inlineStr">
        <is>
          <t>A 19909-2025</t>
        </is>
      </c>
      <c r="B825" s="1" t="n">
        <v>45771.60482638889</v>
      </c>
      <c r="C825" s="1" t="n">
        <v>45892</v>
      </c>
      <c r="D825" t="inlineStr">
        <is>
          <t>VÄSTERBOTTENS LÄN</t>
        </is>
      </c>
      <c r="E825" t="inlineStr">
        <is>
          <t>VILHELMINA</t>
        </is>
      </c>
      <c r="G825" t="n">
        <v>12.4</v>
      </c>
      <c r="H825" t="n">
        <v>0</v>
      </c>
      <c r="I825" t="n">
        <v>0</v>
      </c>
      <c r="J825" t="n">
        <v>0</v>
      </c>
      <c r="K825" t="n">
        <v>0</v>
      </c>
      <c r="L825" t="n">
        <v>0</v>
      </c>
      <c r="M825" t="n">
        <v>0</v>
      </c>
      <c r="N825" t="n">
        <v>0</v>
      </c>
      <c r="O825" t="n">
        <v>0</v>
      </c>
      <c r="P825" t="n">
        <v>0</v>
      </c>
      <c r="Q825" t="n">
        <v>0</v>
      </c>
      <c r="R825" s="2" t="inlineStr"/>
    </row>
    <row r="826" ht="15" customHeight="1">
      <c r="A826" t="inlineStr">
        <is>
          <t>A 10941-2023</t>
        </is>
      </c>
      <c r="B826" s="1" t="n">
        <v>44985</v>
      </c>
      <c r="C826" s="1" t="n">
        <v>45892</v>
      </c>
      <c r="D826" t="inlineStr">
        <is>
          <t>VÄSTERBOTTENS LÄN</t>
        </is>
      </c>
      <c r="E826" t="inlineStr">
        <is>
          <t>VILHELMINA</t>
        </is>
      </c>
      <c r="G826" t="n">
        <v>16.7</v>
      </c>
      <c r="H826" t="n">
        <v>0</v>
      </c>
      <c r="I826" t="n">
        <v>0</v>
      </c>
      <c r="J826" t="n">
        <v>0</v>
      </c>
      <c r="K826" t="n">
        <v>0</v>
      </c>
      <c r="L826" t="n">
        <v>0</v>
      </c>
      <c r="M826" t="n">
        <v>0</v>
      </c>
      <c r="N826" t="n">
        <v>0</v>
      </c>
      <c r="O826" t="n">
        <v>0</v>
      </c>
      <c r="P826" t="n">
        <v>0</v>
      </c>
      <c r="Q826" t="n">
        <v>0</v>
      </c>
      <c r="R826" s="2" t="inlineStr"/>
    </row>
    <row r="827" ht="15" customHeight="1">
      <c r="A827" t="inlineStr">
        <is>
          <t>A 39320-2025</t>
        </is>
      </c>
      <c r="B827" s="1" t="n">
        <v>45889.46940972222</v>
      </c>
      <c r="C827" s="1" t="n">
        <v>45892</v>
      </c>
      <c r="D827" t="inlineStr">
        <is>
          <t>VÄSTERBOTTENS LÄN</t>
        </is>
      </c>
      <c r="E827" t="inlineStr">
        <is>
          <t>VILHELMINA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26401-2022</t>
        </is>
      </c>
      <c r="B828" s="1" t="n">
        <v>44735</v>
      </c>
      <c r="C828" s="1" t="n">
        <v>45892</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58363-2021</t>
        </is>
      </c>
      <c r="B829" s="1" t="n">
        <v>44488</v>
      </c>
      <c r="C829" s="1" t="n">
        <v>45892</v>
      </c>
      <c r="D829" t="inlineStr">
        <is>
          <t>VÄSTERBOTTENS LÄN</t>
        </is>
      </c>
      <c r="E829" t="inlineStr">
        <is>
          <t>VILHELMINA</t>
        </is>
      </c>
      <c r="G829" t="n">
        <v>7.3</v>
      </c>
      <c r="H829" t="n">
        <v>0</v>
      </c>
      <c r="I829" t="n">
        <v>0</v>
      </c>
      <c r="J829" t="n">
        <v>0</v>
      </c>
      <c r="K829" t="n">
        <v>0</v>
      </c>
      <c r="L829" t="n">
        <v>0</v>
      </c>
      <c r="M829" t="n">
        <v>0</v>
      </c>
      <c r="N829" t="n">
        <v>0</v>
      </c>
      <c r="O829" t="n">
        <v>0</v>
      </c>
      <c r="P829" t="n">
        <v>0</v>
      </c>
      <c r="Q829" t="n">
        <v>0</v>
      </c>
      <c r="R829" s="2" t="inlineStr"/>
    </row>
    <row r="830" ht="15" customHeight="1">
      <c r="A830" t="inlineStr">
        <is>
          <t>A 8916-2023</t>
        </is>
      </c>
      <c r="B830" s="1" t="n">
        <v>44972</v>
      </c>
      <c r="C830" s="1" t="n">
        <v>45892</v>
      </c>
      <c r="D830" t="inlineStr">
        <is>
          <t>VÄSTERBOTTENS LÄN</t>
        </is>
      </c>
      <c r="E830" t="inlineStr">
        <is>
          <t>VILHELMINA</t>
        </is>
      </c>
      <c r="F830" t="inlineStr">
        <is>
          <t>Allmännings- och besparingsskogar</t>
        </is>
      </c>
      <c r="G830" t="n">
        <v>22.1</v>
      </c>
      <c r="H830" t="n">
        <v>0</v>
      </c>
      <c r="I830" t="n">
        <v>0</v>
      </c>
      <c r="J830" t="n">
        <v>0</v>
      </c>
      <c r="K830" t="n">
        <v>0</v>
      </c>
      <c r="L830" t="n">
        <v>0</v>
      </c>
      <c r="M830" t="n">
        <v>0</v>
      </c>
      <c r="N830" t="n">
        <v>0</v>
      </c>
      <c r="O830" t="n">
        <v>0</v>
      </c>
      <c r="P830" t="n">
        <v>0</v>
      </c>
      <c r="Q830" t="n">
        <v>0</v>
      </c>
      <c r="R830" s="2" t="inlineStr"/>
    </row>
    <row r="831" ht="15" customHeight="1">
      <c r="A831" t="inlineStr">
        <is>
          <t>A 15805-2025</t>
        </is>
      </c>
      <c r="B831" s="1" t="n">
        <v>45748</v>
      </c>
      <c r="C831" s="1" t="n">
        <v>45892</v>
      </c>
      <c r="D831" t="inlineStr">
        <is>
          <t>VÄSTERBOTTENS LÄN</t>
        </is>
      </c>
      <c r="E831" t="inlineStr">
        <is>
          <t>VILHELMINA</t>
        </is>
      </c>
      <c r="G831" t="n">
        <v>1.4</v>
      </c>
      <c r="H831" t="n">
        <v>0</v>
      </c>
      <c r="I831" t="n">
        <v>0</v>
      </c>
      <c r="J831" t="n">
        <v>0</v>
      </c>
      <c r="K831" t="n">
        <v>0</v>
      </c>
      <c r="L831" t="n">
        <v>0</v>
      </c>
      <c r="M831" t="n">
        <v>0</v>
      </c>
      <c r="N831" t="n">
        <v>0</v>
      </c>
      <c r="O831" t="n">
        <v>0</v>
      </c>
      <c r="P831" t="n">
        <v>0</v>
      </c>
      <c r="Q831" t="n">
        <v>0</v>
      </c>
      <c r="R831" s="2" t="inlineStr"/>
    </row>
    <row r="832" ht="15" customHeight="1">
      <c r="A832" t="inlineStr">
        <is>
          <t>A 37346-2024</t>
        </is>
      </c>
      <c r="B832" s="1" t="n">
        <v>45540</v>
      </c>
      <c r="C832" s="1" t="n">
        <v>45892</v>
      </c>
      <c r="D832" t="inlineStr">
        <is>
          <t>VÄSTERBOTTENS LÄN</t>
        </is>
      </c>
      <c r="E832" t="inlineStr">
        <is>
          <t>VILHELMINA</t>
        </is>
      </c>
      <c r="G832" t="n">
        <v>100.3</v>
      </c>
      <c r="H832" t="n">
        <v>0</v>
      </c>
      <c r="I832" t="n">
        <v>0</v>
      </c>
      <c r="J832" t="n">
        <v>0</v>
      </c>
      <c r="K832" t="n">
        <v>0</v>
      </c>
      <c r="L832" t="n">
        <v>0</v>
      </c>
      <c r="M832" t="n">
        <v>0</v>
      </c>
      <c r="N832" t="n">
        <v>0</v>
      </c>
      <c r="O832" t="n">
        <v>0</v>
      </c>
      <c r="P832" t="n">
        <v>0</v>
      </c>
      <c r="Q832" t="n">
        <v>0</v>
      </c>
      <c r="R832" s="2" t="inlineStr"/>
    </row>
    <row r="833" ht="15" customHeight="1">
      <c r="A833" t="inlineStr">
        <is>
          <t>A 23544-2024</t>
        </is>
      </c>
      <c r="B833" s="1" t="n">
        <v>45453.95314814815</v>
      </c>
      <c r="C833" s="1" t="n">
        <v>45892</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23545-2024</t>
        </is>
      </c>
      <c r="B834" s="1" t="n">
        <v>45453.95326388889</v>
      </c>
      <c r="C834" s="1" t="n">
        <v>45892</v>
      </c>
      <c r="D834" t="inlineStr">
        <is>
          <t>VÄSTERBOTTENS LÄN</t>
        </is>
      </c>
      <c r="E834" t="inlineStr">
        <is>
          <t>VILHELMINA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39138-2025</t>
        </is>
      </c>
      <c r="B835" s="1" t="n">
        <v>45888.59435185185</v>
      </c>
      <c r="C835" s="1" t="n">
        <v>45892</v>
      </c>
      <c r="D835" t="inlineStr">
        <is>
          <t>VÄSTERBOTTENS LÄN</t>
        </is>
      </c>
      <c r="E835" t="inlineStr">
        <is>
          <t>VILHELMINA</t>
        </is>
      </c>
      <c r="G835" t="n">
        <v>6.7</v>
      </c>
      <c r="H835" t="n">
        <v>0</v>
      </c>
      <c r="I835" t="n">
        <v>0</v>
      </c>
      <c r="J835" t="n">
        <v>0</v>
      </c>
      <c r="K835" t="n">
        <v>0</v>
      </c>
      <c r="L835" t="n">
        <v>0</v>
      </c>
      <c r="M835" t="n">
        <v>0</v>
      </c>
      <c r="N835" t="n">
        <v>0</v>
      </c>
      <c r="O835" t="n">
        <v>0</v>
      </c>
      <c r="P835" t="n">
        <v>0</v>
      </c>
      <c r="Q835" t="n">
        <v>0</v>
      </c>
      <c r="R835" s="2" t="inlineStr"/>
    </row>
    <row r="836" ht="15" customHeight="1">
      <c r="A836" t="inlineStr">
        <is>
          <t>A 34563-2025</t>
        </is>
      </c>
      <c r="B836" s="1" t="n">
        <v>45847.57950231482</v>
      </c>
      <c r="C836" s="1" t="n">
        <v>45892</v>
      </c>
      <c r="D836" t="inlineStr">
        <is>
          <t>VÄSTERBOTTENS LÄN</t>
        </is>
      </c>
      <c r="E836" t="inlineStr">
        <is>
          <t>VILHELMINA</t>
        </is>
      </c>
      <c r="G836" t="n">
        <v>20.6</v>
      </c>
      <c r="H836" t="n">
        <v>0</v>
      </c>
      <c r="I836" t="n">
        <v>0</v>
      </c>
      <c r="J836" t="n">
        <v>0</v>
      </c>
      <c r="K836" t="n">
        <v>0</v>
      </c>
      <c r="L836" t="n">
        <v>0</v>
      </c>
      <c r="M836" t="n">
        <v>0</v>
      </c>
      <c r="N836" t="n">
        <v>0</v>
      </c>
      <c r="O836" t="n">
        <v>0</v>
      </c>
      <c r="P836" t="n">
        <v>0</v>
      </c>
      <c r="Q836" t="n">
        <v>0</v>
      </c>
      <c r="R836" s="2" t="inlineStr"/>
    </row>
    <row r="837" ht="15" customHeight="1">
      <c r="A837" t="inlineStr">
        <is>
          <t>A 12365-2025</t>
        </is>
      </c>
      <c r="B837" s="1" t="n">
        <v>45730.37549768519</v>
      </c>
      <c r="C837" s="1" t="n">
        <v>45892</v>
      </c>
      <c r="D837" t="inlineStr">
        <is>
          <t>VÄSTERBOTTENS LÄN</t>
        </is>
      </c>
      <c r="E837" t="inlineStr">
        <is>
          <t>VILHELMINA</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12370-2025</t>
        </is>
      </c>
      <c r="B838" s="1" t="n">
        <v>45730.37681712963</v>
      </c>
      <c r="C838" s="1" t="n">
        <v>45892</v>
      </c>
      <c r="D838" t="inlineStr">
        <is>
          <t>VÄSTERBOTTENS LÄN</t>
        </is>
      </c>
      <c r="E838" t="inlineStr">
        <is>
          <t>VILHELMINA</t>
        </is>
      </c>
      <c r="F838" t="inlineStr">
        <is>
          <t>Övriga statliga verk och myndigheter</t>
        </is>
      </c>
      <c r="G838" t="n">
        <v>8.9</v>
      </c>
      <c r="H838" t="n">
        <v>0</v>
      </c>
      <c r="I838" t="n">
        <v>0</v>
      </c>
      <c r="J838" t="n">
        <v>0</v>
      </c>
      <c r="K838" t="n">
        <v>0</v>
      </c>
      <c r="L838" t="n">
        <v>0</v>
      </c>
      <c r="M838" t="n">
        <v>0</v>
      </c>
      <c r="N838" t="n">
        <v>0</v>
      </c>
      <c r="O838" t="n">
        <v>0</v>
      </c>
      <c r="P838" t="n">
        <v>0</v>
      </c>
      <c r="Q838" t="n">
        <v>0</v>
      </c>
      <c r="R838" s="2" t="inlineStr"/>
    </row>
    <row r="839" ht="15" customHeight="1">
      <c r="A839" t="inlineStr">
        <is>
          <t>A 2187-2021</t>
        </is>
      </c>
      <c r="B839" s="1" t="n">
        <v>44211</v>
      </c>
      <c r="C839" s="1" t="n">
        <v>45892</v>
      </c>
      <c r="D839" t="inlineStr">
        <is>
          <t>VÄSTERBOTTENS LÄN</t>
        </is>
      </c>
      <c r="E839" t="inlineStr">
        <is>
          <t>VILHELMINA</t>
        </is>
      </c>
      <c r="F839" t="inlineStr">
        <is>
          <t>Allmännings- och besparingsskogar</t>
        </is>
      </c>
      <c r="G839" t="n">
        <v>21.3</v>
      </c>
      <c r="H839" t="n">
        <v>0</v>
      </c>
      <c r="I839" t="n">
        <v>0</v>
      </c>
      <c r="J839" t="n">
        <v>0</v>
      </c>
      <c r="K839" t="n">
        <v>0</v>
      </c>
      <c r="L839" t="n">
        <v>0</v>
      </c>
      <c r="M839" t="n">
        <v>0</v>
      </c>
      <c r="N839" t="n">
        <v>0</v>
      </c>
      <c r="O839" t="n">
        <v>0</v>
      </c>
      <c r="P839" t="n">
        <v>0</v>
      </c>
      <c r="Q839" t="n">
        <v>0</v>
      </c>
      <c r="R839" s="2" t="inlineStr"/>
    </row>
    <row r="840" ht="15" customHeight="1">
      <c r="A840" t="inlineStr">
        <is>
          <t>A 39378-2025</t>
        </is>
      </c>
      <c r="B840" s="1" t="n">
        <v>45889.59453703704</v>
      </c>
      <c r="C840" s="1" t="n">
        <v>45892</v>
      </c>
      <c r="D840" t="inlineStr">
        <is>
          <t>VÄSTERBOTTENS LÄN</t>
        </is>
      </c>
      <c r="E840" t="inlineStr">
        <is>
          <t>VILHELMINA</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34569-2025</t>
        </is>
      </c>
      <c r="B841" s="1" t="n">
        <v>45847.58480324074</v>
      </c>
      <c r="C841" s="1" t="n">
        <v>45892</v>
      </c>
      <c r="D841" t="inlineStr">
        <is>
          <t>VÄSTERBOTTENS LÄN</t>
        </is>
      </c>
      <c r="E841" t="inlineStr">
        <is>
          <t>VILHELMINA</t>
        </is>
      </c>
      <c r="G841" t="n">
        <v>5.3</v>
      </c>
      <c r="H841" t="n">
        <v>0</v>
      </c>
      <c r="I841" t="n">
        <v>0</v>
      </c>
      <c r="J841" t="n">
        <v>0</v>
      </c>
      <c r="K841" t="n">
        <v>0</v>
      </c>
      <c r="L841" t="n">
        <v>0</v>
      </c>
      <c r="M841" t="n">
        <v>0</v>
      </c>
      <c r="N841" t="n">
        <v>0</v>
      </c>
      <c r="O841" t="n">
        <v>0</v>
      </c>
      <c r="P841" t="n">
        <v>0</v>
      </c>
      <c r="Q841" t="n">
        <v>0</v>
      </c>
      <c r="R841" s="2" t="inlineStr"/>
    </row>
    <row r="842" ht="15" customHeight="1">
      <c r="A842" t="inlineStr">
        <is>
          <t>A 34542-2025</t>
        </is>
      </c>
      <c r="B842" s="1" t="n">
        <v>45847.53211805555</v>
      </c>
      <c r="C842" s="1" t="n">
        <v>45892</v>
      </c>
      <c r="D842" t="inlineStr">
        <is>
          <t>VÄSTERBOTTENS LÄN</t>
        </is>
      </c>
      <c r="E842" t="inlineStr">
        <is>
          <t>VILHELMINA</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19221-2025</t>
        </is>
      </c>
      <c r="B843" s="1" t="n">
        <v>45769</v>
      </c>
      <c r="C843" s="1" t="n">
        <v>45892</v>
      </c>
      <c r="D843" t="inlineStr">
        <is>
          <t>VÄSTERBOTTENS LÄN</t>
        </is>
      </c>
      <c r="E843" t="inlineStr">
        <is>
          <t>VILHELMINA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44634-2024</t>
        </is>
      </c>
      <c r="B844" s="1" t="n">
        <v>45574</v>
      </c>
      <c r="C844" s="1" t="n">
        <v>45892</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48471-2023</t>
        </is>
      </c>
      <c r="B845" s="1" t="n">
        <v>45206.9575462963</v>
      </c>
      <c r="C845" s="1" t="n">
        <v>45892</v>
      </c>
      <c r="D845" t="inlineStr">
        <is>
          <t>VÄSTERBOTTENS LÄN</t>
        </is>
      </c>
      <c r="E845" t="inlineStr">
        <is>
          <t>VILHELMINA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36669-2025</t>
        </is>
      </c>
      <c r="B846" s="1" t="n">
        <v>45873</v>
      </c>
      <c r="C846" s="1" t="n">
        <v>45892</v>
      </c>
      <c r="D846" t="inlineStr">
        <is>
          <t>VÄSTERBOTTENS LÄN</t>
        </is>
      </c>
      <c r="E846" t="inlineStr">
        <is>
          <t>VILHELMINA</t>
        </is>
      </c>
      <c r="G846" t="n">
        <v>12.5</v>
      </c>
      <c r="H846" t="n">
        <v>0</v>
      </c>
      <c r="I846" t="n">
        <v>0</v>
      </c>
      <c r="J846" t="n">
        <v>0</v>
      </c>
      <c r="K846" t="n">
        <v>0</v>
      </c>
      <c r="L846" t="n">
        <v>0</v>
      </c>
      <c r="M846" t="n">
        <v>0</v>
      </c>
      <c r="N846" t="n">
        <v>0</v>
      </c>
      <c r="O846" t="n">
        <v>0</v>
      </c>
      <c r="P846" t="n">
        <v>0</v>
      </c>
      <c r="Q846" t="n">
        <v>0</v>
      </c>
      <c r="R846" s="2" t="inlineStr"/>
    </row>
    <row r="847" ht="15" customHeight="1">
      <c r="A847" t="inlineStr">
        <is>
          <t>A 39533-2025</t>
        </is>
      </c>
      <c r="B847" s="1" t="n">
        <v>45890.44863425926</v>
      </c>
      <c r="C847" s="1" t="n">
        <v>45892</v>
      </c>
      <c r="D847" t="inlineStr">
        <is>
          <t>VÄSTERBOTTENS LÄN</t>
        </is>
      </c>
      <c r="E847" t="inlineStr">
        <is>
          <t>VILHELMINA</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39571-2025</t>
        </is>
      </c>
      <c r="B848" s="1" t="n">
        <v>45890.49021990741</v>
      </c>
      <c r="C848" s="1" t="n">
        <v>45892</v>
      </c>
      <c r="D848" t="inlineStr">
        <is>
          <t>VÄSTERBOTTENS LÄN</t>
        </is>
      </c>
      <c r="E848" t="inlineStr">
        <is>
          <t>VILHELMINA</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39558-2025</t>
        </is>
      </c>
      <c r="B849" s="1" t="n">
        <v>45890.46978009259</v>
      </c>
      <c r="C849" s="1" t="n">
        <v>45892</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13030-2025</t>
        </is>
      </c>
      <c r="B850" s="1" t="n">
        <v>45734</v>
      </c>
      <c r="C850" s="1" t="n">
        <v>45892</v>
      </c>
      <c r="D850" t="inlineStr">
        <is>
          <t>VÄSTERBOTTENS LÄN</t>
        </is>
      </c>
      <c r="E850" t="inlineStr">
        <is>
          <t>VILHELMINA</t>
        </is>
      </c>
      <c r="G850" t="n">
        <v>13.9</v>
      </c>
      <c r="H850" t="n">
        <v>0</v>
      </c>
      <c r="I850" t="n">
        <v>0</v>
      </c>
      <c r="J850" t="n">
        <v>0</v>
      </c>
      <c r="K850" t="n">
        <v>0</v>
      </c>
      <c r="L850" t="n">
        <v>0</v>
      </c>
      <c r="M850" t="n">
        <v>0</v>
      </c>
      <c r="N850" t="n">
        <v>0</v>
      </c>
      <c r="O850" t="n">
        <v>0</v>
      </c>
      <c r="P850" t="n">
        <v>0</v>
      </c>
      <c r="Q850" t="n">
        <v>0</v>
      </c>
      <c r="R850" s="2" t="inlineStr"/>
    </row>
    <row r="851" ht="15" customHeight="1">
      <c r="A851" t="inlineStr">
        <is>
          <t>A 39534-2025</t>
        </is>
      </c>
      <c r="B851" s="1" t="n">
        <v>45890.44875</v>
      </c>
      <c r="C851" s="1" t="n">
        <v>45892</v>
      </c>
      <c r="D851" t="inlineStr">
        <is>
          <t>VÄSTERBOTTENS LÄN</t>
        </is>
      </c>
      <c r="E851" t="inlineStr">
        <is>
          <t>VILHELMINA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61780-2023</t>
        </is>
      </c>
      <c r="B852" s="1" t="n">
        <v>45265.95685185185</v>
      </c>
      <c r="C852" s="1" t="n">
        <v>45892</v>
      </c>
      <c r="D852" t="inlineStr">
        <is>
          <t>VÄSTERBOTTENS LÄN</t>
        </is>
      </c>
      <c r="E852" t="inlineStr">
        <is>
          <t>VILHELMINA</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59693-2024</t>
        </is>
      </c>
      <c r="B853" s="1" t="n">
        <v>45639</v>
      </c>
      <c r="C853" s="1" t="n">
        <v>45892</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20324-2025</t>
        </is>
      </c>
      <c r="B854" s="1" t="n">
        <v>45775</v>
      </c>
      <c r="C854" s="1" t="n">
        <v>45892</v>
      </c>
      <c r="D854" t="inlineStr">
        <is>
          <t>VÄSTERBOTTENS LÄN</t>
        </is>
      </c>
      <c r="E854" t="inlineStr">
        <is>
          <t>VILHELMINA</t>
        </is>
      </c>
      <c r="G854" t="n">
        <v>3.5</v>
      </c>
      <c r="H854" t="n">
        <v>0</v>
      </c>
      <c r="I854" t="n">
        <v>0</v>
      </c>
      <c r="J854" t="n">
        <v>0</v>
      </c>
      <c r="K854" t="n">
        <v>0</v>
      </c>
      <c r="L854" t="n">
        <v>0</v>
      </c>
      <c r="M854" t="n">
        <v>0</v>
      </c>
      <c r="N854" t="n">
        <v>0</v>
      </c>
      <c r="O854" t="n">
        <v>0</v>
      </c>
      <c r="P854" t="n">
        <v>0</v>
      </c>
      <c r="Q854" t="n">
        <v>0</v>
      </c>
      <c r="R854" s="2" t="inlineStr"/>
    </row>
    <row r="855" ht="15" customHeight="1">
      <c r="A855" t="inlineStr">
        <is>
          <t>A 38555-2024</t>
        </is>
      </c>
      <c r="B855" s="1" t="n">
        <v>45546</v>
      </c>
      <c r="C855" s="1" t="n">
        <v>45892</v>
      </c>
      <c r="D855" t="inlineStr">
        <is>
          <t>VÄSTERBOTTENS LÄN</t>
        </is>
      </c>
      <c r="E855" t="inlineStr">
        <is>
          <t>VILHELMINA</t>
        </is>
      </c>
      <c r="G855" t="n">
        <v>7.8</v>
      </c>
      <c r="H855" t="n">
        <v>0</v>
      </c>
      <c r="I855" t="n">
        <v>0</v>
      </c>
      <c r="J855" t="n">
        <v>0</v>
      </c>
      <c r="K855" t="n">
        <v>0</v>
      </c>
      <c r="L855" t="n">
        <v>0</v>
      </c>
      <c r="M855" t="n">
        <v>0</v>
      </c>
      <c r="N855" t="n">
        <v>0</v>
      </c>
      <c r="O855" t="n">
        <v>0</v>
      </c>
      <c r="P855" t="n">
        <v>0</v>
      </c>
      <c r="Q855" t="n">
        <v>0</v>
      </c>
      <c r="R855" s="2" t="inlineStr"/>
    </row>
    <row r="856" ht="15" customHeight="1">
      <c r="A856" t="inlineStr">
        <is>
          <t>A 56754-2023</t>
        </is>
      </c>
      <c r="B856" s="1" t="n">
        <v>45238</v>
      </c>
      <c r="C856" s="1" t="n">
        <v>45892</v>
      </c>
      <c r="D856" t="inlineStr">
        <is>
          <t>VÄSTERBOTTENS LÄN</t>
        </is>
      </c>
      <c r="E856" t="inlineStr">
        <is>
          <t>VILHELMINA</t>
        </is>
      </c>
      <c r="F856" t="inlineStr">
        <is>
          <t>Allmännings- och besparingsskogar</t>
        </is>
      </c>
      <c r="G856" t="n">
        <v>18</v>
      </c>
      <c r="H856" t="n">
        <v>0</v>
      </c>
      <c r="I856" t="n">
        <v>0</v>
      </c>
      <c r="J856" t="n">
        <v>0</v>
      </c>
      <c r="K856" t="n">
        <v>0</v>
      </c>
      <c r="L856" t="n">
        <v>0</v>
      </c>
      <c r="M856" t="n">
        <v>0</v>
      </c>
      <c r="N856" t="n">
        <v>0</v>
      </c>
      <c r="O856" t="n">
        <v>0</v>
      </c>
      <c r="P856" t="n">
        <v>0</v>
      </c>
      <c r="Q856" t="n">
        <v>0</v>
      </c>
      <c r="R856" s="2" t="inlineStr"/>
    </row>
    <row r="857" ht="15" customHeight="1">
      <c r="A857" t="inlineStr">
        <is>
          <t>A 60151-2024</t>
        </is>
      </c>
      <c r="B857" s="1" t="n">
        <v>45642.61490740741</v>
      </c>
      <c r="C857" s="1" t="n">
        <v>45892</v>
      </c>
      <c r="D857" t="inlineStr">
        <is>
          <t>VÄSTERBOTTENS LÄN</t>
        </is>
      </c>
      <c r="E857" t="inlineStr">
        <is>
          <t>VILHELMINA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34130-2024</t>
        </is>
      </c>
      <c r="B858" s="1" t="n">
        <v>45524.34668981482</v>
      </c>
      <c r="C858" s="1" t="n">
        <v>45892</v>
      </c>
      <c r="D858" t="inlineStr">
        <is>
          <t>VÄSTERBOTTENS LÄN</t>
        </is>
      </c>
      <c r="E858" t="inlineStr">
        <is>
          <t>VILHELMINA</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26553-2023</t>
        </is>
      </c>
      <c r="B859" s="1" t="n">
        <v>45089</v>
      </c>
      <c r="C859" s="1" t="n">
        <v>45892</v>
      </c>
      <c r="D859" t="inlineStr">
        <is>
          <t>VÄSTERBOTTENS LÄN</t>
        </is>
      </c>
      <c r="E859" t="inlineStr">
        <is>
          <t>VILHELMINA</t>
        </is>
      </c>
      <c r="G859" t="n">
        <v>5.5</v>
      </c>
      <c r="H859" t="n">
        <v>0</v>
      </c>
      <c r="I859" t="n">
        <v>0</v>
      </c>
      <c r="J859" t="n">
        <v>0</v>
      </c>
      <c r="K859" t="n">
        <v>0</v>
      </c>
      <c r="L859" t="n">
        <v>0</v>
      </c>
      <c r="M859" t="n">
        <v>0</v>
      </c>
      <c r="N859" t="n">
        <v>0</v>
      </c>
      <c r="O859" t="n">
        <v>0</v>
      </c>
      <c r="P859" t="n">
        <v>0</v>
      </c>
      <c r="Q859" t="n">
        <v>0</v>
      </c>
      <c r="R859" s="2" t="inlineStr"/>
    </row>
    <row r="860" ht="15" customHeight="1">
      <c r="A860" t="inlineStr">
        <is>
          <t>A 56763-2023</t>
        </is>
      </c>
      <c r="B860" s="1" t="n">
        <v>45238</v>
      </c>
      <c r="C860" s="1" t="n">
        <v>45892</v>
      </c>
      <c r="D860" t="inlineStr">
        <is>
          <t>VÄSTERBOTTENS LÄN</t>
        </is>
      </c>
      <c r="E860" t="inlineStr">
        <is>
          <t>VILHELMINA</t>
        </is>
      </c>
      <c r="F860" t="inlineStr">
        <is>
          <t>Allmännings- och besparingsskogar</t>
        </is>
      </c>
      <c r="G860" t="n">
        <v>77</v>
      </c>
      <c r="H860" t="n">
        <v>0</v>
      </c>
      <c r="I860" t="n">
        <v>0</v>
      </c>
      <c r="J860" t="n">
        <v>0</v>
      </c>
      <c r="K860" t="n">
        <v>0</v>
      </c>
      <c r="L860" t="n">
        <v>0</v>
      </c>
      <c r="M860" t="n">
        <v>0</v>
      </c>
      <c r="N860" t="n">
        <v>0</v>
      </c>
      <c r="O860" t="n">
        <v>0</v>
      </c>
      <c r="P860" t="n">
        <v>0</v>
      </c>
      <c r="Q860" t="n">
        <v>0</v>
      </c>
      <c r="R860" s="2" t="inlineStr"/>
    </row>
    <row r="861" ht="15" customHeight="1">
      <c r="A861" t="inlineStr">
        <is>
          <t>A 45007-2024</t>
        </is>
      </c>
      <c r="B861" s="1" t="n">
        <v>45575.49100694444</v>
      </c>
      <c r="C861" s="1" t="n">
        <v>45892</v>
      </c>
      <c r="D861" t="inlineStr">
        <is>
          <t>VÄSTERBOTTENS LÄN</t>
        </is>
      </c>
      <c r="E861" t="inlineStr">
        <is>
          <t>VILHELMINA</t>
        </is>
      </c>
      <c r="F861" t="inlineStr">
        <is>
          <t>SCA</t>
        </is>
      </c>
      <c r="G861" t="n">
        <v>14.8</v>
      </c>
      <c r="H861" t="n">
        <v>0</v>
      </c>
      <c r="I861" t="n">
        <v>0</v>
      </c>
      <c r="J861" t="n">
        <v>0</v>
      </c>
      <c r="K861" t="n">
        <v>0</v>
      </c>
      <c r="L861" t="n">
        <v>0</v>
      </c>
      <c r="M861" t="n">
        <v>0</v>
      </c>
      <c r="N861" t="n">
        <v>0</v>
      </c>
      <c r="O861" t="n">
        <v>0</v>
      </c>
      <c r="P861" t="n">
        <v>0</v>
      </c>
      <c r="Q861" t="n">
        <v>0</v>
      </c>
      <c r="R861" s="2" t="inlineStr"/>
    </row>
    <row r="862" ht="15" customHeight="1">
      <c r="A862" t="inlineStr">
        <is>
          <t>A 33786-2024</t>
        </is>
      </c>
      <c r="B862" s="1" t="n">
        <v>45520.58966435185</v>
      </c>
      <c r="C862" s="1" t="n">
        <v>45892</v>
      </c>
      <c r="D862" t="inlineStr">
        <is>
          <t>VÄSTERBOTTENS LÄN</t>
        </is>
      </c>
      <c r="E862" t="inlineStr">
        <is>
          <t>VILHELMINA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30572-2024</t>
        </is>
      </c>
      <c r="B863" s="1" t="n">
        <v>45492.95777777778</v>
      </c>
      <c r="C863" s="1" t="n">
        <v>45892</v>
      </c>
      <c r="D863" t="inlineStr">
        <is>
          <t>VÄSTERBOTTENS LÄN</t>
        </is>
      </c>
      <c r="E863" t="inlineStr">
        <is>
          <t>VILHELMINA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15062-2024</t>
        </is>
      </c>
      <c r="B864" s="1" t="n">
        <v>45399</v>
      </c>
      <c r="C864" s="1" t="n">
        <v>45892</v>
      </c>
      <c r="D864" t="inlineStr">
        <is>
          <t>VÄSTERBOTTENS LÄN</t>
        </is>
      </c>
      <c r="E864" t="inlineStr">
        <is>
          <t>VILHELMINA</t>
        </is>
      </c>
      <c r="G864" t="n">
        <v>1.7</v>
      </c>
      <c r="H864" t="n">
        <v>0</v>
      </c>
      <c r="I864" t="n">
        <v>0</v>
      </c>
      <c r="J864" t="n">
        <v>0</v>
      </c>
      <c r="K864" t="n">
        <v>0</v>
      </c>
      <c r="L864" t="n">
        <v>0</v>
      </c>
      <c r="M864" t="n">
        <v>0</v>
      </c>
      <c r="N864" t="n">
        <v>0</v>
      </c>
      <c r="O864" t="n">
        <v>0</v>
      </c>
      <c r="P864" t="n">
        <v>0</v>
      </c>
      <c r="Q864" t="n">
        <v>0</v>
      </c>
      <c r="R864" s="2" t="inlineStr"/>
    </row>
    <row r="865" ht="15" customHeight="1">
      <c r="A865" t="inlineStr">
        <is>
          <t>A 15066-2024</t>
        </is>
      </c>
      <c r="B865" s="1" t="n">
        <v>45399</v>
      </c>
      <c r="C865" s="1" t="n">
        <v>45892</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18781-2021</t>
        </is>
      </c>
      <c r="B866" s="1" t="n">
        <v>44307</v>
      </c>
      <c r="C866" s="1" t="n">
        <v>45892</v>
      </c>
      <c r="D866" t="inlineStr">
        <is>
          <t>VÄSTERBOTTENS LÄN</t>
        </is>
      </c>
      <c r="E866" t="inlineStr">
        <is>
          <t>VILHELMINA</t>
        </is>
      </c>
      <c r="G866" t="n">
        <v>3.5</v>
      </c>
      <c r="H866" t="n">
        <v>0</v>
      </c>
      <c r="I866" t="n">
        <v>0</v>
      </c>
      <c r="J866" t="n">
        <v>0</v>
      </c>
      <c r="K866" t="n">
        <v>0</v>
      </c>
      <c r="L866" t="n">
        <v>0</v>
      </c>
      <c r="M866" t="n">
        <v>0</v>
      </c>
      <c r="N866" t="n">
        <v>0</v>
      </c>
      <c r="O866" t="n">
        <v>0</v>
      </c>
      <c r="P866" t="n">
        <v>0</v>
      </c>
      <c r="Q866" t="n">
        <v>0</v>
      </c>
      <c r="R866" s="2" t="inlineStr"/>
    </row>
    <row r="867" ht="15" customHeight="1">
      <c r="A867" t="inlineStr">
        <is>
          <t>A 18790-2021</t>
        </is>
      </c>
      <c r="B867" s="1" t="n">
        <v>44307</v>
      </c>
      <c r="C867" s="1" t="n">
        <v>45892</v>
      </c>
      <c r="D867" t="inlineStr">
        <is>
          <t>VÄSTERBOTTENS LÄN</t>
        </is>
      </c>
      <c r="E867" t="inlineStr">
        <is>
          <t>VILHELMINA</t>
        </is>
      </c>
      <c r="G867" t="n">
        <v>1.1</v>
      </c>
      <c r="H867" t="n">
        <v>0</v>
      </c>
      <c r="I867" t="n">
        <v>0</v>
      </c>
      <c r="J867" t="n">
        <v>0</v>
      </c>
      <c r="K867" t="n">
        <v>0</v>
      </c>
      <c r="L867" t="n">
        <v>0</v>
      </c>
      <c r="M867" t="n">
        <v>0</v>
      </c>
      <c r="N867" t="n">
        <v>0</v>
      </c>
      <c r="O867" t="n">
        <v>0</v>
      </c>
      <c r="P867" t="n">
        <v>0</v>
      </c>
      <c r="Q867" t="n">
        <v>0</v>
      </c>
      <c r="R867" s="2" t="inlineStr"/>
    </row>
    <row r="868" ht="15" customHeight="1">
      <c r="A868" t="inlineStr">
        <is>
          <t>A 59671-2023</t>
        </is>
      </c>
      <c r="B868" s="1" t="n">
        <v>45254.96524305556</v>
      </c>
      <c r="C868" s="1" t="n">
        <v>45892</v>
      </c>
      <c r="D868" t="inlineStr">
        <is>
          <t>VÄSTERBOTTENS LÄN</t>
        </is>
      </c>
      <c r="E868" t="inlineStr">
        <is>
          <t>VILHELMINA</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46373-2020</t>
        </is>
      </c>
      <c r="B869" s="1" t="n">
        <v>44092</v>
      </c>
      <c r="C869" s="1" t="n">
        <v>45892</v>
      </c>
      <c r="D869" t="inlineStr">
        <is>
          <t>VÄSTERBOTTENS LÄN</t>
        </is>
      </c>
      <c r="E869" t="inlineStr">
        <is>
          <t>VILHELMINA</t>
        </is>
      </c>
      <c r="F869" t="inlineStr">
        <is>
          <t>SCA</t>
        </is>
      </c>
      <c r="G869" t="n">
        <v>6.8</v>
      </c>
      <c r="H869" t="n">
        <v>0</v>
      </c>
      <c r="I869" t="n">
        <v>0</v>
      </c>
      <c r="J869" t="n">
        <v>0</v>
      </c>
      <c r="K869" t="n">
        <v>0</v>
      </c>
      <c r="L869" t="n">
        <v>0</v>
      </c>
      <c r="M869" t="n">
        <v>0</v>
      </c>
      <c r="N869" t="n">
        <v>0</v>
      </c>
      <c r="O869" t="n">
        <v>0</v>
      </c>
      <c r="P869" t="n">
        <v>0</v>
      </c>
      <c r="Q869" t="n">
        <v>0</v>
      </c>
      <c r="R869" s="2" t="inlineStr"/>
    </row>
    <row r="870" ht="15" customHeight="1">
      <c r="A870" t="inlineStr">
        <is>
          <t>A 9197-2023</t>
        </is>
      </c>
      <c r="B870" s="1" t="n">
        <v>44977</v>
      </c>
      <c r="C870" s="1" t="n">
        <v>45892</v>
      </c>
      <c r="D870" t="inlineStr">
        <is>
          <t>VÄSTERBOTTENS LÄN</t>
        </is>
      </c>
      <c r="E870" t="inlineStr">
        <is>
          <t>VILHELMINA</t>
        </is>
      </c>
      <c r="G870" t="n">
        <v>8.9</v>
      </c>
      <c r="H870" t="n">
        <v>0</v>
      </c>
      <c r="I870" t="n">
        <v>0</v>
      </c>
      <c r="J870" t="n">
        <v>0</v>
      </c>
      <c r="K870" t="n">
        <v>0</v>
      </c>
      <c r="L870" t="n">
        <v>0</v>
      </c>
      <c r="M870" t="n">
        <v>0</v>
      </c>
      <c r="N870" t="n">
        <v>0</v>
      </c>
      <c r="O870" t="n">
        <v>0</v>
      </c>
      <c r="P870" t="n">
        <v>0</v>
      </c>
      <c r="Q870" t="n">
        <v>0</v>
      </c>
      <c r="R870" s="2" t="inlineStr"/>
    </row>
    <row r="871" ht="15" customHeight="1">
      <c r="A871" t="inlineStr">
        <is>
          <t>A 60311-2024</t>
        </is>
      </c>
      <c r="B871" s="1" t="n">
        <v>45643.34430555555</v>
      </c>
      <c r="C871" s="1" t="n">
        <v>45892</v>
      </c>
      <c r="D871" t="inlineStr">
        <is>
          <t>VÄSTERBOTTENS LÄN</t>
        </is>
      </c>
      <c r="E871" t="inlineStr">
        <is>
          <t>VILHELMINA</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14993-2025</t>
        </is>
      </c>
      <c r="B872" s="1" t="n">
        <v>45743</v>
      </c>
      <c r="C872" s="1" t="n">
        <v>45892</v>
      </c>
      <c r="D872" t="inlineStr">
        <is>
          <t>VÄSTERBOTTENS LÄN</t>
        </is>
      </c>
      <c r="E872" t="inlineStr">
        <is>
          <t>VILHELMINA</t>
        </is>
      </c>
      <c r="G872" t="n">
        <v>2.1</v>
      </c>
      <c r="H872" t="n">
        <v>0</v>
      </c>
      <c r="I872" t="n">
        <v>0</v>
      </c>
      <c r="J872" t="n">
        <v>0</v>
      </c>
      <c r="K872" t="n">
        <v>0</v>
      </c>
      <c r="L872" t="n">
        <v>0</v>
      </c>
      <c r="M872" t="n">
        <v>0</v>
      </c>
      <c r="N872" t="n">
        <v>0</v>
      </c>
      <c r="O872" t="n">
        <v>0</v>
      </c>
      <c r="P872" t="n">
        <v>0</v>
      </c>
      <c r="Q872" t="n">
        <v>0</v>
      </c>
      <c r="R872" s="2" t="inlineStr"/>
    </row>
    <row r="873" ht="15" customHeight="1">
      <c r="A873" t="inlineStr">
        <is>
          <t>A 60227-2022</t>
        </is>
      </c>
      <c r="B873" s="1" t="n">
        <v>44903</v>
      </c>
      <c r="C873" s="1" t="n">
        <v>45892</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26137-2024</t>
        </is>
      </c>
      <c r="B874" s="1" t="n">
        <v>45468</v>
      </c>
      <c r="C874" s="1" t="n">
        <v>45892</v>
      </c>
      <c r="D874" t="inlineStr">
        <is>
          <t>VÄSTERBOTTENS LÄN</t>
        </is>
      </c>
      <c r="E874" t="inlineStr">
        <is>
          <t>VILHELMINA</t>
        </is>
      </c>
      <c r="G874" t="n">
        <v>3.5</v>
      </c>
      <c r="H874" t="n">
        <v>0</v>
      </c>
      <c r="I874" t="n">
        <v>0</v>
      </c>
      <c r="J874" t="n">
        <v>0</v>
      </c>
      <c r="K874" t="n">
        <v>0</v>
      </c>
      <c r="L874" t="n">
        <v>0</v>
      </c>
      <c r="M874" t="n">
        <v>0</v>
      </c>
      <c r="N874" t="n">
        <v>0</v>
      </c>
      <c r="O874" t="n">
        <v>0</v>
      </c>
      <c r="P874" t="n">
        <v>0</v>
      </c>
      <c r="Q874" t="n">
        <v>0</v>
      </c>
      <c r="R874" s="2" t="inlineStr"/>
    </row>
    <row r="875" ht="15" customHeight="1">
      <c r="A875" t="inlineStr">
        <is>
          <t>A 20591-2025</t>
        </is>
      </c>
      <c r="B875" s="1" t="n">
        <v>45775</v>
      </c>
      <c r="C875" s="1" t="n">
        <v>45892</v>
      </c>
      <c r="D875" t="inlineStr">
        <is>
          <t>VÄSTERBOTTENS LÄN</t>
        </is>
      </c>
      <c r="E875" t="inlineStr">
        <is>
          <t>VILHELMINA</t>
        </is>
      </c>
      <c r="F875" t="inlineStr">
        <is>
          <t>SCA</t>
        </is>
      </c>
      <c r="G875" t="n">
        <v>27.4</v>
      </c>
      <c r="H875" t="n">
        <v>0</v>
      </c>
      <c r="I875" t="n">
        <v>0</v>
      </c>
      <c r="J875" t="n">
        <v>0</v>
      </c>
      <c r="K875" t="n">
        <v>0</v>
      </c>
      <c r="L875" t="n">
        <v>0</v>
      </c>
      <c r="M875" t="n">
        <v>0</v>
      </c>
      <c r="N875" t="n">
        <v>0</v>
      </c>
      <c r="O875" t="n">
        <v>0</v>
      </c>
      <c r="P875" t="n">
        <v>0</v>
      </c>
      <c r="Q875" t="n">
        <v>0</v>
      </c>
      <c r="R875" s="2" t="inlineStr"/>
    </row>
    <row r="876" ht="15" customHeight="1">
      <c r="A876" t="inlineStr">
        <is>
          <t>A 15786-2025</t>
        </is>
      </c>
      <c r="B876" s="1" t="n">
        <v>45748.62240740741</v>
      </c>
      <c r="C876" s="1" t="n">
        <v>45892</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49236-2024</t>
        </is>
      </c>
      <c r="B877" s="1" t="n">
        <v>45595</v>
      </c>
      <c r="C877" s="1" t="n">
        <v>45892</v>
      </c>
      <c r="D877" t="inlineStr">
        <is>
          <t>VÄSTERBOTTENS LÄN</t>
        </is>
      </c>
      <c r="E877" t="inlineStr">
        <is>
          <t>VILHELMINA</t>
        </is>
      </c>
      <c r="G877" t="n">
        <v>4.1</v>
      </c>
      <c r="H877" t="n">
        <v>0</v>
      </c>
      <c r="I877" t="n">
        <v>0</v>
      </c>
      <c r="J877" t="n">
        <v>0</v>
      </c>
      <c r="K877" t="n">
        <v>0</v>
      </c>
      <c r="L877" t="n">
        <v>0</v>
      </c>
      <c r="M877" t="n">
        <v>0</v>
      </c>
      <c r="N877" t="n">
        <v>0</v>
      </c>
      <c r="O877" t="n">
        <v>0</v>
      </c>
      <c r="P877" t="n">
        <v>0</v>
      </c>
      <c r="Q877" t="n">
        <v>0</v>
      </c>
      <c r="R877" s="2" t="inlineStr"/>
    </row>
    <row r="878" ht="15" customHeight="1">
      <c r="A878" t="inlineStr">
        <is>
          <t>A 49246-2024</t>
        </is>
      </c>
      <c r="B878" s="1" t="n">
        <v>45595.4618287037</v>
      </c>
      <c r="C878" s="1" t="n">
        <v>45892</v>
      </c>
      <c r="D878" t="inlineStr">
        <is>
          <t>VÄSTERBOTTENS LÄN</t>
        </is>
      </c>
      <c r="E878" t="inlineStr">
        <is>
          <t>VILHELMINA</t>
        </is>
      </c>
      <c r="G878" t="n">
        <v>0.9</v>
      </c>
      <c r="H878" t="n">
        <v>0</v>
      </c>
      <c r="I878" t="n">
        <v>0</v>
      </c>
      <c r="J878" t="n">
        <v>0</v>
      </c>
      <c r="K878" t="n">
        <v>0</v>
      </c>
      <c r="L878" t="n">
        <v>0</v>
      </c>
      <c r="M878" t="n">
        <v>0</v>
      </c>
      <c r="N878" t="n">
        <v>0</v>
      </c>
      <c r="O878" t="n">
        <v>0</v>
      </c>
      <c r="P878" t="n">
        <v>0</v>
      </c>
      <c r="Q878" t="n">
        <v>0</v>
      </c>
      <c r="R878" s="2" t="inlineStr"/>
    </row>
    <row r="879" ht="15" customHeight="1">
      <c r="A879" t="inlineStr">
        <is>
          <t>A 17732-2024</t>
        </is>
      </c>
      <c r="B879" s="1" t="n">
        <v>45415</v>
      </c>
      <c r="C879" s="1" t="n">
        <v>45892</v>
      </c>
      <c r="D879" t="inlineStr">
        <is>
          <t>VÄSTERBOTTENS LÄN</t>
        </is>
      </c>
      <c r="E879" t="inlineStr">
        <is>
          <t>VILHELMINA</t>
        </is>
      </c>
      <c r="G879" t="n">
        <v>0.6</v>
      </c>
      <c r="H879" t="n">
        <v>0</v>
      </c>
      <c r="I879" t="n">
        <v>0</v>
      </c>
      <c r="J879" t="n">
        <v>0</v>
      </c>
      <c r="K879" t="n">
        <v>0</v>
      </c>
      <c r="L879" t="n">
        <v>0</v>
      </c>
      <c r="M879" t="n">
        <v>0</v>
      </c>
      <c r="N879" t="n">
        <v>0</v>
      </c>
      <c r="O879" t="n">
        <v>0</v>
      </c>
      <c r="P879" t="n">
        <v>0</v>
      </c>
      <c r="Q879" t="n">
        <v>0</v>
      </c>
      <c r="R879" s="2" t="inlineStr"/>
    </row>
    <row r="880" ht="15" customHeight="1">
      <c r="A880" t="inlineStr">
        <is>
          <t>A 19464-2025</t>
        </is>
      </c>
      <c r="B880" s="1" t="n">
        <v>45770</v>
      </c>
      <c r="C880" s="1" t="n">
        <v>45892</v>
      </c>
      <c r="D880" t="inlineStr">
        <is>
          <t>VÄSTERBOTTENS LÄN</t>
        </is>
      </c>
      <c r="E880" t="inlineStr">
        <is>
          <t>VILHELMINA</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54931-2023</t>
        </is>
      </c>
      <c r="B881" s="1" t="n">
        <v>45229</v>
      </c>
      <c r="C881" s="1" t="n">
        <v>45892</v>
      </c>
      <c r="D881" t="inlineStr">
        <is>
          <t>VÄSTERBOTTENS LÄN</t>
        </is>
      </c>
      <c r="E881" t="inlineStr">
        <is>
          <t>VILHELMINA</t>
        </is>
      </c>
      <c r="G881" t="n">
        <v>14.5</v>
      </c>
      <c r="H881" t="n">
        <v>0</v>
      </c>
      <c r="I881" t="n">
        <v>0</v>
      </c>
      <c r="J881" t="n">
        <v>0</v>
      </c>
      <c r="K881" t="n">
        <v>0</v>
      </c>
      <c r="L881" t="n">
        <v>0</v>
      </c>
      <c r="M881" t="n">
        <v>0</v>
      </c>
      <c r="N881" t="n">
        <v>0</v>
      </c>
      <c r="O881" t="n">
        <v>0</v>
      </c>
      <c r="P881" t="n">
        <v>0</v>
      </c>
      <c r="Q881" t="n">
        <v>0</v>
      </c>
      <c r="R881" s="2" t="inlineStr"/>
    </row>
    <row r="882" ht="15" customHeight="1">
      <c r="A882" t="inlineStr">
        <is>
          <t>A 65179-2021</t>
        </is>
      </c>
      <c r="B882" s="1" t="n">
        <v>44515</v>
      </c>
      <c r="C882" s="1" t="n">
        <v>45892</v>
      </c>
      <c r="D882" t="inlineStr">
        <is>
          <t>VÄSTERBOTTENS LÄN</t>
        </is>
      </c>
      <c r="E882" t="inlineStr">
        <is>
          <t>VILHELMINA</t>
        </is>
      </c>
      <c r="G882" t="n">
        <v>8</v>
      </c>
      <c r="H882" t="n">
        <v>0</v>
      </c>
      <c r="I882" t="n">
        <v>0</v>
      </c>
      <c r="J882" t="n">
        <v>0</v>
      </c>
      <c r="K882" t="n">
        <v>0</v>
      </c>
      <c r="L882" t="n">
        <v>0</v>
      </c>
      <c r="M882" t="n">
        <v>0</v>
      </c>
      <c r="N882" t="n">
        <v>0</v>
      </c>
      <c r="O882" t="n">
        <v>0</v>
      </c>
      <c r="P882" t="n">
        <v>0</v>
      </c>
      <c r="Q882" t="n">
        <v>0</v>
      </c>
      <c r="R882" s="2" t="inlineStr"/>
    </row>
    <row r="883">
      <c r="A883" t="inlineStr">
        <is>
          <t>A 8585-2025</t>
        </is>
      </c>
      <c r="B883" s="1" t="n">
        <v>45709</v>
      </c>
      <c r="C883" s="1" t="n">
        <v>45892</v>
      </c>
      <c r="D883" t="inlineStr">
        <is>
          <t>VÄSTERBOTTENS LÄN</t>
        </is>
      </c>
      <c r="E883" t="inlineStr">
        <is>
          <t>VILHELMINA</t>
        </is>
      </c>
      <c r="G883" t="n">
        <v>3.4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2025-08-23T08:36:00Z</dcterms:created>
  <dcterms:modified xmlns:dcterms="http://purl.org/dc/terms/" xmlns:xsi="http://www.w3.org/2001/XMLSchema-instance" xsi:type="dcterms:W3CDTF">2025-08-23T08:36:01Z</dcterms:modified>
</cp:coreProperties>
</file>