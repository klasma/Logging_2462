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45508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45508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45508</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45508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45508</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45508</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45508</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45508</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45508</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45508</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45508</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45508</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45508</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45508</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45508</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45508</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45508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45508</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45508</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45508</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45508</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45508</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45508</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45508</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45508</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45508</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45508</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45508</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45508</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45508</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45508</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45508</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45508</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45508</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45508</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45508</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45508</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45508</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45508</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45508</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45508</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45508</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45508</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45508</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45508</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45508</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45508</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45508</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45508</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45508</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45508</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45508</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45508</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45508</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45508</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45508</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45508</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45508</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45508</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45508</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45508</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45508</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45508</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45508</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45508</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45508</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45508</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45508</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45508</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45508</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45508</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45508</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45508</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45508</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45508</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45508</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45508</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45508</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45508</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45508</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45508</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45508</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45508</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45508</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45508</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45508</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45508</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45508</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45508</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45508</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45508</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45508</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45508</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45508</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45508</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45508</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45508</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45508</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45508</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45508</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45508</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45508</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45508</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45508</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45508</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45508</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45508</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45508</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45508</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45508</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45508</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45508</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45508</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45508</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45508</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45508</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45508</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45508</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45508</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45508</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45508</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45508</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45508</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45508</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51774-2019</t>
        </is>
      </c>
      <c r="B129" s="1" t="n">
        <v>43741</v>
      </c>
      <c r="C129" s="1" t="n">
        <v>45508</v>
      </c>
      <c r="D129" t="inlineStr">
        <is>
          <t>VÄSTERBOTTENS LÄN</t>
        </is>
      </c>
      <c r="E129" t="inlineStr">
        <is>
          <t>VILHELMINA</t>
        </is>
      </c>
      <c r="F129" t="inlineStr">
        <is>
          <t>Allmännings- och besparingsskogar</t>
        </is>
      </c>
      <c r="G129" t="n">
        <v>19.9</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51774-2019 artfynd.xlsx", "A 51774-2019")</f>
        <v/>
      </c>
      <c r="T129">
        <f>HYPERLINK("https://klasma.github.io/Logging_2462/kartor/A 51774-2019 karta.png", "A 51774-2019")</f>
        <v/>
      </c>
      <c r="V129">
        <f>HYPERLINK("https://klasma.github.io/Logging_2462/klagomål/A 51774-2019 FSC-klagomål.docx", "A 51774-2019")</f>
        <v/>
      </c>
      <c r="W129">
        <f>HYPERLINK("https://klasma.github.io/Logging_2462/klagomålsmail/A 51774-2019 FSC-klagomål mail.docx", "A 51774-2019")</f>
        <v/>
      </c>
      <c r="X129">
        <f>HYPERLINK("https://klasma.github.io/Logging_2462/tillsyn/A 51774-2019 tillsynsbegäran.docx", "A 51774-2019")</f>
        <v/>
      </c>
      <c r="Y129">
        <f>HYPERLINK("https://klasma.github.io/Logging_2462/tillsynsmail/A 51774-2019 tillsynsbegäran mail.docx", "A 51774-2019")</f>
        <v/>
      </c>
      <c r="Z129">
        <f>HYPERLINK("https://klasma.github.io/Logging_2462/fåglar/A 51774-2019 prioriterade fågelarter.docx", "A 51774-2019")</f>
        <v/>
      </c>
    </row>
    <row r="130" ht="15" customHeight="1">
      <c r="A130" t="inlineStr">
        <is>
          <t>A 59424-2019</t>
        </is>
      </c>
      <c r="B130" s="1" t="n">
        <v>43775</v>
      </c>
      <c r="C130" s="1" t="n">
        <v>45508</v>
      </c>
      <c r="D130" t="inlineStr">
        <is>
          <t>VÄSTERBOTTENS LÄN</t>
        </is>
      </c>
      <c r="E130" t="inlineStr">
        <is>
          <t>VILHELMINA</t>
        </is>
      </c>
      <c r="G130" t="n">
        <v>17.4</v>
      </c>
      <c r="H130" t="n">
        <v>0</v>
      </c>
      <c r="I130" t="n">
        <v>0</v>
      </c>
      <c r="J130" t="n">
        <v>1</v>
      </c>
      <c r="K130" t="n">
        <v>0</v>
      </c>
      <c r="L130" t="n">
        <v>0</v>
      </c>
      <c r="M130" t="n">
        <v>0</v>
      </c>
      <c r="N130" t="n">
        <v>0</v>
      </c>
      <c r="O130" t="n">
        <v>1</v>
      </c>
      <c r="P130" t="n">
        <v>0</v>
      </c>
      <c r="Q130" t="n">
        <v>1</v>
      </c>
      <c r="R130" s="2" t="inlineStr">
        <is>
          <t>Granticka</t>
        </is>
      </c>
      <c r="S130">
        <f>HYPERLINK("https://klasma.github.io/Logging_2462/artfynd/A 59424-2019 artfynd.xlsx", "A 59424-2019")</f>
        <v/>
      </c>
      <c r="T130">
        <f>HYPERLINK("https://klasma.github.io/Logging_2462/kartor/A 59424-2019 karta.png", "A 59424-2019")</f>
        <v/>
      </c>
      <c r="V130">
        <f>HYPERLINK("https://klasma.github.io/Logging_2462/klagomål/A 59424-2019 FSC-klagomål.docx", "A 59424-2019")</f>
        <v/>
      </c>
      <c r="W130">
        <f>HYPERLINK("https://klasma.github.io/Logging_2462/klagomålsmail/A 59424-2019 FSC-klagomål mail.docx", "A 59424-2019")</f>
        <v/>
      </c>
      <c r="X130">
        <f>HYPERLINK("https://klasma.github.io/Logging_2462/tillsyn/A 59424-2019 tillsynsbegäran.docx", "A 59424-2019")</f>
        <v/>
      </c>
      <c r="Y130">
        <f>HYPERLINK("https://klasma.github.io/Logging_2462/tillsynsmail/A 59424-2019 tillsynsbegäran mail.docx", "A 59424-2019")</f>
        <v/>
      </c>
    </row>
    <row r="131" ht="15" customHeight="1">
      <c r="A131" t="inlineStr">
        <is>
          <t>A 220-2020</t>
        </is>
      </c>
      <c r="B131" s="1" t="n">
        <v>43833</v>
      </c>
      <c r="C131" s="1" t="n">
        <v>45508</v>
      </c>
      <c r="D131" t="inlineStr">
        <is>
          <t>VÄSTERBOTTENS LÄN</t>
        </is>
      </c>
      <c r="E131" t="inlineStr">
        <is>
          <t>VILHELMINA</t>
        </is>
      </c>
      <c r="F131" t="inlineStr">
        <is>
          <t>SCA</t>
        </is>
      </c>
      <c r="G131" t="n">
        <v>3.2</v>
      </c>
      <c r="H131" t="n">
        <v>0</v>
      </c>
      <c r="I131" t="n">
        <v>0</v>
      </c>
      <c r="J131" t="n">
        <v>1</v>
      </c>
      <c r="K131" t="n">
        <v>0</v>
      </c>
      <c r="L131" t="n">
        <v>0</v>
      </c>
      <c r="M131" t="n">
        <v>0</v>
      </c>
      <c r="N131" t="n">
        <v>0</v>
      </c>
      <c r="O131" t="n">
        <v>1</v>
      </c>
      <c r="P131" t="n">
        <v>0</v>
      </c>
      <c r="Q131" t="n">
        <v>1</v>
      </c>
      <c r="R131" s="2" t="inlineStr">
        <is>
          <t>Vedskivlav</t>
        </is>
      </c>
      <c r="S131">
        <f>HYPERLINK("https://klasma.github.io/Logging_2462/artfynd/A 220-2020 artfynd.xlsx", "A 220-2020")</f>
        <v/>
      </c>
      <c r="T131">
        <f>HYPERLINK("https://klasma.github.io/Logging_2462/kartor/A 220-2020 karta.png", "A 220-2020")</f>
        <v/>
      </c>
      <c r="V131">
        <f>HYPERLINK("https://klasma.github.io/Logging_2462/klagomål/A 220-2020 FSC-klagomål.docx", "A 220-2020")</f>
        <v/>
      </c>
      <c r="W131">
        <f>HYPERLINK("https://klasma.github.io/Logging_2462/klagomålsmail/A 220-2020 FSC-klagomål mail.docx", "A 220-2020")</f>
        <v/>
      </c>
      <c r="X131">
        <f>HYPERLINK("https://klasma.github.io/Logging_2462/tillsyn/A 220-2020 tillsynsbegäran.docx", "A 220-2020")</f>
        <v/>
      </c>
      <c r="Y131">
        <f>HYPERLINK("https://klasma.github.io/Logging_2462/tillsynsmail/A 220-2020 tillsynsbegäran mail.docx", "A 220-2020")</f>
        <v/>
      </c>
    </row>
    <row r="132" ht="15" customHeight="1">
      <c r="A132" t="inlineStr">
        <is>
          <t>A 546-2020</t>
        </is>
      </c>
      <c r="B132" s="1" t="n">
        <v>43837</v>
      </c>
      <c r="C132" s="1" t="n">
        <v>45508</v>
      </c>
      <c r="D132" t="inlineStr">
        <is>
          <t>VÄSTERBOTTENS LÄN</t>
        </is>
      </c>
      <c r="E132" t="inlineStr">
        <is>
          <t>VILHELMINA</t>
        </is>
      </c>
      <c r="F132" t="inlineStr">
        <is>
          <t>SCA</t>
        </is>
      </c>
      <c r="G132" t="n">
        <v>3.1</v>
      </c>
      <c r="H132" t="n">
        <v>0</v>
      </c>
      <c r="I132" t="n">
        <v>0</v>
      </c>
      <c r="J132" t="n">
        <v>1</v>
      </c>
      <c r="K132" t="n">
        <v>0</v>
      </c>
      <c r="L132" t="n">
        <v>0</v>
      </c>
      <c r="M132" t="n">
        <v>0</v>
      </c>
      <c r="N132" t="n">
        <v>0</v>
      </c>
      <c r="O132" t="n">
        <v>1</v>
      </c>
      <c r="P132" t="n">
        <v>0</v>
      </c>
      <c r="Q132" t="n">
        <v>1</v>
      </c>
      <c r="R132" s="2" t="inlineStr">
        <is>
          <t>Vedskivlav</t>
        </is>
      </c>
      <c r="S132">
        <f>HYPERLINK("https://klasma.github.io/Logging_2462/artfynd/A 546-2020 artfynd.xlsx", "A 546-2020")</f>
        <v/>
      </c>
      <c r="T132">
        <f>HYPERLINK("https://klasma.github.io/Logging_2462/kartor/A 546-2020 karta.png", "A 546-2020")</f>
        <v/>
      </c>
      <c r="V132">
        <f>HYPERLINK("https://klasma.github.io/Logging_2462/klagomål/A 546-2020 FSC-klagomål.docx", "A 546-2020")</f>
        <v/>
      </c>
      <c r="W132">
        <f>HYPERLINK("https://klasma.github.io/Logging_2462/klagomålsmail/A 546-2020 FSC-klagomål mail.docx", "A 546-2020")</f>
        <v/>
      </c>
      <c r="X132">
        <f>HYPERLINK("https://klasma.github.io/Logging_2462/tillsyn/A 546-2020 tillsynsbegäran.docx", "A 546-2020")</f>
        <v/>
      </c>
      <c r="Y132">
        <f>HYPERLINK("https://klasma.github.io/Logging_2462/tillsynsmail/A 546-2020 tillsynsbegäran mail.docx", "A 546-2020")</f>
        <v/>
      </c>
    </row>
    <row r="133" ht="15" customHeight="1">
      <c r="A133" t="inlineStr">
        <is>
          <t>A 57861-2020</t>
        </is>
      </c>
      <c r="B133" s="1" t="n">
        <v>44141</v>
      </c>
      <c r="C133" s="1" t="n">
        <v>45508</v>
      </c>
      <c r="D133" t="inlineStr">
        <is>
          <t>VÄSTERBOTTENS LÄN</t>
        </is>
      </c>
      <c r="E133" t="inlineStr">
        <is>
          <t>VILHELMINA</t>
        </is>
      </c>
      <c r="F133" t="inlineStr">
        <is>
          <t>Sveaskog</t>
        </is>
      </c>
      <c r="G133" t="n">
        <v>11.9</v>
      </c>
      <c r="H133" t="n">
        <v>0</v>
      </c>
      <c r="I133" t="n">
        <v>0</v>
      </c>
      <c r="J133" t="n">
        <v>0</v>
      </c>
      <c r="K133" t="n">
        <v>1</v>
      </c>
      <c r="L133" t="n">
        <v>0</v>
      </c>
      <c r="M133" t="n">
        <v>0</v>
      </c>
      <c r="N133" t="n">
        <v>0</v>
      </c>
      <c r="O133" t="n">
        <v>1</v>
      </c>
      <c r="P133" t="n">
        <v>1</v>
      </c>
      <c r="Q133" t="n">
        <v>1</v>
      </c>
      <c r="R133" s="2" t="inlineStr">
        <is>
          <t>Fläckporing</t>
        </is>
      </c>
      <c r="S133">
        <f>HYPERLINK("https://klasma.github.io/Logging_2462/artfynd/A 57861-2020 artfynd.xlsx", "A 57861-2020")</f>
        <v/>
      </c>
      <c r="T133">
        <f>HYPERLINK("https://klasma.github.io/Logging_2462/kartor/A 57861-2020 karta.png", "A 57861-2020")</f>
        <v/>
      </c>
      <c r="V133">
        <f>HYPERLINK("https://klasma.github.io/Logging_2462/klagomål/A 57861-2020 FSC-klagomål.docx", "A 57861-2020")</f>
        <v/>
      </c>
      <c r="W133">
        <f>HYPERLINK("https://klasma.github.io/Logging_2462/klagomålsmail/A 57861-2020 FSC-klagomål mail.docx", "A 57861-2020")</f>
        <v/>
      </c>
      <c r="X133">
        <f>HYPERLINK("https://klasma.github.io/Logging_2462/tillsyn/A 57861-2020 tillsynsbegäran.docx", "A 57861-2020")</f>
        <v/>
      </c>
      <c r="Y133">
        <f>HYPERLINK("https://klasma.github.io/Logging_2462/tillsynsmail/A 57861-2020 tillsynsbegäran mail.docx", "A 57861-2020")</f>
        <v/>
      </c>
    </row>
    <row r="134" ht="15" customHeight="1">
      <c r="A134" t="inlineStr">
        <is>
          <t>A 29376-2021</t>
        </is>
      </c>
      <c r="B134" s="1" t="n">
        <v>44361</v>
      </c>
      <c r="C134" s="1" t="n">
        <v>45508</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45508</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55739-2021</t>
        </is>
      </c>
      <c r="B136" s="1" t="n">
        <v>44476</v>
      </c>
      <c r="C136" s="1" t="n">
        <v>45508</v>
      </c>
      <c r="D136" t="inlineStr">
        <is>
          <t>VÄSTERBOTTENS LÄN</t>
        </is>
      </c>
      <c r="E136" t="inlineStr">
        <is>
          <t>VILHELMINA</t>
        </is>
      </c>
      <c r="G136" t="n">
        <v>5.5</v>
      </c>
      <c r="H136" t="n">
        <v>0</v>
      </c>
      <c r="I136" t="n">
        <v>0</v>
      </c>
      <c r="J136" t="n">
        <v>1</v>
      </c>
      <c r="K136" t="n">
        <v>0</v>
      </c>
      <c r="L136" t="n">
        <v>0</v>
      </c>
      <c r="M136" t="n">
        <v>0</v>
      </c>
      <c r="N136" t="n">
        <v>0</v>
      </c>
      <c r="O136" t="n">
        <v>1</v>
      </c>
      <c r="P136" t="n">
        <v>0</v>
      </c>
      <c r="Q136" t="n">
        <v>1</v>
      </c>
      <c r="R136" s="2" t="inlineStr">
        <is>
          <t>Garnlav</t>
        </is>
      </c>
      <c r="S136">
        <f>HYPERLINK("https://klasma.github.io/Logging_2462/artfynd/A 55739-2021 artfynd.xlsx", "A 55739-2021")</f>
        <v/>
      </c>
      <c r="T136">
        <f>HYPERLINK("https://klasma.github.io/Logging_2462/kartor/A 55739-2021 karta.png", "A 55739-2021")</f>
        <v/>
      </c>
      <c r="V136">
        <f>HYPERLINK("https://klasma.github.io/Logging_2462/klagomål/A 55739-2021 FSC-klagomål.docx", "A 55739-2021")</f>
        <v/>
      </c>
      <c r="W136">
        <f>HYPERLINK("https://klasma.github.io/Logging_2462/klagomålsmail/A 55739-2021 FSC-klagomål mail.docx", "A 55739-2021")</f>
        <v/>
      </c>
      <c r="X136">
        <f>HYPERLINK("https://klasma.github.io/Logging_2462/tillsyn/A 55739-2021 tillsynsbegäran.docx", "A 55739-2021")</f>
        <v/>
      </c>
      <c r="Y136">
        <f>HYPERLINK("https://klasma.github.io/Logging_2462/tillsynsmail/A 55739-2021 tillsynsbegäran mail.docx", "A 55739-2021")</f>
        <v/>
      </c>
    </row>
    <row r="137" ht="15" customHeight="1">
      <c r="A137" t="inlineStr">
        <is>
          <t>A 60369-2021</t>
        </is>
      </c>
      <c r="B137" s="1" t="n">
        <v>44494</v>
      </c>
      <c r="C137" s="1" t="n">
        <v>45508</v>
      </c>
      <c r="D137" t="inlineStr">
        <is>
          <t>VÄSTERBOTTENS LÄN</t>
        </is>
      </c>
      <c r="E137" t="inlineStr">
        <is>
          <t>VILHELMINA</t>
        </is>
      </c>
      <c r="G137" t="n">
        <v>0.6</v>
      </c>
      <c r="H137" t="n">
        <v>0</v>
      </c>
      <c r="I137" t="n">
        <v>1</v>
      </c>
      <c r="J137" t="n">
        <v>0</v>
      </c>
      <c r="K137" t="n">
        <v>0</v>
      </c>
      <c r="L137" t="n">
        <v>0</v>
      </c>
      <c r="M137" t="n">
        <v>0</v>
      </c>
      <c r="N137" t="n">
        <v>0</v>
      </c>
      <c r="O137" t="n">
        <v>0</v>
      </c>
      <c r="P137" t="n">
        <v>0</v>
      </c>
      <c r="Q137" t="n">
        <v>1</v>
      </c>
      <c r="R137" s="2" t="inlineStr">
        <is>
          <t>Stuplav</t>
        </is>
      </c>
      <c r="S137">
        <f>HYPERLINK("https://klasma.github.io/Logging_2462/artfynd/A 60369-2021 artfynd.xlsx", "A 60369-2021")</f>
        <v/>
      </c>
      <c r="T137">
        <f>HYPERLINK("https://klasma.github.io/Logging_2462/kartor/A 60369-2021 karta.png", "A 60369-2021")</f>
        <v/>
      </c>
      <c r="V137">
        <f>HYPERLINK("https://klasma.github.io/Logging_2462/klagomål/A 60369-2021 FSC-klagomål.docx", "A 60369-2021")</f>
        <v/>
      </c>
      <c r="W137">
        <f>HYPERLINK("https://klasma.github.io/Logging_2462/klagomålsmail/A 60369-2021 FSC-klagomål mail.docx", "A 60369-2021")</f>
        <v/>
      </c>
      <c r="X137">
        <f>HYPERLINK("https://klasma.github.io/Logging_2462/tillsyn/A 60369-2021 tillsynsbegäran.docx", "A 60369-2021")</f>
        <v/>
      </c>
      <c r="Y137">
        <f>HYPERLINK("https://klasma.github.io/Logging_2462/tillsynsmail/A 60369-2021 tillsynsbegäran mail.docx", "A 60369-2021")</f>
        <v/>
      </c>
    </row>
    <row r="138" ht="15" customHeight="1">
      <c r="A138" t="inlineStr">
        <is>
          <t>A 66924-2021</t>
        </is>
      </c>
      <c r="B138" s="1" t="n">
        <v>44522</v>
      </c>
      <c r="C138" s="1" t="n">
        <v>45508</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68783-2021</t>
        </is>
      </c>
      <c r="B139" s="1" t="n">
        <v>44529</v>
      </c>
      <c r="C139" s="1" t="n">
        <v>45508</v>
      </c>
      <c r="D139" t="inlineStr">
        <is>
          <t>VÄSTERBOTTENS LÄN</t>
        </is>
      </c>
      <c r="E139" t="inlineStr">
        <is>
          <t>VILHELMINA</t>
        </is>
      </c>
      <c r="F139" t="inlineStr">
        <is>
          <t>SCA</t>
        </is>
      </c>
      <c r="G139" t="n">
        <v>7.3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68783-2021 artfynd.xlsx", "A 68783-2021")</f>
        <v/>
      </c>
      <c r="T139">
        <f>HYPERLINK("https://klasma.github.io/Logging_2462/kartor/A 68783-2021 karta.png", "A 68783-2021")</f>
        <v/>
      </c>
      <c r="V139">
        <f>HYPERLINK("https://klasma.github.io/Logging_2462/klagomål/A 68783-2021 FSC-klagomål.docx", "A 68783-2021")</f>
        <v/>
      </c>
      <c r="W139">
        <f>HYPERLINK("https://klasma.github.io/Logging_2462/klagomålsmail/A 68783-2021 FSC-klagomål mail.docx", "A 68783-2021")</f>
        <v/>
      </c>
      <c r="X139">
        <f>HYPERLINK("https://klasma.github.io/Logging_2462/tillsyn/A 68783-2021 tillsynsbegäran.docx", "A 68783-2021")</f>
        <v/>
      </c>
      <c r="Y139">
        <f>HYPERLINK("https://klasma.github.io/Logging_2462/tillsynsmail/A 68783-2021 tillsynsbegäran mail.docx", "A 68783-2021")</f>
        <v/>
      </c>
      <c r="Z139">
        <f>HYPERLINK("https://klasma.github.io/Logging_2462/fåglar/A 68783-2021 prioriterade fågelarter.docx", "A 68783-2021")</f>
        <v/>
      </c>
    </row>
    <row r="140" ht="15" customHeight="1">
      <c r="A140" t="inlineStr">
        <is>
          <t>A 69545-2021</t>
        </is>
      </c>
      <c r="B140" s="1" t="n">
        <v>44531</v>
      </c>
      <c r="C140" s="1" t="n">
        <v>45508</v>
      </c>
      <c r="D140" t="inlineStr">
        <is>
          <t>VÄSTERBOTTENS LÄN</t>
        </is>
      </c>
      <c r="E140" t="inlineStr">
        <is>
          <t>VILHELMINA</t>
        </is>
      </c>
      <c r="F140" t="inlineStr">
        <is>
          <t>SCA</t>
        </is>
      </c>
      <c r="G140" t="n">
        <v>3.8</v>
      </c>
      <c r="H140" t="n">
        <v>0</v>
      </c>
      <c r="I140" t="n">
        <v>1</v>
      </c>
      <c r="J140" t="n">
        <v>0</v>
      </c>
      <c r="K140" t="n">
        <v>0</v>
      </c>
      <c r="L140" t="n">
        <v>0</v>
      </c>
      <c r="M140" t="n">
        <v>0</v>
      </c>
      <c r="N140" t="n">
        <v>0</v>
      </c>
      <c r="O140" t="n">
        <v>0</v>
      </c>
      <c r="P140" t="n">
        <v>0</v>
      </c>
      <c r="Q140" t="n">
        <v>1</v>
      </c>
      <c r="R140" s="2" t="inlineStr">
        <is>
          <t>Norrlandslav</t>
        </is>
      </c>
      <c r="S140">
        <f>HYPERLINK("https://klasma.github.io/Logging_2462/artfynd/A 69545-2021 artfynd.xlsx", "A 69545-2021")</f>
        <v/>
      </c>
      <c r="T140">
        <f>HYPERLINK("https://klasma.github.io/Logging_2462/kartor/A 69545-2021 karta.png", "A 69545-2021")</f>
        <v/>
      </c>
      <c r="V140">
        <f>HYPERLINK("https://klasma.github.io/Logging_2462/klagomål/A 69545-2021 FSC-klagomål.docx", "A 69545-2021")</f>
        <v/>
      </c>
      <c r="W140">
        <f>HYPERLINK("https://klasma.github.io/Logging_2462/klagomålsmail/A 69545-2021 FSC-klagomål mail.docx", "A 69545-2021")</f>
        <v/>
      </c>
      <c r="X140">
        <f>HYPERLINK("https://klasma.github.io/Logging_2462/tillsyn/A 69545-2021 tillsynsbegäran.docx", "A 69545-2021")</f>
        <v/>
      </c>
      <c r="Y140">
        <f>HYPERLINK("https://klasma.github.io/Logging_2462/tillsynsmail/A 69545-2021 tillsynsbegäran mail.docx", "A 69545-2021")</f>
        <v/>
      </c>
    </row>
    <row r="141" ht="15" customHeight="1">
      <c r="A141" t="inlineStr">
        <is>
          <t>A 69915-2021</t>
        </is>
      </c>
      <c r="B141" s="1" t="n">
        <v>44532</v>
      </c>
      <c r="C141" s="1" t="n">
        <v>45508</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74395-2021</t>
        </is>
      </c>
      <c r="B142" s="1" t="n">
        <v>44560</v>
      </c>
      <c r="C142" s="1" t="n">
        <v>45508</v>
      </c>
      <c r="D142" t="inlineStr">
        <is>
          <t>VÄSTERBOTTENS LÄN</t>
        </is>
      </c>
      <c r="E142" t="inlineStr">
        <is>
          <t>VILHELMINA</t>
        </is>
      </c>
      <c r="G142" t="n">
        <v>37.6</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74395-2021 artfynd.xlsx", "A 74395-2021")</f>
        <v/>
      </c>
      <c r="T142">
        <f>HYPERLINK("https://klasma.github.io/Logging_2462/kartor/A 74395-2021 karta.png", "A 74395-2021")</f>
        <v/>
      </c>
      <c r="V142">
        <f>HYPERLINK("https://klasma.github.io/Logging_2462/klagomål/A 74395-2021 FSC-klagomål.docx", "A 74395-2021")</f>
        <v/>
      </c>
      <c r="W142">
        <f>HYPERLINK("https://klasma.github.io/Logging_2462/klagomålsmail/A 74395-2021 FSC-klagomål mail.docx", "A 74395-2021")</f>
        <v/>
      </c>
      <c r="X142">
        <f>HYPERLINK("https://klasma.github.io/Logging_2462/tillsyn/A 74395-2021 tillsynsbegäran.docx", "A 74395-2021")</f>
        <v/>
      </c>
      <c r="Y142">
        <f>HYPERLINK("https://klasma.github.io/Logging_2462/tillsynsmail/A 74395-2021 tillsynsbegäran mail.docx", "A 74395-2021")</f>
        <v/>
      </c>
      <c r="Z142">
        <f>HYPERLINK("https://klasma.github.io/Logging_2462/fåglar/A 74395-2021 prioriterade fågelarter.docx", "A 74395-2021")</f>
        <v/>
      </c>
    </row>
    <row r="143" ht="15" customHeight="1">
      <c r="A143" t="inlineStr">
        <is>
          <t>A 12486-2022</t>
        </is>
      </c>
      <c r="B143" s="1" t="n">
        <v>44638</v>
      </c>
      <c r="C143" s="1" t="n">
        <v>45508</v>
      </c>
      <c r="D143" t="inlineStr">
        <is>
          <t>VÄSTERBOTTENS LÄN</t>
        </is>
      </c>
      <c r="E143" t="inlineStr">
        <is>
          <t>VILHELMINA</t>
        </is>
      </c>
      <c r="G143" t="n">
        <v>19.3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12486-2022 artfynd.xlsx", "A 12486-2022")</f>
        <v/>
      </c>
      <c r="T143">
        <f>HYPERLINK("https://klasma.github.io/Logging_2462/kartor/A 12486-2022 karta.png", "A 12486-2022")</f>
        <v/>
      </c>
      <c r="V143">
        <f>HYPERLINK("https://klasma.github.io/Logging_2462/klagomål/A 12486-2022 FSC-klagomål.docx", "A 12486-2022")</f>
        <v/>
      </c>
      <c r="W143">
        <f>HYPERLINK("https://klasma.github.io/Logging_2462/klagomålsmail/A 12486-2022 FSC-klagomål mail.docx", "A 12486-2022")</f>
        <v/>
      </c>
      <c r="X143">
        <f>HYPERLINK("https://klasma.github.io/Logging_2462/tillsyn/A 12486-2022 tillsynsbegäran.docx", "A 12486-2022")</f>
        <v/>
      </c>
      <c r="Y143">
        <f>HYPERLINK("https://klasma.github.io/Logging_2462/tillsynsmail/A 12486-2022 tillsynsbegäran mail.docx", "A 12486-2022")</f>
        <v/>
      </c>
      <c r="Z143">
        <f>HYPERLINK("https://klasma.github.io/Logging_2462/fåglar/A 12486-2022 prioriterade fågelarter.docx", "A 12486-2022")</f>
        <v/>
      </c>
    </row>
    <row r="144" ht="15" customHeight="1">
      <c r="A144" t="inlineStr">
        <is>
          <t>A 38421-2022</t>
        </is>
      </c>
      <c r="B144" s="1" t="n">
        <v>44812</v>
      </c>
      <c r="C144" s="1" t="n">
        <v>45508</v>
      </c>
      <c r="D144" t="inlineStr">
        <is>
          <t>VÄSTERBOTTENS LÄN</t>
        </is>
      </c>
      <c r="E144" t="inlineStr">
        <is>
          <t>VILHELMINA</t>
        </is>
      </c>
      <c r="F144" t="inlineStr">
        <is>
          <t>SCA</t>
        </is>
      </c>
      <c r="G144" t="n">
        <v>3.2</v>
      </c>
      <c r="H144" t="n">
        <v>0</v>
      </c>
      <c r="I144" t="n">
        <v>0</v>
      </c>
      <c r="J144" t="n">
        <v>1</v>
      </c>
      <c r="K144" t="n">
        <v>0</v>
      </c>
      <c r="L144" t="n">
        <v>0</v>
      </c>
      <c r="M144" t="n">
        <v>0</v>
      </c>
      <c r="N144" t="n">
        <v>0</v>
      </c>
      <c r="O144" t="n">
        <v>1</v>
      </c>
      <c r="P144" t="n">
        <v>0</v>
      </c>
      <c r="Q144" t="n">
        <v>1</v>
      </c>
      <c r="R144" s="2" t="inlineStr">
        <is>
          <t>Ullticka</t>
        </is>
      </c>
      <c r="S144">
        <f>HYPERLINK("https://klasma.github.io/Logging_2462/artfynd/A 38421-2022 artfynd.xlsx", "A 38421-2022")</f>
        <v/>
      </c>
      <c r="T144">
        <f>HYPERLINK("https://klasma.github.io/Logging_2462/kartor/A 38421-2022 karta.png", "A 38421-2022")</f>
        <v/>
      </c>
      <c r="V144">
        <f>HYPERLINK("https://klasma.github.io/Logging_2462/klagomål/A 38421-2022 FSC-klagomål.docx", "A 38421-2022")</f>
        <v/>
      </c>
      <c r="W144">
        <f>HYPERLINK("https://klasma.github.io/Logging_2462/klagomålsmail/A 38421-2022 FSC-klagomål mail.docx", "A 38421-2022")</f>
        <v/>
      </c>
      <c r="X144">
        <f>HYPERLINK("https://klasma.github.io/Logging_2462/tillsyn/A 38421-2022 tillsynsbegäran.docx", "A 38421-2022")</f>
        <v/>
      </c>
      <c r="Y144">
        <f>HYPERLINK("https://klasma.github.io/Logging_2462/tillsynsmail/A 38421-2022 tillsynsbegäran mail.docx", "A 38421-2022")</f>
        <v/>
      </c>
    </row>
    <row r="145" ht="15" customHeight="1">
      <c r="A145" t="inlineStr">
        <is>
          <t>A 41483-2022</t>
        </is>
      </c>
      <c r="B145" s="1" t="n">
        <v>44827</v>
      </c>
      <c r="C145" s="1" t="n">
        <v>45508</v>
      </c>
      <c r="D145" t="inlineStr">
        <is>
          <t>VÄSTERBOTTENS LÄN</t>
        </is>
      </c>
      <c r="E145" t="inlineStr">
        <is>
          <t>VILHELMINA</t>
        </is>
      </c>
      <c r="F145" t="inlineStr">
        <is>
          <t>SCA</t>
        </is>
      </c>
      <c r="G145" t="n">
        <v>4.6</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41483-2022 artfynd.xlsx", "A 41483-2022")</f>
        <v/>
      </c>
      <c r="T145">
        <f>HYPERLINK("https://klasma.github.io/Logging_2462/kartor/A 41483-2022 karta.png", "A 41483-2022")</f>
        <v/>
      </c>
      <c r="V145">
        <f>HYPERLINK("https://klasma.github.io/Logging_2462/klagomål/A 41483-2022 FSC-klagomål.docx", "A 41483-2022")</f>
        <v/>
      </c>
      <c r="W145">
        <f>HYPERLINK("https://klasma.github.io/Logging_2462/klagomålsmail/A 41483-2022 FSC-klagomål mail.docx", "A 41483-2022")</f>
        <v/>
      </c>
      <c r="X145">
        <f>HYPERLINK("https://klasma.github.io/Logging_2462/tillsyn/A 41483-2022 tillsynsbegäran.docx", "A 41483-2022")</f>
        <v/>
      </c>
      <c r="Y145">
        <f>HYPERLINK("https://klasma.github.io/Logging_2462/tillsynsmail/A 41483-2022 tillsynsbegäran mail.docx", "A 41483-2022")</f>
        <v/>
      </c>
      <c r="Z145">
        <f>HYPERLINK("https://klasma.github.io/Logging_2462/fåglar/A 41483-2022 prioriterade fågelarter.docx", "A 41483-2022")</f>
        <v/>
      </c>
    </row>
    <row r="146" ht="15" customHeight="1">
      <c r="A146" t="inlineStr">
        <is>
          <t>A 47251-2022</t>
        </is>
      </c>
      <c r="B146" s="1" t="n">
        <v>44852</v>
      </c>
      <c r="C146" s="1" t="n">
        <v>45508</v>
      </c>
      <c r="D146" t="inlineStr">
        <is>
          <t>VÄSTERBOTTENS LÄN</t>
        </is>
      </c>
      <c r="E146" t="inlineStr">
        <is>
          <t>VILHELMINA</t>
        </is>
      </c>
      <c r="F146" t="inlineStr">
        <is>
          <t>SCA</t>
        </is>
      </c>
      <c r="G146" t="n">
        <v>16.4</v>
      </c>
      <c r="H146" t="n">
        <v>0</v>
      </c>
      <c r="I146" t="n">
        <v>0</v>
      </c>
      <c r="J146" t="n">
        <v>1</v>
      </c>
      <c r="K146" t="n">
        <v>0</v>
      </c>
      <c r="L146" t="n">
        <v>0</v>
      </c>
      <c r="M146" t="n">
        <v>0</v>
      </c>
      <c r="N146" t="n">
        <v>0</v>
      </c>
      <c r="O146" t="n">
        <v>1</v>
      </c>
      <c r="P146" t="n">
        <v>0</v>
      </c>
      <c r="Q146" t="n">
        <v>1</v>
      </c>
      <c r="R146" s="2" t="inlineStr">
        <is>
          <t>Rosenticka</t>
        </is>
      </c>
      <c r="S146">
        <f>HYPERLINK("https://klasma.github.io/Logging_2462/artfynd/A 47251-2022 artfynd.xlsx", "A 47251-2022")</f>
        <v/>
      </c>
      <c r="T146">
        <f>HYPERLINK("https://klasma.github.io/Logging_2462/kartor/A 47251-2022 karta.png", "A 47251-2022")</f>
        <v/>
      </c>
      <c r="V146">
        <f>HYPERLINK("https://klasma.github.io/Logging_2462/klagomål/A 47251-2022 FSC-klagomål.docx", "A 47251-2022")</f>
        <v/>
      </c>
      <c r="W146">
        <f>HYPERLINK("https://klasma.github.io/Logging_2462/klagomålsmail/A 47251-2022 FSC-klagomål mail.docx", "A 47251-2022")</f>
        <v/>
      </c>
      <c r="X146">
        <f>HYPERLINK("https://klasma.github.io/Logging_2462/tillsyn/A 47251-2022 tillsynsbegäran.docx", "A 47251-2022")</f>
        <v/>
      </c>
      <c r="Y146">
        <f>HYPERLINK("https://klasma.github.io/Logging_2462/tillsynsmail/A 47251-2022 tillsynsbegäran mail.docx", "A 47251-2022")</f>
        <v/>
      </c>
    </row>
    <row r="147" ht="15" customHeight="1">
      <c r="A147" t="inlineStr">
        <is>
          <t>A 6604-2023</t>
        </is>
      </c>
      <c r="B147" s="1" t="n">
        <v>44960</v>
      </c>
      <c r="C147" s="1" t="n">
        <v>45508</v>
      </c>
      <c r="D147" t="inlineStr">
        <is>
          <t>VÄSTERBOTTENS LÄN</t>
        </is>
      </c>
      <c r="E147" t="inlineStr">
        <is>
          <t>VILHELMINA</t>
        </is>
      </c>
      <c r="G147" t="n">
        <v>13.4</v>
      </c>
      <c r="H147" t="n">
        <v>0</v>
      </c>
      <c r="I147" t="n">
        <v>1</v>
      </c>
      <c r="J147" t="n">
        <v>0</v>
      </c>
      <c r="K147" t="n">
        <v>0</v>
      </c>
      <c r="L147" t="n">
        <v>0</v>
      </c>
      <c r="M147" t="n">
        <v>0</v>
      </c>
      <c r="N147" t="n">
        <v>0</v>
      </c>
      <c r="O147" t="n">
        <v>0</v>
      </c>
      <c r="P147" t="n">
        <v>0</v>
      </c>
      <c r="Q147" t="n">
        <v>1</v>
      </c>
      <c r="R147" s="2" t="inlineStr">
        <is>
          <t>Luddlav</t>
        </is>
      </c>
      <c r="S147">
        <f>HYPERLINK("https://klasma.github.io/Logging_2462/artfynd/A 6604-2023 artfynd.xlsx", "A 6604-2023")</f>
        <v/>
      </c>
      <c r="T147">
        <f>HYPERLINK("https://klasma.github.io/Logging_2462/kartor/A 6604-2023 karta.png", "A 6604-2023")</f>
        <v/>
      </c>
      <c r="V147">
        <f>HYPERLINK("https://klasma.github.io/Logging_2462/klagomål/A 6604-2023 FSC-klagomål.docx", "A 6604-2023")</f>
        <v/>
      </c>
      <c r="W147">
        <f>HYPERLINK("https://klasma.github.io/Logging_2462/klagomålsmail/A 6604-2023 FSC-klagomål mail.docx", "A 6604-2023")</f>
        <v/>
      </c>
      <c r="X147">
        <f>HYPERLINK("https://klasma.github.io/Logging_2462/tillsyn/A 6604-2023 tillsynsbegäran.docx", "A 6604-2023")</f>
        <v/>
      </c>
      <c r="Y147">
        <f>HYPERLINK("https://klasma.github.io/Logging_2462/tillsynsmail/A 6604-2023 tillsynsbegäran mail.docx", "A 6604-2023")</f>
        <v/>
      </c>
    </row>
    <row r="148" ht="15" customHeight="1">
      <c r="A148" t="inlineStr">
        <is>
          <t>A 9249-2023</t>
        </is>
      </c>
      <c r="B148" s="1" t="n">
        <v>44972</v>
      </c>
      <c r="C148" s="1" t="n">
        <v>45508</v>
      </c>
      <c r="D148" t="inlineStr">
        <is>
          <t>VÄSTERBOTTENS LÄN</t>
        </is>
      </c>
      <c r="E148" t="inlineStr">
        <is>
          <t>VILHELMINA</t>
        </is>
      </c>
      <c r="F148" t="inlineStr">
        <is>
          <t>Allmännings- och besparingsskogar</t>
        </is>
      </c>
      <c r="G148" t="n">
        <v>18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9249-2023 artfynd.xlsx", "A 9249-2023")</f>
        <v/>
      </c>
      <c r="T148">
        <f>HYPERLINK("https://klasma.github.io/Logging_2462/kartor/A 9249-2023 karta.png", "A 9249-2023")</f>
        <v/>
      </c>
      <c r="V148">
        <f>HYPERLINK("https://klasma.github.io/Logging_2462/klagomål/A 9249-2023 FSC-klagomål.docx", "A 9249-2023")</f>
        <v/>
      </c>
      <c r="W148">
        <f>HYPERLINK("https://klasma.github.io/Logging_2462/klagomålsmail/A 9249-2023 FSC-klagomål mail.docx", "A 9249-2023")</f>
        <v/>
      </c>
      <c r="X148">
        <f>HYPERLINK("https://klasma.github.io/Logging_2462/tillsyn/A 9249-2023 tillsynsbegäran.docx", "A 9249-2023")</f>
        <v/>
      </c>
      <c r="Y148">
        <f>HYPERLINK("https://klasma.github.io/Logging_2462/tillsynsmail/A 9249-2023 tillsynsbegäran mail.docx", "A 9249-2023")</f>
        <v/>
      </c>
      <c r="Z148">
        <f>HYPERLINK("https://klasma.github.io/Logging_2462/fåglar/A 9249-2023 prioriterade fågelarter.docx", "A 9249-2023")</f>
        <v/>
      </c>
    </row>
    <row r="149" ht="15" customHeight="1">
      <c r="A149" t="inlineStr">
        <is>
          <t>A 11832-2023</t>
        </is>
      </c>
      <c r="B149" s="1" t="n">
        <v>44994</v>
      </c>
      <c r="C149" s="1" t="n">
        <v>45508</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29317-2023</t>
        </is>
      </c>
      <c r="B150" s="1" t="n">
        <v>45105</v>
      </c>
      <c r="C150" s="1" t="n">
        <v>45508</v>
      </c>
      <c r="D150" t="inlineStr">
        <is>
          <t>VÄSTERBOTTENS LÄN</t>
        </is>
      </c>
      <c r="E150" t="inlineStr">
        <is>
          <t>VILHELMINA</t>
        </is>
      </c>
      <c r="F150" t="inlineStr">
        <is>
          <t>SCA</t>
        </is>
      </c>
      <c r="G150" t="n">
        <v>18.8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29317-2023 artfynd.xlsx", "A 29317-2023")</f>
        <v/>
      </c>
      <c r="T150">
        <f>HYPERLINK("https://klasma.github.io/Logging_2462/kartor/A 29317-2023 karta.png", "A 29317-2023")</f>
        <v/>
      </c>
      <c r="V150">
        <f>HYPERLINK("https://klasma.github.io/Logging_2462/klagomål/A 29317-2023 FSC-klagomål.docx", "A 29317-2023")</f>
        <v/>
      </c>
      <c r="W150">
        <f>HYPERLINK("https://klasma.github.io/Logging_2462/klagomålsmail/A 29317-2023 FSC-klagomål mail.docx", "A 29317-2023")</f>
        <v/>
      </c>
      <c r="X150">
        <f>HYPERLINK("https://klasma.github.io/Logging_2462/tillsyn/A 29317-2023 tillsynsbegäran.docx", "A 29317-2023")</f>
        <v/>
      </c>
      <c r="Y150">
        <f>HYPERLINK("https://klasma.github.io/Logging_2462/tillsynsmail/A 29317-2023 tillsynsbegäran mail.docx", "A 29317-2023")</f>
        <v/>
      </c>
      <c r="Z150">
        <f>HYPERLINK("https://klasma.github.io/Logging_2462/fåglar/A 29317-2023 prioriterade fågelarter.docx", "A 29317-2023")</f>
        <v/>
      </c>
    </row>
    <row r="151" ht="15" customHeight="1">
      <c r="A151" t="inlineStr">
        <is>
          <t>A 39919-2023</t>
        </is>
      </c>
      <c r="B151" s="1" t="n">
        <v>45166</v>
      </c>
      <c r="C151" s="1" t="n">
        <v>45508</v>
      </c>
      <c r="D151" t="inlineStr">
        <is>
          <t>VÄSTERBOTTENS LÄN</t>
        </is>
      </c>
      <c r="E151" t="inlineStr">
        <is>
          <t>VILHELMINA</t>
        </is>
      </c>
      <c r="G151" t="n">
        <v>22.2</v>
      </c>
      <c r="H151" t="n">
        <v>1</v>
      </c>
      <c r="I151" t="n">
        <v>0</v>
      </c>
      <c r="J151" t="n">
        <v>1</v>
      </c>
      <c r="K151" t="n">
        <v>0</v>
      </c>
      <c r="L151" t="n">
        <v>0</v>
      </c>
      <c r="M151" t="n">
        <v>0</v>
      </c>
      <c r="N151" t="n">
        <v>0</v>
      </c>
      <c r="O151" t="n">
        <v>1</v>
      </c>
      <c r="P151" t="n">
        <v>0</v>
      </c>
      <c r="Q151" t="n">
        <v>1</v>
      </c>
      <c r="R151" s="2" t="inlineStr">
        <is>
          <t>Utter</t>
        </is>
      </c>
      <c r="S151">
        <f>HYPERLINK("https://klasma.github.io/Logging_2462/artfynd/A 39919-2023 artfynd.xlsx", "A 39919-2023")</f>
        <v/>
      </c>
      <c r="T151">
        <f>HYPERLINK("https://klasma.github.io/Logging_2462/kartor/A 39919-2023 karta.png", "A 39919-2023")</f>
        <v/>
      </c>
      <c r="V151">
        <f>HYPERLINK("https://klasma.github.io/Logging_2462/klagomål/A 39919-2023 FSC-klagomål.docx", "A 39919-2023")</f>
        <v/>
      </c>
      <c r="W151">
        <f>HYPERLINK("https://klasma.github.io/Logging_2462/klagomålsmail/A 39919-2023 FSC-klagomål mail.docx", "A 39919-2023")</f>
        <v/>
      </c>
      <c r="X151">
        <f>HYPERLINK("https://klasma.github.io/Logging_2462/tillsyn/A 39919-2023 tillsynsbegäran.docx", "A 39919-2023")</f>
        <v/>
      </c>
      <c r="Y151">
        <f>HYPERLINK("https://klasma.github.io/Logging_2462/tillsynsmail/A 39919-2023 tillsynsbegäran mail.docx", "A 39919-2023")</f>
        <v/>
      </c>
    </row>
    <row r="152" ht="15" customHeight="1">
      <c r="A152" t="inlineStr">
        <is>
          <t>A 56247-2023</t>
        </is>
      </c>
      <c r="B152" s="1" t="n">
        <v>45240</v>
      </c>
      <c r="C152" s="1" t="n">
        <v>45508</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22467-2024</t>
        </is>
      </c>
      <c r="B153" s="1" t="n">
        <v>45447</v>
      </c>
      <c r="C153" s="1" t="n">
        <v>45508</v>
      </c>
      <c r="D153" t="inlineStr">
        <is>
          <t>VÄSTERBOTTENS LÄN</t>
        </is>
      </c>
      <c r="E153" t="inlineStr">
        <is>
          <t>VILHELMINA</t>
        </is>
      </c>
      <c r="F153" t="inlineStr">
        <is>
          <t>SCA</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22467-2024 artfynd.xlsx", "A 22467-2024")</f>
        <v/>
      </c>
      <c r="T153">
        <f>HYPERLINK("https://klasma.github.io/Logging_2462/kartor/A 22467-2024 karta.png", "A 22467-2024")</f>
        <v/>
      </c>
      <c r="V153">
        <f>HYPERLINK("https://klasma.github.io/Logging_2462/klagomål/A 22467-2024 FSC-klagomål.docx", "A 22467-2024")</f>
        <v/>
      </c>
      <c r="W153">
        <f>HYPERLINK("https://klasma.github.io/Logging_2462/klagomålsmail/A 22467-2024 FSC-klagomål mail.docx", "A 22467-2024")</f>
        <v/>
      </c>
      <c r="X153">
        <f>HYPERLINK("https://klasma.github.io/Logging_2462/tillsyn/A 22467-2024 tillsynsbegäran.docx", "A 22467-2024")</f>
        <v/>
      </c>
      <c r="Y153">
        <f>HYPERLINK("https://klasma.github.io/Logging_2462/tillsynsmail/A 22467-2024 tillsynsbegäran mail.docx", "A 22467-2024")</f>
        <v/>
      </c>
      <c r="Z153">
        <f>HYPERLINK("https://klasma.github.io/Logging_2462/fåglar/A 22467-2024 prioriterade fågelarter.docx", "A 22467-2024")</f>
        <v/>
      </c>
    </row>
    <row r="154" ht="15" customHeight="1">
      <c r="A154" t="inlineStr">
        <is>
          <t>A 22466-2024</t>
        </is>
      </c>
      <c r="B154" s="1" t="n">
        <v>45446</v>
      </c>
      <c r="C154" s="1" t="n">
        <v>45508</v>
      </c>
      <c r="D154" t="inlineStr">
        <is>
          <t>VÄSTERBOTTENS LÄN</t>
        </is>
      </c>
      <c r="E154" t="inlineStr">
        <is>
          <t>VILHELMINA</t>
        </is>
      </c>
      <c r="F154" t="inlineStr">
        <is>
          <t>SCA</t>
        </is>
      </c>
      <c r="G154" t="n">
        <v>3.9</v>
      </c>
      <c r="H154" t="n">
        <v>0</v>
      </c>
      <c r="I154" t="n">
        <v>0</v>
      </c>
      <c r="J154" t="n">
        <v>1</v>
      </c>
      <c r="K154" t="n">
        <v>0</v>
      </c>
      <c r="L154" t="n">
        <v>0</v>
      </c>
      <c r="M154" t="n">
        <v>0</v>
      </c>
      <c r="N154" t="n">
        <v>0</v>
      </c>
      <c r="O154" t="n">
        <v>1</v>
      </c>
      <c r="P154" t="n">
        <v>0</v>
      </c>
      <c r="Q154" t="n">
        <v>1</v>
      </c>
      <c r="R154" s="2" t="inlineStr">
        <is>
          <t>Ullticka</t>
        </is>
      </c>
      <c r="S154">
        <f>HYPERLINK("https://klasma.github.io/Logging_2462/artfynd/A 22466-2024 artfynd.xlsx", "A 22466-2024")</f>
        <v/>
      </c>
      <c r="T154">
        <f>HYPERLINK("https://klasma.github.io/Logging_2462/kartor/A 22466-2024 karta.png", "A 22466-2024")</f>
        <v/>
      </c>
      <c r="V154">
        <f>HYPERLINK("https://klasma.github.io/Logging_2462/klagomål/A 22466-2024 FSC-klagomål.docx", "A 22466-2024")</f>
        <v/>
      </c>
      <c r="W154">
        <f>HYPERLINK("https://klasma.github.io/Logging_2462/klagomålsmail/A 22466-2024 FSC-klagomål mail.docx", "A 22466-2024")</f>
        <v/>
      </c>
      <c r="X154">
        <f>HYPERLINK("https://klasma.github.io/Logging_2462/tillsyn/A 22466-2024 tillsynsbegäran.docx", "A 22466-2024")</f>
        <v/>
      </c>
      <c r="Y154">
        <f>HYPERLINK("https://klasma.github.io/Logging_2462/tillsynsmail/A 22466-2024 tillsynsbegäran mail.docx", "A 22466-2024")</f>
        <v/>
      </c>
    </row>
    <row r="155" ht="15" customHeight="1">
      <c r="A155" t="inlineStr">
        <is>
          <t>A 25368-2024</t>
        </is>
      </c>
      <c r="B155" s="1" t="n">
        <v>45462</v>
      </c>
      <c r="C155" s="1" t="n">
        <v>45508</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28701-2024</t>
        </is>
      </c>
      <c r="B156" s="1" t="n">
        <v>45478</v>
      </c>
      <c r="C156" s="1" t="n">
        <v>45508</v>
      </c>
      <c r="D156" t="inlineStr">
        <is>
          <t>VÄSTERBOTTENS LÄN</t>
        </is>
      </c>
      <c r="E156" t="inlineStr">
        <is>
          <t>VILHELMINA</t>
        </is>
      </c>
      <c r="F156" t="inlineStr">
        <is>
          <t>Allmännings- och besparingsskogar</t>
        </is>
      </c>
      <c r="G156" t="n">
        <v>4.3</v>
      </c>
      <c r="H156" t="n">
        <v>0</v>
      </c>
      <c r="I156" t="n">
        <v>0</v>
      </c>
      <c r="J156" t="n">
        <v>1</v>
      </c>
      <c r="K156" t="n">
        <v>0</v>
      </c>
      <c r="L156" t="n">
        <v>0</v>
      </c>
      <c r="M156" t="n">
        <v>0</v>
      </c>
      <c r="N156" t="n">
        <v>0</v>
      </c>
      <c r="O156" t="n">
        <v>1</v>
      </c>
      <c r="P156" t="n">
        <v>0</v>
      </c>
      <c r="Q156" t="n">
        <v>1</v>
      </c>
      <c r="R156" s="2" t="inlineStr">
        <is>
          <t>Granticka</t>
        </is>
      </c>
      <c r="S156">
        <f>HYPERLINK("https://klasma.github.io/Logging_2462/artfynd/A 28701-2024 artfynd.xlsx", "A 28701-2024")</f>
        <v/>
      </c>
      <c r="T156">
        <f>HYPERLINK("https://klasma.github.io/Logging_2462/kartor/A 28701-2024 karta.png", "A 28701-2024")</f>
        <v/>
      </c>
      <c r="V156">
        <f>HYPERLINK("https://klasma.github.io/Logging_2462/klagomål/A 28701-2024 FSC-klagomål.docx", "A 28701-2024")</f>
        <v/>
      </c>
      <c r="W156">
        <f>HYPERLINK("https://klasma.github.io/Logging_2462/klagomålsmail/A 28701-2024 FSC-klagomål mail.docx", "A 28701-2024")</f>
        <v/>
      </c>
      <c r="X156">
        <f>HYPERLINK("https://klasma.github.io/Logging_2462/tillsyn/A 28701-2024 tillsynsbegäran.docx", "A 28701-2024")</f>
        <v/>
      </c>
      <c r="Y156">
        <f>HYPERLINK("https://klasma.github.io/Logging_2462/tillsynsmail/A 28701-2024 tillsynsbegäran mail.docx", "A 28701-2024")</f>
        <v/>
      </c>
    </row>
    <row r="157" ht="15" customHeight="1">
      <c r="A157" t="inlineStr">
        <is>
          <t>A 18521-2019</t>
        </is>
      </c>
      <c r="B157" s="1" t="n">
        <v>43558</v>
      </c>
      <c r="C157" s="1" t="n">
        <v>45508</v>
      </c>
      <c r="D157" t="inlineStr">
        <is>
          <t>VÄSTERBOTTENS LÄN</t>
        </is>
      </c>
      <c r="E157" t="inlineStr">
        <is>
          <t>VILHELMINA</t>
        </is>
      </c>
      <c r="G157" t="n">
        <v>4.5</v>
      </c>
      <c r="H157" t="n">
        <v>0</v>
      </c>
      <c r="I157" t="n">
        <v>0</v>
      </c>
      <c r="J157" t="n">
        <v>0</v>
      </c>
      <c r="K157" t="n">
        <v>0</v>
      </c>
      <c r="L157" t="n">
        <v>0</v>
      </c>
      <c r="M157" t="n">
        <v>0</v>
      </c>
      <c r="N157" t="n">
        <v>0</v>
      </c>
      <c r="O157" t="n">
        <v>0</v>
      </c>
      <c r="P157" t="n">
        <v>0</v>
      </c>
      <c r="Q157" t="n">
        <v>0</v>
      </c>
      <c r="R157" s="2" t="inlineStr"/>
    </row>
    <row r="158" ht="15" customHeight="1">
      <c r="A158" t="inlineStr">
        <is>
          <t>A 18529-2019</t>
        </is>
      </c>
      <c r="B158" s="1" t="n">
        <v>43559</v>
      </c>
      <c r="C158" s="1" t="n">
        <v>45508</v>
      </c>
      <c r="D158" t="inlineStr">
        <is>
          <t>VÄSTERBOTTENS LÄN</t>
        </is>
      </c>
      <c r="E158" t="inlineStr">
        <is>
          <t>VILHELMINA</t>
        </is>
      </c>
      <c r="F158" t="inlineStr">
        <is>
          <t>Kommuner</t>
        </is>
      </c>
      <c r="G158" t="n">
        <v>3</v>
      </c>
      <c r="H158" t="n">
        <v>0</v>
      </c>
      <c r="I158" t="n">
        <v>0</v>
      </c>
      <c r="J158" t="n">
        <v>0</v>
      </c>
      <c r="K158" t="n">
        <v>0</v>
      </c>
      <c r="L158" t="n">
        <v>0</v>
      </c>
      <c r="M158" t="n">
        <v>0</v>
      </c>
      <c r="N158" t="n">
        <v>0</v>
      </c>
      <c r="O158" t="n">
        <v>0</v>
      </c>
      <c r="P158" t="n">
        <v>0</v>
      </c>
      <c r="Q158" t="n">
        <v>0</v>
      </c>
      <c r="R158" s="2" t="inlineStr"/>
    </row>
    <row r="159" ht="15" customHeight="1">
      <c r="A159" t="inlineStr">
        <is>
          <t>A 18449-2019</t>
        </is>
      </c>
      <c r="B159" s="1" t="n">
        <v>43559</v>
      </c>
      <c r="C159" s="1" t="n">
        <v>45508</v>
      </c>
      <c r="D159" t="inlineStr">
        <is>
          <t>VÄSTERBOTTENS LÄN</t>
        </is>
      </c>
      <c r="E159" t="inlineStr">
        <is>
          <t>VILHELMINA</t>
        </is>
      </c>
      <c r="F159" t="inlineStr">
        <is>
          <t>Kommuner</t>
        </is>
      </c>
      <c r="G159" t="n">
        <v>20.8</v>
      </c>
      <c r="H159" t="n">
        <v>0</v>
      </c>
      <c r="I159" t="n">
        <v>0</v>
      </c>
      <c r="J159" t="n">
        <v>0</v>
      </c>
      <c r="K159" t="n">
        <v>0</v>
      </c>
      <c r="L159" t="n">
        <v>0</v>
      </c>
      <c r="M159" t="n">
        <v>0</v>
      </c>
      <c r="N159" t="n">
        <v>0</v>
      </c>
      <c r="O159" t="n">
        <v>0</v>
      </c>
      <c r="P159" t="n">
        <v>0</v>
      </c>
      <c r="Q159" t="n">
        <v>0</v>
      </c>
      <c r="R159" s="2" t="inlineStr"/>
    </row>
    <row r="160" ht="15" customHeight="1">
      <c r="A160" t="inlineStr">
        <is>
          <t>A 19130-2019</t>
        </is>
      </c>
      <c r="B160" s="1" t="n">
        <v>43564</v>
      </c>
      <c r="C160" s="1" t="n">
        <v>45508</v>
      </c>
      <c r="D160" t="inlineStr">
        <is>
          <t>VÄSTERBOTTENS LÄN</t>
        </is>
      </c>
      <c r="E160" t="inlineStr">
        <is>
          <t>VILHELMINA</t>
        </is>
      </c>
      <c r="G160" t="n">
        <v>5.6</v>
      </c>
      <c r="H160" t="n">
        <v>0</v>
      </c>
      <c r="I160" t="n">
        <v>0</v>
      </c>
      <c r="J160" t="n">
        <v>0</v>
      </c>
      <c r="K160" t="n">
        <v>0</v>
      </c>
      <c r="L160" t="n">
        <v>0</v>
      </c>
      <c r="M160" t="n">
        <v>0</v>
      </c>
      <c r="N160" t="n">
        <v>0</v>
      </c>
      <c r="O160" t="n">
        <v>0</v>
      </c>
      <c r="P160" t="n">
        <v>0</v>
      </c>
      <c r="Q160" t="n">
        <v>0</v>
      </c>
      <c r="R160" s="2" t="inlineStr"/>
    </row>
    <row r="161" ht="15" customHeight="1">
      <c r="A161" t="inlineStr">
        <is>
          <t>A 23278-2019</t>
        </is>
      </c>
      <c r="B161" s="1" t="n">
        <v>43592</v>
      </c>
      <c r="C161" s="1" t="n">
        <v>45508</v>
      </c>
      <c r="D161" t="inlineStr">
        <is>
          <t>VÄSTERBOTTENS LÄN</t>
        </is>
      </c>
      <c r="E161" t="inlineStr">
        <is>
          <t>VILHELMINA</t>
        </is>
      </c>
      <c r="F161" t="inlineStr">
        <is>
          <t>SCA</t>
        </is>
      </c>
      <c r="G161" t="n">
        <v>6.6</v>
      </c>
      <c r="H161" t="n">
        <v>0</v>
      </c>
      <c r="I161" t="n">
        <v>0</v>
      </c>
      <c r="J161" t="n">
        <v>0</v>
      </c>
      <c r="K161" t="n">
        <v>0</v>
      </c>
      <c r="L161" t="n">
        <v>0</v>
      </c>
      <c r="M161" t="n">
        <v>0</v>
      </c>
      <c r="N161" t="n">
        <v>0</v>
      </c>
      <c r="O161" t="n">
        <v>0</v>
      </c>
      <c r="P161" t="n">
        <v>0</v>
      </c>
      <c r="Q161" t="n">
        <v>0</v>
      </c>
      <c r="R161" s="2" t="inlineStr"/>
    </row>
    <row r="162" ht="15" customHeight="1">
      <c r="A162" t="inlineStr">
        <is>
          <t>A 23277-2019</t>
        </is>
      </c>
      <c r="B162" s="1" t="n">
        <v>43592</v>
      </c>
      <c r="C162" s="1" t="n">
        <v>45508</v>
      </c>
      <c r="D162" t="inlineStr">
        <is>
          <t>VÄSTERBOTTENS LÄN</t>
        </is>
      </c>
      <c r="E162" t="inlineStr">
        <is>
          <t>VILHELMINA</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23724-2019</t>
        </is>
      </c>
      <c r="B163" s="1" t="n">
        <v>43594</v>
      </c>
      <c r="C163" s="1" t="n">
        <v>45508</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23723-2019</t>
        </is>
      </c>
      <c r="B164" s="1" t="n">
        <v>43594</v>
      </c>
      <c r="C164" s="1" t="n">
        <v>45508</v>
      </c>
      <c r="D164" t="inlineStr">
        <is>
          <t>VÄSTERBOTTENS LÄN</t>
        </is>
      </c>
      <c r="E164" t="inlineStr">
        <is>
          <t>VILHELMINA</t>
        </is>
      </c>
      <c r="F164" t="inlineStr">
        <is>
          <t>SCA</t>
        </is>
      </c>
      <c r="G164" t="n">
        <v>5.3</v>
      </c>
      <c r="H164" t="n">
        <v>0</v>
      </c>
      <c r="I164" t="n">
        <v>0</v>
      </c>
      <c r="J164" t="n">
        <v>0</v>
      </c>
      <c r="K164" t="n">
        <v>0</v>
      </c>
      <c r="L164" t="n">
        <v>0</v>
      </c>
      <c r="M164" t="n">
        <v>0</v>
      </c>
      <c r="N164" t="n">
        <v>0</v>
      </c>
      <c r="O164" t="n">
        <v>0</v>
      </c>
      <c r="P164" t="n">
        <v>0</v>
      </c>
      <c r="Q164" t="n">
        <v>0</v>
      </c>
      <c r="R164" s="2" t="inlineStr"/>
    </row>
    <row r="165" ht="15" customHeight="1">
      <c r="A165" t="inlineStr">
        <is>
          <t>A 26852-2019</t>
        </is>
      </c>
      <c r="B165" s="1" t="n">
        <v>43608</v>
      </c>
      <c r="C165" s="1" t="n">
        <v>45508</v>
      </c>
      <c r="D165" t="inlineStr">
        <is>
          <t>VÄSTERBOTTENS LÄN</t>
        </is>
      </c>
      <c r="E165" t="inlineStr">
        <is>
          <t>VILHELMINA</t>
        </is>
      </c>
      <c r="G165" t="n">
        <v>0.6</v>
      </c>
      <c r="H165" t="n">
        <v>0</v>
      </c>
      <c r="I165" t="n">
        <v>0</v>
      </c>
      <c r="J165" t="n">
        <v>0</v>
      </c>
      <c r="K165" t="n">
        <v>0</v>
      </c>
      <c r="L165" t="n">
        <v>0</v>
      </c>
      <c r="M165" t="n">
        <v>0</v>
      </c>
      <c r="N165" t="n">
        <v>0</v>
      </c>
      <c r="O165" t="n">
        <v>0</v>
      </c>
      <c r="P165" t="n">
        <v>0</v>
      </c>
      <c r="Q165" t="n">
        <v>0</v>
      </c>
      <c r="R165" s="2" t="inlineStr"/>
    </row>
    <row r="166" ht="15" customHeight="1">
      <c r="A166" t="inlineStr">
        <is>
          <t>A 26896-2019</t>
        </is>
      </c>
      <c r="B166" s="1" t="n">
        <v>43608</v>
      </c>
      <c r="C166" s="1" t="n">
        <v>45508</v>
      </c>
      <c r="D166" t="inlineStr">
        <is>
          <t>VÄSTERBOTTENS LÄN</t>
        </is>
      </c>
      <c r="E166" t="inlineStr">
        <is>
          <t>VILHELMINA</t>
        </is>
      </c>
      <c r="G166" t="n">
        <v>3.1</v>
      </c>
      <c r="H166" t="n">
        <v>0</v>
      </c>
      <c r="I166" t="n">
        <v>0</v>
      </c>
      <c r="J166" t="n">
        <v>0</v>
      </c>
      <c r="K166" t="n">
        <v>0</v>
      </c>
      <c r="L166" t="n">
        <v>0</v>
      </c>
      <c r="M166" t="n">
        <v>0</v>
      </c>
      <c r="N166" t="n">
        <v>0</v>
      </c>
      <c r="O166" t="n">
        <v>0</v>
      </c>
      <c r="P166" t="n">
        <v>0</v>
      </c>
      <c r="Q166" t="n">
        <v>0</v>
      </c>
      <c r="R166" s="2" t="inlineStr"/>
    </row>
    <row r="167" ht="15" customHeight="1">
      <c r="A167" t="inlineStr">
        <is>
          <t>A 27075-2019</t>
        </is>
      </c>
      <c r="B167" s="1" t="n">
        <v>43612</v>
      </c>
      <c r="C167" s="1" t="n">
        <v>45508</v>
      </c>
      <c r="D167" t="inlineStr">
        <is>
          <t>VÄSTERBOTTENS LÄN</t>
        </is>
      </c>
      <c r="E167" t="inlineStr">
        <is>
          <t>VILHELMINA</t>
        </is>
      </c>
      <c r="G167" t="n">
        <v>4.3</v>
      </c>
      <c r="H167" t="n">
        <v>0</v>
      </c>
      <c r="I167" t="n">
        <v>0</v>
      </c>
      <c r="J167" t="n">
        <v>0</v>
      </c>
      <c r="K167" t="n">
        <v>0</v>
      </c>
      <c r="L167" t="n">
        <v>0</v>
      </c>
      <c r="M167" t="n">
        <v>0</v>
      </c>
      <c r="N167" t="n">
        <v>0</v>
      </c>
      <c r="O167" t="n">
        <v>0</v>
      </c>
      <c r="P167" t="n">
        <v>0</v>
      </c>
      <c r="Q167" t="n">
        <v>0</v>
      </c>
      <c r="R167" s="2" t="inlineStr"/>
    </row>
    <row r="168" ht="15" customHeight="1">
      <c r="A168" t="inlineStr">
        <is>
          <t>A 26763-2019</t>
        </is>
      </c>
      <c r="B168" s="1" t="n">
        <v>43613</v>
      </c>
      <c r="C168" s="1" t="n">
        <v>45508</v>
      </c>
      <c r="D168" t="inlineStr">
        <is>
          <t>VÄSTERBOTTENS LÄN</t>
        </is>
      </c>
      <c r="E168" t="inlineStr">
        <is>
          <t>VILHELMINA</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27254-2019</t>
        </is>
      </c>
      <c r="B169" s="1" t="n">
        <v>43614</v>
      </c>
      <c r="C169" s="1" t="n">
        <v>45508</v>
      </c>
      <c r="D169" t="inlineStr">
        <is>
          <t>VÄSTERBOTTENS LÄN</t>
        </is>
      </c>
      <c r="E169" t="inlineStr">
        <is>
          <t>VILHELMINA</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27253-2019</t>
        </is>
      </c>
      <c r="B170" s="1" t="n">
        <v>43614</v>
      </c>
      <c r="C170" s="1" t="n">
        <v>45508</v>
      </c>
      <c r="D170" t="inlineStr">
        <is>
          <t>VÄSTERBOTTENS LÄN</t>
        </is>
      </c>
      <c r="E170" t="inlineStr">
        <is>
          <t>VILHELMINA</t>
        </is>
      </c>
      <c r="F170" t="inlineStr">
        <is>
          <t>SCA</t>
        </is>
      </c>
      <c r="G170" t="n">
        <v>5.3</v>
      </c>
      <c r="H170" t="n">
        <v>0</v>
      </c>
      <c r="I170" t="n">
        <v>0</v>
      </c>
      <c r="J170" t="n">
        <v>0</v>
      </c>
      <c r="K170" t="n">
        <v>0</v>
      </c>
      <c r="L170" t="n">
        <v>0</v>
      </c>
      <c r="M170" t="n">
        <v>0</v>
      </c>
      <c r="N170" t="n">
        <v>0</v>
      </c>
      <c r="O170" t="n">
        <v>0</v>
      </c>
      <c r="P170" t="n">
        <v>0</v>
      </c>
      <c r="Q170" t="n">
        <v>0</v>
      </c>
      <c r="R170" s="2" t="inlineStr"/>
    </row>
    <row r="171" ht="15" customHeight="1">
      <c r="A171" t="inlineStr">
        <is>
          <t>A 31612-2019</t>
        </is>
      </c>
      <c r="B171" s="1" t="n">
        <v>43640</v>
      </c>
      <c r="C171" s="1" t="n">
        <v>45508</v>
      </c>
      <c r="D171" t="inlineStr">
        <is>
          <t>VÄSTERBOTTENS LÄN</t>
        </is>
      </c>
      <c r="E171" t="inlineStr">
        <is>
          <t>VILHELMINA</t>
        </is>
      </c>
      <c r="G171" t="n">
        <v>1.3</v>
      </c>
      <c r="H171" t="n">
        <v>0</v>
      </c>
      <c r="I171" t="n">
        <v>0</v>
      </c>
      <c r="J171" t="n">
        <v>0</v>
      </c>
      <c r="K171" t="n">
        <v>0</v>
      </c>
      <c r="L171" t="n">
        <v>0</v>
      </c>
      <c r="M171" t="n">
        <v>0</v>
      </c>
      <c r="N171" t="n">
        <v>0</v>
      </c>
      <c r="O171" t="n">
        <v>0</v>
      </c>
      <c r="P171" t="n">
        <v>0</v>
      </c>
      <c r="Q171" t="n">
        <v>0</v>
      </c>
      <c r="R171" s="2" t="inlineStr"/>
    </row>
    <row r="172" ht="15" customHeight="1">
      <c r="A172" t="inlineStr">
        <is>
          <t>A 31615-2019</t>
        </is>
      </c>
      <c r="B172" s="1" t="n">
        <v>43640</v>
      </c>
      <c r="C172" s="1" t="n">
        <v>45508</v>
      </c>
      <c r="D172" t="inlineStr">
        <is>
          <t>VÄSTERBOTTENS LÄN</t>
        </is>
      </c>
      <c r="E172" t="inlineStr">
        <is>
          <t>VILHELMINA</t>
        </is>
      </c>
      <c r="G172" t="n">
        <v>3.1</v>
      </c>
      <c r="H172" t="n">
        <v>0</v>
      </c>
      <c r="I172" t="n">
        <v>0</v>
      </c>
      <c r="J172" t="n">
        <v>0</v>
      </c>
      <c r="K172" t="n">
        <v>0</v>
      </c>
      <c r="L172" t="n">
        <v>0</v>
      </c>
      <c r="M172" t="n">
        <v>0</v>
      </c>
      <c r="N172" t="n">
        <v>0</v>
      </c>
      <c r="O172" t="n">
        <v>0</v>
      </c>
      <c r="P172" t="n">
        <v>0</v>
      </c>
      <c r="Q172" t="n">
        <v>0</v>
      </c>
      <c r="R172" s="2" t="inlineStr"/>
    </row>
    <row r="173" ht="15" customHeight="1">
      <c r="A173" t="inlineStr">
        <is>
          <t>A 31610-2019</t>
        </is>
      </c>
      <c r="B173" s="1" t="n">
        <v>43640</v>
      </c>
      <c r="C173" s="1" t="n">
        <v>45508</v>
      </c>
      <c r="D173" t="inlineStr">
        <is>
          <t>VÄSTERBOTTENS LÄN</t>
        </is>
      </c>
      <c r="E173" t="inlineStr">
        <is>
          <t>VILHELMINA</t>
        </is>
      </c>
      <c r="G173" t="n">
        <v>1</v>
      </c>
      <c r="H173" t="n">
        <v>0</v>
      </c>
      <c r="I173" t="n">
        <v>0</v>
      </c>
      <c r="J173" t="n">
        <v>0</v>
      </c>
      <c r="K173" t="n">
        <v>0</v>
      </c>
      <c r="L173" t="n">
        <v>0</v>
      </c>
      <c r="M173" t="n">
        <v>0</v>
      </c>
      <c r="N173" t="n">
        <v>0</v>
      </c>
      <c r="O173" t="n">
        <v>0</v>
      </c>
      <c r="P173" t="n">
        <v>0</v>
      </c>
      <c r="Q173" t="n">
        <v>0</v>
      </c>
      <c r="R173" s="2" t="inlineStr"/>
    </row>
    <row r="174" ht="15" customHeight="1">
      <c r="A174" t="inlineStr">
        <is>
          <t>A 31607-2019</t>
        </is>
      </c>
      <c r="B174" s="1" t="n">
        <v>43640</v>
      </c>
      <c r="C174" s="1" t="n">
        <v>45508</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31845-2019</t>
        </is>
      </c>
      <c r="B175" s="1" t="n">
        <v>43640</v>
      </c>
      <c r="C175" s="1" t="n">
        <v>45508</v>
      </c>
      <c r="D175" t="inlineStr">
        <is>
          <t>VÄSTERBOTTENS LÄN</t>
        </is>
      </c>
      <c r="E175" t="inlineStr">
        <is>
          <t>VILHELMINA</t>
        </is>
      </c>
      <c r="G175" t="n">
        <v>10.9</v>
      </c>
      <c r="H175" t="n">
        <v>0</v>
      </c>
      <c r="I175" t="n">
        <v>0</v>
      </c>
      <c r="J175" t="n">
        <v>0</v>
      </c>
      <c r="K175" t="n">
        <v>0</v>
      </c>
      <c r="L175" t="n">
        <v>0</v>
      </c>
      <c r="M175" t="n">
        <v>0</v>
      </c>
      <c r="N175" t="n">
        <v>0</v>
      </c>
      <c r="O175" t="n">
        <v>0</v>
      </c>
      <c r="P175" t="n">
        <v>0</v>
      </c>
      <c r="Q175" t="n">
        <v>0</v>
      </c>
      <c r="R175" s="2" t="inlineStr"/>
    </row>
    <row r="176" ht="15" customHeight="1">
      <c r="A176" t="inlineStr">
        <is>
          <t>A 31511-2019</t>
        </is>
      </c>
      <c r="B176" s="1" t="n">
        <v>43641</v>
      </c>
      <c r="C176" s="1" t="n">
        <v>45508</v>
      </c>
      <c r="D176" t="inlineStr">
        <is>
          <t>VÄSTERBOTTENS LÄN</t>
        </is>
      </c>
      <c r="E176" t="inlineStr">
        <is>
          <t>VILHELMINA</t>
        </is>
      </c>
      <c r="G176" t="n">
        <v>21.8</v>
      </c>
      <c r="H176" t="n">
        <v>0</v>
      </c>
      <c r="I176" t="n">
        <v>0</v>
      </c>
      <c r="J176" t="n">
        <v>0</v>
      </c>
      <c r="K176" t="n">
        <v>0</v>
      </c>
      <c r="L176" t="n">
        <v>0</v>
      </c>
      <c r="M176" t="n">
        <v>0</v>
      </c>
      <c r="N176" t="n">
        <v>0</v>
      </c>
      <c r="O176" t="n">
        <v>0</v>
      </c>
      <c r="P176" t="n">
        <v>0</v>
      </c>
      <c r="Q176" t="n">
        <v>0</v>
      </c>
      <c r="R176" s="2" t="inlineStr"/>
    </row>
    <row r="177" ht="15" customHeight="1">
      <c r="A177" t="inlineStr">
        <is>
          <t>A 32731-2019</t>
        </is>
      </c>
      <c r="B177" s="1" t="n">
        <v>43648</v>
      </c>
      <c r="C177" s="1" t="n">
        <v>45508</v>
      </c>
      <c r="D177" t="inlineStr">
        <is>
          <t>VÄSTERBOTTENS LÄN</t>
        </is>
      </c>
      <c r="E177" t="inlineStr">
        <is>
          <t>VILHELMINA</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32787-2019</t>
        </is>
      </c>
      <c r="B178" s="1" t="n">
        <v>43648</v>
      </c>
      <c r="C178" s="1" t="n">
        <v>45508</v>
      </c>
      <c r="D178" t="inlineStr">
        <is>
          <t>VÄSTERBOTTENS LÄN</t>
        </is>
      </c>
      <c r="E178" t="inlineStr">
        <is>
          <t>VILHELMINA</t>
        </is>
      </c>
      <c r="G178" t="n">
        <v>9.4</v>
      </c>
      <c r="H178" t="n">
        <v>0</v>
      </c>
      <c r="I178" t="n">
        <v>0</v>
      </c>
      <c r="J178" t="n">
        <v>0</v>
      </c>
      <c r="K178" t="n">
        <v>0</v>
      </c>
      <c r="L178" t="n">
        <v>0</v>
      </c>
      <c r="M178" t="n">
        <v>0</v>
      </c>
      <c r="N178" t="n">
        <v>0</v>
      </c>
      <c r="O178" t="n">
        <v>0</v>
      </c>
      <c r="P178" t="n">
        <v>0</v>
      </c>
      <c r="Q178" t="n">
        <v>0</v>
      </c>
      <c r="R178" s="2" t="inlineStr"/>
    </row>
    <row r="179" ht="15" customHeight="1">
      <c r="A179" t="inlineStr">
        <is>
          <t>A 34370-2019</t>
        </is>
      </c>
      <c r="B179" s="1" t="n">
        <v>43656</v>
      </c>
      <c r="C179" s="1" t="n">
        <v>45508</v>
      </c>
      <c r="D179" t="inlineStr">
        <is>
          <t>VÄSTERBOTTENS LÄN</t>
        </is>
      </c>
      <c r="E179" t="inlineStr">
        <is>
          <t>VILHELMINA</t>
        </is>
      </c>
      <c r="G179" t="n">
        <v>20.7</v>
      </c>
      <c r="H179" t="n">
        <v>0</v>
      </c>
      <c r="I179" t="n">
        <v>0</v>
      </c>
      <c r="J179" t="n">
        <v>0</v>
      </c>
      <c r="K179" t="n">
        <v>0</v>
      </c>
      <c r="L179" t="n">
        <v>0</v>
      </c>
      <c r="M179" t="n">
        <v>0</v>
      </c>
      <c r="N179" t="n">
        <v>0</v>
      </c>
      <c r="O179" t="n">
        <v>0</v>
      </c>
      <c r="P179" t="n">
        <v>0</v>
      </c>
      <c r="Q179" t="n">
        <v>0</v>
      </c>
      <c r="R179" s="2" t="inlineStr"/>
    </row>
    <row r="180" ht="15" customHeight="1">
      <c r="A180" t="inlineStr">
        <is>
          <t>A 35051-2019</t>
        </is>
      </c>
      <c r="B180" s="1" t="n">
        <v>43661</v>
      </c>
      <c r="C180" s="1" t="n">
        <v>45508</v>
      </c>
      <c r="D180" t="inlineStr">
        <is>
          <t>VÄSTERBOTTENS LÄN</t>
        </is>
      </c>
      <c r="E180" t="inlineStr">
        <is>
          <t>VILHELMINA</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35054-2019</t>
        </is>
      </c>
      <c r="B181" s="1" t="n">
        <v>43661</v>
      </c>
      <c r="C181" s="1" t="n">
        <v>45508</v>
      </c>
      <c r="D181" t="inlineStr">
        <is>
          <t>VÄSTERBOTTENS LÄN</t>
        </is>
      </c>
      <c r="E181" t="inlineStr">
        <is>
          <t>VILHELMINA</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35723-2019</t>
        </is>
      </c>
      <c r="B182" s="1" t="n">
        <v>43664</v>
      </c>
      <c r="C182" s="1" t="n">
        <v>45508</v>
      </c>
      <c r="D182" t="inlineStr">
        <is>
          <t>VÄSTERBOTTENS LÄN</t>
        </is>
      </c>
      <c r="E182" t="inlineStr">
        <is>
          <t>VILHELMINA</t>
        </is>
      </c>
      <c r="G182" t="n">
        <v>16.8</v>
      </c>
      <c r="H182" t="n">
        <v>0</v>
      </c>
      <c r="I182" t="n">
        <v>0</v>
      </c>
      <c r="J182" t="n">
        <v>0</v>
      </c>
      <c r="K182" t="n">
        <v>0</v>
      </c>
      <c r="L182" t="n">
        <v>0</v>
      </c>
      <c r="M182" t="n">
        <v>0</v>
      </c>
      <c r="N182" t="n">
        <v>0</v>
      </c>
      <c r="O182" t="n">
        <v>0</v>
      </c>
      <c r="P182" t="n">
        <v>0</v>
      </c>
      <c r="Q182" t="n">
        <v>0</v>
      </c>
      <c r="R182" s="2" t="inlineStr"/>
    </row>
    <row r="183" ht="15" customHeight="1">
      <c r="A183" t="inlineStr">
        <is>
          <t>A 35737-2019</t>
        </is>
      </c>
      <c r="B183" s="1" t="n">
        <v>43664</v>
      </c>
      <c r="C183" s="1" t="n">
        <v>45508</v>
      </c>
      <c r="D183" t="inlineStr">
        <is>
          <t>VÄSTERBOTTENS LÄN</t>
        </is>
      </c>
      <c r="E183" t="inlineStr">
        <is>
          <t>VILHELMINA</t>
        </is>
      </c>
      <c r="G183" t="n">
        <v>22.4</v>
      </c>
      <c r="H183" t="n">
        <v>0</v>
      </c>
      <c r="I183" t="n">
        <v>0</v>
      </c>
      <c r="J183" t="n">
        <v>0</v>
      </c>
      <c r="K183" t="n">
        <v>0</v>
      </c>
      <c r="L183" t="n">
        <v>0</v>
      </c>
      <c r="M183" t="n">
        <v>0</v>
      </c>
      <c r="N183" t="n">
        <v>0</v>
      </c>
      <c r="O183" t="n">
        <v>0</v>
      </c>
      <c r="P183" t="n">
        <v>0</v>
      </c>
      <c r="Q183" t="n">
        <v>0</v>
      </c>
      <c r="R183" s="2" t="inlineStr"/>
    </row>
    <row r="184" ht="15" customHeight="1">
      <c r="A184" t="inlineStr">
        <is>
          <t>A 35726-2019</t>
        </is>
      </c>
      <c r="B184" s="1" t="n">
        <v>43664</v>
      </c>
      <c r="C184" s="1" t="n">
        <v>45508</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35731-2019</t>
        </is>
      </c>
      <c r="B185" s="1" t="n">
        <v>43665</v>
      </c>
      <c r="C185" s="1" t="n">
        <v>45508</v>
      </c>
      <c r="D185" t="inlineStr">
        <is>
          <t>VÄSTERBOTTENS LÄN</t>
        </is>
      </c>
      <c r="E185" t="inlineStr">
        <is>
          <t>VILHELMINA</t>
        </is>
      </c>
      <c r="G185" t="n">
        <v>0.4</v>
      </c>
      <c r="H185" t="n">
        <v>0</v>
      </c>
      <c r="I185" t="n">
        <v>0</v>
      </c>
      <c r="J185" t="n">
        <v>0</v>
      </c>
      <c r="K185" t="n">
        <v>0</v>
      </c>
      <c r="L185" t="n">
        <v>0</v>
      </c>
      <c r="M185" t="n">
        <v>0</v>
      </c>
      <c r="N185" t="n">
        <v>0</v>
      </c>
      <c r="O185" t="n">
        <v>0</v>
      </c>
      <c r="P185" t="n">
        <v>0</v>
      </c>
      <c r="Q185" t="n">
        <v>0</v>
      </c>
      <c r="R185" s="2" t="inlineStr"/>
    </row>
    <row r="186" ht="15" customHeight="1">
      <c r="A186" t="inlineStr">
        <is>
          <t>A 37824-2019</t>
        </is>
      </c>
      <c r="B186" s="1" t="n">
        <v>43682</v>
      </c>
      <c r="C186" s="1" t="n">
        <v>45508</v>
      </c>
      <c r="D186" t="inlineStr">
        <is>
          <t>VÄSTERBOTTENS LÄN</t>
        </is>
      </c>
      <c r="E186" t="inlineStr">
        <is>
          <t>VILHELMINA</t>
        </is>
      </c>
      <c r="G186" t="n">
        <v>14.2</v>
      </c>
      <c r="H186" t="n">
        <v>0</v>
      </c>
      <c r="I186" t="n">
        <v>0</v>
      </c>
      <c r="J186" t="n">
        <v>0</v>
      </c>
      <c r="K186" t="n">
        <v>0</v>
      </c>
      <c r="L186" t="n">
        <v>0</v>
      </c>
      <c r="M186" t="n">
        <v>0</v>
      </c>
      <c r="N186" t="n">
        <v>0</v>
      </c>
      <c r="O186" t="n">
        <v>0</v>
      </c>
      <c r="P186" t="n">
        <v>0</v>
      </c>
      <c r="Q186" t="n">
        <v>0</v>
      </c>
      <c r="R186" s="2" t="inlineStr"/>
    </row>
    <row r="187" ht="15" customHeight="1">
      <c r="A187" t="inlineStr">
        <is>
          <t>A 40282-2019</t>
        </is>
      </c>
      <c r="B187" s="1" t="n">
        <v>43690</v>
      </c>
      <c r="C187" s="1" t="n">
        <v>45508</v>
      </c>
      <c r="D187" t="inlineStr">
        <is>
          <t>VÄSTERBOTTENS LÄN</t>
        </is>
      </c>
      <c r="E187" t="inlineStr">
        <is>
          <t>VILHELMINA</t>
        </is>
      </c>
      <c r="G187" t="n">
        <v>13.2</v>
      </c>
      <c r="H187" t="n">
        <v>0</v>
      </c>
      <c r="I187" t="n">
        <v>0</v>
      </c>
      <c r="J187" t="n">
        <v>0</v>
      </c>
      <c r="K187" t="n">
        <v>0</v>
      </c>
      <c r="L187" t="n">
        <v>0</v>
      </c>
      <c r="M187" t="n">
        <v>0</v>
      </c>
      <c r="N187" t="n">
        <v>0</v>
      </c>
      <c r="O187" t="n">
        <v>0</v>
      </c>
      <c r="P187" t="n">
        <v>0</v>
      </c>
      <c r="Q187" t="n">
        <v>0</v>
      </c>
      <c r="R187" s="2" t="inlineStr"/>
    </row>
    <row r="188" ht="15" customHeight="1">
      <c r="A188" t="inlineStr">
        <is>
          <t>A 41782-2019</t>
        </is>
      </c>
      <c r="B188" s="1" t="n">
        <v>43699</v>
      </c>
      <c r="C188" s="1" t="n">
        <v>45508</v>
      </c>
      <c r="D188" t="inlineStr">
        <is>
          <t>VÄSTERBOTTENS LÄN</t>
        </is>
      </c>
      <c r="E188" t="inlineStr">
        <is>
          <t>VILHELMINA</t>
        </is>
      </c>
      <c r="F188" t="inlineStr">
        <is>
          <t>SCA</t>
        </is>
      </c>
      <c r="G188" t="n">
        <v>30.8</v>
      </c>
      <c r="H188" t="n">
        <v>0</v>
      </c>
      <c r="I188" t="n">
        <v>0</v>
      </c>
      <c r="J188" t="n">
        <v>0</v>
      </c>
      <c r="K188" t="n">
        <v>0</v>
      </c>
      <c r="L188" t="n">
        <v>0</v>
      </c>
      <c r="M188" t="n">
        <v>0</v>
      </c>
      <c r="N188" t="n">
        <v>0</v>
      </c>
      <c r="O188" t="n">
        <v>0</v>
      </c>
      <c r="P188" t="n">
        <v>0</v>
      </c>
      <c r="Q188" t="n">
        <v>0</v>
      </c>
      <c r="R188" s="2" t="inlineStr"/>
    </row>
    <row r="189" ht="15" customHeight="1">
      <c r="A189" t="inlineStr">
        <is>
          <t>A 42068-2019</t>
        </is>
      </c>
      <c r="B189" s="1" t="n">
        <v>43700</v>
      </c>
      <c r="C189" s="1" t="n">
        <v>45508</v>
      </c>
      <c r="D189" t="inlineStr">
        <is>
          <t>VÄSTERBOTTENS LÄN</t>
        </is>
      </c>
      <c r="E189" t="inlineStr">
        <is>
          <t>VILHELMINA</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42362-2019</t>
        </is>
      </c>
      <c r="B190" s="1" t="n">
        <v>43703</v>
      </c>
      <c r="C190" s="1" t="n">
        <v>45508</v>
      </c>
      <c r="D190" t="inlineStr">
        <is>
          <t>VÄSTERBOTTENS LÄN</t>
        </is>
      </c>
      <c r="E190" t="inlineStr">
        <is>
          <t>VILHELMINA</t>
        </is>
      </c>
      <c r="G190" t="n">
        <v>5.3</v>
      </c>
      <c r="H190" t="n">
        <v>0</v>
      </c>
      <c r="I190" t="n">
        <v>0</v>
      </c>
      <c r="J190" t="n">
        <v>0</v>
      </c>
      <c r="K190" t="n">
        <v>0</v>
      </c>
      <c r="L190" t="n">
        <v>0</v>
      </c>
      <c r="M190" t="n">
        <v>0</v>
      </c>
      <c r="N190" t="n">
        <v>0</v>
      </c>
      <c r="O190" t="n">
        <v>0</v>
      </c>
      <c r="P190" t="n">
        <v>0</v>
      </c>
      <c r="Q190" t="n">
        <v>0</v>
      </c>
      <c r="R190" s="2" t="inlineStr"/>
    </row>
    <row r="191" ht="15" customHeight="1">
      <c r="A191" t="inlineStr">
        <is>
          <t>A 44388-2019</t>
        </is>
      </c>
      <c r="B191" s="1" t="n">
        <v>43705</v>
      </c>
      <c r="C191" s="1" t="n">
        <v>45508</v>
      </c>
      <c r="D191" t="inlineStr">
        <is>
          <t>VÄSTERBOTTENS LÄN</t>
        </is>
      </c>
      <c r="E191" t="inlineStr">
        <is>
          <t>VILHELMINA</t>
        </is>
      </c>
      <c r="G191" t="n">
        <v>17</v>
      </c>
      <c r="H191" t="n">
        <v>0</v>
      </c>
      <c r="I191" t="n">
        <v>0</v>
      </c>
      <c r="J191" t="n">
        <v>0</v>
      </c>
      <c r="K191" t="n">
        <v>0</v>
      </c>
      <c r="L191" t="n">
        <v>0</v>
      </c>
      <c r="M191" t="n">
        <v>0</v>
      </c>
      <c r="N191" t="n">
        <v>0</v>
      </c>
      <c r="O191" t="n">
        <v>0</v>
      </c>
      <c r="P191" t="n">
        <v>0</v>
      </c>
      <c r="Q191" t="n">
        <v>0</v>
      </c>
      <c r="R191" s="2" t="inlineStr"/>
    </row>
    <row r="192" ht="15" customHeight="1">
      <c r="A192" t="inlineStr">
        <is>
          <t>A 44649-2019</t>
        </is>
      </c>
      <c r="B192" s="1" t="n">
        <v>43712</v>
      </c>
      <c r="C192" s="1" t="n">
        <v>45508</v>
      </c>
      <c r="D192" t="inlineStr">
        <is>
          <t>VÄSTERBOTTENS LÄN</t>
        </is>
      </c>
      <c r="E192" t="inlineStr">
        <is>
          <t>VILHELMINA</t>
        </is>
      </c>
      <c r="G192" t="n">
        <v>7.8</v>
      </c>
      <c r="H192" t="n">
        <v>0</v>
      </c>
      <c r="I192" t="n">
        <v>0</v>
      </c>
      <c r="J192" t="n">
        <v>0</v>
      </c>
      <c r="K192" t="n">
        <v>0</v>
      </c>
      <c r="L192" t="n">
        <v>0</v>
      </c>
      <c r="M192" t="n">
        <v>0</v>
      </c>
      <c r="N192" t="n">
        <v>0</v>
      </c>
      <c r="O192" t="n">
        <v>0</v>
      </c>
      <c r="P192" t="n">
        <v>0</v>
      </c>
      <c r="Q192" t="n">
        <v>0</v>
      </c>
      <c r="R192" s="2" t="inlineStr"/>
    </row>
    <row r="193" ht="15" customHeight="1">
      <c r="A193" t="inlineStr">
        <is>
          <t>A 45275-2019</t>
        </is>
      </c>
      <c r="B193" s="1" t="n">
        <v>43714</v>
      </c>
      <c r="C193" s="1" t="n">
        <v>45508</v>
      </c>
      <c r="D193" t="inlineStr">
        <is>
          <t>VÄSTERBOTTENS LÄN</t>
        </is>
      </c>
      <c r="E193" t="inlineStr">
        <is>
          <t>VILHELMINA</t>
        </is>
      </c>
      <c r="F193" t="inlineStr">
        <is>
          <t>SCA</t>
        </is>
      </c>
      <c r="G193" t="n">
        <v>10.3</v>
      </c>
      <c r="H193" t="n">
        <v>0</v>
      </c>
      <c r="I193" t="n">
        <v>0</v>
      </c>
      <c r="J193" t="n">
        <v>0</v>
      </c>
      <c r="K193" t="n">
        <v>0</v>
      </c>
      <c r="L193" t="n">
        <v>0</v>
      </c>
      <c r="M193" t="n">
        <v>0</v>
      </c>
      <c r="N193" t="n">
        <v>0</v>
      </c>
      <c r="O193" t="n">
        <v>0</v>
      </c>
      <c r="P193" t="n">
        <v>0</v>
      </c>
      <c r="Q193" t="n">
        <v>0</v>
      </c>
      <c r="R193" s="2" t="inlineStr"/>
    </row>
    <row r="194" ht="15" customHeight="1">
      <c r="A194" t="inlineStr">
        <is>
          <t>A 47388-2019</t>
        </is>
      </c>
      <c r="B194" s="1" t="n">
        <v>43721</v>
      </c>
      <c r="C194" s="1" t="n">
        <v>45508</v>
      </c>
      <c r="D194" t="inlineStr">
        <is>
          <t>VÄSTERBOTTENS LÄN</t>
        </is>
      </c>
      <c r="E194" t="inlineStr">
        <is>
          <t>VILHELMINA</t>
        </is>
      </c>
      <c r="F194" t="inlineStr">
        <is>
          <t>SCA</t>
        </is>
      </c>
      <c r="G194" t="n">
        <v>15.4</v>
      </c>
      <c r="H194" t="n">
        <v>0</v>
      </c>
      <c r="I194" t="n">
        <v>0</v>
      </c>
      <c r="J194" t="n">
        <v>0</v>
      </c>
      <c r="K194" t="n">
        <v>0</v>
      </c>
      <c r="L194" t="n">
        <v>0</v>
      </c>
      <c r="M194" t="n">
        <v>0</v>
      </c>
      <c r="N194" t="n">
        <v>0</v>
      </c>
      <c r="O194" t="n">
        <v>0</v>
      </c>
      <c r="P194" t="n">
        <v>0</v>
      </c>
      <c r="Q194" t="n">
        <v>0</v>
      </c>
      <c r="R194" s="2" t="inlineStr"/>
    </row>
    <row r="195" ht="15" customHeight="1">
      <c r="A195" t="inlineStr">
        <is>
          <t>A 48259-2019</t>
        </is>
      </c>
      <c r="B195" s="1" t="n">
        <v>43726</v>
      </c>
      <c r="C195" s="1" t="n">
        <v>45508</v>
      </c>
      <c r="D195" t="inlineStr">
        <is>
          <t>VÄSTERBOTTENS LÄN</t>
        </is>
      </c>
      <c r="E195" t="inlineStr">
        <is>
          <t>VILHELMINA</t>
        </is>
      </c>
      <c r="G195" t="n">
        <v>5.2</v>
      </c>
      <c r="H195" t="n">
        <v>0</v>
      </c>
      <c r="I195" t="n">
        <v>0</v>
      </c>
      <c r="J195" t="n">
        <v>0</v>
      </c>
      <c r="K195" t="n">
        <v>0</v>
      </c>
      <c r="L195" t="n">
        <v>0</v>
      </c>
      <c r="M195" t="n">
        <v>0</v>
      </c>
      <c r="N195" t="n">
        <v>0</v>
      </c>
      <c r="O195" t="n">
        <v>0</v>
      </c>
      <c r="P195" t="n">
        <v>0</v>
      </c>
      <c r="Q195" t="n">
        <v>0</v>
      </c>
      <c r="R195" s="2" t="inlineStr"/>
    </row>
    <row r="196" ht="15" customHeight="1">
      <c r="A196" t="inlineStr">
        <is>
          <t>A 49615-2019</t>
        </is>
      </c>
      <c r="B196" s="1" t="n">
        <v>43728</v>
      </c>
      <c r="C196" s="1" t="n">
        <v>45508</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49254-2019</t>
        </is>
      </c>
      <c r="B197" s="1" t="n">
        <v>43731</v>
      </c>
      <c r="C197" s="1" t="n">
        <v>45508</v>
      </c>
      <c r="D197" t="inlineStr">
        <is>
          <t>VÄSTERBOTTENS LÄN</t>
        </is>
      </c>
      <c r="E197" t="inlineStr">
        <is>
          <t>VILHELMINA</t>
        </is>
      </c>
      <c r="G197" t="n">
        <v>10.9</v>
      </c>
      <c r="H197" t="n">
        <v>0</v>
      </c>
      <c r="I197" t="n">
        <v>0</v>
      </c>
      <c r="J197" t="n">
        <v>0</v>
      </c>
      <c r="K197" t="n">
        <v>0</v>
      </c>
      <c r="L197" t="n">
        <v>0</v>
      </c>
      <c r="M197" t="n">
        <v>0</v>
      </c>
      <c r="N197" t="n">
        <v>0</v>
      </c>
      <c r="O197" t="n">
        <v>0</v>
      </c>
      <c r="P197" t="n">
        <v>0</v>
      </c>
      <c r="Q197" t="n">
        <v>0</v>
      </c>
      <c r="R197" s="2" t="inlineStr"/>
    </row>
    <row r="198" ht="15" customHeight="1">
      <c r="A198" t="inlineStr">
        <is>
          <t>A 50006-2019</t>
        </is>
      </c>
      <c r="B198" s="1" t="n">
        <v>43733</v>
      </c>
      <c r="C198" s="1" t="n">
        <v>45508</v>
      </c>
      <c r="D198" t="inlineStr">
        <is>
          <t>VÄSTERBOTTENS LÄN</t>
        </is>
      </c>
      <c r="E198" t="inlineStr">
        <is>
          <t>VILHELMINA</t>
        </is>
      </c>
      <c r="F198" t="inlineStr">
        <is>
          <t>SCA</t>
        </is>
      </c>
      <c r="G198" t="n">
        <v>12.6</v>
      </c>
      <c r="H198" t="n">
        <v>0</v>
      </c>
      <c r="I198" t="n">
        <v>0</v>
      </c>
      <c r="J198" t="n">
        <v>0</v>
      </c>
      <c r="K198" t="n">
        <v>0</v>
      </c>
      <c r="L198" t="n">
        <v>0</v>
      </c>
      <c r="M198" t="n">
        <v>0</v>
      </c>
      <c r="N198" t="n">
        <v>0</v>
      </c>
      <c r="O198" t="n">
        <v>0</v>
      </c>
      <c r="P198" t="n">
        <v>0</v>
      </c>
      <c r="Q198" t="n">
        <v>0</v>
      </c>
      <c r="R198" s="2" t="inlineStr"/>
    </row>
    <row r="199" ht="15" customHeight="1">
      <c r="A199" t="inlineStr">
        <is>
          <t>A 50009-2019</t>
        </is>
      </c>
      <c r="B199" s="1" t="n">
        <v>43733</v>
      </c>
      <c r="C199" s="1" t="n">
        <v>45508</v>
      </c>
      <c r="D199" t="inlineStr">
        <is>
          <t>VÄSTERBOTTENS LÄN</t>
        </is>
      </c>
      <c r="E199" t="inlineStr">
        <is>
          <t>VILHELMINA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50008-2019</t>
        </is>
      </c>
      <c r="B200" s="1" t="n">
        <v>43733</v>
      </c>
      <c r="C200" s="1" t="n">
        <v>45508</v>
      </c>
      <c r="D200" t="inlineStr">
        <is>
          <t>VÄSTERBOTTENS LÄN</t>
        </is>
      </c>
      <c r="E200" t="inlineStr">
        <is>
          <t>VILHELMINA</t>
        </is>
      </c>
      <c r="F200" t="inlineStr">
        <is>
          <t>SCA</t>
        </is>
      </c>
      <c r="G200" t="n">
        <v>14.8</v>
      </c>
      <c r="H200" t="n">
        <v>0</v>
      </c>
      <c r="I200" t="n">
        <v>0</v>
      </c>
      <c r="J200" t="n">
        <v>0</v>
      </c>
      <c r="K200" t="n">
        <v>0</v>
      </c>
      <c r="L200" t="n">
        <v>0</v>
      </c>
      <c r="M200" t="n">
        <v>0</v>
      </c>
      <c r="N200" t="n">
        <v>0</v>
      </c>
      <c r="O200" t="n">
        <v>0</v>
      </c>
      <c r="P200" t="n">
        <v>0</v>
      </c>
      <c r="Q200" t="n">
        <v>0</v>
      </c>
      <c r="R200" s="2" t="inlineStr"/>
    </row>
    <row r="201" ht="15" customHeight="1">
      <c r="A201" t="inlineStr">
        <is>
          <t>A 51094-2019</t>
        </is>
      </c>
      <c r="B201" s="1" t="n">
        <v>43739</v>
      </c>
      <c r="C201" s="1" t="n">
        <v>45508</v>
      </c>
      <c r="D201" t="inlineStr">
        <is>
          <t>VÄSTERBOTTENS LÄN</t>
        </is>
      </c>
      <c r="E201" t="inlineStr">
        <is>
          <t>VILHELMINA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51895-2019</t>
        </is>
      </c>
      <c r="B202" s="1" t="n">
        <v>43741</v>
      </c>
      <c r="C202" s="1" t="n">
        <v>45508</v>
      </c>
      <c r="D202" t="inlineStr">
        <is>
          <t>VÄSTERBOTTENS LÄN</t>
        </is>
      </c>
      <c r="E202" t="inlineStr">
        <is>
          <t>VILHELMINA</t>
        </is>
      </c>
      <c r="F202" t="inlineStr">
        <is>
          <t>Allmännings- och besparingsskogar</t>
        </is>
      </c>
      <c r="G202" t="n">
        <v>10.5</v>
      </c>
      <c r="H202" t="n">
        <v>0</v>
      </c>
      <c r="I202" t="n">
        <v>0</v>
      </c>
      <c r="J202" t="n">
        <v>0</v>
      </c>
      <c r="K202" t="n">
        <v>0</v>
      </c>
      <c r="L202" t="n">
        <v>0</v>
      </c>
      <c r="M202" t="n">
        <v>0</v>
      </c>
      <c r="N202" t="n">
        <v>0</v>
      </c>
      <c r="O202" t="n">
        <v>0</v>
      </c>
      <c r="P202" t="n">
        <v>0</v>
      </c>
      <c r="Q202" t="n">
        <v>0</v>
      </c>
      <c r="R202" s="2" t="inlineStr"/>
    </row>
    <row r="203" ht="15" customHeight="1">
      <c r="A203" t="inlineStr">
        <is>
          <t>A 54070-2019</t>
        </is>
      </c>
      <c r="B203" s="1" t="n">
        <v>43746</v>
      </c>
      <c r="C203" s="1" t="n">
        <v>45508</v>
      </c>
      <c r="D203" t="inlineStr">
        <is>
          <t>VÄSTERBOTTENS LÄN</t>
        </is>
      </c>
      <c r="E203" t="inlineStr">
        <is>
          <t>VILHELMINA</t>
        </is>
      </c>
      <c r="G203" t="n">
        <v>2.1</v>
      </c>
      <c r="H203" t="n">
        <v>0</v>
      </c>
      <c r="I203" t="n">
        <v>0</v>
      </c>
      <c r="J203" t="n">
        <v>0</v>
      </c>
      <c r="K203" t="n">
        <v>0</v>
      </c>
      <c r="L203" t="n">
        <v>0</v>
      </c>
      <c r="M203" t="n">
        <v>0</v>
      </c>
      <c r="N203" t="n">
        <v>0</v>
      </c>
      <c r="O203" t="n">
        <v>0</v>
      </c>
      <c r="P203" t="n">
        <v>0</v>
      </c>
      <c r="Q203" t="n">
        <v>0</v>
      </c>
      <c r="R203" s="2" t="inlineStr"/>
    </row>
    <row r="204" ht="15" customHeight="1">
      <c r="A204" t="inlineStr">
        <is>
          <t>A 53750-2019</t>
        </is>
      </c>
      <c r="B204" s="1" t="n">
        <v>43749</v>
      </c>
      <c r="C204" s="1" t="n">
        <v>45508</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53757-2019</t>
        </is>
      </c>
      <c r="B205" s="1" t="n">
        <v>43749</v>
      </c>
      <c r="C205" s="1" t="n">
        <v>45508</v>
      </c>
      <c r="D205" t="inlineStr">
        <is>
          <t>VÄSTERBOTTENS LÄN</t>
        </is>
      </c>
      <c r="E205" t="inlineStr">
        <is>
          <t>VILHELMINA</t>
        </is>
      </c>
      <c r="F205" t="inlineStr">
        <is>
          <t>SCA</t>
        </is>
      </c>
      <c r="G205" t="n">
        <v>12.4</v>
      </c>
      <c r="H205" t="n">
        <v>0</v>
      </c>
      <c r="I205" t="n">
        <v>0</v>
      </c>
      <c r="J205" t="n">
        <v>0</v>
      </c>
      <c r="K205" t="n">
        <v>0</v>
      </c>
      <c r="L205" t="n">
        <v>0</v>
      </c>
      <c r="M205" t="n">
        <v>0</v>
      </c>
      <c r="N205" t="n">
        <v>0</v>
      </c>
      <c r="O205" t="n">
        <v>0</v>
      </c>
      <c r="P205" t="n">
        <v>0</v>
      </c>
      <c r="Q205" t="n">
        <v>0</v>
      </c>
      <c r="R205" s="2" t="inlineStr"/>
    </row>
    <row r="206" ht="15" customHeight="1">
      <c r="A206" t="inlineStr">
        <is>
          <t>A 54184-2019</t>
        </is>
      </c>
      <c r="B206" s="1" t="n">
        <v>43753</v>
      </c>
      <c r="C206" s="1" t="n">
        <v>45508</v>
      </c>
      <c r="D206" t="inlineStr">
        <is>
          <t>VÄSTERBOTTENS LÄN</t>
        </is>
      </c>
      <c r="E206" t="inlineStr">
        <is>
          <t>VILHELMINA</t>
        </is>
      </c>
      <c r="F206" t="inlineStr">
        <is>
          <t>Kommuner</t>
        </is>
      </c>
      <c r="G206" t="n">
        <v>10.6</v>
      </c>
      <c r="H206" t="n">
        <v>0</v>
      </c>
      <c r="I206" t="n">
        <v>0</v>
      </c>
      <c r="J206" t="n">
        <v>0</v>
      </c>
      <c r="K206" t="n">
        <v>0</v>
      </c>
      <c r="L206" t="n">
        <v>0</v>
      </c>
      <c r="M206" t="n">
        <v>0</v>
      </c>
      <c r="N206" t="n">
        <v>0</v>
      </c>
      <c r="O206" t="n">
        <v>0</v>
      </c>
      <c r="P206" t="n">
        <v>0</v>
      </c>
      <c r="Q206" t="n">
        <v>0</v>
      </c>
      <c r="R206" s="2" t="inlineStr"/>
    </row>
    <row r="207" ht="15" customHeight="1">
      <c r="A207" t="inlineStr">
        <is>
          <t>A 54985-2019</t>
        </is>
      </c>
      <c r="B207" s="1" t="n">
        <v>43755</v>
      </c>
      <c r="C207" s="1" t="n">
        <v>45508</v>
      </c>
      <c r="D207" t="inlineStr">
        <is>
          <t>VÄSTERBOTTENS LÄN</t>
        </is>
      </c>
      <c r="E207" t="inlineStr">
        <is>
          <t>VILHELMINA</t>
        </is>
      </c>
      <c r="G207" t="n">
        <v>12.2</v>
      </c>
      <c r="H207" t="n">
        <v>0</v>
      </c>
      <c r="I207" t="n">
        <v>0</v>
      </c>
      <c r="J207" t="n">
        <v>0</v>
      </c>
      <c r="K207" t="n">
        <v>0</v>
      </c>
      <c r="L207" t="n">
        <v>0</v>
      </c>
      <c r="M207" t="n">
        <v>0</v>
      </c>
      <c r="N207" t="n">
        <v>0</v>
      </c>
      <c r="O207" t="n">
        <v>0</v>
      </c>
      <c r="P207" t="n">
        <v>0</v>
      </c>
      <c r="Q207" t="n">
        <v>0</v>
      </c>
      <c r="R207" s="2" t="inlineStr"/>
    </row>
    <row r="208" ht="15" customHeight="1">
      <c r="A208" t="inlineStr">
        <is>
          <t>A 57906-2019</t>
        </is>
      </c>
      <c r="B208" s="1" t="n">
        <v>43762</v>
      </c>
      <c r="C208" s="1" t="n">
        <v>45508</v>
      </c>
      <c r="D208" t="inlineStr">
        <is>
          <t>VÄSTERBOTTENS LÄN</t>
        </is>
      </c>
      <c r="E208" t="inlineStr">
        <is>
          <t>VILHELMINA</t>
        </is>
      </c>
      <c r="F208" t="inlineStr">
        <is>
          <t>Allmännings- och besparingsskogar</t>
        </is>
      </c>
      <c r="G208" t="n">
        <v>5.3</v>
      </c>
      <c r="H208" t="n">
        <v>0</v>
      </c>
      <c r="I208" t="n">
        <v>0</v>
      </c>
      <c r="J208" t="n">
        <v>0</v>
      </c>
      <c r="K208" t="n">
        <v>0</v>
      </c>
      <c r="L208" t="n">
        <v>0</v>
      </c>
      <c r="M208" t="n">
        <v>0</v>
      </c>
      <c r="N208" t="n">
        <v>0</v>
      </c>
      <c r="O208" t="n">
        <v>0</v>
      </c>
      <c r="P208" t="n">
        <v>0</v>
      </c>
      <c r="Q208" t="n">
        <v>0</v>
      </c>
      <c r="R208" s="2" t="inlineStr"/>
    </row>
    <row r="209" ht="15" customHeight="1">
      <c r="A209" t="inlineStr">
        <is>
          <t>A 57940-2019</t>
        </is>
      </c>
      <c r="B209" s="1" t="n">
        <v>43762</v>
      </c>
      <c r="C209" s="1" t="n">
        <v>45508</v>
      </c>
      <c r="D209" t="inlineStr">
        <is>
          <t>VÄSTERBOTTENS LÄN</t>
        </is>
      </c>
      <c r="E209" t="inlineStr">
        <is>
          <t>VILHELMINA</t>
        </is>
      </c>
      <c r="F209" t="inlineStr">
        <is>
          <t>Allmännings- och besparingsskogar</t>
        </is>
      </c>
      <c r="G209" t="n">
        <v>2.2</v>
      </c>
      <c r="H209" t="n">
        <v>0</v>
      </c>
      <c r="I209" t="n">
        <v>0</v>
      </c>
      <c r="J209" t="n">
        <v>0</v>
      </c>
      <c r="K209" t="n">
        <v>0</v>
      </c>
      <c r="L209" t="n">
        <v>0</v>
      </c>
      <c r="M209" t="n">
        <v>0</v>
      </c>
      <c r="N209" t="n">
        <v>0</v>
      </c>
      <c r="O209" t="n">
        <v>0</v>
      </c>
      <c r="P209" t="n">
        <v>0</v>
      </c>
      <c r="Q209" t="n">
        <v>0</v>
      </c>
      <c r="R209" s="2" t="inlineStr"/>
    </row>
    <row r="210" ht="15" customHeight="1">
      <c r="A210" t="inlineStr">
        <is>
          <t>A 56833-2019</t>
        </is>
      </c>
      <c r="B210" s="1" t="n">
        <v>43765</v>
      </c>
      <c r="C210" s="1" t="n">
        <v>45508</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59021-2019</t>
        </is>
      </c>
      <c r="B211" s="1" t="n">
        <v>43774</v>
      </c>
      <c r="C211" s="1" t="n">
        <v>45508</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58962-2019</t>
        </is>
      </c>
      <c r="B212" s="1" t="n">
        <v>43774</v>
      </c>
      <c r="C212" s="1" t="n">
        <v>45508</v>
      </c>
      <c r="D212" t="inlineStr">
        <is>
          <t>VÄSTERBOTTENS LÄN</t>
        </is>
      </c>
      <c r="E212" t="inlineStr">
        <is>
          <t>VILHELMINA</t>
        </is>
      </c>
      <c r="G212" t="n">
        <v>2.4</v>
      </c>
      <c r="H212" t="n">
        <v>0</v>
      </c>
      <c r="I212" t="n">
        <v>0</v>
      </c>
      <c r="J212" t="n">
        <v>0</v>
      </c>
      <c r="K212" t="n">
        <v>0</v>
      </c>
      <c r="L212" t="n">
        <v>0</v>
      </c>
      <c r="M212" t="n">
        <v>0</v>
      </c>
      <c r="N212" t="n">
        <v>0</v>
      </c>
      <c r="O212" t="n">
        <v>0</v>
      </c>
      <c r="P212" t="n">
        <v>0</v>
      </c>
      <c r="Q212" t="n">
        <v>0</v>
      </c>
      <c r="R212" s="2" t="inlineStr"/>
    </row>
    <row r="213" ht="15" customHeight="1">
      <c r="A213" t="inlineStr">
        <is>
          <t>A 59052-2019</t>
        </is>
      </c>
      <c r="B213" s="1" t="n">
        <v>43774</v>
      </c>
      <c r="C213" s="1" t="n">
        <v>45508</v>
      </c>
      <c r="D213" t="inlineStr">
        <is>
          <t>VÄSTERBOTTENS LÄN</t>
        </is>
      </c>
      <c r="E213" t="inlineStr">
        <is>
          <t>VILHELMINA</t>
        </is>
      </c>
      <c r="G213" t="n">
        <v>0.2</v>
      </c>
      <c r="H213" t="n">
        <v>0</v>
      </c>
      <c r="I213" t="n">
        <v>0</v>
      </c>
      <c r="J213" t="n">
        <v>0</v>
      </c>
      <c r="K213" t="n">
        <v>0</v>
      </c>
      <c r="L213" t="n">
        <v>0</v>
      </c>
      <c r="M213" t="n">
        <v>0</v>
      </c>
      <c r="N213" t="n">
        <v>0</v>
      </c>
      <c r="O213" t="n">
        <v>0</v>
      </c>
      <c r="P213" t="n">
        <v>0</v>
      </c>
      <c r="Q213" t="n">
        <v>0</v>
      </c>
      <c r="R213" s="2" t="inlineStr"/>
    </row>
    <row r="214" ht="15" customHeight="1">
      <c r="A214" t="inlineStr">
        <is>
          <t>A 59165-2019</t>
        </is>
      </c>
      <c r="B214" s="1" t="n">
        <v>43775</v>
      </c>
      <c r="C214" s="1" t="n">
        <v>45508</v>
      </c>
      <c r="D214" t="inlineStr">
        <is>
          <t>VÄSTERBOTTENS LÄN</t>
        </is>
      </c>
      <c r="E214" t="inlineStr">
        <is>
          <t>VILHELMINA</t>
        </is>
      </c>
      <c r="G214" t="n">
        <v>2</v>
      </c>
      <c r="H214" t="n">
        <v>0</v>
      </c>
      <c r="I214" t="n">
        <v>0</v>
      </c>
      <c r="J214" t="n">
        <v>0</v>
      </c>
      <c r="K214" t="n">
        <v>0</v>
      </c>
      <c r="L214" t="n">
        <v>0</v>
      </c>
      <c r="M214" t="n">
        <v>0</v>
      </c>
      <c r="N214" t="n">
        <v>0</v>
      </c>
      <c r="O214" t="n">
        <v>0</v>
      </c>
      <c r="P214" t="n">
        <v>0</v>
      </c>
      <c r="Q214" t="n">
        <v>0</v>
      </c>
      <c r="R214" s="2" t="inlineStr"/>
    </row>
    <row r="215" ht="15" customHeight="1">
      <c r="A215" t="inlineStr">
        <is>
          <t>A 63027-2019</t>
        </is>
      </c>
      <c r="B215" s="1" t="n">
        <v>43791</v>
      </c>
      <c r="C215" s="1" t="n">
        <v>45508</v>
      </c>
      <c r="D215" t="inlineStr">
        <is>
          <t>VÄSTERBOTTENS LÄN</t>
        </is>
      </c>
      <c r="E215" t="inlineStr">
        <is>
          <t>VILHELMINA</t>
        </is>
      </c>
      <c r="G215" t="n">
        <v>0.5</v>
      </c>
      <c r="H215" t="n">
        <v>0</v>
      </c>
      <c r="I215" t="n">
        <v>0</v>
      </c>
      <c r="J215" t="n">
        <v>0</v>
      </c>
      <c r="K215" t="n">
        <v>0</v>
      </c>
      <c r="L215" t="n">
        <v>0</v>
      </c>
      <c r="M215" t="n">
        <v>0</v>
      </c>
      <c r="N215" t="n">
        <v>0</v>
      </c>
      <c r="O215" t="n">
        <v>0</v>
      </c>
      <c r="P215" t="n">
        <v>0</v>
      </c>
      <c r="Q215" t="n">
        <v>0</v>
      </c>
      <c r="R215" s="2" t="inlineStr"/>
    </row>
    <row r="216" ht="15" customHeight="1">
      <c r="A216" t="inlineStr">
        <is>
          <t>A 66570-2019</t>
        </is>
      </c>
      <c r="B216" s="1" t="n">
        <v>43803</v>
      </c>
      <c r="C216" s="1" t="n">
        <v>45508</v>
      </c>
      <c r="D216" t="inlineStr">
        <is>
          <t>VÄSTERBOTTENS LÄN</t>
        </is>
      </c>
      <c r="E216" t="inlineStr">
        <is>
          <t>VILHELMINA</t>
        </is>
      </c>
      <c r="G216" t="n">
        <v>3.6</v>
      </c>
      <c r="H216" t="n">
        <v>0</v>
      </c>
      <c r="I216" t="n">
        <v>0</v>
      </c>
      <c r="J216" t="n">
        <v>0</v>
      </c>
      <c r="K216" t="n">
        <v>0</v>
      </c>
      <c r="L216" t="n">
        <v>0</v>
      </c>
      <c r="M216" t="n">
        <v>0</v>
      </c>
      <c r="N216" t="n">
        <v>0</v>
      </c>
      <c r="O216" t="n">
        <v>0</v>
      </c>
      <c r="P216" t="n">
        <v>0</v>
      </c>
      <c r="Q216" t="n">
        <v>0</v>
      </c>
      <c r="R216" s="2" t="inlineStr"/>
    </row>
    <row r="217" ht="15" customHeight="1">
      <c r="A217" t="inlineStr">
        <is>
          <t>A 65885-2019</t>
        </is>
      </c>
      <c r="B217" s="1" t="n">
        <v>43805</v>
      </c>
      <c r="C217" s="1" t="n">
        <v>45508</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66311-2019</t>
        </is>
      </c>
      <c r="B218" s="1" t="n">
        <v>43808</v>
      </c>
      <c r="C218" s="1" t="n">
        <v>45508</v>
      </c>
      <c r="D218" t="inlineStr">
        <is>
          <t>VÄSTERBOTTENS LÄN</t>
        </is>
      </c>
      <c r="E218" t="inlineStr">
        <is>
          <t>VILHELMINA</t>
        </is>
      </c>
      <c r="G218" t="n">
        <v>72.90000000000001</v>
      </c>
      <c r="H218" t="n">
        <v>0</v>
      </c>
      <c r="I218" t="n">
        <v>0</v>
      </c>
      <c r="J218" t="n">
        <v>0</v>
      </c>
      <c r="K218" t="n">
        <v>0</v>
      </c>
      <c r="L218" t="n">
        <v>0</v>
      </c>
      <c r="M218" t="n">
        <v>0</v>
      </c>
      <c r="N218" t="n">
        <v>0</v>
      </c>
      <c r="O218" t="n">
        <v>0</v>
      </c>
      <c r="P218" t="n">
        <v>0</v>
      </c>
      <c r="Q218" t="n">
        <v>0</v>
      </c>
      <c r="R218" s="2" t="inlineStr"/>
    </row>
    <row r="219" ht="15" customHeight="1">
      <c r="A219" t="inlineStr">
        <is>
          <t>A 66720-2019</t>
        </is>
      </c>
      <c r="B219" s="1" t="n">
        <v>43810</v>
      </c>
      <c r="C219" s="1" t="n">
        <v>45508</v>
      </c>
      <c r="D219" t="inlineStr">
        <is>
          <t>VÄSTERBOTTENS LÄN</t>
        </is>
      </c>
      <c r="E219" t="inlineStr">
        <is>
          <t>VILHELMINA</t>
        </is>
      </c>
      <c r="G219" t="n">
        <v>0.5</v>
      </c>
      <c r="H219" t="n">
        <v>0</v>
      </c>
      <c r="I219" t="n">
        <v>0</v>
      </c>
      <c r="J219" t="n">
        <v>0</v>
      </c>
      <c r="K219" t="n">
        <v>0</v>
      </c>
      <c r="L219" t="n">
        <v>0</v>
      </c>
      <c r="M219" t="n">
        <v>0</v>
      </c>
      <c r="N219" t="n">
        <v>0</v>
      </c>
      <c r="O219" t="n">
        <v>0</v>
      </c>
      <c r="P219" t="n">
        <v>0</v>
      </c>
      <c r="Q219" t="n">
        <v>0</v>
      </c>
      <c r="R219" s="2" t="inlineStr"/>
    </row>
    <row r="220" ht="15" customHeight="1">
      <c r="A220" t="inlineStr">
        <is>
          <t>A 67814-2019</t>
        </is>
      </c>
      <c r="B220" s="1" t="n">
        <v>43815</v>
      </c>
      <c r="C220" s="1" t="n">
        <v>45508</v>
      </c>
      <c r="D220" t="inlineStr">
        <is>
          <t>VÄSTERBOTTENS LÄN</t>
        </is>
      </c>
      <c r="E220" t="inlineStr">
        <is>
          <t>VILHELMINA</t>
        </is>
      </c>
      <c r="G220" t="n">
        <v>2.9</v>
      </c>
      <c r="H220" t="n">
        <v>0</v>
      </c>
      <c r="I220" t="n">
        <v>0</v>
      </c>
      <c r="J220" t="n">
        <v>0</v>
      </c>
      <c r="K220" t="n">
        <v>0</v>
      </c>
      <c r="L220" t="n">
        <v>0</v>
      </c>
      <c r="M220" t="n">
        <v>0</v>
      </c>
      <c r="N220" t="n">
        <v>0</v>
      </c>
      <c r="O220" t="n">
        <v>0</v>
      </c>
      <c r="P220" t="n">
        <v>0</v>
      </c>
      <c r="Q220" t="n">
        <v>0</v>
      </c>
      <c r="R220" s="2" t="inlineStr"/>
    </row>
    <row r="221" ht="15" customHeight="1">
      <c r="A221" t="inlineStr">
        <is>
          <t>A 219-2020</t>
        </is>
      </c>
      <c r="B221" s="1" t="n">
        <v>43833</v>
      </c>
      <c r="C221" s="1" t="n">
        <v>45508</v>
      </c>
      <c r="D221" t="inlineStr">
        <is>
          <t>VÄSTERBOTTENS LÄN</t>
        </is>
      </c>
      <c r="E221" t="inlineStr">
        <is>
          <t>VILHELMINA</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217-2020</t>
        </is>
      </c>
      <c r="B222" s="1" t="n">
        <v>43833</v>
      </c>
      <c r="C222" s="1" t="n">
        <v>45508</v>
      </c>
      <c r="D222" t="inlineStr">
        <is>
          <t>VÄSTERBOTTENS LÄN</t>
        </is>
      </c>
      <c r="E222" t="inlineStr">
        <is>
          <t>VILHELMINA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226-2020</t>
        </is>
      </c>
      <c r="B223" s="1" t="n">
        <v>43833</v>
      </c>
      <c r="C223" s="1" t="n">
        <v>45508</v>
      </c>
      <c r="D223" t="inlineStr">
        <is>
          <t>VÄSTERBOTTENS LÄN</t>
        </is>
      </c>
      <c r="E223" t="inlineStr">
        <is>
          <t>VILHELMINA</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300-2020</t>
        </is>
      </c>
      <c r="B224" s="1" t="n">
        <v>43837</v>
      </c>
      <c r="C224" s="1" t="n">
        <v>45508</v>
      </c>
      <c r="D224" t="inlineStr">
        <is>
          <t>VÄSTERBOTTENS LÄN</t>
        </is>
      </c>
      <c r="E224" t="inlineStr">
        <is>
          <t>VILHELMINA</t>
        </is>
      </c>
      <c r="G224" t="n">
        <v>7.6</v>
      </c>
      <c r="H224" t="n">
        <v>0</v>
      </c>
      <c r="I224" t="n">
        <v>0</v>
      </c>
      <c r="J224" t="n">
        <v>0</v>
      </c>
      <c r="K224" t="n">
        <v>0</v>
      </c>
      <c r="L224" t="n">
        <v>0</v>
      </c>
      <c r="M224" t="n">
        <v>0</v>
      </c>
      <c r="N224" t="n">
        <v>0</v>
      </c>
      <c r="O224" t="n">
        <v>0</v>
      </c>
      <c r="P224" t="n">
        <v>0</v>
      </c>
      <c r="Q224" t="n">
        <v>0</v>
      </c>
      <c r="R224" s="2" t="inlineStr"/>
    </row>
    <row r="225" ht="15" customHeight="1">
      <c r="A225" t="inlineStr">
        <is>
          <t>A 1235-2020</t>
        </is>
      </c>
      <c r="B225" s="1" t="n">
        <v>43837</v>
      </c>
      <c r="C225" s="1" t="n">
        <v>45508</v>
      </c>
      <c r="D225" t="inlineStr">
        <is>
          <t>VÄSTERBOTTENS LÄN</t>
        </is>
      </c>
      <c r="E225" t="inlineStr">
        <is>
          <t>VILHELMINA</t>
        </is>
      </c>
      <c r="G225" t="n">
        <v>5</v>
      </c>
      <c r="H225" t="n">
        <v>0</v>
      </c>
      <c r="I225" t="n">
        <v>0</v>
      </c>
      <c r="J225" t="n">
        <v>0</v>
      </c>
      <c r="K225" t="n">
        <v>0</v>
      </c>
      <c r="L225" t="n">
        <v>0</v>
      </c>
      <c r="M225" t="n">
        <v>0</v>
      </c>
      <c r="N225" t="n">
        <v>0</v>
      </c>
      <c r="O225" t="n">
        <v>0</v>
      </c>
      <c r="P225" t="n">
        <v>0</v>
      </c>
      <c r="Q225" t="n">
        <v>0</v>
      </c>
      <c r="R225" s="2" t="inlineStr"/>
    </row>
    <row r="226" ht="15" customHeight="1">
      <c r="A226" t="inlineStr">
        <is>
          <t>A 802-2020</t>
        </is>
      </c>
      <c r="B226" s="1" t="n">
        <v>43838</v>
      </c>
      <c r="C226" s="1" t="n">
        <v>45508</v>
      </c>
      <c r="D226" t="inlineStr">
        <is>
          <t>VÄSTERBOTTENS LÄN</t>
        </is>
      </c>
      <c r="E226" t="inlineStr">
        <is>
          <t>VILHELMINA</t>
        </is>
      </c>
      <c r="F226" t="inlineStr">
        <is>
          <t>SCA</t>
        </is>
      </c>
      <c r="G226" t="n">
        <v>0.5</v>
      </c>
      <c r="H226" t="n">
        <v>0</v>
      </c>
      <c r="I226" t="n">
        <v>0</v>
      </c>
      <c r="J226" t="n">
        <v>0</v>
      </c>
      <c r="K226" t="n">
        <v>0</v>
      </c>
      <c r="L226" t="n">
        <v>0</v>
      </c>
      <c r="M226" t="n">
        <v>0</v>
      </c>
      <c r="N226" t="n">
        <v>0</v>
      </c>
      <c r="O226" t="n">
        <v>0</v>
      </c>
      <c r="P226" t="n">
        <v>0</v>
      </c>
      <c r="Q226" t="n">
        <v>0</v>
      </c>
      <c r="R226" s="2" t="inlineStr"/>
    </row>
    <row r="227" ht="15" customHeight="1">
      <c r="A227" t="inlineStr">
        <is>
          <t>A 1992-2020</t>
        </is>
      </c>
      <c r="B227" s="1" t="n">
        <v>43838</v>
      </c>
      <c r="C227" s="1" t="n">
        <v>45508</v>
      </c>
      <c r="D227" t="inlineStr">
        <is>
          <t>VÄSTERBOTTENS LÄN</t>
        </is>
      </c>
      <c r="E227" t="inlineStr">
        <is>
          <t>VILHELMINA</t>
        </is>
      </c>
      <c r="G227" t="n">
        <v>2.3</v>
      </c>
      <c r="H227" t="n">
        <v>0</v>
      </c>
      <c r="I227" t="n">
        <v>0</v>
      </c>
      <c r="J227" t="n">
        <v>0</v>
      </c>
      <c r="K227" t="n">
        <v>0</v>
      </c>
      <c r="L227" t="n">
        <v>0</v>
      </c>
      <c r="M227" t="n">
        <v>0</v>
      </c>
      <c r="N227" t="n">
        <v>0</v>
      </c>
      <c r="O227" t="n">
        <v>0</v>
      </c>
      <c r="P227" t="n">
        <v>0</v>
      </c>
      <c r="Q227" t="n">
        <v>0</v>
      </c>
      <c r="R227" s="2" t="inlineStr"/>
    </row>
    <row r="228" ht="15" customHeight="1">
      <c r="A228" t="inlineStr">
        <is>
          <t>A 3074-2020</t>
        </is>
      </c>
      <c r="B228" s="1" t="n">
        <v>43851</v>
      </c>
      <c r="C228" s="1" t="n">
        <v>45508</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3343-2020</t>
        </is>
      </c>
      <c r="B229" s="1" t="n">
        <v>43852</v>
      </c>
      <c r="C229" s="1" t="n">
        <v>45508</v>
      </c>
      <c r="D229" t="inlineStr">
        <is>
          <t>VÄSTERBOTTENS LÄN</t>
        </is>
      </c>
      <c r="E229" t="inlineStr">
        <is>
          <t>VILHELMINA</t>
        </is>
      </c>
      <c r="F229" t="inlineStr">
        <is>
          <t>Sveaskog</t>
        </is>
      </c>
      <c r="G229" t="n">
        <v>6.1</v>
      </c>
      <c r="H229" t="n">
        <v>0</v>
      </c>
      <c r="I229" t="n">
        <v>0</v>
      </c>
      <c r="J229" t="n">
        <v>0</v>
      </c>
      <c r="K229" t="n">
        <v>0</v>
      </c>
      <c r="L229" t="n">
        <v>0</v>
      </c>
      <c r="M229" t="n">
        <v>0</v>
      </c>
      <c r="N229" t="n">
        <v>0</v>
      </c>
      <c r="O229" t="n">
        <v>0</v>
      </c>
      <c r="P229" t="n">
        <v>0</v>
      </c>
      <c r="Q229" t="n">
        <v>0</v>
      </c>
      <c r="R229" s="2" t="inlineStr"/>
    </row>
    <row r="230" ht="15" customHeight="1">
      <c r="A230" t="inlineStr">
        <is>
          <t>A 5236-2020</t>
        </is>
      </c>
      <c r="B230" s="1" t="n">
        <v>43854</v>
      </c>
      <c r="C230" s="1" t="n">
        <v>45508</v>
      </c>
      <c r="D230" t="inlineStr">
        <is>
          <t>VÄSTERBOTTENS LÄN</t>
        </is>
      </c>
      <c r="E230" t="inlineStr">
        <is>
          <t>VILHELMINA</t>
        </is>
      </c>
      <c r="G230" t="n">
        <v>25</v>
      </c>
      <c r="H230" t="n">
        <v>0</v>
      </c>
      <c r="I230" t="n">
        <v>0</v>
      </c>
      <c r="J230" t="n">
        <v>0</v>
      </c>
      <c r="K230" t="n">
        <v>0</v>
      </c>
      <c r="L230" t="n">
        <v>0</v>
      </c>
      <c r="M230" t="n">
        <v>0</v>
      </c>
      <c r="N230" t="n">
        <v>0</v>
      </c>
      <c r="O230" t="n">
        <v>0</v>
      </c>
      <c r="P230" t="n">
        <v>0</v>
      </c>
      <c r="Q230" t="n">
        <v>0</v>
      </c>
      <c r="R230" s="2" t="inlineStr"/>
    </row>
    <row r="231" ht="15" customHeight="1">
      <c r="A231" t="inlineStr">
        <is>
          <t>A 4586-2020</t>
        </is>
      </c>
      <c r="B231" s="1" t="n">
        <v>43858</v>
      </c>
      <c r="C231" s="1" t="n">
        <v>45508</v>
      </c>
      <c r="D231" t="inlineStr">
        <is>
          <t>VÄSTERBOTTENS LÄN</t>
        </is>
      </c>
      <c r="E231" t="inlineStr">
        <is>
          <t>VILHELMINA</t>
        </is>
      </c>
      <c r="G231" t="n">
        <v>3.4</v>
      </c>
      <c r="H231" t="n">
        <v>0</v>
      </c>
      <c r="I231" t="n">
        <v>0</v>
      </c>
      <c r="J231" t="n">
        <v>0</v>
      </c>
      <c r="K231" t="n">
        <v>0</v>
      </c>
      <c r="L231" t="n">
        <v>0</v>
      </c>
      <c r="M231" t="n">
        <v>0</v>
      </c>
      <c r="N231" t="n">
        <v>0</v>
      </c>
      <c r="O231" t="n">
        <v>0</v>
      </c>
      <c r="P231" t="n">
        <v>0</v>
      </c>
      <c r="Q231" t="n">
        <v>0</v>
      </c>
      <c r="R231" s="2" t="inlineStr"/>
    </row>
    <row r="232" ht="15" customHeight="1">
      <c r="A232" t="inlineStr">
        <is>
          <t>A 5432-2020</t>
        </is>
      </c>
      <c r="B232" s="1" t="n">
        <v>43858</v>
      </c>
      <c r="C232" s="1" t="n">
        <v>45508</v>
      </c>
      <c r="D232" t="inlineStr">
        <is>
          <t>VÄSTERBOTTENS LÄN</t>
        </is>
      </c>
      <c r="E232" t="inlineStr">
        <is>
          <t>VILHELMINA</t>
        </is>
      </c>
      <c r="G232" t="n">
        <v>6.2</v>
      </c>
      <c r="H232" t="n">
        <v>0</v>
      </c>
      <c r="I232" t="n">
        <v>0</v>
      </c>
      <c r="J232" t="n">
        <v>0</v>
      </c>
      <c r="K232" t="n">
        <v>0</v>
      </c>
      <c r="L232" t="n">
        <v>0</v>
      </c>
      <c r="M232" t="n">
        <v>0</v>
      </c>
      <c r="N232" t="n">
        <v>0</v>
      </c>
      <c r="O232" t="n">
        <v>0</v>
      </c>
      <c r="P232" t="n">
        <v>0</v>
      </c>
      <c r="Q232" t="n">
        <v>0</v>
      </c>
      <c r="R232" s="2" t="inlineStr"/>
    </row>
    <row r="233" ht="15" customHeight="1">
      <c r="A233" t="inlineStr">
        <is>
          <t>A 12419-2020</t>
        </is>
      </c>
      <c r="B233" s="1" t="n">
        <v>43896</v>
      </c>
      <c r="C233" s="1" t="n">
        <v>45508</v>
      </c>
      <c r="D233" t="inlineStr">
        <is>
          <t>VÄSTERBOTTENS LÄN</t>
        </is>
      </c>
      <c r="E233" t="inlineStr">
        <is>
          <t>VILHELMINA</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12424-2020</t>
        </is>
      </c>
      <c r="B234" s="1" t="n">
        <v>43896</v>
      </c>
      <c r="C234" s="1" t="n">
        <v>45508</v>
      </c>
      <c r="D234" t="inlineStr">
        <is>
          <t>VÄSTERBOTTENS LÄN</t>
        </is>
      </c>
      <c r="E234" t="inlineStr">
        <is>
          <t>VILHELMINA</t>
        </is>
      </c>
      <c r="F234" t="inlineStr">
        <is>
          <t>Kommuner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12423-2020</t>
        </is>
      </c>
      <c r="B235" s="1" t="n">
        <v>43896</v>
      </c>
      <c r="C235" s="1" t="n">
        <v>45508</v>
      </c>
      <c r="D235" t="inlineStr">
        <is>
          <t>VÄSTERBOTTENS LÄN</t>
        </is>
      </c>
      <c r="E235" t="inlineStr">
        <is>
          <t>VILHELMINA</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12451-2020</t>
        </is>
      </c>
      <c r="B236" s="1" t="n">
        <v>43896</v>
      </c>
      <c r="C236" s="1" t="n">
        <v>45508</v>
      </c>
      <c r="D236" t="inlineStr">
        <is>
          <t>VÄSTERBOTTENS LÄN</t>
        </is>
      </c>
      <c r="E236" t="inlineStr">
        <is>
          <t>VILHELMINA</t>
        </is>
      </c>
      <c r="F236" t="inlineStr">
        <is>
          <t>Kommuner</t>
        </is>
      </c>
      <c r="G236" t="n">
        <v>5.5</v>
      </c>
      <c r="H236" t="n">
        <v>0</v>
      </c>
      <c r="I236" t="n">
        <v>0</v>
      </c>
      <c r="J236" t="n">
        <v>0</v>
      </c>
      <c r="K236" t="n">
        <v>0</v>
      </c>
      <c r="L236" t="n">
        <v>0</v>
      </c>
      <c r="M236" t="n">
        <v>0</v>
      </c>
      <c r="N236" t="n">
        <v>0</v>
      </c>
      <c r="O236" t="n">
        <v>0</v>
      </c>
      <c r="P236" t="n">
        <v>0</v>
      </c>
      <c r="Q236" t="n">
        <v>0</v>
      </c>
      <c r="R236" s="2" t="inlineStr"/>
    </row>
    <row r="237" ht="15" customHeight="1">
      <c r="A237" t="inlineStr">
        <is>
          <t>A 14738-2020</t>
        </is>
      </c>
      <c r="B237" s="1" t="n">
        <v>43909</v>
      </c>
      <c r="C237" s="1" t="n">
        <v>45508</v>
      </c>
      <c r="D237" t="inlineStr">
        <is>
          <t>VÄSTERBOTTENS LÄN</t>
        </is>
      </c>
      <c r="E237" t="inlineStr">
        <is>
          <t>VILHELMINA</t>
        </is>
      </c>
      <c r="G237" t="n">
        <v>3.9</v>
      </c>
      <c r="H237" t="n">
        <v>0</v>
      </c>
      <c r="I237" t="n">
        <v>0</v>
      </c>
      <c r="J237" t="n">
        <v>0</v>
      </c>
      <c r="K237" t="n">
        <v>0</v>
      </c>
      <c r="L237" t="n">
        <v>0</v>
      </c>
      <c r="M237" t="n">
        <v>0</v>
      </c>
      <c r="N237" t="n">
        <v>0</v>
      </c>
      <c r="O237" t="n">
        <v>0</v>
      </c>
      <c r="P237" t="n">
        <v>0</v>
      </c>
      <c r="Q237" t="n">
        <v>0</v>
      </c>
      <c r="R237" s="2" t="inlineStr"/>
    </row>
    <row r="238" ht="15" customHeight="1">
      <c r="A238" t="inlineStr">
        <is>
          <t>A 15113-2020</t>
        </is>
      </c>
      <c r="B238" s="1" t="n">
        <v>43910</v>
      </c>
      <c r="C238" s="1" t="n">
        <v>45508</v>
      </c>
      <c r="D238" t="inlineStr">
        <is>
          <t>VÄSTERBOTTENS LÄN</t>
        </is>
      </c>
      <c r="E238" t="inlineStr">
        <is>
          <t>VILHELMINA</t>
        </is>
      </c>
      <c r="G238" t="n">
        <v>9.5</v>
      </c>
      <c r="H238" t="n">
        <v>0</v>
      </c>
      <c r="I238" t="n">
        <v>0</v>
      </c>
      <c r="J238" t="n">
        <v>0</v>
      </c>
      <c r="K238" t="n">
        <v>0</v>
      </c>
      <c r="L238" t="n">
        <v>0</v>
      </c>
      <c r="M238" t="n">
        <v>0</v>
      </c>
      <c r="N238" t="n">
        <v>0</v>
      </c>
      <c r="O238" t="n">
        <v>0</v>
      </c>
      <c r="P238" t="n">
        <v>0</v>
      </c>
      <c r="Q238" t="n">
        <v>0</v>
      </c>
      <c r="R238" s="2" t="inlineStr"/>
    </row>
    <row r="239" ht="15" customHeight="1">
      <c r="A239" t="inlineStr">
        <is>
          <t>A 15400-2020</t>
        </is>
      </c>
      <c r="B239" s="1" t="n">
        <v>43913</v>
      </c>
      <c r="C239" s="1" t="n">
        <v>45508</v>
      </c>
      <c r="D239" t="inlineStr">
        <is>
          <t>VÄSTERBOTTENS LÄN</t>
        </is>
      </c>
      <c r="E239" t="inlineStr">
        <is>
          <t>VILHELMINA</t>
        </is>
      </c>
      <c r="F239" t="inlineStr">
        <is>
          <t>SCA</t>
        </is>
      </c>
      <c r="G239" t="n">
        <v>11.7</v>
      </c>
      <c r="H239" t="n">
        <v>0</v>
      </c>
      <c r="I239" t="n">
        <v>0</v>
      </c>
      <c r="J239" t="n">
        <v>0</v>
      </c>
      <c r="K239" t="n">
        <v>0</v>
      </c>
      <c r="L239" t="n">
        <v>0</v>
      </c>
      <c r="M239" t="n">
        <v>0</v>
      </c>
      <c r="N239" t="n">
        <v>0</v>
      </c>
      <c r="O239" t="n">
        <v>0</v>
      </c>
      <c r="P239" t="n">
        <v>0</v>
      </c>
      <c r="Q239" t="n">
        <v>0</v>
      </c>
      <c r="R239" s="2" t="inlineStr"/>
    </row>
    <row r="240" ht="15" customHeight="1">
      <c r="A240" t="inlineStr">
        <is>
          <t>A 15410-2020</t>
        </is>
      </c>
      <c r="B240" s="1" t="n">
        <v>43913</v>
      </c>
      <c r="C240" s="1" t="n">
        <v>45508</v>
      </c>
      <c r="D240" t="inlineStr">
        <is>
          <t>VÄSTERBOTTENS LÄN</t>
        </is>
      </c>
      <c r="E240" t="inlineStr">
        <is>
          <t>VILHELMINA</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15399-2020</t>
        </is>
      </c>
      <c r="B241" s="1" t="n">
        <v>43913</v>
      </c>
      <c r="C241" s="1" t="n">
        <v>45508</v>
      </c>
      <c r="D241" t="inlineStr">
        <is>
          <t>VÄSTERBOTTENS LÄN</t>
        </is>
      </c>
      <c r="E241" t="inlineStr">
        <is>
          <t>VILHELMINA</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15407-2020</t>
        </is>
      </c>
      <c r="B242" s="1" t="n">
        <v>43913</v>
      </c>
      <c r="C242" s="1" t="n">
        <v>45508</v>
      </c>
      <c r="D242" t="inlineStr">
        <is>
          <t>VÄSTERBOTTENS LÄN</t>
        </is>
      </c>
      <c r="E242" t="inlineStr">
        <is>
          <t>VILHELMINA</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15413-2020</t>
        </is>
      </c>
      <c r="B243" s="1" t="n">
        <v>43913</v>
      </c>
      <c r="C243" s="1" t="n">
        <v>45508</v>
      </c>
      <c r="D243" t="inlineStr">
        <is>
          <t>VÄSTERBOTTENS LÄN</t>
        </is>
      </c>
      <c r="E243" t="inlineStr">
        <is>
          <t>VILHELMINA</t>
        </is>
      </c>
      <c r="F243" t="inlineStr">
        <is>
          <t>SCA</t>
        </is>
      </c>
      <c r="G243" t="n">
        <v>12.1</v>
      </c>
      <c r="H243" t="n">
        <v>0</v>
      </c>
      <c r="I243" t="n">
        <v>0</v>
      </c>
      <c r="J243" t="n">
        <v>0</v>
      </c>
      <c r="K243" t="n">
        <v>0</v>
      </c>
      <c r="L243" t="n">
        <v>0</v>
      </c>
      <c r="M243" t="n">
        <v>0</v>
      </c>
      <c r="N243" t="n">
        <v>0</v>
      </c>
      <c r="O243" t="n">
        <v>0</v>
      </c>
      <c r="P243" t="n">
        <v>0</v>
      </c>
      <c r="Q243" t="n">
        <v>0</v>
      </c>
      <c r="R243" s="2" t="inlineStr"/>
    </row>
    <row r="244" ht="15" customHeight="1">
      <c r="A244" t="inlineStr">
        <is>
          <t>A 15409-2020</t>
        </is>
      </c>
      <c r="B244" s="1" t="n">
        <v>43913</v>
      </c>
      <c r="C244" s="1" t="n">
        <v>45508</v>
      </c>
      <c r="D244" t="inlineStr">
        <is>
          <t>VÄSTERBOTTENS LÄN</t>
        </is>
      </c>
      <c r="E244" t="inlineStr">
        <is>
          <t>VILHELMINA</t>
        </is>
      </c>
      <c r="F244" t="inlineStr">
        <is>
          <t>SCA</t>
        </is>
      </c>
      <c r="G244" t="n">
        <v>11.1</v>
      </c>
      <c r="H244" t="n">
        <v>0</v>
      </c>
      <c r="I244" t="n">
        <v>0</v>
      </c>
      <c r="J244" t="n">
        <v>0</v>
      </c>
      <c r="K244" t="n">
        <v>0</v>
      </c>
      <c r="L244" t="n">
        <v>0</v>
      </c>
      <c r="M244" t="n">
        <v>0</v>
      </c>
      <c r="N244" t="n">
        <v>0</v>
      </c>
      <c r="O244" t="n">
        <v>0</v>
      </c>
      <c r="P244" t="n">
        <v>0</v>
      </c>
      <c r="Q244" t="n">
        <v>0</v>
      </c>
      <c r="R244" s="2" t="inlineStr"/>
    </row>
    <row r="245" ht="15" customHeight="1">
      <c r="A245" t="inlineStr">
        <is>
          <t>A 15411-2020</t>
        </is>
      </c>
      <c r="B245" s="1" t="n">
        <v>43913</v>
      </c>
      <c r="C245" s="1" t="n">
        <v>45508</v>
      </c>
      <c r="D245" t="inlineStr">
        <is>
          <t>VÄSTERBOTTENS LÄN</t>
        </is>
      </c>
      <c r="E245" t="inlineStr">
        <is>
          <t>VILHELMINA</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17110-2020</t>
        </is>
      </c>
      <c r="B246" s="1" t="n">
        <v>43913</v>
      </c>
      <c r="C246" s="1" t="n">
        <v>45508</v>
      </c>
      <c r="D246" t="inlineStr">
        <is>
          <t>VÄSTERBOTTENS LÄN</t>
        </is>
      </c>
      <c r="E246" t="inlineStr">
        <is>
          <t>VILHELMINA</t>
        </is>
      </c>
      <c r="G246" t="n">
        <v>15.1</v>
      </c>
      <c r="H246" t="n">
        <v>0</v>
      </c>
      <c r="I246" t="n">
        <v>0</v>
      </c>
      <c r="J246" t="n">
        <v>0</v>
      </c>
      <c r="K246" t="n">
        <v>0</v>
      </c>
      <c r="L246" t="n">
        <v>0</v>
      </c>
      <c r="M246" t="n">
        <v>0</v>
      </c>
      <c r="N246" t="n">
        <v>0</v>
      </c>
      <c r="O246" t="n">
        <v>0</v>
      </c>
      <c r="P246" t="n">
        <v>0</v>
      </c>
      <c r="Q246" t="n">
        <v>0</v>
      </c>
      <c r="R246" s="2" t="inlineStr"/>
    </row>
    <row r="247" ht="15" customHeight="1">
      <c r="A247" t="inlineStr">
        <is>
          <t>A 17115-2020</t>
        </is>
      </c>
      <c r="B247" s="1" t="n">
        <v>43913</v>
      </c>
      <c r="C247" s="1" t="n">
        <v>45508</v>
      </c>
      <c r="D247" t="inlineStr">
        <is>
          <t>VÄSTERBOTTENS LÄN</t>
        </is>
      </c>
      <c r="E247" t="inlineStr">
        <is>
          <t>VILHELMINA</t>
        </is>
      </c>
      <c r="G247" t="n">
        <v>19.8</v>
      </c>
      <c r="H247" t="n">
        <v>0</v>
      </c>
      <c r="I247" t="n">
        <v>0</v>
      </c>
      <c r="J247" t="n">
        <v>0</v>
      </c>
      <c r="K247" t="n">
        <v>0</v>
      </c>
      <c r="L247" t="n">
        <v>0</v>
      </c>
      <c r="M247" t="n">
        <v>0</v>
      </c>
      <c r="N247" t="n">
        <v>0</v>
      </c>
      <c r="O247" t="n">
        <v>0</v>
      </c>
      <c r="P247" t="n">
        <v>0</v>
      </c>
      <c r="Q247" t="n">
        <v>0</v>
      </c>
      <c r="R247" s="2" t="inlineStr"/>
    </row>
    <row r="248" ht="15" customHeight="1">
      <c r="A248" t="inlineStr">
        <is>
          <t>A 15489-2020</t>
        </is>
      </c>
      <c r="B248" s="1" t="n">
        <v>43914</v>
      </c>
      <c r="C248" s="1" t="n">
        <v>45508</v>
      </c>
      <c r="D248" t="inlineStr">
        <is>
          <t>VÄSTERBOTTENS LÄN</t>
        </is>
      </c>
      <c r="E248" t="inlineStr">
        <is>
          <t>VILHELMINA</t>
        </is>
      </c>
      <c r="G248" t="n">
        <v>2.5</v>
      </c>
      <c r="H248" t="n">
        <v>0</v>
      </c>
      <c r="I248" t="n">
        <v>0</v>
      </c>
      <c r="J248" t="n">
        <v>0</v>
      </c>
      <c r="K248" t="n">
        <v>0</v>
      </c>
      <c r="L248" t="n">
        <v>0</v>
      </c>
      <c r="M248" t="n">
        <v>0</v>
      </c>
      <c r="N248" t="n">
        <v>0</v>
      </c>
      <c r="O248" t="n">
        <v>0</v>
      </c>
      <c r="P248" t="n">
        <v>0</v>
      </c>
      <c r="Q248" t="n">
        <v>0</v>
      </c>
      <c r="R248" s="2" t="inlineStr"/>
    </row>
    <row r="249" ht="15" customHeight="1">
      <c r="A249" t="inlineStr">
        <is>
          <t>A 15897-2020</t>
        </is>
      </c>
      <c r="B249" s="1" t="n">
        <v>43915</v>
      </c>
      <c r="C249" s="1" t="n">
        <v>45508</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15692-2020</t>
        </is>
      </c>
      <c r="B250" s="1" t="n">
        <v>43915</v>
      </c>
      <c r="C250" s="1" t="n">
        <v>45508</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15750-2020</t>
        </is>
      </c>
      <c r="B251" s="1" t="n">
        <v>43915</v>
      </c>
      <c r="C251" s="1" t="n">
        <v>45508</v>
      </c>
      <c r="D251" t="inlineStr">
        <is>
          <t>VÄSTERBOTTENS LÄN</t>
        </is>
      </c>
      <c r="E251" t="inlineStr">
        <is>
          <t>VILHELMINA</t>
        </is>
      </c>
      <c r="G251" t="n">
        <v>4.8</v>
      </c>
      <c r="H251" t="n">
        <v>0</v>
      </c>
      <c r="I251" t="n">
        <v>0</v>
      </c>
      <c r="J251" t="n">
        <v>0</v>
      </c>
      <c r="K251" t="n">
        <v>0</v>
      </c>
      <c r="L251" t="n">
        <v>0</v>
      </c>
      <c r="M251" t="n">
        <v>0</v>
      </c>
      <c r="N251" t="n">
        <v>0</v>
      </c>
      <c r="O251" t="n">
        <v>0</v>
      </c>
      <c r="P251" t="n">
        <v>0</v>
      </c>
      <c r="Q251" t="n">
        <v>0</v>
      </c>
      <c r="R251" s="2" t="inlineStr"/>
    </row>
    <row r="252" ht="15" customHeight="1">
      <c r="A252" t="inlineStr">
        <is>
          <t>A 15695-2020</t>
        </is>
      </c>
      <c r="B252" s="1" t="n">
        <v>43915</v>
      </c>
      <c r="C252" s="1" t="n">
        <v>45508</v>
      </c>
      <c r="D252" t="inlineStr">
        <is>
          <t>VÄSTERBOTTENS LÄN</t>
        </is>
      </c>
      <c r="E252" t="inlineStr">
        <is>
          <t>VILHELMINA</t>
        </is>
      </c>
      <c r="G252" t="n">
        <v>2.2</v>
      </c>
      <c r="H252" t="n">
        <v>0</v>
      </c>
      <c r="I252" t="n">
        <v>0</v>
      </c>
      <c r="J252" t="n">
        <v>0</v>
      </c>
      <c r="K252" t="n">
        <v>0</v>
      </c>
      <c r="L252" t="n">
        <v>0</v>
      </c>
      <c r="M252" t="n">
        <v>0</v>
      </c>
      <c r="N252" t="n">
        <v>0</v>
      </c>
      <c r="O252" t="n">
        <v>0</v>
      </c>
      <c r="P252" t="n">
        <v>0</v>
      </c>
      <c r="Q252" t="n">
        <v>0</v>
      </c>
      <c r="R252" s="2" t="inlineStr"/>
    </row>
    <row r="253" ht="15" customHeight="1">
      <c r="A253" t="inlineStr">
        <is>
          <t>A 17522-2020</t>
        </is>
      </c>
      <c r="B253" s="1" t="n">
        <v>43923</v>
      </c>
      <c r="C253" s="1" t="n">
        <v>45508</v>
      </c>
      <c r="D253" t="inlineStr">
        <is>
          <t>VÄSTERBOTTENS LÄN</t>
        </is>
      </c>
      <c r="E253" t="inlineStr">
        <is>
          <t>VILHELMINA</t>
        </is>
      </c>
      <c r="G253" t="n">
        <v>1.1</v>
      </c>
      <c r="H253" t="n">
        <v>0</v>
      </c>
      <c r="I253" t="n">
        <v>0</v>
      </c>
      <c r="J253" t="n">
        <v>0</v>
      </c>
      <c r="K253" t="n">
        <v>0</v>
      </c>
      <c r="L253" t="n">
        <v>0</v>
      </c>
      <c r="M253" t="n">
        <v>0</v>
      </c>
      <c r="N253" t="n">
        <v>0</v>
      </c>
      <c r="O253" t="n">
        <v>0</v>
      </c>
      <c r="P253" t="n">
        <v>0</v>
      </c>
      <c r="Q253" t="n">
        <v>0</v>
      </c>
      <c r="R253" s="2" t="inlineStr"/>
    </row>
    <row r="254" ht="15" customHeight="1">
      <c r="A254" t="inlineStr">
        <is>
          <t>A 17619-2020</t>
        </is>
      </c>
      <c r="B254" s="1" t="n">
        <v>43923</v>
      </c>
      <c r="C254" s="1" t="n">
        <v>45508</v>
      </c>
      <c r="D254" t="inlineStr">
        <is>
          <t>VÄSTERBOTTENS LÄN</t>
        </is>
      </c>
      <c r="E254" t="inlineStr">
        <is>
          <t>VILHELMINA</t>
        </is>
      </c>
      <c r="G254" t="n">
        <v>5.5</v>
      </c>
      <c r="H254" t="n">
        <v>0</v>
      </c>
      <c r="I254" t="n">
        <v>0</v>
      </c>
      <c r="J254" t="n">
        <v>0</v>
      </c>
      <c r="K254" t="n">
        <v>0</v>
      </c>
      <c r="L254" t="n">
        <v>0</v>
      </c>
      <c r="M254" t="n">
        <v>0</v>
      </c>
      <c r="N254" t="n">
        <v>0</v>
      </c>
      <c r="O254" t="n">
        <v>0</v>
      </c>
      <c r="P254" t="n">
        <v>0</v>
      </c>
      <c r="Q254" t="n">
        <v>0</v>
      </c>
      <c r="R254" s="2" t="inlineStr"/>
    </row>
    <row r="255" ht="15" customHeight="1">
      <c r="A255" t="inlineStr">
        <is>
          <t>A 17789-2020</t>
        </is>
      </c>
      <c r="B255" s="1" t="n">
        <v>43923</v>
      </c>
      <c r="C255" s="1" t="n">
        <v>45508</v>
      </c>
      <c r="D255" t="inlineStr">
        <is>
          <t>VÄSTERBOTTENS LÄN</t>
        </is>
      </c>
      <c r="E255" t="inlineStr">
        <is>
          <t>VILHELMINA</t>
        </is>
      </c>
      <c r="F255" t="inlineStr">
        <is>
          <t>Allmännings- och besparingsskogar</t>
        </is>
      </c>
      <c r="G255" t="n">
        <v>1.4</v>
      </c>
      <c r="H255" t="n">
        <v>0</v>
      </c>
      <c r="I255" t="n">
        <v>0</v>
      </c>
      <c r="J255" t="n">
        <v>0</v>
      </c>
      <c r="K255" t="n">
        <v>0</v>
      </c>
      <c r="L255" t="n">
        <v>0</v>
      </c>
      <c r="M255" t="n">
        <v>0</v>
      </c>
      <c r="N255" t="n">
        <v>0</v>
      </c>
      <c r="O255" t="n">
        <v>0</v>
      </c>
      <c r="P255" t="n">
        <v>0</v>
      </c>
      <c r="Q255" t="n">
        <v>0</v>
      </c>
      <c r="R255" s="2" t="inlineStr"/>
    </row>
    <row r="256" ht="15" customHeight="1">
      <c r="A256" t="inlineStr">
        <is>
          <t>A 18165-2020</t>
        </is>
      </c>
      <c r="B256" s="1" t="n">
        <v>43927</v>
      </c>
      <c r="C256" s="1" t="n">
        <v>45508</v>
      </c>
      <c r="D256" t="inlineStr">
        <is>
          <t>VÄSTERBOTTENS LÄN</t>
        </is>
      </c>
      <c r="E256" t="inlineStr">
        <is>
          <t>VILHELMINA</t>
        </is>
      </c>
      <c r="F256" t="inlineStr">
        <is>
          <t>Kommuner</t>
        </is>
      </c>
      <c r="G256" t="n">
        <v>3.6</v>
      </c>
      <c r="H256" t="n">
        <v>0</v>
      </c>
      <c r="I256" t="n">
        <v>0</v>
      </c>
      <c r="J256" t="n">
        <v>0</v>
      </c>
      <c r="K256" t="n">
        <v>0</v>
      </c>
      <c r="L256" t="n">
        <v>0</v>
      </c>
      <c r="M256" t="n">
        <v>0</v>
      </c>
      <c r="N256" t="n">
        <v>0</v>
      </c>
      <c r="O256" t="n">
        <v>0</v>
      </c>
      <c r="P256" t="n">
        <v>0</v>
      </c>
      <c r="Q256" t="n">
        <v>0</v>
      </c>
      <c r="R256" s="2" t="inlineStr"/>
    </row>
    <row r="257" ht="15" customHeight="1">
      <c r="A257" t="inlineStr">
        <is>
          <t>A 19009-2020</t>
        </is>
      </c>
      <c r="B257" s="1" t="n">
        <v>43935</v>
      </c>
      <c r="C257" s="1" t="n">
        <v>45508</v>
      </c>
      <c r="D257" t="inlineStr">
        <is>
          <t>VÄSTERBOTTENS LÄN</t>
        </is>
      </c>
      <c r="E257" t="inlineStr">
        <is>
          <t>VILHELMINA</t>
        </is>
      </c>
      <c r="G257" t="n">
        <v>1.5</v>
      </c>
      <c r="H257" t="n">
        <v>0</v>
      </c>
      <c r="I257" t="n">
        <v>0</v>
      </c>
      <c r="J257" t="n">
        <v>0</v>
      </c>
      <c r="K257" t="n">
        <v>0</v>
      </c>
      <c r="L257" t="n">
        <v>0</v>
      </c>
      <c r="M257" t="n">
        <v>0</v>
      </c>
      <c r="N257" t="n">
        <v>0</v>
      </c>
      <c r="O257" t="n">
        <v>0</v>
      </c>
      <c r="P257" t="n">
        <v>0</v>
      </c>
      <c r="Q257" t="n">
        <v>0</v>
      </c>
      <c r="R257" s="2" t="inlineStr"/>
    </row>
    <row r="258" ht="15" customHeight="1">
      <c r="A258" t="inlineStr">
        <is>
          <t>A 20187-2020</t>
        </is>
      </c>
      <c r="B258" s="1" t="n">
        <v>43944</v>
      </c>
      <c r="C258" s="1" t="n">
        <v>45508</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20420-2020</t>
        </is>
      </c>
      <c r="B259" s="1" t="n">
        <v>43945</v>
      </c>
      <c r="C259" s="1" t="n">
        <v>45508</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22789-2020</t>
        </is>
      </c>
      <c r="B260" s="1" t="n">
        <v>43964</v>
      </c>
      <c r="C260" s="1" t="n">
        <v>45508</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22791-2020</t>
        </is>
      </c>
      <c r="B261" s="1" t="n">
        <v>43964</v>
      </c>
      <c r="C261" s="1" t="n">
        <v>45508</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23168-2020</t>
        </is>
      </c>
      <c r="B262" s="1" t="n">
        <v>43966</v>
      </c>
      <c r="C262" s="1" t="n">
        <v>45508</v>
      </c>
      <c r="D262" t="inlineStr">
        <is>
          <t>VÄSTERBOTTENS LÄN</t>
        </is>
      </c>
      <c r="E262" t="inlineStr">
        <is>
          <t>VILHELMINA</t>
        </is>
      </c>
      <c r="F262" t="inlineStr">
        <is>
          <t>Övriga Aktiebolag</t>
        </is>
      </c>
      <c r="G262" t="n">
        <v>1.6</v>
      </c>
      <c r="H262" t="n">
        <v>0</v>
      </c>
      <c r="I262" t="n">
        <v>0</v>
      </c>
      <c r="J262" t="n">
        <v>0</v>
      </c>
      <c r="K262" t="n">
        <v>0</v>
      </c>
      <c r="L262" t="n">
        <v>0</v>
      </c>
      <c r="M262" t="n">
        <v>0</v>
      </c>
      <c r="N262" t="n">
        <v>0</v>
      </c>
      <c r="O262" t="n">
        <v>0</v>
      </c>
      <c r="P262" t="n">
        <v>0</v>
      </c>
      <c r="Q262" t="n">
        <v>0</v>
      </c>
      <c r="R262" s="2" t="inlineStr"/>
    </row>
    <row r="263" ht="15" customHeight="1">
      <c r="A263" t="inlineStr">
        <is>
          <t>A 23175-2020</t>
        </is>
      </c>
      <c r="B263" s="1" t="n">
        <v>43966</v>
      </c>
      <c r="C263" s="1" t="n">
        <v>45508</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24985-2020</t>
        </is>
      </c>
      <c r="B264" s="1" t="n">
        <v>43977</v>
      </c>
      <c r="C264" s="1" t="n">
        <v>45508</v>
      </c>
      <c r="D264" t="inlineStr">
        <is>
          <t>VÄSTERBOTTENS LÄN</t>
        </is>
      </c>
      <c r="E264" t="inlineStr">
        <is>
          <t>VILHELMINA</t>
        </is>
      </c>
      <c r="F264" t="inlineStr">
        <is>
          <t>Övriga statliga verk och myndigheter</t>
        </is>
      </c>
      <c r="G264" t="n">
        <v>16</v>
      </c>
      <c r="H264" t="n">
        <v>0</v>
      </c>
      <c r="I264" t="n">
        <v>0</v>
      </c>
      <c r="J264" t="n">
        <v>0</v>
      </c>
      <c r="K264" t="n">
        <v>0</v>
      </c>
      <c r="L264" t="n">
        <v>0</v>
      </c>
      <c r="M264" t="n">
        <v>0</v>
      </c>
      <c r="N264" t="n">
        <v>0</v>
      </c>
      <c r="O264" t="n">
        <v>0</v>
      </c>
      <c r="P264" t="n">
        <v>0</v>
      </c>
      <c r="Q264" t="n">
        <v>0</v>
      </c>
      <c r="R264" s="2" t="inlineStr"/>
    </row>
    <row r="265" ht="15" customHeight="1">
      <c r="A265" t="inlineStr">
        <is>
          <t>A 25491-2020</t>
        </is>
      </c>
      <c r="B265" s="1" t="n">
        <v>43983</v>
      </c>
      <c r="C265" s="1" t="n">
        <v>45508</v>
      </c>
      <c r="D265" t="inlineStr">
        <is>
          <t>VÄSTERBOTTENS LÄN</t>
        </is>
      </c>
      <c r="E265" t="inlineStr">
        <is>
          <t>VILHELMINA</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25498-2020</t>
        </is>
      </c>
      <c r="B266" s="1" t="n">
        <v>43983</v>
      </c>
      <c r="C266" s="1" t="n">
        <v>45508</v>
      </c>
      <c r="D266" t="inlineStr">
        <is>
          <t>VÄSTERBOTTENS LÄN</t>
        </is>
      </c>
      <c r="E266" t="inlineStr">
        <is>
          <t>VILHELMINA</t>
        </is>
      </c>
      <c r="F266" t="inlineStr">
        <is>
          <t>Allmännings- och besparingsskogar</t>
        </is>
      </c>
      <c r="G266" t="n">
        <v>22.6</v>
      </c>
      <c r="H266" t="n">
        <v>0</v>
      </c>
      <c r="I266" t="n">
        <v>0</v>
      </c>
      <c r="J266" t="n">
        <v>0</v>
      </c>
      <c r="K266" t="n">
        <v>0</v>
      </c>
      <c r="L266" t="n">
        <v>0</v>
      </c>
      <c r="M266" t="n">
        <v>0</v>
      </c>
      <c r="N266" t="n">
        <v>0</v>
      </c>
      <c r="O266" t="n">
        <v>0</v>
      </c>
      <c r="P266" t="n">
        <v>0</v>
      </c>
      <c r="Q266" t="n">
        <v>0</v>
      </c>
      <c r="R266" s="2" t="inlineStr"/>
    </row>
    <row r="267" ht="15" customHeight="1">
      <c r="A267" t="inlineStr">
        <is>
          <t>A 26382-2020</t>
        </is>
      </c>
      <c r="B267" s="1" t="n">
        <v>43986</v>
      </c>
      <c r="C267" s="1" t="n">
        <v>45508</v>
      </c>
      <c r="D267" t="inlineStr">
        <is>
          <t>VÄSTERBOTTENS LÄN</t>
        </is>
      </c>
      <c r="E267" t="inlineStr">
        <is>
          <t>VILHELMINA</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26308-2020</t>
        </is>
      </c>
      <c r="B268" s="1" t="n">
        <v>43986</v>
      </c>
      <c r="C268" s="1" t="n">
        <v>45508</v>
      </c>
      <c r="D268" t="inlineStr">
        <is>
          <t>VÄSTERBOTTENS LÄN</t>
        </is>
      </c>
      <c r="E268" t="inlineStr">
        <is>
          <t>VILHELMINA</t>
        </is>
      </c>
      <c r="G268" t="n">
        <v>12.1</v>
      </c>
      <c r="H268" t="n">
        <v>0</v>
      </c>
      <c r="I268" t="n">
        <v>0</v>
      </c>
      <c r="J268" t="n">
        <v>0</v>
      </c>
      <c r="K268" t="n">
        <v>0</v>
      </c>
      <c r="L268" t="n">
        <v>0</v>
      </c>
      <c r="M268" t="n">
        <v>0</v>
      </c>
      <c r="N268" t="n">
        <v>0</v>
      </c>
      <c r="O268" t="n">
        <v>0</v>
      </c>
      <c r="P268" t="n">
        <v>0</v>
      </c>
      <c r="Q268" t="n">
        <v>0</v>
      </c>
      <c r="R268" s="2" t="inlineStr"/>
    </row>
    <row r="269" ht="15" customHeight="1">
      <c r="A269" t="inlineStr">
        <is>
          <t>A 28871-2020</t>
        </is>
      </c>
      <c r="B269" s="1" t="n">
        <v>44000</v>
      </c>
      <c r="C269" s="1" t="n">
        <v>45508</v>
      </c>
      <c r="D269" t="inlineStr">
        <is>
          <t>VÄSTERBOTTENS LÄN</t>
        </is>
      </c>
      <c r="E269" t="inlineStr">
        <is>
          <t>VILHELMINA</t>
        </is>
      </c>
      <c r="F269" t="inlineStr">
        <is>
          <t>Kommuner</t>
        </is>
      </c>
      <c r="G269" t="n">
        <v>0.2</v>
      </c>
      <c r="H269" t="n">
        <v>0</v>
      </c>
      <c r="I269" t="n">
        <v>0</v>
      </c>
      <c r="J269" t="n">
        <v>0</v>
      </c>
      <c r="K269" t="n">
        <v>0</v>
      </c>
      <c r="L269" t="n">
        <v>0</v>
      </c>
      <c r="M269" t="n">
        <v>0</v>
      </c>
      <c r="N269" t="n">
        <v>0</v>
      </c>
      <c r="O269" t="n">
        <v>0</v>
      </c>
      <c r="P269" t="n">
        <v>0</v>
      </c>
      <c r="Q269" t="n">
        <v>0</v>
      </c>
      <c r="R269" s="2" t="inlineStr"/>
    </row>
    <row r="270" ht="15" customHeight="1">
      <c r="A270" t="inlineStr">
        <is>
          <t>A 28864-2020</t>
        </is>
      </c>
      <c r="B270" s="1" t="n">
        <v>44000</v>
      </c>
      <c r="C270" s="1" t="n">
        <v>45508</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30210-2020</t>
        </is>
      </c>
      <c r="B271" s="1" t="n">
        <v>44007</v>
      </c>
      <c r="C271" s="1" t="n">
        <v>45508</v>
      </c>
      <c r="D271" t="inlineStr">
        <is>
          <t>VÄSTERBOTTENS LÄN</t>
        </is>
      </c>
      <c r="E271" t="inlineStr">
        <is>
          <t>VILHELMINA</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30373-2020</t>
        </is>
      </c>
      <c r="B272" s="1" t="n">
        <v>44007</v>
      </c>
      <c r="C272" s="1" t="n">
        <v>45508</v>
      </c>
      <c r="D272" t="inlineStr">
        <is>
          <t>VÄSTERBOTTENS LÄN</t>
        </is>
      </c>
      <c r="E272" t="inlineStr">
        <is>
          <t>VILHELMINA</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33370-2020</t>
        </is>
      </c>
      <c r="B273" s="1" t="n">
        <v>44022</v>
      </c>
      <c r="C273" s="1" t="n">
        <v>45508</v>
      </c>
      <c r="D273" t="inlineStr">
        <is>
          <t>VÄSTERBOTTENS LÄN</t>
        </is>
      </c>
      <c r="E273" t="inlineStr">
        <is>
          <t>VILHELMINA</t>
        </is>
      </c>
      <c r="G273" t="n">
        <v>2.7</v>
      </c>
      <c r="H273" t="n">
        <v>0</v>
      </c>
      <c r="I273" t="n">
        <v>0</v>
      </c>
      <c r="J273" t="n">
        <v>0</v>
      </c>
      <c r="K273" t="n">
        <v>0</v>
      </c>
      <c r="L273" t="n">
        <v>0</v>
      </c>
      <c r="M273" t="n">
        <v>0</v>
      </c>
      <c r="N273" t="n">
        <v>0</v>
      </c>
      <c r="O273" t="n">
        <v>0</v>
      </c>
      <c r="P273" t="n">
        <v>0</v>
      </c>
      <c r="Q273" t="n">
        <v>0</v>
      </c>
      <c r="R273" s="2" t="inlineStr"/>
    </row>
    <row r="274" ht="15" customHeight="1">
      <c r="A274" t="inlineStr">
        <is>
          <t>A 34368-2020</t>
        </is>
      </c>
      <c r="B274" s="1" t="n">
        <v>44032</v>
      </c>
      <c r="C274" s="1" t="n">
        <v>45508</v>
      </c>
      <c r="D274" t="inlineStr">
        <is>
          <t>VÄSTERBOTTENS LÄN</t>
        </is>
      </c>
      <c r="E274" t="inlineStr">
        <is>
          <t>VILHELMINA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34909-2020</t>
        </is>
      </c>
      <c r="B275" s="1" t="n">
        <v>44036</v>
      </c>
      <c r="C275" s="1" t="n">
        <v>45508</v>
      </c>
      <c r="D275" t="inlineStr">
        <is>
          <t>VÄSTERBOTTENS LÄN</t>
        </is>
      </c>
      <c r="E275" t="inlineStr">
        <is>
          <t>VILHELMINA</t>
        </is>
      </c>
      <c r="G275" t="n">
        <v>1.8</v>
      </c>
      <c r="H275" t="n">
        <v>0</v>
      </c>
      <c r="I275" t="n">
        <v>0</v>
      </c>
      <c r="J275" t="n">
        <v>0</v>
      </c>
      <c r="K275" t="n">
        <v>0</v>
      </c>
      <c r="L275" t="n">
        <v>0</v>
      </c>
      <c r="M275" t="n">
        <v>0</v>
      </c>
      <c r="N275" t="n">
        <v>0</v>
      </c>
      <c r="O275" t="n">
        <v>0</v>
      </c>
      <c r="P275" t="n">
        <v>0</v>
      </c>
      <c r="Q275" t="n">
        <v>0</v>
      </c>
      <c r="R275" s="2" t="inlineStr"/>
    </row>
    <row r="276" ht="15" customHeight="1">
      <c r="A276" t="inlineStr">
        <is>
          <t>A 34987-2020</t>
        </is>
      </c>
      <c r="B276" s="1" t="n">
        <v>44039</v>
      </c>
      <c r="C276" s="1" t="n">
        <v>45508</v>
      </c>
      <c r="D276" t="inlineStr">
        <is>
          <t>VÄSTERBOTTENS LÄN</t>
        </is>
      </c>
      <c r="E276" t="inlineStr">
        <is>
          <t>VILHELMINA</t>
        </is>
      </c>
      <c r="G276" t="n">
        <v>16.6</v>
      </c>
      <c r="H276" t="n">
        <v>0</v>
      </c>
      <c r="I276" t="n">
        <v>0</v>
      </c>
      <c r="J276" t="n">
        <v>0</v>
      </c>
      <c r="K276" t="n">
        <v>0</v>
      </c>
      <c r="L276" t="n">
        <v>0</v>
      </c>
      <c r="M276" t="n">
        <v>0</v>
      </c>
      <c r="N276" t="n">
        <v>0</v>
      </c>
      <c r="O276" t="n">
        <v>0</v>
      </c>
      <c r="P276" t="n">
        <v>0</v>
      </c>
      <c r="Q276" t="n">
        <v>0</v>
      </c>
      <c r="R276" s="2" t="inlineStr"/>
    </row>
    <row r="277" ht="15" customHeight="1">
      <c r="A277" t="inlineStr">
        <is>
          <t>A 36875-2020</t>
        </is>
      </c>
      <c r="B277" s="1" t="n">
        <v>44053</v>
      </c>
      <c r="C277" s="1" t="n">
        <v>45508</v>
      </c>
      <c r="D277" t="inlineStr">
        <is>
          <t>VÄSTERBOTTENS LÄN</t>
        </is>
      </c>
      <c r="E277" t="inlineStr">
        <is>
          <t>VILHELMINA</t>
        </is>
      </c>
      <c r="G277" t="n">
        <v>2.9</v>
      </c>
      <c r="H277" t="n">
        <v>0</v>
      </c>
      <c r="I277" t="n">
        <v>0</v>
      </c>
      <c r="J277" t="n">
        <v>0</v>
      </c>
      <c r="K277" t="n">
        <v>0</v>
      </c>
      <c r="L277" t="n">
        <v>0</v>
      </c>
      <c r="M277" t="n">
        <v>0</v>
      </c>
      <c r="N277" t="n">
        <v>0</v>
      </c>
      <c r="O277" t="n">
        <v>0</v>
      </c>
      <c r="P277" t="n">
        <v>0</v>
      </c>
      <c r="Q277" t="n">
        <v>0</v>
      </c>
      <c r="R277" s="2" t="inlineStr"/>
    </row>
    <row r="278" ht="15" customHeight="1">
      <c r="A278" t="inlineStr">
        <is>
          <t>A 38349-2020</t>
        </is>
      </c>
      <c r="B278" s="1" t="n">
        <v>44060</v>
      </c>
      <c r="C278" s="1" t="n">
        <v>45508</v>
      </c>
      <c r="D278" t="inlineStr">
        <is>
          <t>VÄSTERBOTTENS LÄN</t>
        </is>
      </c>
      <c r="E278" t="inlineStr">
        <is>
          <t>VILHELMINA</t>
        </is>
      </c>
      <c r="F278" t="inlineStr">
        <is>
          <t>SCA</t>
        </is>
      </c>
      <c r="G278" t="n">
        <v>26.8</v>
      </c>
      <c r="H278" t="n">
        <v>0</v>
      </c>
      <c r="I278" t="n">
        <v>0</v>
      </c>
      <c r="J278" t="n">
        <v>0</v>
      </c>
      <c r="K278" t="n">
        <v>0</v>
      </c>
      <c r="L278" t="n">
        <v>0</v>
      </c>
      <c r="M278" t="n">
        <v>0</v>
      </c>
      <c r="N278" t="n">
        <v>0</v>
      </c>
      <c r="O278" t="n">
        <v>0</v>
      </c>
      <c r="P278" t="n">
        <v>0</v>
      </c>
      <c r="Q278" t="n">
        <v>0</v>
      </c>
      <c r="R278" s="2" t="inlineStr"/>
    </row>
    <row r="279" ht="15" customHeight="1">
      <c r="A279" t="inlineStr">
        <is>
          <t>A 40116-2020</t>
        </is>
      </c>
      <c r="B279" s="1" t="n">
        <v>44064</v>
      </c>
      <c r="C279" s="1" t="n">
        <v>45508</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40100-2020</t>
        </is>
      </c>
      <c r="B280" s="1" t="n">
        <v>44064</v>
      </c>
      <c r="C280" s="1" t="n">
        <v>45508</v>
      </c>
      <c r="D280" t="inlineStr">
        <is>
          <t>VÄSTERBOTTENS LÄN</t>
        </is>
      </c>
      <c r="E280" t="inlineStr">
        <is>
          <t>VILHELMINA</t>
        </is>
      </c>
      <c r="G280" t="n">
        <v>22.5</v>
      </c>
      <c r="H280" t="n">
        <v>0</v>
      </c>
      <c r="I280" t="n">
        <v>0</v>
      </c>
      <c r="J280" t="n">
        <v>0</v>
      </c>
      <c r="K280" t="n">
        <v>0</v>
      </c>
      <c r="L280" t="n">
        <v>0</v>
      </c>
      <c r="M280" t="n">
        <v>0</v>
      </c>
      <c r="N280" t="n">
        <v>0</v>
      </c>
      <c r="O280" t="n">
        <v>0</v>
      </c>
      <c r="P280" t="n">
        <v>0</v>
      </c>
      <c r="Q280" t="n">
        <v>0</v>
      </c>
      <c r="R280" s="2" t="inlineStr"/>
    </row>
    <row r="281" ht="15" customHeight="1">
      <c r="A281" t="inlineStr">
        <is>
          <t>A 40842-2020</t>
        </is>
      </c>
      <c r="B281" s="1" t="n">
        <v>44069</v>
      </c>
      <c r="C281" s="1" t="n">
        <v>45508</v>
      </c>
      <c r="D281" t="inlineStr">
        <is>
          <t>VÄSTERBOTTENS LÄN</t>
        </is>
      </c>
      <c r="E281" t="inlineStr">
        <is>
          <t>VILHELMINA</t>
        </is>
      </c>
      <c r="G281" t="n">
        <v>20.4</v>
      </c>
      <c r="H281" t="n">
        <v>0</v>
      </c>
      <c r="I281" t="n">
        <v>0</v>
      </c>
      <c r="J281" t="n">
        <v>0</v>
      </c>
      <c r="K281" t="n">
        <v>0</v>
      </c>
      <c r="L281" t="n">
        <v>0</v>
      </c>
      <c r="M281" t="n">
        <v>0</v>
      </c>
      <c r="N281" t="n">
        <v>0</v>
      </c>
      <c r="O281" t="n">
        <v>0</v>
      </c>
      <c r="P281" t="n">
        <v>0</v>
      </c>
      <c r="Q281" t="n">
        <v>0</v>
      </c>
      <c r="R281" s="2" t="inlineStr"/>
    </row>
    <row r="282" ht="15" customHeight="1">
      <c r="A282" t="inlineStr">
        <is>
          <t>A 41267-2020</t>
        </is>
      </c>
      <c r="B282" s="1" t="n">
        <v>44071</v>
      </c>
      <c r="C282" s="1" t="n">
        <v>45508</v>
      </c>
      <c r="D282" t="inlineStr">
        <is>
          <t>VÄSTERBOTTENS LÄN</t>
        </is>
      </c>
      <c r="E282" t="inlineStr">
        <is>
          <t>VILHELMINA</t>
        </is>
      </c>
      <c r="G282" t="n">
        <v>1.9</v>
      </c>
      <c r="H282" t="n">
        <v>0</v>
      </c>
      <c r="I282" t="n">
        <v>0</v>
      </c>
      <c r="J282" t="n">
        <v>0</v>
      </c>
      <c r="K282" t="n">
        <v>0</v>
      </c>
      <c r="L282" t="n">
        <v>0</v>
      </c>
      <c r="M282" t="n">
        <v>0</v>
      </c>
      <c r="N282" t="n">
        <v>0</v>
      </c>
      <c r="O282" t="n">
        <v>0</v>
      </c>
      <c r="P282" t="n">
        <v>0</v>
      </c>
      <c r="Q282" t="n">
        <v>0</v>
      </c>
      <c r="R282" s="2" t="inlineStr"/>
    </row>
    <row r="283" ht="15" customHeight="1">
      <c r="A283" t="inlineStr">
        <is>
          <t>A 42205-2020</t>
        </is>
      </c>
      <c r="B283" s="1" t="n">
        <v>44075</v>
      </c>
      <c r="C283" s="1" t="n">
        <v>45508</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43080-2020</t>
        </is>
      </c>
      <c r="B284" s="1" t="n">
        <v>44078</v>
      </c>
      <c r="C284" s="1" t="n">
        <v>45508</v>
      </c>
      <c r="D284" t="inlineStr">
        <is>
          <t>VÄSTERBOTTENS LÄN</t>
        </is>
      </c>
      <c r="E284" t="inlineStr">
        <is>
          <t>VILHELMINA</t>
        </is>
      </c>
      <c r="F284" t="inlineStr">
        <is>
          <t>SCA</t>
        </is>
      </c>
      <c r="G284" t="n">
        <v>15.4</v>
      </c>
      <c r="H284" t="n">
        <v>0</v>
      </c>
      <c r="I284" t="n">
        <v>0</v>
      </c>
      <c r="J284" t="n">
        <v>0</v>
      </c>
      <c r="K284" t="n">
        <v>0</v>
      </c>
      <c r="L284" t="n">
        <v>0</v>
      </c>
      <c r="M284" t="n">
        <v>0</v>
      </c>
      <c r="N284" t="n">
        <v>0</v>
      </c>
      <c r="O284" t="n">
        <v>0</v>
      </c>
      <c r="P284" t="n">
        <v>0</v>
      </c>
      <c r="Q284" t="n">
        <v>0</v>
      </c>
      <c r="R284" s="2" t="inlineStr"/>
    </row>
    <row r="285" ht="15" customHeight="1">
      <c r="A285" t="inlineStr">
        <is>
          <t>A 44507-2020</t>
        </is>
      </c>
      <c r="B285" s="1" t="n">
        <v>44084</v>
      </c>
      <c r="C285" s="1" t="n">
        <v>45508</v>
      </c>
      <c r="D285" t="inlineStr">
        <is>
          <t>VÄSTERBOTTENS LÄN</t>
        </is>
      </c>
      <c r="E285" t="inlineStr">
        <is>
          <t>VILHELMINA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46509-2020</t>
        </is>
      </c>
      <c r="B286" s="1" t="n">
        <v>44088</v>
      </c>
      <c r="C286" s="1" t="n">
        <v>45508</v>
      </c>
      <c r="D286" t="inlineStr">
        <is>
          <t>VÄSTERBOTTENS LÄN</t>
        </is>
      </c>
      <c r="E286" t="inlineStr">
        <is>
          <t>VILHELMINA</t>
        </is>
      </c>
      <c r="G286" t="n">
        <v>4.5</v>
      </c>
      <c r="H286" t="n">
        <v>0</v>
      </c>
      <c r="I286" t="n">
        <v>0</v>
      </c>
      <c r="J286" t="n">
        <v>0</v>
      </c>
      <c r="K286" t="n">
        <v>0</v>
      </c>
      <c r="L286" t="n">
        <v>0</v>
      </c>
      <c r="M286" t="n">
        <v>0</v>
      </c>
      <c r="N286" t="n">
        <v>0</v>
      </c>
      <c r="O286" t="n">
        <v>0</v>
      </c>
      <c r="P286" t="n">
        <v>0</v>
      </c>
      <c r="Q286" t="n">
        <v>0</v>
      </c>
      <c r="R286" s="2" t="inlineStr"/>
    </row>
    <row r="287" ht="15" customHeight="1">
      <c r="A287" t="inlineStr">
        <is>
          <t>A 46378-2020</t>
        </is>
      </c>
      <c r="B287" s="1" t="n">
        <v>44092</v>
      </c>
      <c r="C287" s="1" t="n">
        <v>45508</v>
      </c>
      <c r="D287" t="inlineStr">
        <is>
          <t>VÄSTERBOTTENS LÄN</t>
        </is>
      </c>
      <c r="E287" t="inlineStr">
        <is>
          <t>VILHELMINA</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46373-2020</t>
        </is>
      </c>
      <c r="B288" s="1" t="n">
        <v>44092</v>
      </c>
      <c r="C288" s="1" t="n">
        <v>45508</v>
      </c>
      <c r="D288" t="inlineStr">
        <is>
          <t>VÄSTERBOTTENS LÄN</t>
        </is>
      </c>
      <c r="E288" t="inlineStr">
        <is>
          <t>VILHELMINA</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47308-2020</t>
        </is>
      </c>
      <c r="B289" s="1" t="n">
        <v>44092</v>
      </c>
      <c r="C289" s="1" t="n">
        <v>45508</v>
      </c>
      <c r="D289" t="inlineStr">
        <is>
          <t>VÄSTERBOTTENS LÄN</t>
        </is>
      </c>
      <c r="E289" t="inlineStr">
        <is>
          <t>VILHELMINA</t>
        </is>
      </c>
      <c r="F289" t="inlineStr">
        <is>
          <t>Övriga statliga verk och myndigheter</t>
        </is>
      </c>
      <c r="G289" t="n">
        <v>35.3</v>
      </c>
      <c r="H289" t="n">
        <v>0</v>
      </c>
      <c r="I289" t="n">
        <v>0</v>
      </c>
      <c r="J289" t="n">
        <v>0</v>
      </c>
      <c r="K289" t="n">
        <v>0</v>
      </c>
      <c r="L289" t="n">
        <v>0</v>
      </c>
      <c r="M289" t="n">
        <v>0</v>
      </c>
      <c r="N289" t="n">
        <v>0</v>
      </c>
      <c r="O289" t="n">
        <v>0</v>
      </c>
      <c r="P289" t="n">
        <v>0</v>
      </c>
      <c r="Q289" t="n">
        <v>0</v>
      </c>
      <c r="R289" s="2" t="inlineStr"/>
    </row>
    <row r="290" ht="15" customHeight="1">
      <c r="A290" t="inlineStr">
        <is>
          <t>A 48256-2020</t>
        </is>
      </c>
      <c r="B290" s="1" t="n">
        <v>44092</v>
      </c>
      <c r="C290" s="1" t="n">
        <v>45508</v>
      </c>
      <c r="D290" t="inlineStr">
        <is>
          <t>VÄSTERBOTTENS LÄN</t>
        </is>
      </c>
      <c r="E290" t="inlineStr">
        <is>
          <t>VILHELMINA</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48019-2020</t>
        </is>
      </c>
      <c r="B291" s="1" t="n">
        <v>44092</v>
      </c>
      <c r="C291" s="1" t="n">
        <v>45508</v>
      </c>
      <c r="D291" t="inlineStr">
        <is>
          <t>VÄSTERBOTTENS LÄN</t>
        </is>
      </c>
      <c r="E291" t="inlineStr">
        <is>
          <t>VILHELMINA</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47193-2020</t>
        </is>
      </c>
      <c r="B292" s="1" t="n">
        <v>44097</v>
      </c>
      <c r="C292" s="1" t="n">
        <v>45508</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52165-2020</t>
        </is>
      </c>
      <c r="B293" s="1" t="n">
        <v>44105</v>
      </c>
      <c r="C293" s="1" t="n">
        <v>45508</v>
      </c>
      <c r="D293" t="inlineStr">
        <is>
          <t>VÄSTERBOTTENS LÄN</t>
        </is>
      </c>
      <c r="E293" t="inlineStr">
        <is>
          <t>VILHELMINA</t>
        </is>
      </c>
      <c r="G293" t="n">
        <v>16.1</v>
      </c>
      <c r="H293" t="n">
        <v>0</v>
      </c>
      <c r="I293" t="n">
        <v>0</v>
      </c>
      <c r="J293" t="n">
        <v>0</v>
      </c>
      <c r="K293" t="n">
        <v>0</v>
      </c>
      <c r="L293" t="n">
        <v>0</v>
      </c>
      <c r="M293" t="n">
        <v>0</v>
      </c>
      <c r="N293" t="n">
        <v>0</v>
      </c>
      <c r="O293" t="n">
        <v>0</v>
      </c>
      <c r="P293" t="n">
        <v>0</v>
      </c>
      <c r="Q293" t="n">
        <v>0</v>
      </c>
      <c r="R293" s="2" t="inlineStr"/>
    </row>
    <row r="294" ht="15" customHeight="1">
      <c r="A294" t="inlineStr">
        <is>
          <t>A 52174-2020</t>
        </is>
      </c>
      <c r="B294" s="1" t="n">
        <v>44105</v>
      </c>
      <c r="C294" s="1" t="n">
        <v>45508</v>
      </c>
      <c r="D294" t="inlineStr">
        <is>
          <t>VÄSTERBOTTENS LÄN</t>
        </is>
      </c>
      <c r="E294" t="inlineStr">
        <is>
          <t>VILHELMINA</t>
        </is>
      </c>
      <c r="G294" t="n">
        <v>3</v>
      </c>
      <c r="H294" t="n">
        <v>0</v>
      </c>
      <c r="I294" t="n">
        <v>0</v>
      </c>
      <c r="J294" t="n">
        <v>0</v>
      </c>
      <c r="K294" t="n">
        <v>0</v>
      </c>
      <c r="L294" t="n">
        <v>0</v>
      </c>
      <c r="M294" t="n">
        <v>0</v>
      </c>
      <c r="N294" t="n">
        <v>0</v>
      </c>
      <c r="O294" t="n">
        <v>0</v>
      </c>
      <c r="P294" t="n">
        <v>0</v>
      </c>
      <c r="Q294" t="n">
        <v>0</v>
      </c>
      <c r="R294" s="2" t="inlineStr"/>
    </row>
    <row r="295" ht="15" customHeight="1">
      <c r="A295" t="inlineStr">
        <is>
          <t>A 50139-2020</t>
        </is>
      </c>
      <c r="B295" s="1" t="n">
        <v>44109</v>
      </c>
      <c r="C295" s="1" t="n">
        <v>45508</v>
      </c>
      <c r="D295" t="inlineStr">
        <is>
          <t>VÄSTERBOTTENS LÄN</t>
        </is>
      </c>
      <c r="E295" t="inlineStr">
        <is>
          <t>VILHELMINA</t>
        </is>
      </c>
      <c r="G295" t="n">
        <v>1.2</v>
      </c>
      <c r="H295" t="n">
        <v>0</v>
      </c>
      <c r="I295" t="n">
        <v>0</v>
      </c>
      <c r="J295" t="n">
        <v>0</v>
      </c>
      <c r="K295" t="n">
        <v>0</v>
      </c>
      <c r="L295" t="n">
        <v>0</v>
      </c>
      <c r="M295" t="n">
        <v>0</v>
      </c>
      <c r="N295" t="n">
        <v>0</v>
      </c>
      <c r="O295" t="n">
        <v>0</v>
      </c>
      <c r="P295" t="n">
        <v>0</v>
      </c>
      <c r="Q295" t="n">
        <v>0</v>
      </c>
      <c r="R295" s="2" t="inlineStr"/>
    </row>
    <row r="296" ht="15" customHeight="1">
      <c r="A296" t="inlineStr">
        <is>
          <t>A 52669-2020</t>
        </is>
      </c>
      <c r="B296" s="1" t="n">
        <v>44118</v>
      </c>
      <c r="C296" s="1" t="n">
        <v>45508</v>
      </c>
      <c r="D296" t="inlineStr">
        <is>
          <t>VÄSTERBOTTENS LÄN</t>
        </is>
      </c>
      <c r="E296" t="inlineStr">
        <is>
          <t>VILHELMINA</t>
        </is>
      </c>
      <c r="F296" t="inlineStr">
        <is>
          <t>Allmännings- och besparingsskogar</t>
        </is>
      </c>
      <c r="G296" t="n">
        <v>22.6</v>
      </c>
      <c r="H296" t="n">
        <v>0</v>
      </c>
      <c r="I296" t="n">
        <v>0</v>
      </c>
      <c r="J296" t="n">
        <v>0</v>
      </c>
      <c r="K296" t="n">
        <v>0</v>
      </c>
      <c r="L296" t="n">
        <v>0</v>
      </c>
      <c r="M296" t="n">
        <v>0</v>
      </c>
      <c r="N296" t="n">
        <v>0</v>
      </c>
      <c r="O296" t="n">
        <v>0</v>
      </c>
      <c r="P296" t="n">
        <v>0</v>
      </c>
      <c r="Q296" t="n">
        <v>0</v>
      </c>
      <c r="R296" s="2" t="inlineStr"/>
    </row>
    <row r="297" ht="15" customHeight="1">
      <c r="A297" t="inlineStr">
        <is>
          <t>A 54947-2020</t>
        </is>
      </c>
      <c r="B297" s="1" t="n">
        <v>44129</v>
      </c>
      <c r="C297" s="1" t="n">
        <v>45508</v>
      </c>
      <c r="D297" t="inlineStr">
        <is>
          <t>VÄSTERBOTTENS LÄN</t>
        </is>
      </c>
      <c r="E297" t="inlineStr">
        <is>
          <t>VILHELMINA</t>
        </is>
      </c>
      <c r="G297" t="n">
        <v>6.1</v>
      </c>
      <c r="H297" t="n">
        <v>0</v>
      </c>
      <c r="I297" t="n">
        <v>0</v>
      </c>
      <c r="J297" t="n">
        <v>0</v>
      </c>
      <c r="K297" t="n">
        <v>0</v>
      </c>
      <c r="L297" t="n">
        <v>0</v>
      </c>
      <c r="M297" t="n">
        <v>0</v>
      </c>
      <c r="N297" t="n">
        <v>0</v>
      </c>
      <c r="O297" t="n">
        <v>0</v>
      </c>
      <c r="P297" t="n">
        <v>0</v>
      </c>
      <c r="Q297" t="n">
        <v>0</v>
      </c>
      <c r="R297" s="2" t="inlineStr"/>
    </row>
    <row r="298" ht="15" customHeight="1">
      <c r="A298" t="inlineStr">
        <is>
          <t>A 55440-2020</t>
        </is>
      </c>
      <c r="B298" s="1" t="n">
        <v>44131</v>
      </c>
      <c r="C298" s="1" t="n">
        <v>45508</v>
      </c>
      <c r="D298" t="inlineStr">
        <is>
          <t>VÄSTERBOTTENS LÄN</t>
        </is>
      </c>
      <c r="E298" t="inlineStr">
        <is>
          <t>VILHELMINA</t>
        </is>
      </c>
      <c r="G298" t="n">
        <v>18.3</v>
      </c>
      <c r="H298" t="n">
        <v>0</v>
      </c>
      <c r="I298" t="n">
        <v>0</v>
      </c>
      <c r="J298" t="n">
        <v>0</v>
      </c>
      <c r="K298" t="n">
        <v>0</v>
      </c>
      <c r="L298" t="n">
        <v>0</v>
      </c>
      <c r="M298" t="n">
        <v>0</v>
      </c>
      <c r="N298" t="n">
        <v>0</v>
      </c>
      <c r="O298" t="n">
        <v>0</v>
      </c>
      <c r="P298" t="n">
        <v>0</v>
      </c>
      <c r="Q298" t="n">
        <v>0</v>
      </c>
      <c r="R298" s="2" t="inlineStr"/>
    </row>
    <row r="299" ht="15" customHeight="1">
      <c r="A299" t="inlineStr">
        <is>
          <t>A 58584-2020</t>
        </is>
      </c>
      <c r="B299" s="1" t="n">
        <v>44144</v>
      </c>
      <c r="C299" s="1" t="n">
        <v>45508</v>
      </c>
      <c r="D299" t="inlineStr">
        <is>
          <t>VÄSTERBOTTENS LÄN</t>
        </is>
      </c>
      <c r="E299" t="inlineStr">
        <is>
          <t>VILHELMINA</t>
        </is>
      </c>
      <c r="F299" t="inlineStr">
        <is>
          <t>Övriga statliga verk och myndigheter</t>
        </is>
      </c>
      <c r="G299" t="n">
        <v>20.8</v>
      </c>
      <c r="H299" t="n">
        <v>0</v>
      </c>
      <c r="I299" t="n">
        <v>0</v>
      </c>
      <c r="J299" t="n">
        <v>0</v>
      </c>
      <c r="K299" t="n">
        <v>0</v>
      </c>
      <c r="L299" t="n">
        <v>0</v>
      </c>
      <c r="M299" t="n">
        <v>0</v>
      </c>
      <c r="N299" t="n">
        <v>0</v>
      </c>
      <c r="O299" t="n">
        <v>0</v>
      </c>
      <c r="P299" t="n">
        <v>0</v>
      </c>
      <c r="Q299" t="n">
        <v>0</v>
      </c>
      <c r="R299" s="2" t="inlineStr"/>
    </row>
    <row r="300" ht="15" customHeight="1">
      <c r="A300" t="inlineStr">
        <is>
          <t>A 59587-2020</t>
        </is>
      </c>
      <c r="B300" s="1" t="n">
        <v>44148</v>
      </c>
      <c r="C300" s="1" t="n">
        <v>45508</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60090-2020</t>
        </is>
      </c>
      <c r="B301" s="1" t="n">
        <v>44151</v>
      </c>
      <c r="C301" s="1" t="n">
        <v>45508</v>
      </c>
      <c r="D301" t="inlineStr">
        <is>
          <t>VÄSTERBOTTENS LÄN</t>
        </is>
      </c>
      <c r="E301" t="inlineStr">
        <is>
          <t>VILHELMINA</t>
        </is>
      </c>
      <c r="G301" t="n">
        <v>9</v>
      </c>
      <c r="H301" t="n">
        <v>0</v>
      </c>
      <c r="I301" t="n">
        <v>0</v>
      </c>
      <c r="J301" t="n">
        <v>0</v>
      </c>
      <c r="K301" t="n">
        <v>0</v>
      </c>
      <c r="L301" t="n">
        <v>0</v>
      </c>
      <c r="M301" t="n">
        <v>0</v>
      </c>
      <c r="N301" t="n">
        <v>0</v>
      </c>
      <c r="O301" t="n">
        <v>0</v>
      </c>
      <c r="P301" t="n">
        <v>0</v>
      </c>
      <c r="Q301" t="n">
        <v>0</v>
      </c>
      <c r="R301" s="2" t="inlineStr"/>
    </row>
    <row r="302" ht="15" customHeight="1">
      <c r="A302" t="inlineStr">
        <is>
          <t>A 60812-2020</t>
        </is>
      </c>
      <c r="B302" s="1" t="n">
        <v>44153</v>
      </c>
      <c r="C302" s="1" t="n">
        <v>45508</v>
      </c>
      <c r="D302" t="inlineStr">
        <is>
          <t>VÄSTERBOTTENS LÄN</t>
        </is>
      </c>
      <c r="E302" t="inlineStr">
        <is>
          <t>VILHELMINA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61129-2020</t>
        </is>
      </c>
      <c r="B303" s="1" t="n">
        <v>44154</v>
      </c>
      <c r="C303" s="1" t="n">
        <v>45508</v>
      </c>
      <c r="D303" t="inlineStr">
        <is>
          <t>VÄSTERBOTTENS LÄN</t>
        </is>
      </c>
      <c r="E303" t="inlineStr">
        <is>
          <t>VILHELMINA</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61920-2020</t>
        </is>
      </c>
      <c r="B304" s="1" t="n">
        <v>44155</v>
      </c>
      <c r="C304" s="1" t="n">
        <v>45508</v>
      </c>
      <c r="D304" t="inlineStr">
        <is>
          <t>VÄSTERBOTTENS LÄN</t>
        </is>
      </c>
      <c r="E304" t="inlineStr">
        <is>
          <t>VILHELMINA</t>
        </is>
      </c>
      <c r="G304" t="n">
        <v>7.7</v>
      </c>
      <c r="H304" t="n">
        <v>0</v>
      </c>
      <c r="I304" t="n">
        <v>0</v>
      </c>
      <c r="J304" t="n">
        <v>0</v>
      </c>
      <c r="K304" t="n">
        <v>0</v>
      </c>
      <c r="L304" t="n">
        <v>0</v>
      </c>
      <c r="M304" t="n">
        <v>0</v>
      </c>
      <c r="N304" t="n">
        <v>0</v>
      </c>
      <c r="O304" t="n">
        <v>0</v>
      </c>
      <c r="P304" t="n">
        <v>0</v>
      </c>
      <c r="Q304" t="n">
        <v>0</v>
      </c>
      <c r="R304" s="2" t="inlineStr"/>
    </row>
    <row r="305" ht="15" customHeight="1">
      <c r="A305" t="inlineStr">
        <is>
          <t>A 62874-2020</t>
        </is>
      </c>
      <c r="B305" s="1" t="n">
        <v>44161</v>
      </c>
      <c r="C305" s="1" t="n">
        <v>45508</v>
      </c>
      <c r="D305" t="inlineStr">
        <is>
          <t>VÄSTERBOTTENS LÄN</t>
        </is>
      </c>
      <c r="E305" t="inlineStr">
        <is>
          <t>VILHELMINA</t>
        </is>
      </c>
      <c r="F305" t="inlineStr">
        <is>
          <t>SCA</t>
        </is>
      </c>
      <c r="G305" t="n">
        <v>10.7</v>
      </c>
      <c r="H305" t="n">
        <v>0</v>
      </c>
      <c r="I305" t="n">
        <v>0</v>
      </c>
      <c r="J305" t="n">
        <v>0</v>
      </c>
      <c r="K305" t="n">
        <v>0</v>
      </c>
      <c r="L305" t="n">
        <v>0</v>
      </c>
      <c r="M305" t="n">
        <v>0</v>
      </c>
      <c r="N305" t="n">
        <v>0</v>
      </c>
      <c r="O305" t="n">
        <v>0</v>
      </c>
      <c r="P305" t="n">
        <v>0</v>
      </c>
      <c r="Q305" t="n">
        <v>0</v>
      </c>
      <c r="R305" s="2" t="inlineStr"/>
    </row>
    <row r="306" ht="15" customHeight="1">
      <c r="A306" t="inlineStr">
        <is>
          <t>A 64065-2020</t>
        </is>
      </c>
      <c r="B306" s="1" t="n">
        <v>44165</v>
      </c>
      <c r="C306" s="1" t="n">
        <v>45508</v>
      </c>
      <c r="D306" t="inlineStr">
        <is>
          <t>VÄSTERBOTTENS LÄN</t>
        </is>
      </c>
      <c r="E306" t="inlineStr">
        <is>
          <t>VILHELMINA</t>
        </is>
      </c>
      <c r="G306" t="n">
        <v>4.6</v>
      </c>
      <c r="H306" t="n">
        <v>0</v>
      </c>
      <c r="I306" t="n">
        <v>0</v>
      </c>
      <c r="J306" t="n">
        <v>0</v>
      </c>
      <c r="K306" t="n">
        <v>0</v>
      </c>
      <c r="L306" t="n">
        <v>0</v>
      </c>
      <c r="M306" t="n">
        <v>0</v>
      </c>
      <c r="N306" t="n">
        <v>0</v>
      </c>
      <c r="O306" t="n">
        <v>0</v>
      </c>
      <c r="P306" t="n">
        <v>0</v>
      </c>
      <c r="Q306" t="n">
        <v>0</v>
      </c>
      <c r="R306" s="2" t="inlineStr"/>
    </row>
    <row r="307" ht="15" customHeight="1">
      <c r="A307" t="inlineStr">
        <is>
          <t>A 64254-2020</t>
        </is>
      </c>
      <c r="B307" s="1" t="n">
        <v>44168</v>
      </c>
      <c r="C307" s="1" t="n">
        <v>45508</v>
      </c>
      <c r="D307" t="inlineStr">
        <is>
          <t>VÄSTERBOTTENS LÄN</t>
        </is>
      </c>
      <c r="E307" t="inlineStr">
        <is>
          <t>VILHELMINA</t>
        </is>
      </c>
      <c r="G307" t="n">
        <v>17.6</v>
      </c>
      <c r="H307" t="n">
        <v>0</v>
      </c>
      <c r="I307" t="n">
        <v>0</v>
      </c>
      <c r="J307" t="n">
        <v>0</v>
      </c>
      <c r="K307" t="n">
        <v>0</v>
      </c>
      <c r="L307" t="n">
        <v>0</v>
      </c>
      <c r="M307" t="n">
        <v>0</v>
      </c>
      <c r="N307" t="n">
        <v>0</v>
      </c>
      <c r="O307" t="n">
        <v>0</v>
      </c>
      <c r="P307" t="n">
        <v>0</v>
      </c>
      <c r="Q307" t="n">
        <v>0</v>
      </c>
      <c r="R307" s="2" t="inlineStr"/>
    </row>
    <row r="308" ht="15" customHeight="1">
      <c r="A308" t="inlineStr">
        <is>
          <t>A 64759-2020</t>
        </is>
      </c>
      <c r="B308" s="1" t="n">
        <v>44169</v>
      </c>
      <c r="C308" s="1" t="n">
        <v>45508</v>
      </c>
      <c r="D308" t="inlineStr">
        <is>
          <t>VÄSTERBOTTENS LÄN</t>
        </is>
      </c>
      <c r="E308" t="inlineStr">
        <is>
          <t>VILHELMINA</t>
        </is>
      </c>
      <c r="G308" t="n">
        <v>24.6</v>
      </c>
      <c r="H308" t="n">
        <v>0</v>
      </c>
      <c r="I308" t="n">
        <v>0</v>
      </c>
      <c r="J308" t="n">
        <v>0</v>
      </c>
      <c r="K308" t="n">
        <v>0</v>
      </c>
      <c r="L308" t="n">
        <v>0</v>
      </c>
      <c r="M308" t="n">
        <v>0</v>
      </c>
      <c r="N308" t="n">
        <v>0</v>
      </c>
      <c r="O308" t="n">
        <v>0</v>
      </c>
      <c r="P308" t="n">
        <v>0</v>
      </c>
      <c r="Q308" t="n">
        <v>0</v>
      </c>
      <c r="R308" s="2" t="inlineStr"/>
    </row>
    <row r="309" ht="15" customHeight="1">
      <c r="A309" t="inlineStr">
        <is>
          <t>A 65663-2020</t>
        </is>
      </c>
      <c r="B309" s="1" t="n">
        <v>44172</v>
      </c>
      <c r="C309" s="1" t="n">
        <v>45508</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68641-2020</t>
        </is>
      </c>
      <c r="B310" s="1" t="n">
        <v>44186</v>
      </c>
      <c r="C310" s="1" t="n">
        <v>45508</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68640-2020</t>
        </is>
      </c>
      <c r="B311" s="1" t="n">
        <v>44186</v>
      </c>
      <c r="C311" s="1" t="n">
        <v>45508</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45508</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69621-2020</t>
        </is>
      </c>
      <c r="B313" s="1" t="n">
        <v>44195</v>
      </c>
      <c r="C313" s="1" t="n">
        <v>45508</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1471-2021</t>
        </is>
      </c>
      <c r="B314" s="1" t="n">
        <v>44208</v>
      </c>
      <c r="C314" s="1" t="n">
        <v>45508</v>
      </c>
      <c r="D314" t="inlineStr">
        <is>
          <t>VÄSTERBOTTENS LÄN</t>
        </is>
      </c>
      <c r="E314" t="inlineStr">
        <is>
          <t>VILHELMINA</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1470-2021</t>
        </is>
      </c>
      <c r="B315" s="1" t="n">
        <v>44208</v>
      </c>
      <c r="C315" s="1" t="n">
        <v>45508</v>
      </c>
      <c r="D315" t="inlineStr">
        <is>
          <t>VÄSTERBOTTENS LÄN</t>
        </is>
      </c>
      <c r="E315" t="inlineStr">
        <is>
          <t>VILHELMINA</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2187-2021</t>
        </is>
      </c>
      <c r="B316" s="1" t="n">
        <v>44211</v>
      </c>
      <c r="C316" s="1" t="n">
        <v>45508</v>
      </c>
      <c r="D316" t="inlineStr">
        <is>
          <t>VÄSTERBOTTENS LÄN</t>
        </is>
      </c>
      <c r="E316" t="inlineStr">
        <is>
          <t>VILHELMINA</t>
        </is>
      </c>
      <c r="F316" t="inlineStr">
        <is>
          <t>Allmännings- och besparingsskogar</t>
        </is>
      </c>
      <c r="G316" t="n">
        <v>21.3</v>
      </c>
      <c r="H316" t="n">
        <v>0</v>
      </c>
      <c r="I316" t="n">
        <v>0</v>
      </c>
      <c r="J316" t="n">
        <v>0</v>
      </c>
      <c r="K316" t="n">
        <v>0</v>
      </c>
      <c r="L316" t="n">
        <v>0</v>
      </c>
      <c r="M316" t="n">
        <v>0</v>
      </c>
      <c r="N316" t="n">
        <v>0</v>
      </c>
      <c r="O316" t="n">
        <v>0</v>
      </c>
      <c r="P316" t="n">
        <v>0</v>
      </c>
      <c r="Q316" t="n">
        <v>0</v>
      </c>
      <c r="R316" s="2" t="inlineStr"/>
    </row>
    <row r="317" ht="15" customHeight="1">
      <c r="A317" t="inlineStr">
        <is>
          <t>A 2189-2021</t>
        </is>
      </c>
      <c r="B317" s="1" t="n">
        <v>44211</v>
      </c>
      <c r="C317" s="1" t="n">
        <v>45508</v>
      </c>
      <c r="D317" t="inlineStr">
        <is>
          <t>VÄSTERBOTTENS LÄN</t>
        </is>
      </c>
      <c r="E317" t="inlineStr">
        <is>
          <t>VILHELMINA</t>
        </is>
      </c>
      <c r="F317" t="inlineStr">
        <is>
          <t>Allmännings- och besparingsskogar</t>
        </is>
      </c>
      <c r="G317" t="n">
        <v>20.1</v>
      </c>
      <c r="H317" t="n">
        <v>0</v>
      </c>
      <c r="I317" t="n">
        <v>0</v>
      </c>
      <c r="J317" t="n">
        <v>0</v>
      </c>
      <c r="K317" t="n">
        <v>0</v>
      </c>
      <c r="L317" t="n">
        <v>0</v>
      </c>
      <c r="M317" t="n">
        <v>0</v>
      </c>
      <c r="N317" t="n">
        <v>0</v>
      </c>
      <c r="O317" t="n">
        <v>0</v>
      </c>
      <c r="P317" t="n">
        <v>0</v>
      </c>
      <c r="Q317" t="n">
        <v>0</v>
      </c>
      <c r="R317" s="2" t="inlineStr"/>
    </row>
    <row r="318" ht="15" customHeight="1">
      <c r="A318" t="inlineStr">
        <is>
          <t>A 2193-2021</t>
        </is>
      </c>
      <c r="B318" s="1" t="n">
        <v>44211</v>
      </c>
      <c r="C318" s="1" t="n">
        <v>45508</v>
      </c>
      <c r="D318" t="inlineStr">
        <is>
          <t>VÄSTERBOTTENS LÄN</t>
        </is>
      </c>
      <c r="E318" t="inlineStr">
        <is>
          <t>VILHELMINA</t>
        </is>
      </c>
      <c r="F318" t="inlineStr">
        <is>
          <t>Allmännings- och besparingsskogar</t>
        </is>
      </c>
      <c r="G318" t="n">
        <v>157.8</v>
      </c>
      <c r="H318" t="n">
        <v>0</v>
      </c>
      <c r="I318" t="n">
        <v>0</v>
      </c>
      <c r="J318" t="n">
        <v>0</v>
      </c>
      <c r="K318" t="n">
        <v>0</v>
      </c>
      <c r="L318" t="n">
        <v>0</v>
      </c>
      <c r="M318" t="n">
        <v>0</v>
      </c>
      <c r="N318" t="n">
        <v>0</v>
      </c>
      <c r="O318" t="n">
        <v>0</v>
      </c>
      <c r="P318" t="n">
        <v>0</v>
      </c>
      <c r="Q318" t="n">
        <v>0</v>
      </c>
      <c r="R318" s="2" t="inlineStr"/>
    </row>
    <row r="319" ht="15" customHeight="1">
      <c r="A319" t="inlineStr">
        <is>
          <t>A 3096-2021</t>
        </is>
      </c>
      <c r="B319" s="1" t="n">
        <v>44216</v>
      </c>
      <c r="C319" s="1" t="n">
        <v>45508</v>
      </c>
      <c r="D319" t="inlineStr">
        <is>
          <t>VÄSTERBOTTENS LÄN</t>
        </is>
      </c>
      <c r="E319" t="inlineStr">
        <is>
          <t>VILHELMINA</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3435-2021</t>
        </is>
      </c>
      <c r="B320" s="1" t="n">
        <v>44216</v>
      </c>
      <c r="C320" s="1" t="n">
        <v>45508</v>
      </c>
      <c r="D320" t="inlineStr">
        <is>
          <t>VÄSTERBOTTENS LÄN</t>
        </is>
      </c>
      <c r="E320" t="inlineStr">
        <is>
          <t>VILHELMINA</t>
        </is>
      </c>
      <c r="G320" t="n">
        <v>20.5</v>
      </c>
      <c r="H320" t="n">
        <v>0</v>
      </c>
      <c r="I320" t="n">
        <v>0</v>
      </c>
      <c r="J320" t="n">
        <v>0</v>
      </c>
      <c r="K320" t="n">
        <v>0</v>
      </c>
      <c r="L320" t="n">
        <v>0</v>
      </c>
      <c r="M320" t="n">
        <v>0</v>
      </c>
      <c r="N320" t="n">
        <v>0</v>
      </c>
      <c r="O320" t="n">
        <v>0</v>
      </c>
      <c r="P320" t="n">
        <v>0</v>
      </c>
      <c r="Q320" t="n">
        <v>0</v>
      </c>
      <c r="R320" s="2" t="inlineStr"/>
    </row>
    <row r="321" ht="15" customHeight="1">
      <c r="A321" t="inlineStr">
        <is>
          <t>A 6658-2021</t>
        </is>
      </c>
      <c r="B321" s="1" t="n">
        <v>44235</v>
      </c>
      <c r="C321" s="1" t="n">
        <v>45508</v>
      </c>
      <c r="D321" t="inlineStr">
        <is>
          <t>VÄSTERBOTTENS LÄN</t>
        </is>
      </c>
      <c r="E321" t="inlineStr">
        <is>
          <t>VILHELMINA</t>
        </is>
      </c>
      <c r="G321" t="n">
        <v>6.7</v>
      </c>
      <c r="H321" t="n">
        <v>0</v>
      </c>
      <c r="I321" t="n">
        <v>0</v>
      </c>
      <c r="J321" t="n">
        <v>0</v>
      </c>
      <c r="K321" t="n">
        <v>0</v>
      </c>
      <c r="L321" t="n">
        <v>0</v>
      </c>
      <c r="M321" t="n">
        <v>0</v>
      </c>
      <c r="N321" t="n">
        <v>0</v>
      </c>
      <c r="O321" t="n">
        <v>0</v>
      </c>
      <c r="P321" t="n">
        <v>0</v>
      </c>
      <c r="Q321" t="n">
        <v>0</v>
      </c>
      <c r="R321" s="2" t="inlineStr"/>
    </row>
    <row r="322" ht="15" customHeight="1">
      <c r="A322" t="inlineStr">
        <is>
          <t>A 6699-2021</t>
        </is>
      </c>
      <c r="B322" s="1" t="n">
        <v>44235</v>
      </c>
      <c r="C322" s="1" t="n">
        <v>45508</v>
      </c>
      <c r="D322" t="inlineStr">
        <is>
          <t>VÄSTERBOTTENS LÄN</t>
        </is>
      </c>
      <c r="E322" t="inlineStr">
        <is>
          <t>VILHELMINA</t>
        </is>
      </c>
      <c r="G322" t="n">
        <v>6.9</v>
      </c>
      <c r="H322" t="n">
        <v>0</v>
      </c>
      <c r="I322" t="n">
        <v>0</v>
      </c>
      <c r="J322" t="n">
        <v>0</v>
      </c>
      <c r="K322" t="n">
        <v>0</v>
      </c>
      <c r="L322" t="n">
        <v>0</v>
      </c>
      <c r="M322" t="n">
        <v>0</v>
      </c>
      <c r="N322" t="n">
        <v>0</v>
      </c>
      <c r="O322" t="n">
        <v>0</v>
      </c>
      <c r="P322" t="n">
        <v>0</v>
      </c>
      <c r="Q322" t="n">
        <v>0</v>
      </c>
      <c r="R322" s="2" t="inlineStr"/>
    </row>
    <row r="323" ht="15" customHeight="1">
      <c r="A323" t="inlineStr">
        <is>
          <t>A 6664-2021</t>
        </is>
      </c>
      <c r="B323" s="1" t="n">
        <v>44235</v>
      </c>
      <c r="C323" s="1" t="n">
        <v>45508</v>
      </c>
      <c r="D323" t="inlineStr">
        <is>
          <t>VÄSTERBOTTENS LÄN</t>
        </is>
      </c>
      <c r="E323" t="inlineStr">
        <is>
          <t>VILHELMINA</t>
        </is>
      </c>
      <c r="G323" t="n">
        <v>2.5</v>
      </c>
      <c r="H323" t="n">
        <v>0</v>
      </c>
      <c r="I323" t="n">
        <v>0</v>
      </c>
      <c r="J323" t="n">
        <v>0</v>
      </c>
      <c r="K323" t="n">
        <v>0</v>
      </c>
      <c r="L323" t="n">
        <v>0</v>
      </c>
      <c r="M323" t="n">
        <v>0</v>
      </c>
      <c r="N323" t="n">
        <v>0</v>
      </c>
      <c r="O323" t="n">
        <v>0</v>
      </c>
      <c r="P323" t="n">
        <v>0</v>
      </c>
      <c r="Q323" t="n">
        <v>0</v>
      </c>
      <c r="R323" s="2" t="inlineStr"/>
    </row>
    <row r="324" ht="15" customHeight="1">
      <c r="A324" t="inlineStr">
        <is>
          <t>A 6653-2021</t>
        </is>
      </c>
      <c r="B324" s="1" t="n">
        <v>44235</v>
      </c>
      <c r="C324" s="1" t="n">
        <v>45508</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6669-2021</t>
        </is>
      </c>
      <c r="B325" s="1" t="n">
        <v>44235</v>
      </c>
      <c r="C325" s="1" t="n">
        <v>45508</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6665-2021</t>
        </is>
      </c>
      <c r="B326" s="1" t="n">
        <v>44235</v>
      </c>
      <c r="C326" s="1" t="n">
        <v>45508</v>
      </c>
      <c r="D326" t="inlineStr">
        <is>
          <t>VÄSTERBOTTENS LÄN</t>
        </is>
      </c>
      <c r="E326" t="inlineStr">
        <is>
          <t>VILHELMINA</t>
        </is>
      </c>
      <c r="G326" t="n">
        <v>20</v>
      </c>
      <c r="H326" t="n">
        <v>0</v>
      </c>
      <c r="I326" t="n">
        <v>0</v>
      </c>
      <c r="J326" t="n">
        <v>0</v>
      </c>
      <c r="K326" t="n">
        <v>0</v>
      </c>
      <c r="L326" t="n">
        <v>0</v>
      </c>
      <c r="M326" t="n">
        <v>0</v>
      </c>
      <c r="N326" t="n">
        <v>0</v>
      </c>
      <c r="O326" t="n">
        <v>0</v>
      </c>
      <c r="P326" t="n">
        <v>0</v>
      </c>
      <c r="Q326" t="n">
        <v>0</v>
      </c>
      <c r="R326" s="2" t="inlineStr"/>
    </row>
    <row r="327" ht="15" customHeight="1">
      <c r="A327" t="inlineStr">
        <is>
          <t>A 6706-2021</t>
        </is>
      </c>
      <c r="B327" s="1" t="n">
        <v>44235</v>
      </c>
      <c r="C327" s="1" t="n">
        <v>45508</v>
      </c>
      <c r="D327" t="inlineStr">
        <is>
          <t>VÄSTERBOTTENS LÄN</t>
        </is>
      </c>
      <c r="E327" t="inlineStr">
        <is>
          <t>VILHELMINA</t>
        </is>
      </c>
      <c r="G327" t="n">
        <v>3.8</v>
      </c>
      <c r="H327" t="n">
        <v>0</v>
      </c>
      <c r="I327" t="n">
        <v>0</v>
      </c>
      <c r="J327" t="n">
        <v>0</v>
      </c>
      <c r="K327" t="n">
        <v>0</v>
      </c>
      <c r="L327" t="n">
        <v>0</v>
      </c>
      <c r="M327" t="n">
        <v>0</v>
      </c>
      <c r="N327" t="n">
        <v>0</v>
      </c>
      <c r="O327" t="n">
        <v>0</v>
      </c>
      <c r="P327" t="n">
        <v>0</v>
      </c>
      <c r="Q327" t="n">
        <v>0</v>
      </c>
      <c r="R327" s="2" t="inlineStr"/>
    </row>
    <row r="328" ht="15" customHeight="1">
      <c r="A328" t="inlineStr">
        <is>
          <t>A 7078-2021</t>
        </is>
      </c>
      <c r="B328" s="1" t="n">
        <v>44237</v>
      </c>
      <c r="C328" s="1" t="n">
        <v>45508</v>
      </c>
      <c r="D328" t="inlineStr">
        <is>
          <t>VÄSTERBOTTENS LÄN</t>
        </is>
      </c>
      <c r="E328" t="inlineStr">
        <is>
          <t>VILHELMINA</t>
        </is>
      </c>
      <c r="F328" t="inlineStr">
        <is>
          <t>SCA</t>
        </is>
      </c>
      <c r="G328" t="n">
        <v>28.4</v>
      </c>
      <c r="H328" t="n">
        <v>0</v>
      </c>
      <c r="I328" t="n">
        <v>0</v>
      </c>
      <c r="J328" t="n">
        <v>0</v>
      </c>
      <c r="K328" t="n">
        <v>0</v>
      </c>
      <c r="L328" t="n">
        <v>0</v>
      </c>
      <c r="M328" t="n">
        <v>0</v>
      </c>
      <c r="N328" t="n">
        <v>0</v>
      </c>
      <c r="O328" t="n">
        <v>0</v>
      </c>
      <c r="P328" t="n">
        <v>0</v>
      </c>
      <c r="Q328" t="n">
        <v>0</v>
      </c>
      <c r="R328" s="2" t="inlineStr"/>
    </row>
    <row r="329" ht="15" customHeight="1">
      <c r="A329" t="inlineStr">
        <is>
          <t>A 8003-2021</t>
        </is>
      </c>
      <c r="B329" s="1" t="n">
        <v>44243</v>
      </c>
      <c r="C329" s="1" t="n">
        <v>45508</v>
      </c>
      <c r="D329" t="inlineStr">
        <is>
          <t>VÄSTERBOTTENS LÄN</t>
        </is>
      </c>
      <c r="E329" t="inlineStr">
        <is>
          <t>VILHELMINA</t>
        </is>
      </c>
      <c r="G329" t="n">
        <v>5.1</v>
      </c>
      <c r="H329" t="n">
        <v>0</v>
      </c>
      <c r="I329" t="n">
        <v>0</v>
      </c>
      <c r="J329" t="n">
        <v>0</v>
      </c>
      <c r="K329" t="n">
        <v>0</v>
      </c>
      <c r="L329" t="n">
        <v>0</v>
      </c>
      <c r="M329" t="n">
        <v>0</v>
      </c>
      <c r="N329" t="n">
        <v>0</v>
      </c>
      <c r="O329" t="n">
        <v>0</v>
      </c>
      <c r="P329" t="n">
        <v>0</v>
      </c>
      <c r="Q329" t="n">
        <v>0</v>
      </c>
      <c r="R329" s="2" t="inlineStr"/>
    </row>
    <row r="330" ht="15" customHeight="1">
      <c r="A330" t="inlineStr">
        <is>
          <t>A 8750-2021</t>
        </is>
      </c>
      <c r="B330" s="1" t="n">
        <v>44246</v>
      </c>
      <c r="C330" s="1" t="n">
        <v>45508</v>
      </c>
      <c r="D330" t="inlineStr">
        <is>
          <t>VÄSTERBOTTENS LÄN</t>
        </is>
      </c>
      <c r="E330" t="inlineStr">
        <is>
          <t>VILHELMINA</t>
        </is>
      </c>
      <c r="G330" t="n">
        <v>5.2</v>
      </c>
      <c r="H330" t="n">
        <v>0</v>
      </c>
      <c r="I330" t="n">
        <v>0</v>
      </c>
      <c r="J330" t="n">
        <v>0</v>
      </c>
      <c r="K330" t="n">
        <v>0</v>
      </c>
      <c r="L330" t="n">
        <v>0</v>
      </c>
      <c r="M330" t="n">
        <v>0</v>
      </c>
      <c r="N330" t="n">
        <v>0</v>
      </c>
      <c r="O330" t="n">
        <v>0</v>
      </c>
      <c r="P330" t="n">
        <v>0</v>
      </c>
      <c r="Q330" t="n">
        <v>0</v>
      </c>
      <c r="R330" s="2" t="inlineStr"/>
    </row>
    <row r="331" ht="15" customHeight="1">
      <c r="A331" t="inlineStr">
        <is>
          <t>A 10075-2021</t>
        </is>
      </c>
      <c r="B331" s="1" t="n">
        <v>44253</v>
      </c>
      <c r="C331" s="1" t="n">
        <v>45508</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9916-2021</t>
        </is>
      </c>
      <c r="B332" s="1" t="n">
        <v>44253</v>
      </c>
      <c r="C332" s="1" t="n">
        <v>45508</v>
      </c>
      <c r="D332" t="inlineStr">
        <is>
          <t>VÄSTERBOTTENS LÄN</t>
        </is>
      </c>
      <c r="E332" t="inlineStr">
        <is>
          <t>VILHELMINA</t>
        </is>
      </c>
      <c r="G332" t="n">
        <v>1</v>
      </c>
      <c r="H332" t="n">
        <v>0</v>
      </c>
      <c r="I332" t="n">
        <v>0</v>
      </c>
      <c r="J332" t="n">
        <v>0</v>
      </c>
      <c r="K332" t="n">
        <v>0</v>
      </c>
      <c r="L332" t="n">
        <v>0</v>
      </c>
      <c r="M332" t="n">
        <v>0</v>
      </c>
      <c r="N332" t="n">
        <v>0</v>
      </c>
      <c r="O332" t="n">
        <v>0</v>
      </c>
      <c r="P332" t="n">
        <v>0</v>
      </c>
      <c r="Q332" t="n">
        <v>0</v>
      </c>
      <c r="R332" s="2" t="inlineStr"/>
    </row>
    <row r="333" ht="15" customHeight="1">
      <c r="A333" t="inlineStr">
        <is>
          <t>A 18802-2021</t>
        </is>
      </c>
      <c r="B333" s="1" t="n">
        <v>44307</v>
      </c>
      <c r="C333" s="1" t="n">
        <v>45508</v>
      </c>
      <c r="D333" t="inlineStr">
        <is>
          <t>VÄSTERBOTTENS LÄN</t>
        </is>
      </c>
      <c r="E333" t="inlineStr">
        <is>
          <t>VILHELMINA</t>
        </is>
      </c>
      <c r="G333" t="n">
        <v>1.2</v>
      </c>
      <c r="H333" t="n">
        <v>0</v>
      </c>
      <c r="I333" t="n">
        <v>0</v>
      </c>
      <c r="J333" t="n">
        <v>0</v>
      </c>
      <c r="K333" t="n">
        <v>0</v>
      </c>
      <c r="L333" t="n">
        <v>0</v>
      </c>
      <c r="M333" t="n">
        <v>0</v>
      </c>
      <c r="N333" t="n">
        <v>0</v>
      </c>
      <c r="O333" t="n">
        <v>0</v>
      </c>
      <c r="P333" t="n">
        <v>0</v>
      </c>
      <c r="Q333" t="n">
        <v>0</v>
      </c>
      <c r="R333" s="2" t="inlineStr"/>
    </row>
    <row r="334" ht="15" customHeight="1">
      <c r="A334" t="inlineStr">
        <is>
          <t>A 18781-2021</t>
        </is>
      </c>
      <c r="B334" s="1" t="n">
        <v>44307</v>
      </c>
      <c r="C334" s="1" t="n">
        <v>45508</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18971-2021</t>
        </is>
      </c>
      <c r="B335" s="1" t="n">
        <v>44307</v>
      </c>
      <c r="C335" s="1" t="n">
        <v>45508</v>
      </c>
      <c r="D335" t="inlineStr">
        <is>
          <t>VÄSTERBOTTENS LÄN</t>
        </is>
      </c>
      <c r="E335" t="inlineStr">
        <is>
          <t>VILHELMINA</t>
        </is>
      </c>
      <c r="G335" t="n">
        <v>2</v>
      </c>
      <c r="H335" t="n">
        <v>0</v>
      </c>
      <c r="I335" t="n">
        <v>0</v>
      </c>
      <c r="J335" t="n">
        <v>0</v>
      </c>
      <c r="K335" t="n">
        <v>0</v>
      </c>
      <c r="L335" t="n">
        <v>0</v>
      </c>
      <c r="M335" t="n">
        <v>0</v>
      </c>
      <c r="N335" t="n">
        <v>0</v>
      </c>
      <c r="O335" t="n">
        <v>0</v>
      </c>
      <c r="P335" t="n">
        <v>0</v>
      </c>
      <c r="Q335" t="n">
        <v>0</v>
      </c>
      <c r="R335" s="2" t="inlineStr"/>
    </row>
    <row r="336" ht="15" customHeight="1">
      <c r="A336" t="inlineStr">
        <is>
          <t>A 18790-2021</t>
        </is>
      </c>
      <c r="B336" s="1" t="n">
        <v>44307</v>
      </c>
      <c r="C336" s="1" t="n">
        <v>45508</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18950-2021</t>
        </is>
      </c>
      <c r="B337" s="1" t="n">
        <v>44307</v>
      </c>
      <c r="C337" s="1" t="n">
        <v>45508</v>
      </c>
      <c r="D337" t="inlineStr">
        <is>
          <t>VÄSTERBOTTENS LÄN</t>
        </is>
      </c>
      <c r="E337" t="inlineStr">
        <is>
          <t>VILHELMINA</t>
        </is>
      </c>
      <c r="G337" t="n">
        <v>1.9</v>
      </c>
      <c r="H337" t="n">
        <v>0</v>
      </c>
      <c r="I337" t="n">
        <v>0</v>
      </c>
      <c r="J337" t="n">
        <v>0</v>
      </c>
      <c r="K337" t="n">
        <v>0</v>
      </c>
      <c r="L337" t="n">
        <v>0</v>
      </c>
      <c r="M337" t="n">
        <v>0</v>
      </c>
      <c r="N337" t="n">
        <v>0</v>
      </c>
      <c r="O337" t="n">
        <v>0</v>
      </c>
      <c r="P337" t="n">
        <v>0</v>
      </c>
      <c r="Q337" t="n">
        <v>0</v>
      </c>
      <c r="R337" s="2" t="inlineStr"/>
    </row>
    <row r="338" ht="15" customHeight="1">
      <c r="A338" t="inlineStr">
        <is>
          <t>A 20568-2021</t>
        </is>
      </c>
      <c r="B338" s="1" t="n">
        <v>44316</v>
      </c>
      <c r="C338" s="1" t="n">
        <v>45508</v>
      </c>
      <c r="D338" t="inlineStr">
        <is>
          <t>VÄSTERBOTTENS LÄN</t>
        </is>
      </c>
      <c r="E338" t="inlineStr">
        <is>
          <t>VILHELMINA</t>
        </is>
      </c>
      <c r="G338" t="n">
        <v>0.7</v>
      </c>
      <c r="H338" t="n">
        <v>0</v>
      </c>
      <c r="I338" t="n">
        <v>0</v>
      </c>
      <c r="J338" t="n">
        <v>0</v>
      </c>
      <c r="K338" t="n">
        <v>0</v>
      </c>
      <c r="L338" t="n">
        <v>0</v>
      </c>
      <c r="M338" t="n">
        <v>0</v>
      </c>
      <c r="N338" t="n">
        <v>0</v>
      </c>
      <c r="O338" t="n">
        <v>0</v>
      </c>
      <c r="P338" t="n">
        <v>0</v>
      </c>
      <c r="Q338" t="n">
        <v>0</v>
      </c>
      <c r="R338" s="2" t="inlineStr"/>
    </row>
    <row r="339" ht="15" customHeight="1">
      <c r="A339" t="inlineStr">
        <is>
          <t>A 20653-2021</t>
        </is>
      </c>
      <c r="B339" s="1" t="n">
        <v>44316</v>
      </c>
      <c r="C339" s="1" t="n">
        <v>45508</v>
      </c>
      <c r="D339" t="inlineStr">
        <is>
          <t>VÄSTERBOTTENS LÄN</t>
        </is>
      </c>
      <c r="E339" t="inlineStr">
        <is>
          <t>VILHELMINA</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21726-2021</t>
        </is>
      </c>
      <c r="B340" s="1" t="n">
        <v>44322</v>
      </c>
      <c r="C340" s="1" t="n">
        <v>45508</v>
      </c>
      <c r="D340" t="inlineStr">
        <is>
          <t>VÄSTERBOTTENS LÄN</t>
        </is>
      </c>
      <c r="E340" t="inlineStr">
        <is>
          <t>VILHELMINA</t>
        </is>
      </c>
      <c r="G340" t="n">
        <v>19.6</v>
      </c>
      <c r="H340" t="n">
        <v>0</v>
      </c>
      <c r="I340" t="n">
        <v>0</v>
      </c>
      <c r="J340" t="n">
        <v>0</v>
      </c>
      <c r="K340" t="n">
        <v>0</v>
      </c>
      <c r="L340" t="n">
        <v>0</v>
      </c>
      <c r="M340" t="n">
        <v>0</v>
      </c>
      <c r="N340" t="n">
        <v>0</v>
      </c>
      <c r="O340" t="n">
        <v>0</v>
      </c>
      <c r="P340" t="n">
        <v>0</v>
      </c>
      <c r="Q340" t="n">
        <v>0</v>
      </c>
      <c r="R340" s="2" t="inlineStr"/>
    </row>
    <row r="341" ht="15" customHeight="1">
      <c r="A341" t="inlineStr">
        <is>
          <t>A 23278-2021</t>
        </is>
      </c>
      <c r="B341" s="1" t="n">
        <v>44328</v>
      </c>
      <c r="C341" s="1" t="n">
        <v>45508</v>
      </c>
      <c r="D341" t="inlineStr">
        <is>
          <t>VÄSTERBOTTENS LÄN</t>
        </is>
      </c>
      <c r="E341" t="inlineStr">
        <is>
          <t>VILHELMINA</t>
        </is>
      </c>
      <c r="F341" t="inlineStr">
        <is>
          <t>Allmännings- och besparingsskogar</t>
        </is>
      </c>
      <c r="G341" t="n">
        <v>13.6</v>
      </c>
      <c r="H341" t="n">
        <v>0</v>
      </c>
      <c r="I341" t="n">
        <v>0</v>
      </c>
      <c r="J341" t="n">
        <v>0</v>
      </c>
      <c r="K341" t="n">
        <v>0</v>
      </c>
      <c r="L341" t="n">
        <v>0</v>
      </c>
      <c r="M341" t="n">
        <v>0</v>
      </c>
      <c r="N341" t="n">
        <v>0</v>
      </c>
      <c r="O341" t="n">
        <v>0</v>
      </c>
      <c r="P341" t="n">
        <v>0</v>
      </c>
      <c r="Q341" t="n">
        <v>0</v>
      </c>
      <c r="R341" s="2" t="inlineStr"/>
    </row>
    <row r="342" ht="15" customHeight="1">
      <c r="A342" t="inlineStr">
        <is>
          <t>A 23270-2021</t>
        </is>
      </c>
      <c r="B342" s="1" t="n">
        <v>44328</v>
      </c>
      <c r="C342" s="1" t="n">
        <v>45508</v>
      </c>
      <c r="D342" t="inlineStr">
        <is>
          <t>VÄSTERBOTTENS LÄN</t>
        </is>
      </c>
      <c r="E342" t="inlineStr">
        <is>
          <t>VILHELMINA</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23261-2021</t>
        </is>
      </c>
      <c r="B343" s="1" t="n">
        <v>44330</v>
      </c>
      <c r="C343" s="1" t="n">
        <v>45508</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24983-2021</t>
        </is>
      </c>
      <c r="B344" s="1" t="n">
        <v>44341</v>
      </c>
      <c r="C344" s="1" t="n">
        <v>45508</v>
      </c>
      <c r="D344" t="inlineStr">
        <is>
          <t>VÄSTERBOTTENS LÄN</t>
        </is>
      </c>
      <c r="E344" t="inlineStr">
        <is>
          <t>VILHELMINA</t>
        </is>
      </c>
      <c r="G344" t="n">
        <v>12.9</v>
      </c>
      <c r="H344" t="n">
        <v>0</v>
      </c>
      <c r="I344" t="n">
        <v>0</v>
      </c>
      <c r="J344" t="n">
        <v>0</v>
      </c>
      <c r="K344" t="n">
        <v>0</v>
      </c>
      <c r="L344" t="n">
        <v>0</v>
      </c>
      <c r="M344" t="n">
        <v>0</v>
      </c>
      <c r="N344" t="n">
        <v>0</v>
      </c>
      <c r="O344" t="n">
        <v>0</v>
      </c>
      <c r="P344" t="n">
        <v>0</v>
      </c>
      <c r="Q344" t="n">
        <v>0</v>
      </c>
      <c r="R344" s="2" t="inlineStr"/>
    </row>
    <row r="345" ht="15" customHeight="1">
      <c r="A345" t="inlineStr">
        <is>
          <t>A 24599-2021</t>
        </is>
      </c>
      <c r="B345" s="1" t="n">
        <v>44341</v>
      </c>
      <c r="C345" s="1" t="n">
        <v>45508</v>
      </c>
      <c r="D345" t="inlineStr">
        <is>
          <t>VÄSTERBOTTENS LÄN</t>
        </is>
      </c>
      <c r="E345" t="inlineStr">
        <is>
          <t>VILHELMINA</t>
        </is>
      </c>
      <c r="G345" t="n">
        <v>14.5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45508</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26483-2021</t>
        </is>
      </c>
      <c r="B347" s="1" t="n">
        <v>44347</v>
      </c>
      <c r="C347" s="1" t="n">
        <v>45508</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28269-2021</t>
        </is>
      </c>
      <c r="B348" s="1" t="n">
        <v>44356</v>
      </c>
      <c r="C348" s="1" t="n">
        <v>45508</v>
      </c>
      <c r="D348" t="inlineStr">
        <is>
          <t>VÄSTERBOTTENS LÄN</t>
        </is>
      </c>
      <c r="E348" t="inlineStr">
        <is>
          <t>VILHELMINA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28272-2021</t>
        </is>
      </c>
      <c r="B349" s="1" t="n">
        <v>44356</v>
      </c>
      <c r="C349" s="1" t="n">
        <v>45508</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28895-2021</t>
        </is>
      </c>
      <c r="B350" s="1" t="n">
        <v>44357</v>
      </c>
      <c r="C350" s="1" t="n">
        <v>45508</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29347-2021</t>
        </is>
      </c>
      <c r="B351" s="1" t="n">
        <v>44361</v>
      </c>
      <c r="C351" s="1" t="n">
        <v>45508</v>
      </c>
      <c r="D351" t="inlineStr">
        <is>
          <t>VÄSTERBOTTENS LÄN</t>
        </is>
      </c>
      <c r="E351" t="inlineStr">
        <is>
          <t>VILHELMINA</t>
        </is>
      </c>
      <c r="F351" t="inlineStr">
        <is>
          <t>Allmännings- och besparingsskogar</t>
        </is>
      </c>
      <c r="G351" t="n">
        <v>52</v>
      </c>
      <c r="H351" t="n">
        <v>0</v>
      </c>
      <c r="I351" t="n">
        <v>0</v>
      </c>
      <c r="J351" t="n">
        <v>0</v>
      </c>
      <c r="K351" t="n">
        <v>0</v>
      </c>
      <c r="L351" t="n">
        <v>0</v>
      </c>
      <c r="M351" t="n">
        <v>0</v>
      </c>
      <c r="N351" t="n">
        <v>0</v>
      </c>
      <c r="O351" t="n">
        <v>0</v>
      </c>
      <c r="P351" t="n">
        <v>0</v>
      </c>
      <c r="Q351" t="n">
        <v>0</v>
      </c>
      <c r="R351" s="2" t="inlineStr"/>
    </row>
    <row r="352" ht="15" customHeight="1">
      <c r="A352" t="inlineStr">
        <is>
          <t>A 29332-2021</t>
        </is>
      </c>
      <c r="B352" s="1" t="n">
        <v>44361</v>
      </c>
      <c r="C352" s="1" t="n">
        <v>45508</v>
      </c>
      <c r="D352" t="inlineStr">
        <is>
          <t>VÄSTERBOTTENS LÄN</t>
        </is>
      </c>
      <c r="E352" t="inlineStr">
        <is>
          <t>VILHELMINA</t>
        </is>
      </c>
      <c r="F352" t="inlineStr">
        <is>
          <t>Allmännings- och besparingsskogar</t>
        </is>
      </c>
      <c r="G352" t="n">
        <v>51.8</v>
      </c>
      <c r="H352" t="n">
        <v>0</v>
      </c>
      <c r="I352" t="n">
        <v>0</v>
      </c>
      <c r="J352" t="n">
        <v>0</v>
      </c>
      <c r="K352" t="n">
        <v>0</v>
      </c>
      <c r="L352" t="n">
        <v>0</v>
      </c>
      <c r="M352" t="n">
        <v>0</v>
      </c>
      <c r="N352" t="n">
        <v>0</v>
      </c>
      <c r="O352" t="n">
        <v>0</v>
      </c>
      <c r="P352" t="n">
        <v>0</v>
      </c>
      <c r="Q352" t="n">
        <v>0</v>
      </c>
      <c r="R352" s="2" t="inlineStr"/>
    </row>
    <row r="353" ht="15" customHeight="1">
      <c r="A353" t="inlineStr">
        <is>
          <t>A 31722-2021</t>
        </is>
      </c>
      <c r="B353" s="1" t="n">
        <v>44370</v>
      </c>
      <c r="C353" s="1" t="n">
        <v>45508</v>
      </c>
      <c r="D353" t="inlineStr">
        <is>
          <t>VÄSTERBOTTENS LÄN</t>
        </is>
      </c>
      <c r="E353" t="inlineStr">
        <is>
          <t>VILHELMINA</t>
        </is>
      </c>
      <c r="G353" t="n">
        <v>2.8</v>
      </c>
      <c r="H353" t="n">
        <v>0</v>
      </c>
      <c r="I353" t="n">
        <v>0</v>
      </c>
      <c r="J353" t="n">
        <v>0</v>
      </c>
      <c r="K353" t="n">
        <v>0</v>
      </c>
      <c r="L353" t="n">
        <v>0</v>
      </c>
      <c r="M353" t="n">
        <v>0</v>
      </c>
      <c r="N353" t="n">
        <v>0</v>
      </c>
      <c r="O353" t="n">
        <v>0</v>
      </c>
      <c r="P353" t="n">
        <v>0</v>
      </c>
      <c r="Q353" t="n">
        <v>0</v>
      </c>
      <c r="R353" s="2" t="inlineStr"/>
    </row>
    <row r="354" ht="15" customHeight="1">
      <c r="A354" t="inlineStr">
        <is>
          <t>A 32665-2021</t>
        </is>
      </c>
      <c r="B354" s="1" t="n">
        <v>44371</v>
      </c>
      <c r="C354" s="1" t="n">
        <v>45508</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32672-2021</t>
        </is>
      </c>
      <c r="B355" s="1" t="n">
        <v>44371</v>
      </c>
      <c r="C355" s="1" t="n">
        <v>45508</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32658-2021</t>
        </is>
      </c>
      <c r="B356" s="1" t="n">
        <v>44371</v>
      </c>
      <c r="C356" s="1" t="n">
        <v>45508</v>
      </c>
      <c r="D356" t="inlineStr">
        <is>
          <t>VÄSTERBOTTENS LÄN</t>
        </is>
      </c>
      <c r="E356" t="inlineStr">
        <is>
          <t>VILHELMINA</t>
        </is>
      </c>
      <c r="G356" t="n">
        <v>2.2</v>
      </c>
      <c r="H356" t="n">
        <v>0</v>
      </c>
      <c r="I356" t="n">
        <v>0</v>
      </c>
      <c r="J356" t="n">
        <v>0</v>
      </c>
      <c r="K356" t="n">
        <v>0</v>
      </c>
      <c r="L356" t="n">
        <v>0</v>
      </c>
      <c r="M356" t="n">
        <v>0</v>
      </c>
      <c r="N356" t="n">
        <v>0</v>
      </c>
      <c r="O356" t="n">
        <v>0</v>
      </c>
      <c r="P356" t="n">
        <v>0</v>
      </c>
      <c r="Q356" t="n">
        <v>0</v>
      </c>
      <c r="R356" s="2" t="inlineStr"/>
    </row>
    <row r="357" ht="15" customHeight="1">
      <c r="A357" t="inlineStr">
        <is>
          <t>A 32655-2021</t>
        </is>
      </c>
      <c r="B357" s="1" t="n">
        <v>44371</v>
      </c>
      <c r="C357" s="1" t="n">
        <v>45508</v>
      </c>
      <c r="D357" t="inlineStr">
        <is>
          <t>VÄSTERBOTTENS LÄN</t>
        </is>
      </c>
      <c r="E357" t="inlineStr">
        <is>
          <t>VILHELMINA</t>
        </is>
      </c>
      <c r="G357" t="n">
        <v>0.2</v>
      </c>
      <c r="H357" t="n">
        <v>0</v>
      </c>
      <c r="I357" t="n">
        <v>0</v>
      </c>
      <c r="J357" t="n">
        <v>0</v>
      </c>
      <c r="K357" t="n">
        <v>0</v>
      </c>
      <c r="L357" t="n">
        <v>0</v>
      </c>
      <c r="M357" t="n">
        <v>0</v>
      </c>
      <c r="N357" t="n">
        <v>0</v>
      </c>
      <c r="O357" t="n">
        <v>0</v>
      </c>
      <c r="P357" t="n">
        <v>0</v>
      </c>
      <c r="Q357" t="n">
        <v>0</v>
      </c>
      <c r="R357" s="2" t="inlineStr"/>
    </row>
    <row r="358" ht="15" customHeight="1">
      <c r="A358" t="inlineStr">
        <is>
          <t>A 31656-2021</t>
        </is>
      </c>
      <c r="B358" s="1" t="n">
        <v>44377</v>
      </c>
      <c r="C358" s="1" t="n">
        <v>45508</v>
      </c>
      <c r="D358" t="inlineStr">
        <is>
          <t>VÄSTERBOTTENS LÄN</t>
        </is>
      </c>
      <c r="E358" t="inlineStr">
        <is>
          <t>VILHELMINA</t>
        </is>
      </c>
      <c r="G358" t="n">
        <v>0.9</v>
      </c>
      <c r="H358" t="n">
        <v>0</v>
      </c>
      <c r="I358" t="n">
        <v>0</v>
      </c>
      <c r="J358" t="n">
        <v>0</v>
      </c>
      <c r="K358" t="n">
        <v>0</v>
      </c>
      <c r="L358" t="n">
        <v>0</v>
      </c>
      <c r="M358" t="n">
        <v>0</v>
      </c>
      <c r="N358" t="n">
        <v>0</v>
      </c>
      <c r="O358" t="n">
        <v>0</v>
      </c>
      <c r="P358" t="n">
        <v>0</v>
      </c>
      <c r="Q358" t="n">
        <v>0</v>
      </c>
      <c r="R358" s="2" t="inlineStr"/>
    </row>
    <row r="359" ht="15" customHeight="1">
      <c r="A359" t="inlineStr">
        <is>
          <t>A 33636-2021</t>
        </is>
      </c>
      <c r="B359" s="1" t="n">
        <v>44378</v>
      </c>
      <c r="C359" s="1" t="n">
        <v>45508</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34394-2021</t>
        </is>
      </c>
      <c r="B360" s="1" t="n">
        <v>44379</v>
      </c>
      <c r="C360" s="1" t="n">
        <v>45508</v>
      </c>
      <c r="D360" t="inlineStr">
        <is>
          <t>VÄSTERBOTTENS LÄN</t>
        </is>
      </c>
      <c r="E360" t="inlineStr">
        <is>
          <t>VILHELMINA</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34808-2021</t>
        </is>
      </c>
      <c r="B361" s="1" t="n">
        <v>44382</v>
      </c>
      <c r="C361" s="1" t="n">
        <v>45508</v>
      </c>
      <c r="D361" t="inlineStr">
        <is>
          <t>VÄSTERBOTTENS LÄN</t>
        </is>
      </c>
      <c r="E361" t="inlineStr">
        <is>
          <t>VILHELMINA</t>
        </is>
      </c>
      <c r="F361" t="inlineStr">
        <is>
          <t>Allmännings- och besparingsskogar</t>
        </is>
      </c>
      <c r="G361" t="n">
        <v>20.6</v>
      </c>
      <c r="H361" t="n">
        <v>0</v>
      </c>
      <c r="I361" t="n">
        <v>0</v>
      </c>
      <c r="J361" t="n">
        <v>0</v>
      </c>
      <c r="K361" t="n">
        <v>0</v>
      </c>
      <c r="L361" t="n">
        <v>0</v>
      </c>
      <c r="M361" t="n">
        <v>0</v>
      </c>
      <c r="N361" t="n">
        <v>0</v>
      </c>
      <c r="O361" t="n">
        <v>0</v>
      </c>
      <c r="P361" t="n">
        <v>0</v>
      </c>
      <c r="Q361" t="n">
        <v>0</v>
      </c>
      <c r="R361" s="2" t="inlineStr"/>
    </row>
    <row r="362" ht="15" customHeight="1">
      <c r="A362" t="inlineStr">
        <is>
          <t>A 35876-2021</t>
        </is>
      </c>
      <c r="B362" s="1" t="n">
        <v>44386</v>
      </c>
      <c r="C362" s="1" t="n">
        <v>45508</v>
      </c>
      <c r="D362" t="inlineStr">
        <is>
          <t>VÄSTERBOTTENS LÄN</t>
        </is>
      </c>
      <c r="E362" t="inlineStr">
        <is>
          <t>VILHELMINA</t>
        </is>
      </c>
      <c r="F362" t="inlineStr">
        <is>
          <t>SCA</t>
        </is>
      </c>
      <c r="G362" t="n">
        <v>6.5</v>
      </c>
      <c r="H362" t="n">
        <v>0</v>
      </c>
      <c r="I362" t="n">
        <v>0</v>
      </c>
      <c r="J362" t="n">
        <v>0</v>
      </c>
      <c r="K362" t="n">
        <v>0</v>
      </c>
      <c r="L362" t="n">
        <v>0</v>
      </c>
      <c r="M362" t="n">
        <v>0</v>
      </c>
      <c r="N362" t="n">
        <v>0</v>
      </c>
      <c r="O362" t="n">
        <v>0</v>
      </c>
      <c r="P362" t="n">
        <v>0</v>
      </c>
      <c r="Q362" t="n">
        <v>0</v>
      </c>
      <c r="R362" s="2" t="inlineStr"/>
    </row>
    <row r="363" ht="15" customHeight="1">
      <c r="A363" t="inlineStr">
        <is>
          <t>A 36139-2021</t>
        </is>
      </c>
      <c r="B363" s="1" t="n">
        <v>44389</v>
      </c>
      <c r="C363" s="1" t="n">
        <v>45508</v>
      </c>
      <c r="D363" t="inlineStr">
        <is>
          <t>VÄSTERBOTTENS LÄN</t>
        </is>
      </c>
      <c r="E363" t="inlineStr">
        <is>
          <t>VILHELMINA</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36142-2021</t>
        </is>
      </c>
      <c r="B364" s="1" t="n">
        <v>44389</v>
      </c>
      <c r="C364" s="1" t="n">
        <v>45508</v>
      </c>
      <c r="D364" t="inlineStr">
        <is>
          <t>VÄSTERBOTTENS LÄN</t>
        </is>
      </c>
      <c r="E364" t="inlineStr">
        <is>
          <t>VILHELMINA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36147-2021</t>
        </is>
      </c>
      <c r="B365" s="1" t="n">
        <v>44389</v>
      </c>
      <c r="C365" s="1" t="n">
        <v>45508</v>
      </c>
      <c r="D365" t="inlineStr">
        <is>
          <t>VÄSTERBOTTENS LÄN</t>
        </is>
      </c>
      <c r="E365" t="inlineStr">
        <is>
          <t>VILHELMINA</t>
        </is>
      </c>
      <c r="F365" t="inlineStr">
        <is>
          <t>Sveaskog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36288-2021</t>
        </is>
      </c>
      <c r="B366" s="1" t="n">
        <v>44389</v>
      </c>
      <c r="C366" s="1" t="n">
        <v>45508</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45508</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38327-2021</t>
        </is>
      </c>
      <c r="B368" s="1" t="n">
        <v>44406</v>
      </c>
      <c r="C368" s="1" t="n">
        <v>45508</v>
      </c>
      <c r="D368" t="inlineStr">
        <is>
          <t>VÄSTERBOTTENS LÄN</t>
        </is>
      </c>
      <c r="E368" t="inlineStr">
        <is>
          <t>VILHELMINA</t>
        </is>
      </c>
      <c r="G368" t="n">
        <v>0.4</v>
      </c>
      <c r="H368" t="n">
        <v>0</v>
      </c>
      <c r="I368" t="n">
        <v>0</v>
      </c>
      <c r="J368" t="n">
        <v>0</v>
      </c>
      <c r="K368" t="n">
        <v>0</v>
      </c>
      <c r="L368" t="n">
        <v>0</v>
      </c>
      <c r="M368" t="n">
        <v>0</v>
      </c>
      <c r="N368" t="n">
        <v>0</v>
      </c>
      <c r="O368" t="n">
        <v>0</v>
      </c>
      <c r="P368" t="n">
        <v>0</v>
      </c>
      <c r="Q368" t="n">
        <v>0</v>
      </c>
      <c r="R368" s="2" t="inlineStr"/>
    </row>
    <row r="369" ht="15" customHeight="1">
      <c r="A369" t="inlineStr">
        <is>
          <t>A 39186-2021</t>
        </is>
      </c>
      <c r="B369" s="1" t="n">
        <v>44412</v>
      </c>
      <c r="C369" s="1" t="n">
        <v>45508</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40470-2021</t>
        </is>
      </c>
      <c r="B370" s="1" t="n">
        <v>44420</v>
      </c>
      <c r="C370" s="1" t="n">
        <v>45508</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40471-2021</t>
        </is>
      </c>
      <c r="B371" s="1" t="n">
        <v>44420</v>
      </c>
      <c r="C371" s="1" t="n">
        <v>45508</v>
      </c>
      <c r="D371" t="inlineStr">
        <is>
          <t>VÄSTERBOTTENS LÄN</t>
        </is>
      </c>
      <c r="E371" t="inlineStr">
        <is>
          <t>VILHELMINA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40477-2021</t>
        </is>
      </c>
      <c r="B372" s="1" t="n">
        <v>44420</v>
      </c>
      <c r="C372" s="1" t="n">
        <v>45508</v>
      </c>
      <c r="D372" t="inlineStr">
        <is>
          <t>VÄSTERBOTTENS LÄN</t>
        </is>
      </c>
      <c r="E372" t="inlineStr">
        <is>
          <t>VILHELMINA</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40468-2021</t>
        </is>
      </c>
      <c r="B373" s="1" t="n">
        <v>44420</v>
      </c>
      <c r="C373" s="1" t="n">
        <v>45508</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40476-2021</t>
        </is>
      </c>
      <c r="B374" s="1" t="n">
        <v>44420</v>
      </c>
      <c r="C374" s="1" t="n">
        <v>45508</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40469-2021</t>
        </is>
      </c>
      <c r="B375" s="1" t="n">
        <v>44420</v>
      </c>
      <c r="C375" s="1" t="n">
        <v>45508</v>
      </c>
      <c r="D375" t="inlineStr">
        <is>
          <t>VÄSTERBOTTENS LÄN</t>
        </is>
      </c>
      <c r="E375" t="inlineStr">
        <is>
          <t>VILHELMINA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40474-2021</t>
        </is>
      </c>
      <c r="B376" s="1" t="n">
        <v>44420</v>
      </c>
      <c r="C376" s="1" t="n">
        <v>45508</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40472-2021</t>
        </is>
      </c>
      <c r="B377" s="1" t="n">
        <v>44419</v>
      </c>
      <c r="C377" s="1" t="n">
        <v>45508</v>
      </c>
      <c r="D377" t="inlineStr">
        <is>
          <t>VÄSTERBOTTENS LÄN</t>
        </is>
      </c>
      <c r="E377" t="inlineStr">
        <is>
          <t>VILHELMINA</t>
        </is>
      </c>
      <c r="F377" t="inlineStr">
        <is>
          <t>SCA</t>
        </is>
      </c>
      <c r="G377" t="n">
        <v>16.3</v>
      </c>
      <c r="H377" t="n">
        <v>0</v>
      </c>
      <c r="I377" t="n">
        <v>0</v>
      </c>
      <c r="J377" t="n">
        <v>0</v>
      </c>
      <c r="K377" t="n">
        <v>0</v>
      </c>
      <c r="L377" t="n">
        <v>0</v>
      </c>
      <c r="M377" t="n">
        <v>0</v>
      </c>
      <c r="N377" t="n">
        <v>0</v>
      </c>
      <c r="O377" t="n">
        <v>0</v>
      </c>
      <c r="P377" t="n">
        <v>0</v>
      </c>
      <c r="Q377" t="n">
        <v>0</v>
      </c>
      <c r="R377" s="2" t="inlineStr"/>
    </row>
    <row r="378" ht="15" customHeight="1">
      <c r="A378" t="inlineStr">
        <is>
          <t>A 42153-2021</t>
        </is>
      </c>
      <c r="B378" s="1" t="n">
        <v>44426</v>
      </c>
      <c r="C378" s="1" t="n">
        <v>45508</v>
      </c>
      <c r="D378" t="inlineStr">
        <is>
          <t>VÄSTERBOTTENS LÄN</t>
        </is>
      </c>
      <c r="E378" t="inlineStr">
        <is>
          <t>VILHELMINA</t>
        </is>
      </c>
      <c r="F378" t="inlineStr">
        <is>
          <t>Sveaskog</t>
        </is>
      </c>
      <c r="G378" t="n">
        <v>11.5</v>
      </c>
      <c r="H378" t="n">
        <v>0</v>
      </c>
      <c r="I378" t="n">
        <v>0</v>
      </c>
      <c r="J378" t="n">
        <v>0</v>
      </c>
      <c r="K378" t="n">
        <v>0</v>
      </c>
      <c r="L378" t="n">
        <v>0</v>
      </c>
      <c r="M378" t="n">
        <v>0</v>
      </c>
      <c r="N378" t="n">
        <v>0</v>
      </c>
      <c r="O378" t="n">
        <v>0</v>
      </c>
      <c r="P378" t="n">
        <v>0</v>
      </c>
      <c r="Q378" t="n">
        <v>0</v>
      </c>
      <c r="R378" s="2" t="inlineStr"/>
    </row>
    <row r="379" ht="15" customHeight="1">
      <c r="A379" t="inlineStr">
        <is>
          <t>A 43755-2021</t>
        </is>
      </c>
      <c r="B379" s="1" t="n">
        <v>44433</v>
      </c>
      <c r="C379" s="1" t="n">
        <v>45508</v>
      </c>
      <c r="D379" t="inlineStr">
        <is>
          <t>VÄSTERBOTTENS LÄN</t>
        </is>
      </c>
      <c r="E379" t="inlineStr">
        <is>
          <t>VILHELMINA</t>
        </is>
      </c>
      <c r="F379" t="inlineStr">
        <is>
          <t>Sveaskog</t>
        </is>
      </c>
      <c r="G379" t="n">
        <v>10.4</v>
      </c>
      <c r="H379" t="n">
        <v>0</v>
      </c>
      <c r="I379" t="n">
        <v>0</v>
      </c>
      <c r="J379" t="n">
        <v>0</v>
      </c>
      <c r="K379" t="n">
        <v>0</v>
      </c>
      <c r="L379" t="n">
        <v>0</v>
      </c>
      <c r="M379" t="n">
        <v>0</v>
      </c>
      <c r="N379" t="n">
        <v>0</v>
      </c>
      <c r="O379" t="n">
        <v>0</v>
      </c>
      <c r="P379" t="n">
        <v>0</v>
      </c>
      <c r="Q379" t="n">
        <v>0</v>
      </c>
      <c r="R379" s="2" t="inlineStr"/>
    </row>
    <row r="380" ht="15" customHeight="1">
      <c r="A380" t="inlineStr">
        <is>
          <t>A 44136-2021</t>
        </is>
      </c>
      <c r="B380" s="1" t="n">
        <v>44434</v>
      </c>
      <c r="C380" s="1" t="n">
        <v>45508</v>
      </c>
      <c r="D380" t="inlineStr">
        <is>
          <t>VÄSTERBOTTENS LÄN</t>
        </is>
      </c>
      <c r="E380" t="inlineStr">
        <is>
          <t>VILHELMINA</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44238-2021</t>
        </is>
      </c>
      <c r="B381" s="1" t="n">
        <v>44434</v>
      </c>
      <c r="C381" s="1" t="n">
        <v>45508</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44239-2021</t>
        </is>
      </c>
      <c r="B382" s="1" t="n">
        <v>44434</v>
      </c>
      <c r="C382" s="1" t="n">
        <v>45508</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44714-2021</t>
        </is>
      </c>
      <c r="B383" s="1" t="n">
        <v>44435</v>
      </c>
      <c r="C383" s="1" t="n">
        <v>45508</v>
      </c>
      <c r="D383" t="inlineStr">
        <is>
          <t>VÄSTERBOTTENS LÄN</t>
        </is>
      </c>
      <c r="E383" t="inlineStr">
        <is>
          <t>VILHELMINA</t>
        </is>
      </c>
      <c r="G383" t="n">
        <v>4.3</v>
      </c>
      <c r="H383" t="n">
        <v>0</v>
      </c>
      <c r="I383" t="n">
        <v>0</v>
      </c>
      <c r="J383" t="n">
        <v>0</v>
      </c>
      <c r="K383" t="n">
        <v>0</v>
      </c>
      <c r="L383" t="n">
        <v>0</v>
      </c>
      <c r="M383" t="n">
        <v>0</v>
      </c>
      <c r="N383" t="n">
        <v>0</v>
      </c>
      <c r="O383" t="n">
        <v>0</v>
      </c>
      <c r="P383" t="n">
        <v>0</v>
      </c>
      <c r="Q383" t="n">
        <v>0</v>
      </c>
      <c r="R383" s="2" t="inlineStr"/>
    </row>
    <row r="384" ht="15" customHeight="1">
      <c r="A384" t="inlineStr">
        <is>
          <t>A 46046-2021</t>
        </is>
      </c>
      <c r="B384" s="1" t="n">
        <v>44442</v>
      </c>
      <c r="C384" s="1" t="n">
        <v>45508</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46045-2021</t>
        </is>
      </c>
      <c r="B385" s="1" t="n">
        <v>44442</v>
      </c>
      <c r="C385" s="1" t="n">
        <v>45508</v>
      </c>
      <c r="D385" t="inlineStr">
        <is>
          <t>VÄSTERBOTTENS LÄN</t>
        </is>
      </c>
      <c r="E385" t="inlineStr">
        <is>
          <t>VILHELMINA</t>
        </is>
      </c>
      <c r="F385" t="inlineStr">
        <is>
          <t>SCA</t>
        </is>
      </c>
      <c r="G385" t="n">
        <v>7.8</v>
      </c>
      <c r="H385" t="n">
        <v>0</v>
      </c>
      <c r="I385" t="n">
        <v>0</v>
      </c>
      <c r="J385" t="n">
        <v>0</v>
      </c>
      <c r="K385" t="n">
        <v>0</v>
      </c>
      <c r="L385" t="n">
        <v>0</v>
      </c>
      <c r="M385" t="n">
        <v>0</v>
      </c>
      <c r="N385" t="n">
        <v>0</v>
      </c>
      <c r="O385" t="n">
        <v>0</v>
      </c>
      <c r="P385" t="n">
        <v>0</v>
      </c>
      <c r="Q385" t="n">
        <v>0</v>
      </c>
      <c r="R385" s="2" t="inlineStr"/>
    </row>
    <row r="386" ht="15" customHeight="1">
      <c r="A386" t="inlineStr">
        <is>
          <t>A 46372-2021</t>
        </is>
      </c>
      <c r="B386" s="1" t="n">
        <v>44443</v>
      </c>
      <c r="C386" s="1" t="n">
        <v>45508</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46375-2021</t>
        </is>
      </c>
      <c r="B387" s="1" t="n">
        <v>44442</v>
      </c>
      <c r="C387" s="1" t="n">
        <v>45508</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47151-2021</t>
        </is>
      </c>
      <c r="B388" s="1" t="n">
        <v>44447</v>
      </c>
      <c r="C388" s="1" t="n">
        <v>45508</v>
      </c>
      <c r="D388" t="inlineStr">
        <is>
          <t>VÄSTERBOTTENS LÄN</t>
        </is>
      </c>
      <c r="E388" t="inlineStr">
        <is>
          <t>VILHELMINA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48754-2021</t>
        </is>
      </c>
      <c r="B389" s="1" t="n">
        <v>44452</v>
      </c>
      <c r="C389" s="1" t="n">
        <v>45508</v>
      </c>
      <c r="D389" t="inlineStr">
        <is>
          <t>VÄSTERBOTTENS LÄN</t>
        </is>
      </c>
      <c r="E389" t="inlineStr">
        <is>
          <t>VILHELMINA</t>
        </is>
      </c>
      <c r="G389" t="n">
        <v>5.6</v>
      </c>
      <c r="H389" t="n">
        <v>0</v>
      </c>
      <c r="I389" t="n">
        <v>0</v>
      </c>
      <c r="J389" t="n">
        <v>0</v>
      </c>
      <c r="K389" t="n">
        <v>0</v>
      </c>
      <c r="L389" t="n">
        <v>0</v>
      </c>
      <c r="M389" t="n">
        <v>0</v>
      </c>
      <c r="N389" t="n">
        <v>0</v>
      </c>
      <c r="O389" t="n">
        <v>0</v>
      </c>
      <c r="P389" t="n">
        <v>0</v>
      </c>
      <c r="Q389" t="n">
        <v>0</v>
      </c>
      <c r="R389" s="2" t="inlineStr"/>
    </row>
    <row r="390" ht="15" customHeight="1">
      <c r="A390" t="inlineStr">
        <is>
          <t>A 48600-2021</t>
        </is>
      </c>
      <c r="B390" s="1" t="n">
        <v>44452</v>
      </c>
      <c r="C390" s="1" t="n">
        <v>45508</v>
      </c>
      <c r="D390" t="inlineStr">
        <is>
          <t>VÄSTERBOTTENS LÄN</t>
        </is>
      </c>
      <c r="E390" t="inlineStr">
        <is>
          <t>VILHELMINA</t>
        </is>
      </c>
      <c r="F390" t="inlineStr">
        <is>
          <t>Allmännings- och besparingsskogar</t>
        </is>
      </c>
      <c r="G390" t="n">
        <v>48.6</v>
      </c>
      <c r="H390" t="n">
        <v>0</v>
      </c>
      <c r="I390" t="n">
        <v>0</v>
      </c>
      <c r="J390" t="n">
        <v>0</v>
      </c>
      <c r="K390" t="n">
        <v>0</v>
      </c>
      <c r="L390" t="n">
        <v>0</v>
      </c>
      <c r="M390" t="n">
        <v>0</v>
      </c>
      <c r="N390" t="n">
        <v>0</v>
      </c>
      <c r="O390" t="n">
        <v>0</v>
      </c>
      <c r="P390" t="n">
        <v>0</v>
      </c>
      <c r="Q390" t="n">
        <v>0</v>
      </c>
      <c r="R390" s="2" t="inlineStr"/>
    </row>
    <row r="391" ht="15" customHeight="1">
      <c r="A391" t="inlineStr">
        <is>
          <t>A 48756-2021</t>
        </is>
      </c>
      <c r="B391" s="1" t="n">
        <v>44452</v>
      </c>
      <c r="C391" s="1" t="n">
        <v>45508</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48783-2021</t>
        </is>
      </c>
      <c r="B392" s="1" t="n">
        <v>44452</v>
      </c>
      <c r="C392" s="1" t="n">
        <v>45508</v>
      </c>
      <c r="D392" t="inlineStr">
        <is>
          <t>VÄSTERBOTTENS LÄN</t>
        </is>
      </c>
      <c r="E392" t="inlineStr">
        <is>
          <t>VILHELMINA</t>
        </is>
      </c>
      <c r="F392" t="inlineStr">
        <is>
          <t>Allmännings- och besparingsskogar</t>
        </is>
      </c>
      <c r="G392" t="n">
        <v>9.5</v>
      </c>
      <c r="H392" t="n">
        <v>0</v>
      </c>
      <c r="I392" t="n">
        <v>0</v>
      </c>
      <c r="J392" t="n">
        <v>0</v>
      </c>
      <c r="K392" t="n">
        <v>0</v>
      </c>
      <c r="L392" t="n">
        <v>0</v>
      </c>
      <c r="M392" t="n">
        <v>0</v>
      </c>
      <c r="N392" t="n">
        <v>0</v>
      </c>
      <c r="O392" t="n">
        <v>0</v>
      </c>
      <c r="P392" t="n">
        <v>0</v>
      </c>
      <c r="Q392" t="n">
        <v>0</v>
      </c>
      <c r="R392" s="2" t="inlineStr"/>
    </row>
    <row r="393" ht="15" customHeight="1">
      <c r="A393" t="inlineStr">
        <is>
          <t>A 48574-2021</t>
        </is>
      </c>
      <c r="B393" s="1" t="n">
        <v>44452</v>
      </c>
      <c r="C393" s="1" t="n">
        <v>45508</v>
      </c>
      <c r="D393" t="inlineStr">
        <is>
          <t>VÄSTERBOTTENS LÄN</t>
        </is>
      </c>
      <c r="E393" t="inlineStr">
        <is>
          <t>VILHELMINA</t>
        </is>
      </c>
      <c r="F393" t="inlineStr">
        <is>
          <t>Allmännings- och besparingsskogar</t>
        </is>
      </c>
      <c r="G393" t="n">
        <v>85.09999999999999</v>
      </c>
      <c r="H393" t="n">
        <v>0</v>
      </c>
      <c r="I393" t="n">
        <v>0</v>
      </c>
      <c r="J393" t="n">
        <v>0</v>
      </c>
      <c r="K393" t="n">
        <v>0</v>
      </c>
      <c r="L393" t="n">
        <v>0</v>
      </c>
      <c r="M393" t="n">
        <v>0</v>
      </c>
      <c r="N393" t="n">
        <v>0</v>
      </c>
      <c r="O393" t="n">
        <v>0</v>
      </c>
      <c r="P393" t="n">
        <v>0</v>
      </c>
      <c r="Q393" t="n">
        <v>0</v>
      </c>
      <c r="R393" s="2" t="inlineStr"/>
    </row>
    <row r="394" ht="15" customHeight="1">
      <c r="A394" t="inlineStr">
        <is>
          <t>A 49063-2021</t>
        </is>
      </c>
      <c r="B394" s="1" t="n">
        <v>44453</v>
      </c>
      <c r="C394" s="1" t="n">
        <v>45508</v>
      </c>
      <c r="D394" t="inlineStr">
        <is>
          <t>VÄSTERBOTTENS LÄN</t>
        </is>
      </c>
      <c r="E394" t="inlineStr">
        <is>
          <t>VILHELMINA</t>
        </is>
      </c>
      <c r="F394" t="inlineStr">
        <is>
          <t>Övriga statliga verk och myndigheter</t>
        </is>
      </c>
      <c r="G394" t="n">
        <v>42.7</v>
      </c>
      <c r="H394" t="n">
        <v>0</v>
      </c>
      <c r="I394" t="n">
        <v>0</v>
      </c>
      <c r="J394" t="n">
        <v>0</v>
      </c>
      <c r="K394" t="n">
        <v>0</v>
      </c>
      <c r="L394" t="n">
        <v>0</v>
      </c>
      <c r="M394" t="n">
        <v>0</v>
      </c>
      <c r="N394" t="n">
        <v>0</v>
      </c>
      <c r="O394" t="n">
        <v>0</v>
      </c>
      <c r="P394" t="n">
        <v>0</v>
      </c>
      <c r="Q394" t="n">
        <v>0</v>
      </c>
      <c r="R394" s="2" t="inlineStr"/>
    </row>
    <row r="395" ht="15" customHeight="1">
      <c r="A395" t="inlineStr">
        <is>
          <t>A 50635-2021</t>
        </is>
      </c>
      <c r="B395" s="1" t="n">
        <v>44459</v>
      </c>
      <c r="C395" s="1" t="n">
        <v>45508</v>
      </c>
      <c r="D395" t="inlineStr">
        <is>
          <t>VÄSTERBOTTENS LÄN</t>
        </is>
      </c>
      <c r="E395" t="inlineStr">
        <is>
          <t>VILHELMINA</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51016-2021</t>
        </is>
      </c>
      <c r="B396" s="1" t="n">
        <v>44461</v>
      </c>
      <c r="C396" s="1" t="n">
        <v>45508</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51018-2021</t>
        </is>
      </c>
      <c r="B397" s="1" t="n">
        <v>44461</v>
      </c>
      <c r="C397" s="1" t="n">
        <v>45508</v>
      </c>
      <c r="D397" t="inlineStr">
        <is>
          <t>VÄSTERBOTTENS LÄN</t>
        </is>
      </c>
      <c r="E397" t="inlineStr">
        <is>
          <t>VILHELMINA</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51935-2021</t>
        </is>
      </c>
      <c r="B398" s="1" t="n">
        <v>44462</v>
      </c>
      <c r="C398" s="1" t="n">
        <v>45508</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51933-2021</t>
        </is>
      </c>
      <c r="B399" s="1" t="n">
        <v>44463</v>
      </c>
      <c r="C399" s="1" t="n">
        <v>45508</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53958-2021</t>
        </is>
      </c>
      <c r="B400" s="1" t="n">
        <v>44469</v>
      </c>
      <c r="C400" s="1" t="n">
        <v>45508</v>
      </c>
      <c r="D400" t="inlineStr">
        <is>
          <t>VÄSTERBOTTENS LÄN</t>
        </is>
      </c>
      <c r="E400" t="inlineStr">
        <is>
          <t>VILHELMINA</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53987-2021</t>
        </is>
      </c>
      <c r="B401" s="1" t="n">
        <v>44470</v>
      </c>
      <c r="C401" s="1" t="n">
        <v>45508</v>
      </c>
      <c r="D401" t="inlineStr">
        <is>
          <t>VÄSTERBOTTENS LÄN</t>
        </is>
      </c>
      <c r="E401" t="inlineStr">
        <is>
          <t>VILHELMINA</t>
        </is>
      </c>
      <c r="F401" t="inlineStr">
        <is>
          <t>Kommuner</t>
        </is>
      </c>
      <c r="G401" t="n">
        <v>10</v>
      </c>
      <c r="H401" t="n">
        <v>0</v>
      </c>
      <c r="I401" t="n">
        <v>0</v>
      </c>
      <c r="J401" t="n">
        <v>0</v>
      </c>
      <c r="K401" t="n">
        <v>0</v>
      </c>
      <c r="L401" t="n">
        <v>0</v>
      </c>
      <c r="M401" t="n">
        <v>0</v>
      </c>
      <c r="N401" t="n">
        <v>0</v>
      </c>
      <c r="O401" t="n">
        <v>0</v>
      </c>
      <c r="P401" t="n">
        <v>0</v>
      </c>
      <c r="Q401" t="n">
        <v>0</v>
      </c>
      <c r="R401" s="2" t="inlineStr"/>
    </row>
    <row r="402" ht="15" customHeight="1">
      <c r="A402" t="inlineStr">
        <is>
          <t>A 54765-2021</t>
        </is>
      </c>
      <c r="B402" s="1" t="n">
        <v>44473</v>
      </c>
      <c r="C402" s="1" t="n">
        <v>45508</v>
      </c>
      <c r="D402" t="inlineStr">
        <is>
          <t>VÄSTERBOTTENS LÄN</t>
        </is>
      </c>
      <c r="E402" t="inlineStr">
        <is>
          <t>VILHELMINA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55929-2021</t>
        </is>
      </c>
      <c r="B403" s="1" t="n">
        <v>44476</v>
      </c>
      <c r="C403" s="1" t="n">
        <v>45508</v>
      </c>
      <c r="D403" t="inlineStr">
        <is>
          <t>VÄSTERBOTTENS LÄN</t>
        </is>
      </c>
      <c r="E403" t="inlineStr">
        <is>
          <t>VILHELMINA</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55931-2021</t>
        </is>
      </c>
      <c r="B404" s="1" t="n">
        <v>44476</v>
      </c>
      <c r="C404" s="1" t="n">
        <v>45508</v>
      </c>
      <c r="D404" t="inlineStr">
        <is>
          <t>VÄSTERBOTTENS LÄN</t>
        </is>
      </c>
      <c r="E404" t="inlineStr">
        <is>
          <t>VILHELMINA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56947-2021</t>
        </is>
      </c>
      <c r="B405" s="1" t="n">
        <v>44481</v>
      </c>
      <c r="C405" s="1" t="n">
        <v>45508</v>
      </c>
      <c r="D405" t="inlineStr">
        <is>
          <t>VÄSTERBOTTENS LÄN</t>
        </is>
      </c>
      <c r="E405" t="inlineStr">
        <is>
          <t>VILHELMINA</t>
        </is>
      </c>
      <c r="F405" t="inlineStr">
        <is>
          <t>Övriga statliga verk och myndigheter</t>
        </is>
      </c>
      <c r="G405" t="n">
        <v>22.3</v>
      </c>
      <c r="H405" t="n">
        <v>0</v>
      </c>
      <c r="I405" t="n">
        <v>0</v>
      </c>
      <c r="J405" t="n">
        <v>0</v>
      </c>
      <c r="K405" t="n">
        <v>0</v>
      </c>
      <c r="L405" t="n">
        <v>0</v>
      </c>
      <c r="M405" t="n">
        <v>0</v>
      </c>
      <c r="N405" t="n">
        <v>0</v>
      </c>
      <c r="O405" t="n">
        <v>0</v>
      </c>
      <c r="P405" t="n">
        <v>0</v>
      </c>
      <c r="Q405" t="n">
        <v>0</v>
      </c>
      <c r="R405" s="2" t="inlineStr"/>
    </row>
    <row r="406" ht="15" customHeight="1">
      <c r="A406" t="inlineStr">
        <is>
          <t>A 57086-2021</t>
        </is>
      </c>
      <c r="B406" s="1" t="n">
        <v>44482</v>
      </c>
      <c r="C406" s="1" t="n">
        <v>45508</v>
      </c>
      <c r="D406" t="inlineStr">
        <is>
          <t>VÄSTERBOTTENS LÄN</t>
        </is>
      </c>
      <c r="E406" t="inlineStr">
        <is>
          <t>VILHELMINA</t>
        </is>
      </c>
      <c r="G406" t="n">
        <v>1.5</v>
      </c>
      <c r="H406" t="n">
        <v>0</v>
      </c>
      <c r="I406" t="n">
        <v>0</v>
      </c>
      <c r="J406" t="n">
        <v>0</v>
      </c>
      <c r="K406" t="n">
        <v>0</v>
      </c>
      <c r="L406" t="n">
        <v>0</v>
      </c>
      <c r="M406" t="n">
        <v>0</v>
      </c>
      <c r="N406" t="n">
        <v>0</v>
      </c>
      <c r="O406" t="n">
        <v>0</v>
      </c>
      <c r="P406" t="n">
        <v>0</v>
      </c>
      <c r="Q406" t="n">
        <v>0</v>
      </c>
      <c r="R406" s="2" t="inlineStr"/>
    </row>
    <row r="407" ht="15" customHeight="1">
      <c r="A407" t="inlineStr">
        <is>
          <t>A 57167-2021</t>
        </is>
      </c>
      <c r="B407" s="1" t="n">
        <v>44482</v>
      </c>
      <c r="C407" s="1" t="n">
        <v>45508</v>
      </c>
      <c r="D407" t="inlineStr">
        <is>
          <t>VÄSTERBOTTENS LÄN</t>
        </is>
      </c>
      <c r="E407" t="inlineStr">
        <is>
          <t>VILHELMINA</t>
        </is>
      </c>
      <c r="F407" t="inlineStr">
        <is>
          <t>Kommuner</t>
        </is>
      </c>
      <c r="G407" t="n">
        <v>4.9</v>
      </c>
      <c r="H407" t="n">
        <v>0</v>
      </c>
      <c r="I407" t="n">
        <v>0</v>
      </c>
      <c r="J407" t="n">
        <v>0</v>
      </c>
      <c r="K407" t="n">
        <v>0</v>
      </c>
      <c r="L407" t="n">
        <v>0</v>
      </c>
      <c r="M407" t="n">
        <v>0</v>
      </c>
      <c r="N407" t="n">
        <v>0</v>
      </c>
      <c r="O407" t="n">
        <v>0</v>
      </c>
      <c r="P407" t="n">
        <v>0</v>
      </c>
      <c r="Q407" t="n">
        <v>0</v>
      </c>
      <c r="R407" s="2" t="inlineStr"/>
    </row>
    <row r="408" ht="15" customHeight="1">
      <c r="A408" t="inlineStr">
        <is>
          <t>A 57166-2021</t>
        </is>
      </c>
      <c r="B408" s="1" t="n">
        <v>44482</v>
      </c>
      <c r="C408" s="1" t="n">
        <v>45508</v>
      </c>
      <c r="D408" t="inlineStr">
        <is>
          <t>VÄSTERBOTTENS LÄN</t>
        </is>
      </c>
      <c r="E408" t="inlineStr">
        <is>
          <t>VILHELMINA</t>
        </is>
      </c>
      <c r="F408" t="inlineStr">
        <is>
          <t>Kommuner</t>
        </is>
      </c>
      <c r="G408" t="n">
        <v>2.6</v>
      </c>
      <c r="H408" t="n">
        <v>0</v>
      </c>
      <c r="I408" t="n">
        <v>0</v>
      </c>
      <c r="J408" t="n">
        <v>0</v>
      </c>
      <c r="K408" t="n">
        <v>0</v>
      </c>
      <c r="L408" t="n">
        <v>0</v>
      </c>
      <c r="M408" t="n">
        <v>0</v>
      </c>
      <c r="N408" t="n">
        <v>0</v>
      </c>
      <c r="O408" t="n">
        <v>0</v>
      </c>
      <c r="P408" t="n">
        <v>0</v>
      </c>
      <c r="Q408" t="n">
        <v>0</v>
      </c>
      <c r="R408" s="2" t="inlineStr"/>
    </row>
    <row r="409" ht="15" customHeight="1">
      <c r="A409" t="inlineStr">
        <is>
          <t>A 57874-2021</t>
        </is>
      </c>
      <c r="B409" s="1" t="n">
        <v>44484</v>
      </c>
      <c r="C409" s="1" t="n">
        <v>45508</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57875-2021</t>
        </is>
      </c>
      <c r="B410" s="1" t="n">
        <v>44485</v>
      </c>
      <c r="C410" s="1" t="n">
        <v>45508</v>
      </c>
      <c r="D410" t="inlineStr">
        <is>
          <t>VÄSTERBOTTENS LÄN</t>
        </is>
      </c>
      <c r="E410" t="inlineStr">
        <is>
          <t>VILHELMINA</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58377-2021</t>
        </is>
      </c>
      <c r="B411" s="1" t="n">
        <v>44488</v>
      </c>
      <c r="C411" s="1" t="n">
        <v>45508</v>
      </c>
      <c r="D411" t="inlineStr">
        <is>
          <t>VÄSTERBOTTENS LÄN</t>
        </is>
      </c>
      <c r="E411" t="inlineStr">
        <is>
          <t>VILHELMINA</t>
        </is>
      </c>
      <c r="G411" t="n">
        <v>1.5</v>
      </c>
      <c r="H411" t="n">
        <v>0</v>
      </c>
      <c r="I411" t="n">
        <v>0</v>
      </c>
      <c r="J411" t="n">
        <v>0</v>
      </c>
      <c r="K411" t="n">
        <v>0</v>
      </c>
      <c r="L411" t="n">
        <v>0</v>
      </c>
      <c r="M411" t="n">
        <v>0</v>
      </c>
      <c r="N411" t="n">
        <v>0</v>
      </c>
      <c r="O411" t="n">
        <v>0</v>
      </c>
      <c r="P411" t="n">
        <v>0</v>
      </c>
      <c r="Q411" t="n">
        <v>0</v>
      </c>
      <c r="R411" s="2" t="inlineStr"/>
    </row>
    <row r="412" ht="15" customHeight="1">
      <c r="A412" t="inlineStr">
        <is>
          <t>A 58363-2021</t>
        </is>
      </c>
      <c r="B412" s="1" t="n">
        <v>44488</v>
      </c>
      <c r="C412" s="1" t="n">
        <v>45508</v>
      </c>
      <c r="D412" t="inlineStr">
        <is>
          <t>VÄSTERBOTTENS LÄN</t>
        </is>
      </c>
      <c r="E412" t="inlineStr">
        <is>
          <t>VILHELMINA</t>
        </is>
      </c>
      <c r="G412" t="n">
        <v>7.3</v>
      </c>
      <c r="H412" t="n">
        <v>0</v>
      </c>
      <c r="I412" t="n">
        <v>0</v>
      </c>
      <c r="J412" t="n">
        <v>0</v>
      </c>
      <c r="K412" t="n">
        <v>0</v>
      </c>
      <c r="L412" t="n">
        <v>0</v>
      </c>
      <c r="M412" t="n">
        <v>0</v>
      </c>
      <c r="N412" t="n">
        <v>0</v>
      </c>
      <c r="O412" t="n">
        <v>0</v>
      </c>
      <c r="P412" t="n">
        <v>0</v>
      </c>
      <c r="Q412" t="n">
        <v>0</v>
      </c>
      <c r="R412" s="2" t="inlineStr"/>
    </row>
    <row r="413" ht="15" customHeight="1">
      <c r="A413" t="inlineStr">
        <is>
          <t>A 58643-2021</t>
        </is>
      </c>
      <c r="B413" s="1" t="n">
        <v>44489</v>
      </c>
      <c r="C413" s="1" t="n">
        <v>45508</v>
      </c>
      <c r="D413" t="inlineStr">
        <is>
          <t>VÄSTERBOTTENS LÄN</t>
        </is>
      </c>
      <c r="E413" t="inlineStr">
        <is>
          <t>VILHELMINA</t>
        </is>
      </c>
      <c r="F413" t="inlineStr">
        <is>
          <t>Övriga Aktiebolag</t>
        </is>
      </c>
      <c r="G413" t="n">
        <v>30.4</v>
      </c>
      <c r="H413" t="n">
        <v>0</v>
      </c>
      <c r="I413" t="n">
        <v>0</v>
      </c>
      <c r="J413" t="n">
        <v>0</v>
      </c>
      <c r="K413" t="n">
        <v>0</v>
      </c>
      <c r="L413" t="n">
        <v>0</v>
      </c>
      <c r="M413" t="n">
        <v>0</v>
      </c>
      <c r="N413" t="n">
        <v>0</v>
      </c>
      <c r="O413" t="n">
        <v>0</v>
      </c>
      <c r="P413" t="n">
        <v>0</v>
      </c>
      <c r="Q413" t="n">
        <v>0</v>
      </c>
      <c r="R413" s="2" t="inlineStr"/>
    </row>
    <row r="414" ht="15" customHeight="1">
      <c r="A414" t="inlineStr">
        <is>
          <t>A 59172-2021</t>
        </is>
      </c>
      <c r="B414" s="1" t="n">
        <v>44490</v>
      </c>
      <c r="C414" s="1" t="n">
        <v>45508</v>
      </c>
      <c r="D414" t="inlineStr">
        <is>
          <t>VÄSTERBOTTENS LÄN</t>
        </is>
      </c>
      <c r="E414" t="inlineStr">
        <is>
          <t>VILHELMINA</t>
        </is>
      </c>
      <c r="G414" t="n">
        <v>11.5</v>
      </c>
      <c r="H414" t="n">
        <v>0</v>
      </c>
      <c r="I414" t="n">
        <v>0</v>
      </c>
      <c r="J414" t="n">
        <v>0</v>
      </c>
      <c r="K414" t="n">
        <v>0</v>
      </c>
      <c r="L414" t="n">
        <v>0</v>
      </c>
      <c r="M414" t="n">
        <v>0</v>
      </c>
      <c r="N414" t="n">
        <v>0</v>
      </c>
      <c r="O414" t="n">
        <v>0</v>
      </c>
      <c r="P414" t="n">
        <v>0</v>
      </c>
      <c r="Q414" t="n">
        <v>0</v>
      </c>
      <c r="R414" s="2" t="inlineStr"/>
    </row>
    <row r="415" ht="15" customHeight="1">
      <c r="A415" t="inlineStr">
        <is>
          <t>A 59330-2021</t>
        </is>
      </c>
      <c r="B415" s="1" t="n">
        <v>44491</v>
      </c>
      <c r="C415" s="1" t="n">
        <v>45508</v>
      </c>
      <c r="D415" t="inlineStr">
        <is>
          <t>VÄSTERBOTTENS LÄN</t>
        </is>
      </c>
      <c r="E415" t="inlineStr">
        <is>
          <t>VILHELMINA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60317-2021</t>
        </is>
      </c>
      <c r="B416" s="1" t="n">
        <v>44496</v>
      </c>
      <c r="C416" s="1" t="n">
        <v>45508</v>
      </c>
      <c r="D416" t="inlineStr">
        <is>
          <t>VÄSTERBOTTENS LÄN</t>
        </is>
      </c>
      <c r="E416" t="inlineStr">
        <is>
          <t>VILHELMINA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61640-2021</t>
        </is>
      </c>
      <c r="B417" s="1" t="n">
        <v>44498</v>
      </c>
      <c r="C417" s="1" t="n">
        <v>45508</v>
      </c>
      <c r="D417" t="inlineStr">
        <is>
          <t>VÄSTERBOTTENS LÄN</t>
        </is>
      </c>
      <c r="E417" t="inlineStr">
        <is>
          <t>VILHELMINA</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61475-2021</t>
        </is>
      </c>
      <c r="B418" s="1" t="n">
        <v>44500</v>
      </c>
      <c r="C418" s="1" t="n">
        <v>45508</v>
      </c>
      <c r="D418" t="inlineStr">
        <is>
          <t>VÄSTERBOTTENS LÄN</t>
        </is>
      </c>
      <c r="E418" t="inlineStr">
        <is>
          <t>VILHELMINA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61853-2021</t>
        </is>
      </c>
      <c r="B419" s="1" t="n">
        <v>44501</v>
      </c>
      <c r="C419" s="1" t="n">
        <v>45508</v>
      </c>
      <c r="D419" t="inlineStr">
        <is>
          <t>VÄSTERBOTTENS LÄN</t>
        </is>
      </c>
      <c r="E419" t="inlineStr">
        <is>
          <t>VILHELMINA</t>
        </is>
      </c>
      <c r="F419" t="inlineStr">
        <is>
          <t>SCA</t>
        </is>
      </c>
      <c r="G419" t="n">
        <v>24.8</v>
      </c>
      <c r="H419" t="n">
        <v>0</v>
      </c>
      <c r="I419" t="n">
        <v>0</v>
      </c>
      <c r="J419" t="n">
        <v>0</v>
      </c>
      <c r="K419" t="n">
        <v>0</v>
      </c>
      <c r="L419" t="n">
        <v>0</v>
      </c>
      <c r="M419" t="n">
        <v>0</v>
      </c>
      <c r="N419" t="n">
        <v>0</v>
      </c>
      <c r="O419" t="n">
        <v>0</v>
      </c>
      <c r="P419" t="n">
        <v>0</v>
      </c>
      <c r="Q419" t="n">
        <v>0</v>
      </c>
      <c r="R419" s="2" t="inlineStr"/>
    </row>
    <row r="420" ht="15" customHeight="1">
      <c r="A420" t="inlineStr">
        <is>
          <t>A 62362-2021</t>
        </is>
      </c>
      <c r="B420" s="1" t="n">
        <v>44502</v>
      </c>
      <c r="C420" s="1" t="n">
        <v>45508</v>
      </c>
      <c r="D420" t="inlineStr">
        <is>
          <t>VÄSTERBOTTENS LÄN</t>
        </is>
      </c>
      <c r="E420" t="inlineStr">
        <is>
          <t>VILHELMINA</t>
        </is>
      </c>
      <c r="G420" t="n">
        <v>8.1</v>
      </c>
      <c r="H420" t="n">
        <v>0</v>
      </c>
      <c r="I420" t="n">
        <v>0</v>
      </c>
      <c r="J420" t="n">
        <v>0</v>
      </c>
      <c r="K420" t="n">
        <v>0</v>
      </c>
      <c r="L420" t="n">
        <v>0</v>
      </c>
      <c r="M420" t="n">
        <v>0</v>
      </c>
      <c r="N420" t="n">
        <v>0</v>
      </c>
      <c r="O420" t="n">
        <v>0</v>
      </c>
      <c r="P420" t="n">
        <v>0</v>
      </c>
      <c r="Q420" t="n">
        <v>0</v>
      </c>
      <c r="R420" s="2" t="inlineStr"/>
    </row>
    <row r="421" ht="15" customHeight="1">
      <c r="A421" t="inlineStr">
        <is>
          <t>A 62658-2021</t>
        </is>
      </c>
      <c r="B421" s="1" t="n">
        <v>44503</v>
      </c>
      <c r="C421" s="1" t="n">
        <v>45508</v>
      </c>
      <c r="D421" t="inlineStr">
        <is>
          <t>VÄSTERBOTTENS LÄN</t>
        </is>
      </c>
      <c r="E421" t="inlineStr">
        <is>
          <t>VILHELMINA</t>
        </is>
      </c>
      <c r="F421" t="inlineStr">
        <is>
          <t>SCA</t>
        </is>
      </c>
      <c r="G421" t="n">
        <v>13.4</v>
      </c>
      <c r="H421" t="n">
        <v>0</v>
      </c>
      <c r="I421" t="n">
        <v>0</v>
      </c>
      <c r="J421" t="n">
        <v>0</v>
      </c>
      <c r="K421" t="n">
        <v>0</v>
      </c>
      <c r="L421" t="n">
        <v>0</v>
      </c>
      <c r="M421" t="n">
        <v>0</v>
      </c>
      <c r="N421" t="n">
        <v>0</v>
      </c>
      <c r="O421" t="n">
        <v>0</v>
      </c>
      <c r="P421" t="n">
        <v>0</v>
      </c>
      <c r="Q421" t="n">
        <v>0</v>
      </c>
      <c r="R421" s="2" t="inlineStr"/>
    </row>
    <row r="422" ht="15" customHeight="1">
      <c r="A422" t="inlineStr">
        <is>
          <t>A 63218-2021</t>
        </is>
      </c>
      <c r="B422" s="1" t="n">
        <v>44505</v>
      </c>
      <c r="C422" s="1" t="n">
        <v>45508</v>
      </c>
      <c r="D422" t="inlineStr">
        <is>
          <t>VÄSTERBOTTENS LÄN</t>
        </is>
      </c>
      <c r="E422" t="inlineStr">
        <is>
          <t>VILHELMINA</t>
        </is>
      </c>
      <c r="G422" t="n">
        <v>6.8</v>
      </c>
      <c r="H422" t="n">
        <v>0</v>
      </c>
      <c r="I422" t="n">
        <v>0</v>
      </c>
      <c r="J422" t="n">
        <v>0</v>
      </c>
      <c r="K422" t="n">
        <v>0</v>
      </c>
      <c r="L422" t="n">
        <v>0</v>
      </c>
      <c r="M422" t="n">
        <v>0</v>
      </c>
      <c r="N422" t="n">
        <v>0</v>
      </c>
      <c r="O422" t="n">
        <v>0</v>
      </c>
      <c r="P422" t="n">
        <v>0</v>
      </c>
      <c r="Q422" t="n">
        <v>0</v>
      </c>
      <c r="R422" s="2" t="inlineStr"/>
    </row>
    <row r="423" ht="15" customHeight="1">
      <c r="A423" t="inlineStr">
        <is>
          <t>A 65033-2021</t>
        </is>
      </c>
      <c r="B423" s="1" t="n">
        <v>44511</v>
      </c>
      <c r="C423" s="1" t="n">
        <v>45508</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65146-2021</t>
        </is>
      </c>
      <c r="B424" s="1" t="n">
        <v>44515</v>
      </c>
      <c r="C424" s="1" t="n">
        <v>45508</v>
      </c>
      <c r="D424" t="inlineStr">
        <is>
          <t>VÄSTERBOTTENS LÄN</t>
        </is>
      </c>
      <c r="E424" t="inlineStr">
        <is>
          <t>VILHELMINA</t>
        </is>
      </c>
      <c r="G424" t="n">
        <v>7.4</v>
      </c>
      <c r="H424" t="n">
        <v>0</v>
      </c>
      <c r="I424" t="n">
        <v>0</v>
      </c>
      <c r="J424" t="n">
        <v>0</v>
      </c>
      <c r="K424" t="n">
        <v>0</v>
      </c>
      <c r="L424" t="n">
        <v>0</v>
      </c>
      <c r="M424" t="n">
        <v>0</v>
      </c>
      <c r="N424" t="n">
        <v>0</v>
      </c>
      <c r="O424" t="n">
        <v>0</v>
      </c>
      <c r="P424" t="n">
        <v>0</v>
      </c>
      <c r="Q424" t="n">
        <v>0</v>
      </c>
      <c r="R424" s="2" t="inlineStr"/>
    </row>
    <row r="425" ht="15" customHeight="1">
      <c r="A425" t="inlineStr">
        <is>
          <t>A 65133-2021</t>
        </is>
      </c>
      <c r="B425" s="1" t="n">
        <v>44515</v>
      </c>
      <c r="C425" s="1" t="n">
        <v>45508</v>
      </c>
      <c r="D425" t="inlineStr">
        <is>
          <t>VÄSTERBOTTENS LÄN</t>
        </is>
      </c>
      <c r="E425" t="inlineStr">
        <is>
          <t>VILHELMINA</t>
        </is>
      </c>
      <c r="G425" t="n">
        <v>16.4</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45508</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65151-2021</t>
        </is>
      </c>
      <c r="B427" s="1" t="n">
        <v>44515</v>
      </c>
      <c r="C427" s="1" t="n">
        <v>45508</v>
      </c>
      <c r="D427" t="inlineStr">
        <is>
          <t>VÄSTERBOTTENS LÄN</t>
        </is>
      </c>
      <c r="E427" t="inlineStr">
        <is>
          <t>VILHELMINA</t>
        </is>
      </c>
      <c r="G427" t="n">
        <v>11.8</v>
      </c>
      <c r="H427" t="n">
        <v>0</v>
      </c>
      <c r="I427" t="n">
        <v>0</v>
      </c>
      <c r="J427" t="n">
        <v>0</v>
      </c>
      <c r="K427" t="n">
        <v>0</v>
      </c>
      <c r="L427" t="n">
        <v>0</v>
      </c>
      <c r="M427" t="n">
        <v>0</v>
      </c>
      <c r="N427" t="n">
        <v>0</v>
      </c>
      <c r="O427" t="n">
        <v>0</v>
      </c>
      <c r="P427" t="n">
        <v>0</v>
      </c>
      <c r="Q427" t="n">
        <v>0</v>
      </c>
      <c r="R427" s="2" t="inlineStr"/>
    </row>
    <row r="428" ht="15" customHeight="1">
      <c r="A428" t="inlineStr">
        <is>
          <t>A 65179-2021</t>
        </is>
      </c>
      <c r="B428" s="1" t="n">
        <v>44515</v>
      </c>
      <c r="C428" s="1" t="n">
        <v>45508</v>
      </c>
      <c r="D428" t="inlineStr">
        <is>
          <t>VÄSTERBOTTENS LÄN</t>
        </is>
      </c>
      <c r="E428" t="inlineStr">
        <is>
          <t>VILHELMINA</t>
        </is>
      </c>
      <c r="G428" t="n">
        <v>8</v>
      </c>
      <c r="H428" t="n">
        <v>0</v>
      </c>
      <c r="I428" t="n">
        <v>0</v>
      </c>
      <c r="J428" t="n">
        <v>0</v>
      </c>
      <c r="K428" t="n">
        <v>0</v>
      </c>
      <c r="L428" t="n">
        <v>0</v>
      </c>
      <c r="M428" t="n">
        <v>0</v>
      </c>
      <c r="N428" t="n">
        <v>0</v>
      </c>
      <c r="O428" t="n">
        <v>0</v>
      </c>
      <c r="P428" t="n">
        <v>0</v>
      </c>
      <c r="Q428" t="n">
        <v>0</v>
      </c>
      <c r="R428" s="2" t="inlineStr"/>
    </row>
    <row r="429" ht="15" customHeight="1">
      <c r="A429" t="inlineStr">
        <is>
          <t>A 65382-2021</t>
        </is>
      </c>
      <c r="B429" s="1" t="n">
        <v>44515</v>
      </c>
      <c r="C429" s="1" t="n">
        <v>45508</v>
      </c>
      <c r="D429" t="inlineStr">
        <is>
          <t>VÄSTERBOTTENS LÄN</t>
        </is>
      </c>
      <c r="E429" t="inlineStr">
        <is>
          <t>VILHELMINA</t>
        </is>
      </c>
      <c r="G429" t="n">
        <v>10.7</v>
      </c>
      <c r="H429" t="n">
        <v>0</v>
      </c>
      <c r="I429" t="n">
        <v>0</v>
      </c>
      <c r="J429" t="n">
        <v>0</v>
      </c>
      <c r="K429" t="n">
        <v>0</v>
      </c>
      <c r="L429" t="n">
        <v>0</v>
      </c>
      <c r="M429" t="n">
        <v>0</v>
      </c>
      <c r="N429" t="n">
        <v>0</v>
      </c>
      <c r="O429" t="n">
        <v>0</v>
      </c>
      <c r="P429" t="n">
        <v>0</v>
      </c>
      <c r="Q429" t="n">
        <v>0</v>
      </c>
      <c r="R429" s="2" t="inlineStr"/>
    </row>
    <row r="430" ht="15" customHeight="1">
      <c r="A430" t="inlineStr">
        <is>
          <t>A 66259-2021</t>
        </is>
      </c>
      <c r="B430" s="1" t="n">
        <v>44518</v>
      </c>
      <c r="C430" s="1" t="n">
        <v>45508</v>
      </c>
      <c r="D430" t="inlineStr">
        <is>
          <t>VÄSTERBOTTENS LÄN</t>
        </is>
      </c>
      <c r="E430" t="inlineStr">
        <is>
          <t>VILHELMINA</t>
        </is>
      </c>
      <c r="G430" t="n">
        <v>14.6</v>
      </c>
      <c r="H430" t="n">
        <v>0</v>
      </c>
      <c r="I430" t="n">
        <v>0</v>
      </c>
      <c r="J430" t="n">
        <v>0</v>
      </c>
      <c r="K430" t="n">
        <v>0</v>
      </c>
      <c r="L430" t="n">
        <v>0</v>
      </c>
      <c r="M430" t="n">
        <v>0</v>
      </c>
      <c r="N430" t="n">
        <v>0</v>
      </c>
      <c r="O430" t="n">
        <v>0</v>
      </c>
      <c r="P430" t="n">
        <v>0</v>
      </c>
      <c r="Q430" t="n">
        <v>0</v>
      </c>
      <c r="R430" s="2" t="inlineStr"/>
    </row>
    <row r="431" ht="15" customHeight="1">
      <c r="A431" t="inlineStr">
        <is>
          <t>A 66458-2021</t>
        </is>
      </c>
      <c r="B431" s="1" t="n">
        <v>44518</v>
      </c>
      <c r="C431" s="1" t="n">
        <v>45508</v>
      </c>
      <c r="D431" t="inlineStr">
        <is>
          <t>VÄSTERBOTTENS LÄN</t>
        </is>
      </c>
      <c r="E431" t="inlineStr">
        <is>
          <t>VILHELMINA</t>
        </is>
      </c>
      <c r="G431" t="n">
        <v>3.7</v>
      </c>
      <c r="H431" t="n">
        <v>0</v>
      </c>
      <c r="I431" t="n">
        <v>0</v>
      </c>
      <c r="J431" t="n">
        <v>0</v>
      </c>
      <c r="K431" t="n">
        <v>0</v>
      </c>
      <c r="L431" t="n">
        <v>0</v>
      </c>
      <c r="M431" t="n">
        <v>0</v>
      </c>
      <c r="N431" t="n">
        <v>0</v>
      </c>
      <c r="O431" t="n">
        <v>0</v>
      </c>
      <c r="P431" t="n">
        <v>0</v>
      </c>
      <c r="Q431" t="n">
        <v>0</v>
      </c>
      <c r="R431" s="2" t="inlineStr"/>
    </row>
    <row r="432" ht="15" customHeight="1">
      <c r="A432" t="inlineStr">
        <is>
          <t>A 66917-2021</t>
        </is>
      </c>
      <c r="B432" s="1" t="n">
        <v>44522</v>
      </c>
      <c r="C432" s="1" t="n">
        <v>45508</v>
      </c>
      <c r="D432" t="inlineStr">
        <is>
          <t>VÄSTERBOTTENS LÄN</t>
        </is>
      </c>
      <c r="E432" t="inlineStr">
        <is>
          <t>VILHELMINA</t>
        </is>
      </c>
      <c r="F432" t="inlineStr">
        <is>
          <t>Allmännings- och besparingsskogar</t>
        </is>
      </c>
      <c r="G432" t="n">
        <v>11.7</v>
      </c>
      <c r="H432" t="n">
        <v>0</v>
      </c>
      <c r="I432" t="n">
        <v>0</v>
      </c>
      <c r="J432" t="n">
        <v>0</v>
      </c>
      <c r="K432" t="n">
        <v>0</v>
      </c>
      <c r="L432" t="n">
        <v>0</v>
      </c>
      <c r="M432" t="n">
        <v>0</v>
      </c>
      <c r="N432" t="n">
        <v>0</v>
      </c>
      <c r="O432" t="n">
        <v>0</v>
      </c>
      <c r="P432" t="n">
        <v>0</v>
      </c>
      <c r="Q432" t="n">
        <v>0</v>
      </c>
      <c r="R432" s="2" t="inlineStr"/>
    </row>
    <row r="433" ht="15" customHeight="1">
      <c r="A433" t="inlineStr">
        <is>
          <t>A 66952-2021</t>
        </is>
      </c>
      <c r="B433" s="1" t="n">
        <v>44522</v>
      </c>
      <c r="C433" s="1" t="n">
        <v>45508</v>
      </c>
      <c r="D433" t="inlineStr">
        <is>
          <t>VÄSTERBOTTENS LÄN</t>
        </is>
      </c>
      <c r="E433" t="inlineStr">
        <is>
          <t>VILHELMINA</t>
        </is>
      </c>
      <c r="F433" t="inlineStr">
        <is>
          <t>Allmännings- och besparingsskogar</t>
        </is>
      </c>
      <c r="G433" t="n">
        <v>70</v>
      </c>
      <c r="H433" t="n">
        <v>0</v>
      </c>
      <c r="I433" t="n">
        <v>0</v>
      </c>
      <c r="J433" t="n">
        <v>0</v>
      </c>
      <c r="K433" t="n">
        <v>0</v>
      </c>
      <c r="L433" t="n">
        <v>0</v>
      </c>
      <c r="M433" t="n">
        <v>0</v>
      </c>
      <c r="N433" t="n">
        <v>0</v>
      </c>
      <c r="O433" t="n">
        <v>0</v>
      </c>
      <c r="P433" t="n">
        <v>0</v>
      </c>
      <c r="Q433" t="n">
        <v>0</v>
      </c>
      <c r="R433" s="2" t="inlineStr"/>
    </row>
    <row r="434" ht="15" customHeight="1">
      <c r="A434" t="inlineStr">
        <is>
          <t>A 68037-2021</t>
        </is>
      </c>
      <c r="B434" s="1" t="n">
        <v>44525</v>
      </c>
      <c r="C434" s="1" t="n">
        <v>45508</v>
      </c>
      <c r="D434" t="inlineStr">
        <is>
          <t>VÄSTERBOTTENS LÄN</t>
        </is>
      </c>
      <c r="E434" t="inlineStr">
        <is>
          <t>VILHELMINA</t>
        </is>
      </c>
      <c r="G434" t="n">
        <v>2.1</v>
      </c>
      <c r="H434" t="n">
        <v>0</v>
      </c>
      <c r="I434" t="n">
        <v>0</v>
      </c>
      <c r="J434" t="n">
        <v>0</v>
      </c>
      <c r="K434" t="n">
        <v>0</v>
      </c>
      <c r="L434" t="n">
        <v>0</v>
      </c>
      <c r="M434" t="n">
        <v>0</v>
      </c>
      <c r="N434" t="n">
        <v>0</v>
      </c>
      <c r="O434" t="n">
        <v>0</v>
      </c>
      <c r="P434" t="n">
        <v>0</v>
      </c>
      <c r="Q434" t="n">
        <v>0</v>
      </c>
      <c r="R434" s="2" t="inlineStr"/>
    </row>
    <row r="435" ht="15" customHeight="1">
      <c r="A435" t="inlineStr">
        <is>
          <t>A 69362-2021</t>
        </is>
      </c>
      <c r="B435" s="1" t="n">
        <v>44531</v>
      </c>
      <c r="C435" s="1" t="n">
        <v>45508</v>
      </c>
      <c r="D435" t="inlineStr">
        <is>
          <t>VÄSTERBOTTENS LÄN</t>
        </is>
      </c>
      <c r="E435" t="inlineStr">
        <is>
          <t>VILHELMINA</t>
        </is>
      </c>
      <c r="F435" t="inlineStr">
        <is>
          <t>Sveaskog</t>
        </is>
      </c>
      <c r="G435" t="n">
        <v>5.8</v>
      </c>
      <c r="H435" t="n">
        <v>0</v>
      </c>
      <c r="I435" t="n">
        <v>0</v>
      </c>
      <c r="J435" t="n">
        <v>0</v>
      </c>
      <c r="K435" t="n">
        <v>0</v>
      </c>
      <c r="L435" t="n">
        <v>0</v>
      </c>
      <c r="M435" t="n">
        <v>0</v>
      </c>
      <c r="N435" t="n">
        <v>0</v>
      </c>
      <c r="O435" t="n">
        <v>0</v>
      </c>
      <c r="P435" t="n">
        <v>0</v>
      </c>
      <c r="Q435" t="n">
        <v>0</v>
      </c>
      <c r="R435" s="2" t="inlineStr"/>
    </row>
    <row r="436" ht="15" customHeight="1">
      <c r="A436" t="inlineStr">
        <is>
          <t>A 69366-2021</t>
        </is>
      </c>
      <c r="B436" s="1" t="n">
        <v>44531</v>
      </c>
      <c r="C436" s="1" t="n">
        <v>45508</v>
      </c>
      <c r="D436" t="inlineStr">
        <is>
          <t>VÄSTERBOTTENS LÄN</t>
        </is>
      </c>
      <c r="E436" t="inlineStr">
        <is>
          <t>VILHELMINA</t>
        </is>
      </c>
      <c r="G436" t="n">
        <v>1.2</v>
      </c>
      <c r="H436" t="n">
        <v>0</v>
      </c>
      <c r="I436" t="n">
        <v>0</v>
      </c>
      <c r="J436" t="n">
        <v>0</v>
      </c>
      <c r="K436" t="n">
        <v>0</v>
      </c>
      <c r="L436" t="n">
        <v>0</v>
      </c>
      <c r="M436" t="n">
        <v>0</v>
      </c>
      <c r="N436" t="n">
        <v>0</v>
      </c>
      <c r="O436" t="n">
        <v>0</v>
      </c>
      <c r="P436" t="n">
        <v>0</v>
      </c>
      <c r="Q436" t="n">
        <v>0</v>
      </c>
      <c r="R436" s="2" t="inlineStr"/>
    </row>
    <row r="437" ht="15" customHeight="1">
      <c r="A437" t="inlineStr">
        <is>
          <t>A 69848-2021</t>
        </is>
      </c>
      <c r="B437" s="1" t="n">
        <v>44532</v>
      </c>
      <c r="C437" s="1" t="n">
        <v>45508</v>
      </c>
      <c r="D437" t="inlineStr">
        <is>
          <t>VÄSTERBOTTENS LÄN</t>
        </is>
      </c>
      <c r="E437" t="inlineStr">
        <is>
          <t>VILHELMINA</t>
        </is>
      </c>
      <c r="G437" t="n">
        <v>2.5</v>
      </c>
      <c r="H437" t="n">
        <v>0</v>
      </c>
      <c r="I437" t="n">
        <v>0</v>
      </c>
      <c r="J437" t="n">
        <v>0</v>
      </c>
      <c r="K437" t="n">
        <v>0</v>
      </c>
      <c r="L437" t="n">
        <v>0</v>
      </c>
      <c r="M437" t="n">
        <v>0</v>
      </c>
      <c r="N437" t="n">
        <v>0</v>
      </c>
      <c r="O437" t="n">
        <v>0</v>
      </c>
      <c r="P437" t="n">
        <v>0</v>
      </c>
      <c r="Q437" t="n">
        <v>0</v>
      </c>
      <c r="R437" s="2" t="inlineStr"/>
    </row>
    <row r="438" ht="15" customHeight="1">
      <c r="A438" t="inlineStr">
        <is>
          <t>A 70849-2021</t>
        </is>
      </c>
      <c r="B438" s="1" t="n">
        <v>44532</v>
      </c>
      <c r="C438" s="1" t="n">
        <v>45508</v>
      </c>
      <c r="D438" t="inlineStr">
        <is>
          <t>VÄSTERBOTTENS LÄN</t>
        </is>
      </c>
      <c r="E438" t="inlineStr">
        <is>
          <t>VILHELMINA</t>
        </is>
      </c>
      <c r="G438" t="n">
        <v>21.4</v>
      </c>
      <c r="H438" t="n">
        <v>0</v>
      </c>
      <c r="I438" t="n">
        <v>0</v>
      </c>
      <c r="J438" t="n">
        <v>0</v>
      </c>
      <c r="K438" t="n">
        <v>0</v>
      </c>
      <c r="L438" t="n">
        <v>0</v>
      </c>
      <c r="M438" t="n">
        <v>0</v>
      </c>
      <c r="N438" t="n">
        <v>0</v>
      </c>
      <c r="O438" t="n">
        <v>0</v>
      </c>
      <c r="P438" t="n">
        <v>0</v>
      </c>
      <c r="Q438" t="n">
        <v>0</v>
      </c>
      <c r="R438" s="2" t="inlineStr"/>
    </row>
    <row r="439" ht="15" customHeight="1">
      <c r="A439" t="inlineStr">
        <is>
          <t>A 69850-2021</t>
        </is>
      </c>
      <c r="B439" s="1" t="n">
        <v>44532</v>
      </c>
      <c r="C439" s="1" t="n">
        <v>45508</v>
      </c>
      <c r="D439" t="inlineStr">
        <is>
          <t>VÄSTERBOTTENS LÄN</t>
        </is>
      </c>
      <c r="E439" t="inlineStr">
        <is>
          <t>VILHELMINA</t>
        </is>
      </c>
      <c r="G439" t="n">
        <v>6.8</v>
      </c>
      <c r="H439" t="n">
        <v>0</v>
      </c>
      <c r="I439" t="n">
        <v>0</v>
      </c>
      <c r="J439" t="n">
        <v>0</v>
      </c>
      <c r="K439" t="n">
        <v>0</v>
      </c>
      <c r="L439" t="n">
        <v>0</v>
      </c>
      <c r="M439" t="n">
        <v>0</v>
      </c>
      <c r="N439" t="n">
        <v>0</v>
      </c>
      <c r="O439" t="n">
        <v>0</v>
      </c>
      <c r="P439" t="n">
        <v>0</v>
      </c>
      <c r="Q439" t="n">
        <v>0</v>
      </c>
      <c r="R439" s="2" t="inlineStr"/>
    </row>
    <row r="440" ht="15" customHeight="1">
      <c r="A440" t="inlineStr">
        <is>
          <t>A 70854-2021</t>
        </is>
      </c>
      <c r="B440" s="1" t="n">
        <v>44532</v>
      </c>
      <c r="C440" s="1" t="n">
        <v>45508</v>
      </c>
      <c r="D440" t="inlineStr">
        <is>
          <t>VÄSTERBOTTENS LÄN</t>
        </is>
      </c>
      <c r="E440" t="inlineStr">
        <is>
          <t>VILHELMINA</t>
        </is>
      </c>
      <c r="G440" t="n">
        <v>2.6</v>
      </c>
      <c r="H440" t="n">
        <v>0</v>
      </c>
      <c r="I440" t="n">
        <v>0</v>
      </c>
      <c r="J440" t="n">
        <v>0</v>
      </c>
      <c r="K440" t="n">
        <v>0</v>
      </c>
      <c r="L440" t="n">
        <v>0</v>
      </c>
      <c r="M440" t="n">
        <v>0</v>
      </c>
      <c r="N440" t="n">
        <v>0</v>
      </c>
      <c r="O440" t="n">
        <v>0</v>
      </c>
      <c r="P440" t="n">
        <v>0</v>
      </c>
      <c r="Q440" t="n">
        <v>0</v>
      </c>
      <c r="R440" s="2" t="inlineStr"/>
    </row>
    <row r="441" ht="15" customHeight="1">
      <c r="A441" t="inlineStr">
        <is>
          <t>A 70117-2021</t>
        </is>
      </c>
      <c r="B441" s="1" t="n">
        <v>44533</v>
      </c>
      <c r="C441" s="1" t="n">
        <v>45508</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70811-2021</t>
        </is>
      </c>
      <c r="B442" s="1" t="n">
        <v>44537</v>
      </c>
      <c r="C442" s="1" t="n">
        <v>45508</v>
      </c>
      <c r="D442" t="inlineStr">
        <is>
          <t>VÄSTERBOTTENS LÄN</t>
        </is>
      </c>
      <c r="E442" t="inlineStr">
        <is>
          <t>VILHELMINA</t>
        </is>
      </c>
      <c r="G442" t="n">
        <v>1.9</v>
      </c>
      <c r="H442" t="n">
        <v>0</v>
      </c>
      <c r="I442" t="n">
        <v>0</v>
      </c>
      <c r="J442" t="n">
        <v>0</v>
      </c>
      <c r="K442" t="n">
        <v>0</v>
      </c>
      <c r="L442" t="n">
        <v>0</v>
      </c>
      <c r="M442" t="n">
        <v>0</v>
      </c>
      <c r="N442" t="n">
        <v>0</v>
      </c>
      <c r="O442" t="n">
        <v>0</v>
      </c>
      <c r="P442" t="n">
        <v>0</v>
      </c>
      <c r="Q442" t="n">
        <v>0</v>
      </c>
      <c r="R442" s="2" t="inlineStr"/>
    </row>
    <row r="443" ht="15" customHeight="1">
      <c r="A443" t="inlineStr">
        <is>
          <t>A 72057-2021</t>
        </is>
      </c>
      <c r="B443" s="1" t="n">
        <v>44540</v>
      </c>
      <c r="C443" s="1" t="n">
        <v>45508</v>
      </c>
      <c r="D443" t="inlineStr">
        <is>
          <t>VÄSTERBOTTENS LÄN</t>
        </is>
      </c>
      <c r="E443" t="inlineStr">
        <is>
          <t>VILHELMINA</t>
        </is>
      </c>
      <c r="G443" t="n">
        <v>7</v>
      </c>
      <c r="H443" t="n">
        <v>0</v>
      </c>
      <c r="I443" t="n">
        <v>0</v>
      </c>
      <c r="J443" t="n">
        <v>0</v>
      </c>
      <c r="K443" t="n">
        <v>0</v>
      </c>
      <c r="L443" t="n">
        <v>0</v>
      </c>
      <c r="M443" t="n">
        <v>0</v>
      </c>
      <c r="N443" t="n">
        <v>0</v>
      </c>
      <c r="O443" t="n">
        <v>0</v>
      </c>
      <c r="P443" t="n">
        <v>0</v>
      </c>
      <c r="Q443" t="n">
        <v>0</v>
      </c>
      <c r="R443" s="2" t="inlineStr"/>
    </row>
    <row r="444" ht="15" customHeight="1">
      <c r="A444" t="inlineStr">
        <is>
          <t>A 72153-2021</t>
        </is>
      </c>
      <c r="B444" s="1" t="n">
        <v>44543</v>
      </c>
      <c r="C444" s="1" t="n">
        <v>45508</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72489-2021</t>
        </is>
      </c>
      <c r="B445" s="1" t="n">
        <v>44545</v>
      </c>
      <c r="C445" s="1" t="n">
        <v>45508</v>
      </c>
      <c r="D445" t="inlineStr">
        <is>
          <t>VÄSTERBOTTENS LÄN</t>
        </is>
      </c>
      <c r="E445" t="inlineStr">
        <is>
          <t>VILHELMINA</t>
        </is>
      </c>
      <c r="G445" t="n">
        <v>5</v>
      </c>
      <c r="H445" t="n">
        <v>0</v>
      </c>
      <c r="I445" t="n">
        <v>0</v>
      </c>
      <c r="J445" t="n">
        <v>0</v>
      </c>
      <c r="K445" t="n">
        <v>0</v>
      </c>
      <c r="L445" t="n">
        <v>0</v>
      </c>
      <c r="M445" t="n">
        <v>0</v>
      </c>
      <c r="N445" t="n">
        <v>0</v>
      </c>
      <c r="O445" t="n">
        <v>0</v>
      </c>
      <c r="P445" t="n">
        <v>0</v>
      </c>
      <c r="Q445" t="n">
        <v>0</v>
      </c>
      <c r="R445" s="2" t="inlineStr"/>
    </row>
    <row r="446" ht="15" customHeight="1">
      <c r="A446" t="inlineStr">
        <is>
          <t>A 72494-2021</t>
        </is>
      </c>
      <c r="B446" s="1" t="n">
        <v>44545</v>
      </c>
      <c r="C446" s="1" t="n">
        <v>45508</v>
      </c>
      <c r="D446" t="inlineStr">
        <is>
          <t>VÄSTERBOTTENS LÄN</t>
        </is>
      </c>
      <c r="E446" t="inlineStr">
        <is>
          <t>VILHELMINA</t>
        </is>
      </c>
      <c r="G446" t="n">
        <v>4.2</v>
      </c>
      <c r="H446" t="n">
        <v>0</v>
      </c>
      <c r="I446" t="n">
        <v>0</v>
      </c>
      <c r="J446" t="n">
        <v>0</v>
      </c>
      <c r="K446" t="n">
        <v>0</v>
      </c>
      <c r="L446" t="n">
        <v>0</v>
      </c>
      <c r="M446" t="n">
        <v>0</v>
      </c>
      <c r="N446" t="n">
        <v>0</v>
      </c>
      <c r="O446" t="n">
        <v>0</v>
      </c>
      <c r="P446" t="n">
        <v>0</v>
      </c>
      <c r="Q446" t="n">
        <v>0</v>
      </c>
      <c r="R446" s="2" t="inlineStr"/>
    </row>
    <row r="447" ht="15" customHeight="1">
      <c r="A447" t="inlineStr">
        <is>
          <t>A 72490-2021</t>
        </is>
      </c>
      <c r="B447" s="1" t="n">
        <v>44545</v>
      </c>
      <c r="C447" s="1" t="n">
        <v>45508</v>
      </c>
      <c r="D447" t="inlineStr">
        <is>
          <t>VÄSTERBOTTENS LÄN</t>
        </is>
      </c>
      <c r="E447" t="inlineStr">
        <is>
          <t>VILHELMINA</t>
        </is>
      </c>
      <c r="G447" t="n">
        <v>3.2</v>
      </c>
      <c r="H447" t="n">
        <v>0</v>
      </c>
      <c r="I447" t="n">
        <v>0</v>
      </c>
      <c r="J447" t="n">
        <v>0</v>
      </c>
      <c r="K447" t="n">
        <v>0</v>
      </c>
      <c r="L447" t="n">
        <v>0</v>
      </c>
      <c r="M447" t="n">
        <v>0</v>
      </c>
      <c r="N447" t="n">
        <v>0</v>
      </c>
      <c r="O447" t="n">
        <v>0</v>
      </c>
      <c r="P447" t="n">
        <v>0</v>
      </c>
      <c r="Q447" t="n">
        <v>0</v>
      </c>
      <c r="R447" s="2" t="inlineStr"/>
    </row>
    <row r="448" ht="15" customHeight="1">
      <c r="A448" t="inlineStr">
        <is>
          <t>A 72488-2021</t>
        </is>
      </c>
      <c r="B448" s="1" t="n">
        <v>44545</v>
      </c>
      <c r="C448" s="1" t="n">
        <v>45508</v>
      </c>
      <c r="D448" t="inlineStr">
        <is>
          <t>VÄSTERBOTTENS LÄN</t>
        </is>
      </c>
      <c r="E448" t="inlineStr">
        <is>
          <t>VILHELMINA</t>
        </is>
      </c>
      <c r="G448" t="n">
        <v>2</v>
      </c>
      <c r="H448" t="n">
        <v>0</v>
      </c>
      <c r="I448" t="n">
        <v>0</v>
      </c>
      <c r="J448" t="n">
        <v>0</v>
      </c>
      <c r="K448" t="n">
        <v>0</v>
      </c>
      <c r="L448" t="n">
        <v>0</v>
      </c>
      <c r="M448" t="n">
        <v>0</v>
      </c>
      <c r="N448" t="n">
        <v>0</v>
      </c>
      <c r="O448" t="n">
        <v>0</v>
      </c>
      <c r="P448" t="n">
        <v>0</v>
      </c>
      <c r="Q448" t="n">
        <v>0</v>
      </c>
      <c r="R448" s="2" t="inlineStr"/>
    </row>
    <row r="449" ht="15" customHeight="1">
      <c r="A449" t="inlineStr">
        <is>
          <t>A 72487-2021</t>
        </is>
      </c>
      <c r="B449" s="1" t="n">
        <v>44545</v>
      </c>
      <c r="C449" s="1" t="n">
        <v>45508</v>
      </c>
      <c r="D449" t="inlineStr">
        <is>
          <t>VÄSTERBOTTENS LÄN</t>
        </is>
      </c>
      <c r="E449" t="inlineStr">
        <is>
          <t>VILHELMINA</t>
        </is>
      </c>
      <c r="G449" t="n">
        <v>1.2</v>
      </c>
      <c r="H449" t="n">
        <v>0</v>
      </c>
      <c r="I449" t="n">
        <v>0</v>
      </c>
      <c r="J449" t="n">
        <v>0</v>
      </c>
      <c r="K449" t="n">
        <v>0</v>
      </c>
      <c r="L449" t="n">
        <v>0</v>
      </c>
      <c r="M449" t="n">
        <v>0</v>
      </c>
      <c r="N449" t="n">
        <v>0</v>
      </c>
      <c r="O449" t="n">
        <v>0</v>
      </c>
      <c r="P449" t="n">
        <v>0</v>
      </c>
      <c r="Q449" t="n">
        <v>0</v>
      </c>
      <c r="R449" s="2" t="inlineStr"/>
    </row>
    <row r="450" ht="15" customHeight="1">
      <c r="A450" t="inlineStr">
        <is>
          <t>A 72493-2021</t>
        </is>
      </c>
      <c r="B450" s="1" t="n">
        <v>44545</v>
      </c>
      <c r="C450" s="1" t="n">
        <v>45508</v>
      </c>
      <c r="D450" t="inlineStr">
        <is>
          <t>VÄSTERBOTTENS LÄN</t>
        </is>
      </c>
      <c r="E450" t="inlineStr">
        <is>
          <t>VILHELMINA</t>
        </is>
      </c>
      <c r="G450" t="n">
        <v>4.2</v>
      </c>
      <c r="H450" t="n">
        <v>0</v>
      </c>
      <c r="I450" t="n">
        <v>0</v>
      </c>
      <c r="J450" t="n">
        <v>0</v>
      </c>
      <c r="K450" t="n">
        <v>0</v>
      </c>
      <c r="L450" t="n">
        <v>0</v>
      </c>
      <c r="M450" t="n">
        <v>0</v>
      </c>
      <c r="N450" t="n">
        <v>0</v>
      </c>
      <c r="O450" t="n">
        <v>0</v>
      </c>
      <c r="P450" t="n">
        <v>0</v>
      </c>
      <c r="Q450" t="n">
        <v>0</v>
      </c>
      <c r="R450" s="2" t="inlineStr"/>
    </row>
    <row r="451" ht="15" customHeight="1">
      <c r="A451" t="inlineStr">
        <is>
          <t>A 210-2022</t>
        </is>
      </c>
      <c r="B451" s="1" t="n">
        <v>44564</v>
      </c>
      <c r="C451" s="1" t="n">
        <v>45508</v>
      </c>
      <c r="D451" t="inlineStr">
        <is>
          <t>VÄSTERBOTTENS LÄN</t>
        </is>
      </c>
      <c r="E451" t="inlineStr">
        <is>
          <t>VILHELMINA</t>
        </is>
      </c>
      <c r="G451" t="n">
        <v>2</v>
      </c>
      <c r="H451" t="n">
        <v>0</v>
      </c>
      <c r="I451" t="n">
        <v>0</v>
      </c>
      <c r="J451" t="n">
        <v>0</v>
      </c>
      <c r="K451" t="n">
        <v>0</v>
      </c>
      <c r="L451" t="n">
        <v>0</v>
      </c>
      <c r="M451" t="n">
        <v>0</v>
      </c>
      <c r="N451" t="n">
        <v>0</v>
      </c>
      <c r="O451" t="n">
        <v>0</v>
      </c>
      <c r="P451" t="n">
        <v>0</v>
      </c>
      <c r="Q451" t="n">
        <v>0</v>
      </c>
      <c r="R451" s="2" t="inlineStr"/>
    </row>
    <row r="452" ht="15" customHeight="1">
      <c r="A452" t="inlineStr">
        <is>
          <t>A 590-2022</t>
        </is>
      </c>
      <c r="B452" s="1" t="n">
        <v>44567</v>
      </c>
      <c r="C452" s="1" t="n">
        <v>45508</v>
      </c>
      <c r="D452" t="inlineStr">
        <is>
          <t>VÄSTERBOTTENS LÄN</t>
        </is>
      </c>
      <c r="E452" t="inlineStr">
        <is>
          <t>VILHELMINA</t>
        </is>
      </c>
      <c r="G452" t="n">
        <v>14.5</v>
      </c>
      <c r="H452" t="n">
        <v>0</v>
      </c>
      <c r="I452" t="n">
        <v>0</v>
      </c>
      <c r="J452" t="n">
        <v>0</v>
      </c>
      <c r="K452" t="n">
        <v>0</v>
      </c>
      <c r="L452" t="n">
        <v>0</v>
      </c>
      <c r="M452" t="n">
        <v>0</v>
      </c>
      <c r="N452" t="n">
        <v>0</v>
      </c>
      <c r="O452" t="n">
        <v>0</v>
      </c>
      <c r="P452" t="n">
        <v>0</v>
      </c>
      <c r="Q452" t="n">
        <v>0</v>
      </c>
      <c r="R452" s="2" t="inlineStr"/>
    </row>
    <row r="453" ht="15" customHeight="1">
      <c r="A453" t="inlineStr">
        <is>
          <t>A 664-2022</t>
        </is>
      </c>
      <c r="B453" s="1" t="n">
        <v>44568</v>
      </c>
      <c r="C453" s="1" t="n">
        <v>45508</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2340-2022</t>
        </is>
      </c>
      <c r="B454" s="1" t="n">
        <v>44578</v>
      </c>
      <c r="C454" s="1" t="n">
        <v>45508</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2341-2022</t>
        </is>
      </c>
      <c r="B455" s="1" t="n">
        <v>44578</v>
      </c>
      <c r="C455" s="1" t="n">
        <v>45508</v>
      </c>
      <c r="D455" t="inlineStr">
        <is>
          <t>VÄSTERBOTTENS LÄN</t>
        </is>
      </c>
      <c r="E455" t="inlineStr">
        <is>
          <t>VILHELMINA</t>
        </is>
      </c>
      <c r="G455" t="n">
        <v>3</v>
      </c>
      <c r="H455" t="n">
        <v>0</v>
      </c>
      <c r="I455" t="n">
        <v>0</v>
      </c>
      <c r="J455" t="n">
        <v>0</v>
      </c>
      <c r="K455" t="n">
        <v>0</v>
      </c>
      <c r="L455" t="n">
        <v>0</v>
      </c>
      <c r="M455" t="n">
        <v>0</v>
      </c>
      <c r="N455" t="n">
        <v>0</v>
      </c>
      <c r="O455" t="n">
        <v>0</v>
      </c>
      <c r="P455" t="n">
        <v>0</v>
      </c>
      <c r="Q455" t="n">
        <v>0</v>
      </c>
      <c r="R455" s="2" t="inlineStr"/>
    </row>
    <row r="456" ht="15" customHeight="1">
      <c r="A456" t="inlineStr">
        <is>
          <t>A 5285-2022</t>
        </is>
      </c>
      <c r="B456" s="1" t="n">
        <v>44594</v>
      </c>
      <c r="C456" s="1" t="n">
        <v>45508</v>
      </c>
      <c r="D456" t="inlineStr">
        <is>
          <t>VÄSTERBOTTENS LÄN</t>
        </is>
      </c>
      <c r="E456" t="inlineStr">
        <is>
          <t>VILHELMINA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7156-2022</t>
        </is>
      </c>
      <c r="B457" s="1" t="n">
        <v>44604</v>
      </c>
      <c r="C457" s="1" t="n">
        <v>45508</v>
      </c>
      <c r="D457" t="inlineStr">
        <is>
          <t>VÄSTERBOTTENS LÄN</t>
        </is>
      </c>
      <c r="E457" t="inlineStr">
        <is>
          <t>VILHELMINA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8229-2022</t>
        </is>
      </c>
      <c r="B458" s="1" t="n">
        <v>44609</v>
      </c>
      <c r="C458" s="1" t="n">
        <v>45508</v>
      </c>
      <c r="D458" t="inlineStr">
        <is>
          <t>VÄSTERBOTTENS LÄN</t>
        </is>
      </c>
      <c r="E458" t="inlineStr">
        <is>
          <t>VILHELMINA</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8258-2022</t>
        </is>
      </c>
      <c r="B459" s="1" t="n">
        <v>44609</v>
      </c>
      <c r="C459" s="1" t="n">
        <v>45508</v>
      </c>
      <c r="D459" t="inlineStr">
        <is>
          <t>VÄSTERBOTTENS LÄN</t>
        </is>
      </c>
      <c r="E459" t="inlineStr">
        <is>
          <t>VILHELMINA</t>
        </is>
      </c>
      <c r="G459" t="n">
        <v>31.1</v>
      </c>
      <c r="H459" t="n">
        <v>0</v>
      </c>
      <c r="I459" t="n">
        <v>0</v>
      </c>
      <c r="J459" t="n">
        <v>0</v>
      </c>
      <c r="K459" t="n">
        <v>0</v>
      </c>
      <c r="L459" t="n">
        <v>0</v>
      </c>
      <c r="M459" t="n">
        <v>0</v>
      </c>
      <c r="N459" t="n">
        <v>0</v>
      </c>
      <c r="O459" t="n">
        <v>0</v>
      </c>
      <c r="P459" t="n">
        <v>0</v>
      </c>
      <c r="Q459" t="n">
        <v>0</v>
      </c>
      <c r="R459" s="2" t="inlineStr"/>
    </row>
    <row r="460" ht="15" customHeight="1">
      <c r="A460" t="inlineStr">
        <is>
          <t>A 8731-2022</t>
        </is>
      </c>
      <c r="B460" s="1" t="n">
        <v>44613</v>
      </c>
      <c r="C460" s="1" t="n">
        <v>45508</v>
      </c>
      <c r="D460" t="inlineStr">
        <is>
          <t>VÄSTERBOTTENS LÄN</t>
        </is>
      </c>
      <c r="E460" t="inlineStr">
        <is>
          <t>VILHELMINA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8730-2022</t>
        </is>
      </c>
      <c r="B461" s="1" t="n">
        <v>44613</v>
      </c>
      <c r="C461" s="1" t="n">
        <v>45508</v>
      </c>
      <c r="D461" t="inlineStr">
        <is>
          <t>VÄSTERBOTTENS LÄN</t>
        </is>
      </c>
      <c r="E461" t="inlineStr">
        <is>
          <t>VILHELMINA</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9026-2022</t>
        </is>
      </c>
      <c r="B462" s="1" t="n">
        <v>44615</v>
      </c>
      <c r="C462" s="1" t="n">
        <v>45508</v>
      </c>
      <c r="D462" t="inlineStr">
        <is>
          <t>VÄSTERBOTTENS LÄN</t>
        </is>
      </c>
      <c r="E462" t="inlineStr">
        <is>
          <t>VILHELMINA</t>
        </is>
      </c>
      <c r="G462" t="n">
        <v>25.8</v>
      </c>
      <c r="H462" t="n">
        <v>0</v>
      </c>
      <c r="I462" t="n">
        <v>0</v>
      </c>
      <c r="J462" t="n">
        <v>0</v>
      </c>
      <c r="K462" t="n">
        <v>0</v>
      </c>
      <c r="L462" t="n">
        <v>0</v>
      </c>
      <c r="M462" t="n">
        <v>0</v>
      </c>
      <c r="N462" t="n">
        <v>0</v>
      </c>
      <c r="O462" t="n">
        <v>0</v>
      </c>
      <c r="P462" t="n">
        <v>0</v>
      </c>
      <c r="Q462" t="n">
        <v>0</v>
      </c>
      <c r="R462" s="2" t="inlineStr"/>
    </row>
    <row r="463" ht="15" customHeight="1">
      <c r="A463" t="inlineStr">
        <is>
          <t>A 9162-2022</t>
        </is>
      </c>
      <c r="B463" s="1" t="n">
        <v>44615</v>
      </c>
      <c r="C463" s="1" t="n">
        <v>45508</v>
      </c>
      <c r="D463" t="inlineStr">
        <is>
          <t>VÄSTERBOTTENS LÄN</t>
        </is>
      </c>
      <c r="E463" t="inlineStr">
        <is>
          <t>VILHELMINA</t>
        </is>
      </c>
      <c r="G463" t="n">
        <v>7.2</v>
      </c>
      <c r="H463" t="n">
        <v>0</v>
      </c>
      <c r="I463" t="n">
        <v>0</v>
      </c>
      <c r="J463" t="n">
        <v>0</v>
      </c>
      <c r="K463" t="n">
        <v>0</v>
      </c>
      <c r="L463" t="n">
        <v>0</v>
      </c>
      <c r="M463" t="n">
        <v>0</v>
      </c>
      <c r="N463" t="n">
        <v>0</v>
      </c>
      <c r="O463" t="n">
        <v>0</v>
      </c>
      <c r="P463" t="n">
        <v>0</v>
      </c>
      <c r="Q463" t="n">
        <v>0</v>
      </c>
      <c r="R463" s="2" t="inlineStr"/>
    </row>
    <row r="464" ht="15" customHeight="1">
      <c r="A464" t="inlineStr">
        <is>
          <t>A 9501-2022</t>
        </is>
      </c>
      <c r="B464" s="1" t="n">
        <v>44616</v>
      </c>
      <c r="C464" s="1" t="n">
        <v>45508</v>
      </c>
      <c r="D464" t="inlineStr">
        <is>
          <t>VÄSTERBOTTENS LÄN</t>
        </is>
      </c>
      <c r="E464" t="inlineStr">
        <is>
          <t>VILHELMINA</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9731-2022</t>
        </is>
      </c>
      <c r="B465" s="1" t="n">
        <v>44617</v>
      </c>
      <c r="C465" s="1" t="n">
        <v>45508</v>
      </c>
      <c r="D465" t="inlineStr">
        <is>
          <t>VÄSTERBOTTENS LÄN</t>
        </is>
      </c>
      <c r="E465" t="inlineStr">
        <is>
          <t>VILHELMINA</t>
        </is>
      </c>
      <c r="F465" t="inlineStr">
        <is>
          <t>SCA</t>
        </is>
      </c>
      <c r="G465" t="n">
        <v>15.9</v>
      </c>
      <c r="H465" t="n">
        <v>0</v>
      </c>
      <c r="I465" t="n">
        <v>0</v>
      </c>
      <c r="J465" t="n">
        <v>0</v>
      </c>
      <c r="K465" t="n">
        <v>0</v>
      </c>
      <c r="L465" t="n">
        <v>0</v>
      </c>
      <c r="M465" t="n">
        <v>0</v>
      </c>
      <c r="N465" t="n">
        <v>0</v>
      </c>
      <c r="O465" t="n">
        <v>0</v>
      </c>
      <c r="P465" t="n">
        <v>0</v>
      </c>
      <c r="Q465" t="n">
        <v>0</v>
      </c>
      <c r="R465" s="2" t="inlineStr"/>
    </row>
    <row r="466" ht="15" customHeight="1">
      <c r="A466" t="inlineStr">
        <is>
          <t>A 9735-2022</t>
        </is>
      </c>
      <c r="B466" s="1" t="n">
        <v>44617</v>
      </c>
      <c r="C466" s="1" t="n">
        <v>45508</v>
      </c>
      <c r="D466" t="inlineStr">
        <is>
          <t>VÄSTERBOTTENS LÄN</t>
        </is>
      </c>
      <c r="E466" t="inlineStr">
        <is>
          <t>VILHELMINA</t>
        </is>
      </c>
      <c r="F466" t="inlineStr">
        <is>
          <t>SCA</t>
        </is>
      </c>
      <c r="G466" t="n">
        <v>12.3</v>
      </c>
      <c r="H466" t="n">
        <v>0</v>
      </c>
      <c r="I466" t="n">
        <v>0</v>
      </c>
      <c r="J466" t="n">
        <v>0</v>
      </c>
      <c r="K466" t="n">
        <v>0</v>
      </c>
      <c r="L466" t="n">
        <v>0</v>
      </c>
      <c r="M466" t="n">
        <v>0</v>
      </c>
      <c r="N466" t="n">
        <v>0</v>
      </c>
      <c r="O466" t="n">
        <v>0</v>
      </c>
      <c r="P466" t="n">
        <v>0</v>
      </c>
      <c r="Q466" t="n">
        <v>0</v>
      </c>
      <c r="R466" s="2" t="inlineStr"/>
    </row>
    <row r="467" ht="15" customHeight="1">
      <c r="A467" t="inlineStr">
        <is>
          <t>A 9734-2022</t>
        </is>
      </c>
      <c r="B467" s="1" t="n">
        <v>44617</v>
      </c>
      <c r="C467" s="1" t="n">
        <v>45508</v>
      </c>
      <c r="D467" t="inlineStr">
        <is>
          <t>VÄSTERBOTTENS LÄN</t>
        </is>
      </c>
      <c r="E467" t="inlineStr">
        <is>
          <t>VILHELMINA</t>
        </is>
      </c>
      <c r="F467" t="inlineStr">
        <is>
          <t>SCA</t>
        </is>
      </c>
      <c r="G467" t="n">
        <v>16.9</v>
      </c>
      <c r="H467" t="n">
        <v>0</v>
      </c>
      <c r="I467" t="n">
        <v>0</v>
      </c>
      <c r="J467" t="n">
        <v>0</v>
      </c>
      <c r="K467" t="n">
        <v>0</v>
      </c>
      <c r="L467" t="n">
        <v>0</v>
      </c>
      <c r="M467" t="n">
        <v>0</v>
      </c>
      <c r="N467" t="n">
        <v>0</v>
      </c>
      <c r="O467" t="n">
        <v>0</v>
      </c>
      <c r="P467" t="n">
        <v>0</v>
      </c>
      <c r="Q467" t="n">
        <v>0</v>
      </c>
      <c r="R467" s="2" t="inlineStr"/>
    </row>
    <row r="468" ht="15" customHeight="1">
      <c r="A468" t="inlineStr">
        <is>
          <t>A 9732-2022</t>
        </is>
      </c>
      <c r="B468" s="1" t="n">
        <v>44617</v>
      </c>
      <c r="C468" s="1" t="n">
        <v>45508</v>
      </c>
      <c r="D468" t="inlineStr">
        <is>
          <t>VÄSTERBOTTENS LÄN</t>
        </is>
      </c>
      <c r="E468" t="inlineStr">
        <is>
          <t>VILHELMINA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9733-2022</t>
        </is>
      </c>
      <c r="B469" s="1" t="n">
        <v>44617</v>
      </c>
      <c r="C469" s="1" t="n">
        <v>45508</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9777-2022</t>
        </is>
      </c>
      <c r="B470" s="1" t="n">
        <v>44619</v>
      </c>
      <c r="C470" s="1" t="n">
        <v>45508</v>
      </c>
      <c r="D470" t="inlineStr">
        <is>
          <t>VÄSTERBOTTENS LÄN</t>
        </is>
      </c>
      <c r="E470" t="inlineStr">
        <is>
          <t>VILHELMINA</t>
        </is>
      </c>
      <c r="G470" t="n">
        <v>1.7</v>
      </c>
      <c r="H470" t="n">
        <v>0</v>
      </c>
      <c r="I470" t="n">
        <v>0</v>
      </c>
      <c r="J470" t="n">
        <v>0</v>
      </c>
      <c r="K470" t="n">
        <v>0</v>
      </c>
      <c r="L470" t="n">
        <v>0</v>
      </c>
      <c r="M470" t="n">
        <v>0</v>
      </c>
      <c r="N470" t="n">
        <v>0</v>
      </c>
      <c r="O470" t="n">
        <v>0</v>
      </c>
      <c r="P470" t="n">
        <v>0</v>
      </c>
      <c r="Q470" t="n">
        <v>0</v>
      </c>
      <c r="R470" s="2" t="inlineStr"/>
    </row>
    <row r="471" ht="15" customHeight="1">
      <c r="A471" t="inlineStr">
        <is>
          <t>A 9781-2022</t>
        </is>
      </c>
      <c r="B471" s="1" t="n">
        <v>44619</v>
      </c>
      <c r="C471" s="1" t="n">
        <v>45508</v>
      </c>
      <c r="D471" t="inlineStr">
        <is>
          <t>VÄSTERBOTTENS LÄN</t>
        </is>
      </c>
      <c r="E471" t="inlineStr">
        <is>
          <t>VILHELMINA</t>
        </is>
      </c>
      <c r="G471" t="n">
        <v>2</v>
      </c>
      <c r="H471" t="n">
        <v>0</v>
      </c>
      <c r="I471" t="n">
        <v>0</v>
      </c>
      <c r="J471" t="n">
        <v>0</v>
      </c>
      <c r="K471" t="n">
        <v>0</v>
      </c>
      <c r="L471" t="n">
        <v>0</v>
      </c>
      <c r="M471" t="n">
        <v>0</v>
      </c>
      <c r="N471" t="n">
        <v>0</v>
      </c>
      <c r="O471" t="n">
        <v>0</v>
      </c>
      <c r="P471" t="n">
        <v>0</v>
      </c>
      <c r="Q471" t="n">
        <v>0</v>
      </c>
      <c r="R471" s="2" t="inlineStr"/>
    </row>
    <row r="472" ht="15" customHeight="1">
      <c r="A472" t="inlineStr">
        <is>
          <t>A 9780-2022</t>
        </is>
      </c>
      <c r="B472" s="1" t="n">
        <v>44619</v>
      </c>
      <c r="C472" s="1" t="n">
        <v>45508</v>
      </c>
      <c r="D472" t="inlineStr">
        <is>
          <t>VÄSTERBOTTENS LÄN</t>
        </is>
      </c>
      <c r="E472" t="inlineStr">
        <is>
          <t>VILHELMINA</t>
        </is>
      </c>
      <c r="G472" t="n">
        <v>1.9</v>
      </c>
      <c r="H472" t="n">
        <v>0</v>
      </c>
      <c r="I472" t="n">
        <v>0</v>
      </c>
      <c r="J472" t="n">
        <v>0</v>
      </c>
      <c r="K472" t="n">
        <v>0</v>
      </c>
      <c r="L472" t="n">
        <v>0</v>
      </c>
      <c r="M472" t="n">
        <v>0</v>
      </c>
      <c r="N472" t="n">
        <v>0</v>
      </c>
      <c r="O472" t="n">
        <v>0</v>
      </c>
      <c r="P472" t="n">
        <v>0</v>
      </c>
      <c r="Q472" t="n">
        <v>0</v>
      </c>
      <c r="R472" s="2" t="inlineStr"/>
    </row>
    <row r="473" ht="15" customHeight="1">
      <c r="A473" t="inlineStr">
        <is>
          <t>A 9779-2022</t>
        </is>
      </c>
      <c r="B473" s="1" t="n">
        <v>44619</v>
      </c>
      <c r="C473" s="1" t="n">
        <v>45508</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10142-2022</t>
        </is>
      </c>
      <c r="B474" s="1" t="n">
        <v>44621</v>
      </c>
      <c r="C474" s="1" t="n">
        <v>45508</v>
      </c>
      <c r="D474" t="inlineStr">
        <is>
          <t>VÄSTERBOTTENS LÄN</t>
        </is>
      </c>
      <c r="E474" t="inlineStr">
        <is>
          <t>VILHELMINA</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10121-2022</t>
        </is>
      </c>
      <c r="B475" s="1" t="n">
        <v>44621</v>
      </c>
      <c r="C475" s="1" t="n">
        <v>45508</v>
      </c>
      <c r="D475" t="inlineStr">
        <is>
          <t>VÄSTERBOTTENS LÄN</t>
        </is>
      </c>
      <c r="E475" t="inlineStr">
        <is>
          <t>VILHELMINA</t>
        </is>
      </c>
      <c r="G475" t="n">
        <v>14.1</v>
      </c>
      <c r="H475" t="n">
        <v>0</v>
      </c>
      <c r="I475" t="n">
        <v>0</v>
      </c>
      <c r="J475" t="n">
        <v>0</v>
      </c>
      <c r="K475" t="n">
        <v>0</v>
      </c>
      <c r="L475" t="n">
        <v>0</v>
      </c>
      <c r="M475" t="n">
        <v>0</v>
      </c>
      <c r="N475" t="n">
        <v>0</v>
      </c>
      <c r="O475" t="n">
        <v>0</v>
      </c>
      <c r="P475" t="n">
        <v>0</v>
      </c>
      <c r="Q475" t="n">
        <v>0</v>
      </c>
      <c r="R475" s="2" t="inlineStr"/>
    </row>
    <row r="476" ht="15" customHeight="1">
      <c r="A476" t="inlineStr">
        <is>
          <t>A 10213-2022</t>
        </is>
      </c>
      <c r="B476" s="1" t="n">
        <v>44622</v>
      </c>
      <c r="C476" s="1" t="n">
        <v>45508</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10548-2022</t>
        </is>
      </c>
      <c r="B477" s="1" t="n">
        <v>44623</v>
      </c>
      <c r="C477" s="1" t="n">
        <v>45508</v>
      </c>
      <c r="D477" t="inlineStr">
        <is>
          <t>VÄSTERBOTTENS LÄN</t>
        </is>
      </c>
      <c r="E477" t="inlineStr">
        <is>
          <t>VILHELMINA</t>
        </is>
      </c>
      <c r="F477" t="inlineStr">
        <is>
          <t>SCA</t>
        </is>
      </c>
      <c r="G477" t="n">
        <v>11.5</v>
      </c>
      <c r="H477" t="n">
        <v>0</v>
      </c>
      <c r="I477" t="n">
        <v>0</v>
      </c>
      <c r="J477" t="n">
        <v>0</v>
      </c>
      <c r="K477" t="n">
        <v>0</v>
      </c>
      <c r="L477" t="n">
        <v>0</v>
      </c>
      <c r="M477" t="n">
        <v>0</v>
      </c>
      <c r="N477" t="n">
        <v>0</v>
      </c>
      <c r="O477" t="n">
        <v>0</v>
      </c>
      <c r="P477" t="n">
        <v>0</v>
      </c>
      <c r="Q477" t="n">
        <v>0</v>
      </c>
      <c r="R477" s="2" t="inlineStr"/>
    </row>
    <row r="478" ht="15" customHeight="1">
      <c r="A478" t="inlineStr">
        <is>
          <t>A 10708-2022</t>
        </is>
      </c>
      <c r="B478" s="1" t="n">
        <v>44625</v>
      </c>
      <c r="C478" s="1" t="n">
        <v>45508</v>
      </c>
      <c r="D478" t="inlineStr">
        <is>
          <t>VÄSTERBOTTENS LÄN</t>
        </is>
      </c>
      <c r="E478" t="inlineStr">
        <is>
          <t>VILHELMINA</t>
        </is>
      </c>
      <c r="G478" t="n">
        <v>21.3</v>
      </c>
      <c r="H478" t="n">
        <v>0</v>
      </c>
      <c r="I478" t="n">
        <v>0</v>
      </c>
      <c r="J478" t="n">
        <v>0</v>
      </c>
      <c r="K478" t="n">
        <v>0</v>
      </c>
      <c r="L478" t="n">
        <v>0</v>
      </c>
      <c r="M478" t="n">
        <v>0</v>
      </c>
      <c r="N478" t="n">
        <v>0</v>
      </c>
      <c r="O478" t="n">
        <v>0</v>
      </c>
      <c r="P478" t="n">
        <v>0</v>
      </c>
      <c r="Q478" t="n">
        <v>0</v>
      </c>
      <c r="R478" s="2" t="inlineStr"/>
    </row>
    <row r="479" ht="15" customHeight="1">
      <c r="A479" t="inlineStr">
        <is>
          <t>A 10833-2022</t>
        </is>
      </c>
      <c r="B479" s="1" t="n">
        <v>44627</v>
      </c>
      <c r="C479" s="1" t="n">
        <v>45508</v>
      </c>
      <c r="D479" t="inlineStr">
        <is>
          <t>VÄSTERBOTTENS LÄN</t>
        </is>
      </c>
      <c r="E479" t="inlineStr">
        <is>
          <t>VILHELMINA</t>
        </is>
      </c>
      <c r="G479" t="n">
        <v>5.4</v>
      </c>
      <c r="H479" t="n">
        <v>0</v>
      </c>
      <c r="I479" t="n">
        <v>0</v>
      </c>
      <c r="J479" t="n">
        <v>0</v>
      </c>
      <c r="K479" t="n">
        <v>0</v>
      </c>
      <c r="L479" t="n">
        <v>0</v>
      </c>
      <c r="M479" t="n">
        <v>0</v>
      </c>
      <c r="N479" t="n">
        <v>0</v>
      </c>
      <c r="O479" t="n">
        <v>0</v>
      </c>
      <c r="P479" t="n">
        <v>0</v>
      </c>
      <c r="Q479" t="n">
        <v>0</v>
      </c>
      <c r="R479" s="2" t="inlineStr"/>
    </row>
    <row r="480" ht="15" customHeight="1">
      <c r="A480" t="inlineStr">
        <is>
          <t>A 10839-2022</t>
        </is>
      </c>
      <c r="B480" s="1" t="n">
        <v>44627</v>
      </c>
      <c r="C480" s="1" t="n">
        <v>45508</v>
      </c>
      <c r="D480" t="inlineStr">
        <is>
          <t>VÄSTERBOTTENS LÄN</t>
        </is>
      </c>
      <c r="E480" t="inlineStr">
        <is>
          <t>VILHELMINA</t>
        </is>
      </c>
      <c r="G480" t="n">
        <v>2.9</v>
      </c>
      <c r="H480" t="n">
        <v>0</v>
      </c>
      <c r="I480" t="n">
        <v>0</v>
      </c>
      <c r="J480" t="n">
        <v>0</v>
      </c>
      <c r="K480" t="n">
        <v>0</v>
      </c>
      <c r="L480" t="n">
        <v>0</v>
      </c>
      <c r="M480" t="n">
        <v>0</v>
      </c>
      <c r="N480" t="n">
        <v>0</v>
      </c>
      <c r="O480" t="n">
        <v>0</v>
      </c>
      <c r="P480" t="n">
        <v>0</v>
      </c>
      <c r="Q480" t="n">
        <v>0</v>
      </c>
      <c r="R480" s="2" t="inlineStr"/>
    </row>
    <row r="481" ht="15" customHeight="1">
      <c r="A481" t="inlineStr">
        <is>
          <t>A 11076-2022</t>
        </is>
      </c>
      <c r="B481" s="1" t="n">
        <v>44628</v>
      </c>
      <c r="C481" s="1" t="n">
        <v>45508</v>
      </c>
      <c r="D481" t="inlineStr">
        <is>
          <t>VÄSTERBOTTENS LÄN</t>
        </is>
      </c>
      <c r="E481" t="inlineStr">
        <is>
          <t>VILHELMINA</t>
        </is>
      </c>
      <c r="G481" t="n">
        <v>7.4</v>
      </c>
      <c r="H481" t="n">
        <v>0</v>
      </c>
      <c r="I481" t="n">
        <v>0</v>
      </c>
      <c r="J481" t="n">
        <v>0</v>
      </c>
      <c r="K481" t="n">
        <v>0</v>
      </c>
      <c r="L481" t="n">
        <v>0</v>
      </c>
      <c r="M481" t="n">
        <v>0</v>
      </c>
      <c r="N481" t="n">
        <v>0</v>
      </c>
      <c r="O481" t="n">
        <v>0</v>
      </c>
      <c r="P481" t="n">
        <v>0</v>
      </c>
      <c r="Q481" t="n">
        <v>0</v>
      </c>
      <c r="R481" s="2" t="inlineStr"/>
    </row>
    <row r="482" ht="15" customHeight="1">
      <c r="A482" t="inlineStr">
        <is>
          <t>A 11114-2022</t>
        </is>
      </c>
      <c r="B482" s="1" t="n">
        <v>44628</v>
      </c>
      <c r="C482" s="1" t="n">
        <v>45508</v>
      </c>
      <c r="D482" t="inlineStr">
        <is>
          <t>VÄSTERBOTTENS LÄN</t>
        </is>
      </c>
      <c r="E482" t="inlineStr">
        <is>
          <t>VILHELMINA</t>
        </is>
      </c>
      <c r="G482" t="n">
        <v>8.6</v>
      </c>
      <c r="H482" t="n">
        <v>0</v>
      </c>
      <c r="I482" t="n">
        <v>0</v>
      </c>
      <c r="J482" t="n">
        <v>0</v>
      </c>
      <c r="K482" t="n">
        <v>0</v>
      </c>
      <c r="L482" t="n">
        <v>0</v>
      </c>
      <c r="M482" t="n">
        <v>0</v>
      </c>
      <c r="N482" t="n">
        <v>0</v>
      </c>
      <c r="O482" t="n">
        <v>0</v>
      </c>
      <c r="P482" t="n">
        <v>0</v>
      </c>
      <c r="Q482" t="n">
        <v>0</v>
      </c>
      <c r="R482" s="2" t="inlineStr"/>
    </row>
    <row r="483" ht="15" customHeight="1">
      <c r="A483" t="inlineStr">
        <is>
          <t>A 11116-2022</t>
        </is>
      </c>
      <c r="B483" s="1" t="n">
        <v>44628</v>
      </c>
      <c r="C483" s="1" t="n">
        <v>45508</v>
      </c>
      <c r="D483" t="inlineStr">
        <is>
          <t>VÄSTERBOTTENS LÄN</t>
        </is>
      </c>
      <c r="E483" t="inlineStr">
        <is>
          <t>VILHELMINA</t>
        </is>
      </c>
      <c r="G483" t="n">
        <v>4.2</v>
      </c>
      <c r="H483" t="n">
        <v>0</v>
      </c>
      <c r="I483" t="n">
        <v>0</v>
      </c>
      <c r="J483" t="n">
        <v>0</v>
      </c>
      <c r="K483" t="n">
        <v>0</v>
      </c>
      <c r="L483" t="n">
        <v>0</v>
      </c>
      <c r="M483" t="n">
        <v>0</v>
      </c>
      <c r="N483" t="n">
        <v>0</v>
      </c>
      <c r="O483" t="n">
        <v>0</v>
      </c>
      <c r="P483" t="n">
        <v>0</v>
      </c>
      <c r="Q483" t="n">
        <v>0</v>
      </c>
      <c r="R483" s="2" t="inlineStr"/>
    </row>
    <row r="484" ht="15" customHeight="1">
      <c r="A484" t="inlineStr">
        <is>
          <t>A 11139-2022</t>
        </is>
      </c>
      <c r="B484" s="1" t="n">
        <v>44628</v>
      </c>
      <c r="C484" s="1" t="n">
        <v>45508</v>
      </c>
      <c r="D484" t="inlineStr">
        <is>
          <t>VÄSTERBOTTENS LÄN</t>
        </is>
      </c>
      <c r="E484" t="inlineStr">
        <is>
          <t>VILHELMINA</t>
        </is>
      </c>
      <c r="G484" t="n">
        <v>13.6</v>
      </c>
      <c r="H484" t="n">
        <v>0</v>
      </c>
      <c r="I484" t="n">
        <v>0</v>
      </c>
      <c r="J484" t="n">
        <v>0</v>
      </c>
      <c r="K484" t="n">
        <v>0</v>
      </c>
      <c r="L484" t="n">
        <v>0</v>
      </c>
      <c r="M484" t="n">
        <v>0</v>
      </c>
      <c r="N484" t="n">
        <v>0</v>
      </c>
      <c r="O484" t="n">
        <v>0</v>
      </c>
      <c r="P484" t="n">
        <v>0</v>
      </c>
      <c r="Q484" t="n">
        <v>0</v>
      </c>
      <c r="R484" s="2" t="inlineStr"/>
    </row>
    <row r="485" ht="15" customHeight="1">
      <c r="A485" t="inlineStr">
        <is>
          <t>A 12065-2022</t>
        </is>
      </c>
      <c r="B485" s="1" t="n">
        <v>44637</v>
      </c>
      <c r="C485" s="1" t="n">
        <v>45508</v>
      </c>
      <c r="D485" t="inlineStr">
        <is>
          <t>VÄSTERBOTTENS LÄN</t>
        </is>
      </c>
      <c r="E485" t="inlineStr">
        <is>
          <t>VILHELMINA</t>
        </is>
      </c>
      <c r="G485" t="n">
        <v>27.7</v>
      </c>
      <c r="H485" t="n">
        <v>0</v>
      </c>
      <c r="I485" t="n">
        <v>0</v>
      </c>
      <c r="J485" t="n">
        <v>0</v>
      </c>
      <c r="K485" t="n">
        <v>0</v>
      </c>
      <c r="L485" t="n">
        <v>0</v>
      </c>
      <c r="M485" t="n">
        <v>0</v>
      </c>
      <c r="N485" t="n">
        <v>0</v>
      </c>
      <c r="O485" t="n">
        <v>0</v>
      </c>
      <c r="P485" t="n">
        <v>0</v>
      </c>
      <c r="Q485" t="n">
        <v>0</v>
      </c>
      <c r="R485" s="2" t="inlineStr"/>
    </row>
    <row r="486" ht="15" customHeight="1">
      <c r="A486" t="inlineStr">
        <is>
          <t>A 12593-2022</t>
        </is>
      </c>
      <c r="B486" s="1" t="n">
        <v>44640</v>
      </c>
      <c r="C486" s="1" t="n">
        <v>45508</v>
      </c>
      <c r="D486" t="inlineStr">
        <is>
          <t>VÄSTERBOTTENS LÄN</t>
        </is>
      </c>
      <c r="E486" t="inlineStr">
        <is>
          <t>VILHELMINA</t>
        </is>
      </c>
      <c r="G486" t="n">
        <v>10.4</v>
      </c>
      <c r="H486" t="n">
        <v>0</v>
      </c>
      <c r="I486" t="n">
        <v>0</v>
      </c>
      <c r="J486" t="n">
        <v>0</v>
      </c>
      <c r="K486" t="n">
        <v>0</v>
      </c>
      <c r="L486" t="n">
        <v>0</v>
      </c>
      <c r="M486" t="n">
        <v>0</v>
      </c>
      <c r="N486" t="n">
        <v>0</v>
      </c>
      <c r="O486" t="n">
        <v>0</v>
      </c>
      <c r="P486" t="n">
        <v>0</v>
      </c>
      <c r="Q486" t="n">
        <v>0</v>
      </c>
      <c r="R486" s="2" t="inlineStr"/>
    </row>
    <row r="487" ht="15" customHeight="1">
      <c r="A487" t="inlineStr">
        <is>
          <t>A 12778-2022</t>
        </is>
      </c>
      <c r="B487" s="1" t="n">
        <v>44642</v>
      </c>
      <c r="C487" s="1" t="n">
        <v>45508</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14959-2022</t>
        </is>
      </c>
      <c r="B488" s="1" t="n">
        <v>44657</v>
      </c>
      <c r="C488" s="1" t="n">
        <v>45508</v>
      </c>
      <c r="D488" t="inlineStr">
        <is>
          <t>VÄSTERBOTTENS LÄN</t>
        </is>
      </c>
      <c r="E488" t="inlineStr">
        <is>
          <t>VILHELMINA</t>
        </is>
      </c>
      <c r="G488" t="n">
        <v>71.8</v>
      </c>
      <c r="H488" t="n">
        <v>0</v>
      </c>
      <c r="I488" t="n">
        <v>0</v>
      </c>
      <c r="J488" t="n">
        <v>0</v>
      </c>
      <c r="K488" t="n">
        <v>0</v>
      </c>
      <c r="L488" t="n">
        <v>0</v>
      </c>
      <c r="M488" t="n">
        <v>0</v>
      </c>
      <c r="N488" t="n">
        <v>0</v>
      </c>
      <c r="O488" t="n">
        <v>0</v>
      </c>
      <c r="P488" t="n">
        <v>0</v>
      </c>
      <c r="Q488" t="n">
        <v>0</v>
      </c>
      <c r="R488" s="2" t="inlineStr"/>
    </row>
    <row r="489" ht="15" customHeight="1">
      <c r="A489" t="inlineStr">
        <is>
          <t>A 14961-2022</t>
        </is>
      </c>
      <c r="B489" s="1" t="n">
        <v>44657</v>
      </c>
      <c r="C489" s="1" t="n">
        <v>45508</v>
      </c>
      <c r="D489" t="inlineStr">
        <is>
          <t>VÄSTERBOTTENS LÄN</t>
        </is>
      </c>
      <c r="E489" t="inlineStr">
        <is>
          <t>VILHELMINA</t>
        </is>
      </c>
      <c r="G489" t="n">
        <v>19.9</v>
      </c>
      <c r="H489" t="n">
        <v>0</v>
      </c>
      <c r="I489" t="n">
        <v>0</v>
      </c>
      <c r="J489" t="n">
        <v>0</v>
      </c>
      <c r="K489" t="n">
        <v>0</v>
      </c>
      <c r="L489" t="n">
        <v>0</v>
      </c>
      <c r="M489" t="n">
        <v>0</v>
      </c>
      <c r="N489" t="n">
        <v>0</v>
      </c>
      <c r="O489" t="n">
        <v>0</v>
      </c>
      <c r="P489" t="n">
        <v>0</v>
      </c>
      <c r="Q489" t="n">
        <v>0</v>
      </c>
      <c r="R489" s="2" t="inlineStr"/>
    </row>
    <row r="490" ht="15" customHeight="1">
      <c r="A490" t="inlineStr">
        <is>
          <t>A 14963-2022</t>
        </is>
      </c>
      <c r="B490" s="1" t="n">
        <v>44657</v>
      </c>
      <c r="C490" s="1" t="n">
        <v>45508</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15176-2022</t>
        </is>
      </c>
      <c r="B491" s="1" t="n">
        <v>44658</v>
      </c>
      <c r="C491" s="1" t="n">
        <v>45508</v>
      </c>
      <c r="D491" t="inlineStr">
        <is>
          <t>VÄSTERBOTTENS LÄN</t>
        </is>
      </c>
      <c r="E491" t="inlineStr">
        <is>
          <t>VILHELMINA</t>
        </is>
      </c>
      <c r="G491" t="n">
        <v>1.6</v>
      </c>
      <c r="H491" t="n">
        <v>0</v>
      </c>
      <c r="I491" t="n">
        <v>0</v>
      </c>
      <c r="J491" t="n">
        <v>0</v>
      </c>
      <c r="K491" t="n">
        <v>0</v>
      </c>
      <c r="L491" t="n">
        <v>0</v>
      </c>
      <c r="M491" t="n">
        <v>0</v>
      </c>
      <c r="N491" t="n">
        <v>0</v>
      </c>
      <c r="O491" t="n">
        <v>0</v>
      </c>
      <c r="P491" t="n">
        <v>0</v>
      </c>
      <c r="Q491" t="n">
        <v>0</v>
      </c>
      <c r="R491" s="2" t="inlineStr"/>
    </row>
    <row r="492" ht="15" customHeight="1">
      <c r="A492" t="inlineStr">
        <is>
          <t>A 17591-2022</t>
        </is>
      </c>
      <c r="B492" s="1" t="n">
        <v>44679</v>
      </c>
      <c r="C492" s="1" t="n">
        <v>45508</v>
      </c>
      <c r="D492" t="inlineStr">
        <is>
          <t>VÄSTERBOTTENS LÄN</t>
        </is>
      </c>
      <c r="E492" t="inlineStr">
        <is>
          <t>VILHELMINA</t>
        </is>
      </c>
      <c r="F492" t="inlineStr">
        <is>
          <t>SCA</t>
        </is>
      </c>
      <c r="G492" t="n">
        <v>10</v>
      </c>
      <c r="H492" t="n">
        <v>0</v>
      </c>
      <c r="I492" t="n">
        <v>0</v>
      </c>
      <c r="J492" t="n">
        <v>0</v>
      </c>
      <c r="K492" t="n">
        <v>0</v>
      </c>
      <c r="L492" t="n">
        <v>0</v>
      </c>
      <c r="M492" t="n">
        <v>0</v>
      </c>
      <c r="N492" t="n">
        <v>0</v>
      </c>
      <c r="O492" t="n">
        <v>0</v>
      </c>
      <c r="P492" t="n">
        <v>0</v>
      </c>
      <c r="Q492" t="n">
        <v>0</v>
      </c>
      <c r="R492" s="2" t="inlineStr"/>
    </row>
    <row r="493" ht="15" customHeight="1">
      <c r="A493" t="inlineStr">
        <is>
          <t>A 17590-2022</t>
        </is>
      </c>
      <c r="B493" s="1" t="n">
        <v>44679</v>
      </c>
      <c r="C493" s="1" t="n">
        <v>45508</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18497-2022</t>
        </is>
      </c>
      <c r="B494" s="1" t="n">
        <v>44686</v>
      </c>
      <c r="C494" s="1" t="n">
        <v>45508</v>
      </c>
      <c r="D494" t="inlineStr">
        <is>
          <t>VÄSTERBOTTENS LÄN</t>
        </is>
      </c>
      <c r="E494" t="inlineStr">
        <is>
          <t>VILHELMINA</t>
        </is>
      </c>
      <c r="F494" t="inlineStr">
        <is>
          <t>Övriga statliga verk och myndigheter</t>
        </is>
      </c>
      <c r="G494" t="n">
        <v>64.7</v>
      </c>
      <c r="H494" t="n">
        <v>0</v>
      </c>
      <c r="I494" t="n">
        <v>0</v>
      </c>
      <c r="J494" t="n">
        <v>0</v>
      </c>
      <c r="K494" t="n">
        <v>0</v>
      </c>
      <c r="L494" t="n">
        <v>0</v>
      </c>
      <c r="M494" t="n">
        <v>0</v>
      </c>
      <c r="N494" t="n">
        <v>0</v>
      </c>
      <c r="O494" t="n">
        <v>0</v>
      </c>
      <c r="P494" t="n">
        <v>0</v>
      </c>
      <c r="Q494" t="n">
        <v>0</v>
      </c>
      <c r="R494" s="2" t="inlineStr"/>
    </row>
    <row r="495" ht="15" customHeight="1">
      <c r="A495" t="inlineStr">
        <is>
          <t>A 18564-2022</t>
        </is>
      </c>
      <c r="B495" s="1" t="n">
        <v>44686</v>
      </c>
      <c r="C495" s="1" t="n">
        <v>45508</v>
      </c>
      <c r="D495" t="inlineStr">
        <is>
          <t>VÄSTERBOTTENS LÄN</t>
        </is>
      </c>
      <c r="E495" t="inlineStr">
        <is>
          <t>VILHELMINA</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18995-2022</t>
        </is>
      </c>
      <c r="B496" s="1" t="n">
        <v>44690</v>
      </c>
      <c r="C496" s="1" t="n">
        <v>45508</v>
      </c>
      <c r="D496" t="inlineStr">
        <is>
          <t>VÄSTERBOTTENS LÄN</t>
        </is>
      </c>
      <c r="E496" t="inlineStr">
        <is>
          <t>VILHELMINA</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18996-2022</t>
        </is>
      </c>
      <c r="B497" s="1" t="n">
        <v>44690</v>
      </c>
      <c r="C497" s="1" t="n">
        <v>45508</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19394-2022</t>
        </is>
      </c>
      <c r="B498" s="1" t="n">
        <v>44692</v>
      </c>
      <c r="C498" s="1" t="n">
        <v>45508</v>
      </c>
      <c r="D498" t="inlineStr">
        <is>
          <t>VÄSTERBOTTENS LÄN</t>
        </is>
      </c>
      <c r="E498" t="inlineStr">
        <is>
          <t>VILHELMINA</t>
        </is>
      </c>
      <c r="F498" t="inlineStr">
        <is>
          <t>SCA</t>
        </is>
      </c>
      <c r="G498" t="n">
        <v>9.9</v>
      </c>
      <c r="H498" t="n">
        <v>0</v>
      </c>
      <c r="I498" t="n">
        <v>0</v>
      </c>
      <c r="J498" t="n">
        <v>0</v>
      </c>
      <c r="K498" t="n">
        <v>0</v>
      </c>
      <c r="L498" t="n">
        <v>0</v>
      </c>
      <c r="M498" t="n">
        <v>0</v>
      </c>
      <c r="N498" t="n">
        <v>0</v>
      </c>
      <c r="O498" t="n">
        <v>0</v>
      </c>
      <c r="P498" t="n">
        <v>0</v>
      </c>
      <c r="Q498" t="n">
        <v>0</v>
      </c>
      <c r="R498" s="2" t="inlineStr"/>
    </row>
    <row r="499" ht="15" customHeight="1">
      <c r="A499" t="inlineStr">
        <is>
          <t>A 19471-2022</t>
        </is>
      </c>
      <c r="B499" s="1" t="n">
        <v>44693</v>
      </c>
      <c r="C499" s="1" t="n">
        <v>45508</v>
      </c>
      <c r="D499" t="inlineStr">
        <is>
          <t>VÄSTERBOTTENS LÄN</t>
        </is>
      </c>
      <c r="E499" t="inlineStr">
        <is>
          <t>VILHELMINA</t>
        </is>
      </c>
      <c r="G499" t="n">
        <v>1.6</v>
      </c>
      <c r="H499" t="n">
        <v>0</v>
      </c>
      <c r="I499" t="n">
        <v>0</v>
      </c>
      <c r="J499" t="n">
        <v>0</v>
      </c>
      <c r="K499" t="n">
        <v>0</v>
      </c>
      <c r="L499" t="n">
        <v>0</v>
      </c>
      <c r="M499" t="n">
        <v>0</v>
      </c>
      <c r="N499" t="n">
        <v>0</v>
      </c>
      <c r="O499" t="n">
        <v>0</v>
      </c>
      <c r="P499" t="n">
        <v>0</v>
      </c>
      <c r="Q499" t="n">
        <v>0</v>
      </c>
      <c r="R499" s="2" t="inlineStr"/>
    </row>
    <row r="500" ht="15" customHeight="1">
      <c r="A500" t="inlineStr">
        <is>
          <t>A 19423-2022</t>
        </is>
      </c>
      <c r="B500" s="1" t="n">
        <v>44693</v>
      </c>
      <c r="C500" s="1" t="n">
        <v>45508</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20298-2022</t>
        </is>
      </c>
      <c r="B501" s="1" t="n">
        <v>44698</v>
      </c>
      <c r="C501" s="1" t="n">
        <v>45508</v>
      </c>
      <c r="D501" t="inlineStr">
        <is>
          <t>VÄSTERBOTTENS LÄN</t>
        </is>
      </c>
      <c r="E501" t="inlineStr">
        <is>
          <t>VILHELMINA</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20322-2022</t>
        </is>
      </c>
      <c r="B502" s="1" t="n">
        <v>44698</v>
      </c>
      <c r="C502" s="1" t="n">
        <v>45508</v>
      </c>
      <c r="D502" t="inlineStr">
        <is>
          <t>VÄSTERBOTTENS LÄN</t>
        </is>
      </c>
      <c r="E502" t="inlineStr">
        <is>
          <t>VILHELMINA</t>
        </is>
      </c>
      <c r="G502" t="n">
        <v>10.5</v>
      </c>
      <c r="H502" t="n">
        <v>0</v>
      </c>
      <c r="I502" t="n">
        <v>0</v>
      </c>
      <c r="J502" t="n">
        <v>0</v>
      </c>
      <c r="K502" t="n">
        <v>0</v>
      </c>
      <c r="L502" t="n">
        <v>0</v>
      </c>
      <c r="M502" t="n">
        <v>0</v>
      </c>
      <c r="N502" t="n">
        <v>0</v>
      </c>
      <c r="O502" t="n">
        <v>0</v>
      </c>
      <c r="P502" t="n">
        <v>0</v>
      </c>
      <c r="Q502" t="n">
        <v>0</v>
      </c>
      <c r="R502" s="2" t="inlineStr"/>
    </row>
    <row r="503" ht="15" customHeight="1">
      <c r="A503" t="inlineStr">
        <is>
          <t>A 20720-2022</t>
        </is>
      </c>
      <c r="B503" s="1" t="n">
        <v>44700</v>
      </c>
      <c r="C503" s="1" t="n">
        <v>45508</v>
      </c>
      <c r="D503" t="inlineStr">
        <is>
          <t>VÄSTERBOTTENS LÄN</t>
        </is>
      </c>
      <c r="E503" t="inlineStr">
        <is>
          <t>VILHELMINA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20719-2022</t>
        </is>
      </c>
      <c r="B504" s="1" t="n">
        <v>44701</v>
      </c>
      <c r="C504" s="1" t="n">
        <v>45508</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21806-2022</t>
        </is>
      </c>
      <c r="B505" s="1" t="n">
        <v>44708</v>
      </c>
      <c r="C505" s="1" t="n">
        <v>45508</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21808-2022</t>
        </is>
      </c>
      <c r="B506" s="1" t="n">
        <v>44708</v>
      </c>
      <c r="C506" s="1" t="n">
        <v>45508</v>
      </c>
      <c r="D506" t="inlineStr">
        <is>
          <t>VÄSTERBOTTENS LÄN</t>
        </is>
      </c>
      <c r="E506" t="inlineStr">
        <is>
          <t>VILHELMINA</t>
        </is>
      </c>
      <c r="F506" t="inlineStr">
        <is>
          <t>SCA</t>
        </is>
      </c>
      <c r="G506" t="n">
        <v>16.1</v>
      </c>
      <c r="H506" t="n">
        <v>0</v>
      </c>
      <c r="I506" t="n">
        <v>0</v>
      </c>
      <c r="J506" t="n">
        <v>0</v>
      </c>
      <c r="K506" t="n">
        <v>0</v>
      </c>
      <c r="L506" t="n">
        <v>0</v>
      </c>
      <c r="M506" t="n">
        <v>0</v>
      </c>
      <c r="N506" t="n">
        <v>0</v>
      </c>
      <c r="O506" t="n">
        <v>0</v>
      </c>
      <c r="P506" t="n">
        <v>0</v>
      </c>
      <c r="Q506" t="n">
        <v>0</v>
      </c>
      <c r="R506" s="2" t="inlineStr"/>
    </row>
    <row r="507" ht="15" customHeight="1">
      <c r="A507" t="inlineStr">
        <is>
          <t>A 21814-2022</t>
        </is>
      </c>
      <c r="B507" s="1" t="n">
        <v>44708</v>
      </c>
      <c r="C507" s="1" t="n">
        <v>45508</v>
      </c>
      <c r="D507" t="inlineStr">
        <is>
          <t>VÄSTERBOTTENS LÄN</t>
        </is>
      </c>
      <c r="E507" t="inlineStr">
        <is>
          <t>VILHELMINA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22325-2022</t>
        </is>
      </c>
      <c r="B508" s="1" t="n">
        <v>44712</v>
      </c>
      <c r="C508" s="1" t="n">
        <v>45508</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22405-2022</t>
        </is>
      </c>
      <c r="B509" s="1" t="n">
        <v>44713</v>
      </c>
      <c r="C509" s="1" t="n">
        <v>45508</v>
      </c>
      <c r="D509" t="inlineStr">
        <is>
          <t>VÄSTERBOTTENS LÄN</t>
        </is>
      </c>
      <c r="E509" t="inlineStr">
        <is>
          <t>VILHELMINA</t>
        </is>
      </c>
      <c r="G509" t="n">
        <v>13.2</v>
      </c>
      <c r="H509" t="n">
        <v>0</v>
      </c>
      <c r="I509" t="n">
        <v>0</v>
      </c>
      <c r="J509" t="n">
        <v>0</v>
      </c>
      <c r="K509" t="n">
        <v>0</v>
      </c>
      <c r="L509" t="n">
        <v>0</v>
      </c>
      <c r="M509" t="n">
        <v>0</v>
      </c>
      <c r="N509" t="n">
        <v>0</v>
      </c>
      <c r="O509" t="n">
        <v>0</v>
      </c>
      <c r="P509" t="n">
        <v>0</v>
      </c>
      <c r="Q509" t="n">
        <v>0</v>
      </c>
      <c r="R509" s="2" t="inlineStr"/>
    </row>
    <row r="510" ht="15" customHeight="1">
      <c r="A510" t="inlineStr">
        <is>
          <t>A 23210-2022</t>
        </is>
      </c>
      <c r="B510" s="1" t="n">
        <v>44719</v>
      </c>
      <c r="C510" s="1" t="n">
        <v>45508</v>
      </c>
      <c r="D510" t="inlineStr">
        <is>
          <t>VÄSTERBOTTENS LÄN</t>
        </is>
      </c>
      <c r="E510" t="inlineStr">
        <is>
          <t>VILHELMINA</t>
        </is>
      </c>
      <c r="F510" t="inlineStr">
        <is>
          <t>SCA</t>
        </is>
      </c>
      <c r="G510" t="n">
        <v>7.4</v>
      </c>
      <c r="H510" t="n">
        <v>0</v>
      </c>
      <c r="I510" t="n">
        <v>0</v>
      </c>
      <c r="J510" t="n">
        <v>0</v>
      </c>
      <c r="K510" t="n">
        <v>0</v>
      </c>
      <c r="L510" t="n">
        <v>0</v>
      </c>
      <c r="M510" t="n">
        <v>0</v>
      </c>
      <c r="N510" t="n">
        <v>0</v>
      </c>
      <c r="O510" t="n">
        <v>0</v>
      </c>
      <c r="P510" t="n">
        <v>0</v>
      </c>
      <c r="Q510" t="n">
        <v>0</v>
      </c>
      <c r="R510" s="2" t="inlineStr"/>
    </row>
    <row r="511" ht="15" customHeight="1">
      <c r="A511" t="inlineStr">
        <is>
          <t>A 24296-2022</t>
        </is>
      </c>
      <c r="B511" s="1" t="n">
        <v>44726</v>
      </c>
      <c r="C511" s="1" t="n">
        <v>45508</v>
      </c>
      <c r="D511" t="inlineStr">
        <is>
          <t>VÄSTERBOTTENS LÄN</t>
        </is>
      </c>
      <c r="E511" t="inlineStr">
        <is>
          <t>VILHELMINA</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24297-2022</t>
        </is>
      </c>
      <c r="B512" s="1" t="n">
        <v>44725</v>
      </c>
      <c r="C512" s="1" t="n">
        <v>45508</v>
      </c>
      <c r="D512" t="inlineStr">
        <is>
          <t>VÄSTERBOTTENS LÄN</t>
        </is>
      </c>
      <c r="E512" t="inlineStr">
        <is>
          <t>VILHELMINA</t>
        </is>
      </c>
      <c r="G512" t="n">
        <v>2.7</v>
      </c>
      <c r="H512" t="n">
        <v>0</v>
      </c>
      <c r="I512" t="n">
        <v>0</v>
      </c>
      <c r="J512" t="n">
        <v>0</v>
      </c>
      <c r="K512" t="n">
        <v>0</v>
      </c>
      <c r="L512" t="n">
        <v>0</v>
      </c>
      <c r="M512" t="n">
        <v>0</v>
      </c>
      <c r="N512" t="n">
        <v>0</v>
      </c>
      <c r="O512" t="n">
        <v>0</v>
      </c>
      <c r="P512" t="n">
        <v>0</v>
      </c>
      <c r="Q512" t="n">
        <v>0</v>
      </c>
      <c r="R512" s="2" t="inlineStr"/>
    </row>
    <row r="513" ht="15" customHeight="1">
      <c r="A513" t="inlineStr">
        <is>
          <t>A 25923-2022</t>
        </is>
      </c>
      <c r="B513" s="1" t="n">
        <v>44733</v>
      </c>
      <c r="C513" s="1" t="n">
        <v>45508</v>
      </c>
      <c r="D513" t="inlineStr">
        <is>
          <t>VÄSTERBOTTENS LÄN</t>
        </is>
      </c>
      <c r="E513" t="inlineStr">
        <is>
          <t>VILHELMINA</t>
        </is>
      </c>
      <c r="G513" t="n">
        <v>0.8</v>
      </c>
      <c r="H513" t="n">
        <v>0</v>
      </c>
      <c r="I513" t="n">
        <v>0</v>
      </c>
      <c r="J513" t="n">
        <v>0</v>
      </c>
      <c r="K513" t="n">
        <v>0</v>
      </c>
      <c r="L513" t="n">
        <v>0</v>
      </c>
      <c r="M513" t="n">
        <v>0</v>
      </c>
      <c r="N513" t="n">
        <v>0</v>
      </c>
      <c r="O513" t="n">
        <v>0</v>
      </c>
      <c r="P513" t="n">
        <v>0</v>
      </c>
      <c r="Q513" t="n">
        <v>0</v>
      </c>
      <c r="R513" s="2" t="inlineStr"/>
    </row>
    <row r="514" ht="15" customHeight="1">
      <c r="A514" t="inlineStr">
        <is>
          <t>A 26191-2022</t>
        </is>
      </c>
      <c r="B514" s="1" t="n">
        <v>44735</v>
      </c>
      <c r="C514" s="1" t="n">
        <v>45508</v>
      </c>
      <c r="D514" t="inlineStr">
        <is>
          <t>VÄSTERBOTTENS LÄN</t>
        </is>
      </c>
      <c r="E514" t="inlineStr">
        <is>
          <t>VILHELMINA</t>
        </is>
      </c>
      <c r="G514" t="n">
        <v>42.1</v>
      </c>
      <c r="H514" t="n">
        <v>0</v>
      </c>
      <c r="I514" t="n">
        <v>0</v>
      </c>
      <c r="J514" t="n">
        <v>0</v>
      </c>
      <c r="K514" t="n">
        <v>0</v>
      </c>
      <c r="L514" t="n">
        <v>0</v>
      </c>
      <c r="M514" t="n">
        <v>0</v>
      </c>
      <c r="N514" t="n">
        <v>0</v>
      </c>
      <c r="O514" t="n">
        <v>0</v>
      </c>
      <c r="P514" t="n">
        <v>0</v>
      </c>
      <c r="Q514" t="n">
        <v>0</v>
      </c>
      <c r="R514" s="2" t="inlineStr"/>
    </row>
    <row r="515" ht="15" customHeight="1">
      <c r="A515" t="inlineStr">
        <is>
          <t>A 26401-2022</t>
        </is>
      </c>
      <c r="B515" s="1" t="n">
        <v>44735</v>
      </c>
      <c r="C515" s="1" t="n">
        <v>45508</v>
      </c>
      <c r="D515" t="inlineStr">
        <is>
          <t>VÄSTERBOTTENS LÄN</t>
        </is>
      </c>
      <c r="E515" t="inlineStr">
        <is>
          <t>VILHELMINA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26409-2022</t>
        </is>
      </c>
      <c r="B516" s="1" t="n">
        <v>44735</v>
      </c>
      <c r="C516" s="1" t="n">
        <v>45508</v>
      </c>
      <c r="D516" t="inlineStr">
        <is>
          <t>VÄSTERBOTTENS LÄN</t>
        </is>
      </c>
      <c r="E516" t="inlineStr">
        <is>
          <t>VILHELMINA</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26410-2022</t>
        </is>
      </c>
      <c r="B517" s="1" t="n">
        <v>44735</v>
      </c>
      <c r="C517" s="1" t="n">
        <v>45508</v>
      </c>
      <c r="D517" t="inlineStr">
        <is>
          <t>VÄSTERBOTTENS LÄN</t>
        </is>
      </c>
      <c r="E517" t="inlineStr">
        <is>
          <t>VILHELMINA</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27127-2022</t>
        </is>
      </c>
      <c r="B518" s="1" t="n">
        <v>44741</v>
      </c>
      <c r="C518" s="1" t="n">
        <v>45508</v>
      </c>
      <c r="D518" t="inlineStr">
        <is>
          <t>VÄSTERBOTTENS LÄN</t>
        </is>
      </c>
      <c r="E518" t="inlineStr">
        <is>
          <t>VILHELMINA</t>
        </is>
      </c>
      <c r="F518" t="inlineStr">
        <is>
          <t>Sveaskog</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27865-2022</t>
        </is>
      </c>
      <c r="B519" s="1" t="n">
        <v>44743</v>
      </c>
      <c r="C519" s="1" t="n">
        <v>45508</v>
      </c>
      <c r="D519" t="inlineStr">
        <is>
          <t>VÄSTERBOTTENS LÄN</t>
        </is>
      </c>
      <c r="E519" t="inlineStr">
        <is>
          <t>VILHELMINA</t>
        </is>
      </c>
      <c r="F519" t="inlineStr">
        <is>
          <t>Sveaskog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27881-2022</t>
        </is>
      </c>
      <c r="B520" s="1" t="n">
        <v>44743</v>
      </c>
      <c r="C520" s="1" t="n">
        <v>45508</v>
      </c>
      <c r="D520" t="inlineStr">
        <is>
          <t>VÄSTERBOTTENS LÄN</t>
        </is>
      </c>
      <c r="E520" t="inlineStr">
        <is>
          <t>VILHELMINA</t>
        </is>
      </c>
      <c r="F520" t="inlineStr">
        <is>
          <t>Sveaskog</t>
        </is>
      </c>
      <c r="G520" t="n">
        <v>14.3</v>
      </c>
      <c r="H520" t="n">
        <v>0</v>
      </c>
      <c r="I520" t="n">
        <v>0</v>
      </c>
      <c r="J520" t="n">
        <v>0</v>
      </c>
      <c r="K520" t="n">
        <v>0</v>
      </c>
      <c r="L520" t="n">
        <v>0</v>
      </c>
      <c r="M520" t="n">
        <v>0</v>
      </c>
      <c r="N520" t="n">
        <v>0</v>
      </c>
      <c r="O520" t="n">
        <v>0</v>
      </c>
      <c r="P520" t="n">
        <v>0</v>
      </c>
      <c r="Q520" t="n">
        <v>0</v>
      </c>
      <c r="R520" s="2" t="inlineStr"/>
    </row>
    <row r="521" ht="15" customHeight="1">
      <c r="A521" t="inlineStr">
        <is>
          <t>A 27714-2022</t>
        </is>
      </c>
      <c r="B521" s="1" t="n">
        <v>44743</v>
      </c>
      <c r="C521" s="1" t="n">
        <v>45508</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27848-2022</t>
        </is>
      </c>
      <c r="B522" s="1" t="n">
        <v>44743</v>
      </c>
      <c r="C522" s="1" t="n">
        <v>45508</v>
      </c>
      <c r="D522" t="inlineStr">
        <is>
          <t>VÄSTERBOTTENS LÄN</t>
        </is>
      </c>
      <c r="E522" t="inlineStr">
        <is>
          <t>VILHELMINA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27880-2022</t>
        </is>
      </c>
      <c r="B523" s="1" t="n">
        <v>44743</v>
      </c>
      <c r="C523" s="1" t="n">
        <v>45508</v>
      </c>
      <c r="D523" t="inlineStr">
        <is>
          <t>VÄSTERBOTTENS LÄN</t>
        </is>
      </c>
      <c r="E523" t="inlineStr">
        <is>
          <t>VILHELMINA</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27889-2022</t>
        </is>
      </c>
      <c r="B524" s="1" t="n">
        <v>44743</v>
      </c>
      <c r="C524" s="1" t="n">
        <v>45508</v>
      </c>
      <c r="D524" t="inlineStr">
        <is>
          <t>VÄSTERBOTTENS LÄN</t>
        </is>
      </c>
      <c r="E524" t="inlineStr">
        <is>
          <t>VILHELMINA</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27874-2022</t>
        </is>
      </c>
      <c r="B525" s="1" t="n">
        <v>44743</v>
      </c>
      <c r="C525" s="1" t="n">
        <v>45508</v>
      </c>
      <c r="D525" t="inlineStr">
        <is>
          <t>VÄSTERBOTTENS LÄN</t>
        </is>
      </c>
      <c r="E525" t="inlineStr">
        <is>
          <t>VILHELMINA</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27920-2022</t>
        </is>
      </c>
      <c r="B526" s="1" t="n">
        <v>44743</v>
      </c>
      <c r="C526" s="1" t="n">
        <v>45508</v>
      </c>
      <c r="D526" t="inlineStr">
        <is>
          <t>VÄSTERBOTTENS LÄN</t>
        </is>
      </c>
      <c r="E526" t="inlineStr">
        <is>
          <t>VILHELMINA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27844-2022</t>
        </is>
      </c>
      <c r="B527" s="1" t="n">
        <v>44743</v>
      </c>
      <c r="C527" s="1" t="n">
        <v>45508</v>
      </c>
      <c r="D527" t="inlineStr">
        <is>
          <t>VÄSTERBOTTENS LÄN</t>
        </is>
      </c>
      <c r="E527" t="inlineStr">
        <is>
          <t>VILHELMINA</t>
        </is>
      </c>
      <c r="F527" t="inlineStr">
        <is>
          <t>Sveaskog</t>
        </is>
      </c>
      <c r="G527" t="n">
        <v>4.3</v>
      </c>
      <c r="H527" t="n">
        <v>0</v>
      </c>
      <c r="I527" t="n">
        <v>0</v>
      </c>
      <c r="J527" t="n">
        <v>0</v>
      </c>
      <c r="K527" t="n">
        <v>0</v>
      </c>
      <c r="L527" t="n">
        <v>0</v>
      </c>
      <c r="M527" t="n">
        <v>0</v>
      </c>
      <c r="N527" t="n">
        <v>0</v>
      </c>
      <c r="O527" t="n">
        <v>0</v>
      </c>
      <c r="P527" t="n">
        <v>0</v>
      </c>
      <c r="Q527" t="n">
        <v>0</v>
      </c>
      <c r="R527" s="2" t="inlineStr"/>
    </row>
    <row r="528" ht="15" customHeight="1">
      <c r="A528" t="inlineStr">
        <is>
          <t>A 27879-2022</t>
        </is>
      </c>
      <c r="B528" s="1" t="n">
        <v>44743</v>
      </c>
      <c r="C528" s="1" t="n">
        <v>45508</v>
      </c>
      <c r="D528" t="inlineStr">
        <is>
          <t>VÄSTERBOTTENS LÄN</t>
        </is>
      </c>
      <c r="E528" t="inlineStr">
        <is>
          <t>VILHELMINA</t>
        </is>
      </c>
      <c r="F528" t="inlineStr">
        <is>
          <t>Sveaskog</t>
        </is>
      </c>
      <c r="G528" t="n">
        <v>4.9</v>
      </c>
      <c r="H528" t="n">
        <v>0</v>
      </c>
      <c r="I528" t="n">
        <v>0</v>
      </c>
      <c r="J528" t="n">
        <v>0</v>
      </c>
      <c r="K528" t="n">
        <v>0</v>
      </c>
      <c r="L528" t="n">
        <v>0</v>
      </c>
      <c r="M528" t="n">
        <v>0</v>
      </c>
      <c r="N528" t="n">
        <v>0</v>
      </c>
      <c r="O528" t="n">
        <v>0</v>
      </c>
      <c r="P528" t="n">
        <v>0</v>
      </c>
      <c r="Q528" t="n">
        <v>0</v>
      </c>
      <c r="R528" s="2" t="inlineStr"/>
    </row>
    <row r="529" ht="15" customHeight="1">
      <c r="A529" t="inlineStr">
        <is>
          <t>A 27918-2022</t>
        </is>
      </c>
      <c r="B529" s="1" t="n">
        <v>44744</v>
      </c>
      <c r="C529" s="1" t="n">
        <v>45508</v>
      </c>
      <c r="D529" t="inlineStr">
        <is>
          <t>VÄSTERBOTTENS LÄN</t>
        </is>
      </c>
      <c r="E529" t="inlineStr">
        <is>
          <t>VILHELMINA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27938-2022</t>
        </is>
      </c>
      <c r="B530" s="1" t="n">
        <v>44744</v>
      </c>
      <c r="C530" s="1" t="n">
        <v>45508</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27922-2022</t>
        </is>
      </c>
      <c r="B531" s="1" t="n">
        <v>44744</v>
      </c>
      <c r="C531" s="1" t="n">
        <v>45508</v>
      </c>
      <c r="D531" t="inlineStr">
        <is>
          <t>VÄSTERBOTTENS LÄN</t>
        </is>
      </c>
      <c r="E531" t="inlineStr">
        <is>
          <t>VILHELMINA</t>
        </is>
      </c>
      <c r="F531" t="inlineStr">
        <is>
          <t>SCA</t>
        </is>
      </c>
      <c r="G531" t="n">
        <v>4.8</v>
      </c>
      <c r="H531" t="n">
        <v>0</v>
      </c>
      <c r="I531" t="n">
        <v>0</v>
      </c>
      <c r="J531" t="n">
        <v>0</v>
      </c>
      <c r="K531" t="n">
        <v>0</v>
      </c>
      <c r="L531" t="n">
        <v>0</v>
      </c>
      <c r="M531" t="n">
        <v>0</v>
      </c>
      <c r="N531" t="n">
        <v>0</v>
      </c>
      <c r="O531" t="n">
        <v>0</v>
      </c>
      <c r="P531" t="n">
        <v>0</v>
      </c>
      <c r="Q531" t="n">
        <v>0</v>
      </c>
      <c r="R531" s="2" t="inlineStr"/>
    </row>
    <row r="532" ht="15" customHeight="1">
      <c r="A532" t="inlineStr">
        <is>
          <t>A 27937-2022</t>
        </is>
      </c>
      <c r="B532" s="1" t="n">
        <v>44744</v>
      </c>
      <c r="C532" s="1" t="n">
        <v>45508</v>
      </c>
      <c r="D532" t="inlineStr">
        <is>
          <t>VÄSTERBOTTENS LÄN</t>
        </is>
      </c>
      <c r="E532" t="inlineStr">
        <is>
          <t>VILHELMINA</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27935-2022</t>
        </is>
      </c>
      <c r="B533" s="1" t="n">
        <v>44744</v>
      </c>
      <c r="C533" s="1" t="n">
        <v>45508</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27919-2022</t>
        </is>
      </c>
      <c r="B534" s="1" t="n">
        <v>44744</v>
      </c>
      <c r="C534" s="1" t="n">
        <v>45508</v>
      </c>
      <c r="D534" t="inlineStr">
        <is>
          <t>VÄSTERBOTTENS LÄN</t>
        </is>
      </c>
      <c r="E534" t="inlineStr">
        <is>
          <t>VILHELMINA</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28378-2022</t>
        </is>
      </c>
      <c r="B535" s="1" t="n">
        <v>44747</v>
      </c>
      <c r="C535" s="1" t="n">
        <v>45508</v>
      </c>
      <c r="D535" t="inlineStr">
        <is>
          <t>VÄSTERBOTTENS LÄN</t>
        </is>
      </c>
      <c r="E535" t="inlineStr">
        <is>
          <t>VILHELMINA</t>
        </is>
      </c>
      <c r="F535" t="inlineStr">
        <is>
          <t>Sveaskog</t>
        </is>
      </c>
      <c r="G535" t="n">
        <v>10.3</v>
      </c>
      <c r="H535" t="n">
        <v>0</v>
      </c>
      <c r="I535" t="n">
        <v>0</v>
      </c>
      <c r="J535" t="n">
        <v>0</v>
      </c>
      <c r="K535" t="n">
        <v>0</v>
      </c>
      <c r="L535" t="n">
        <v>0</v>
      </c>
      <c r="M535" t="n">
        <v>0</v>
      </c>
      <c r="N535" t="n">
        <v>0</v>
      </c>
      <c r="O535" t="n">
        <v>0</v>
      </c>
      <c r="P535" t="n">
        <v>0</v>
      </c>
      <c r="Q535" t="n">
        <v>0</v>
      </c>
      <c r="R535" s="2" t="inlineStr"/>
    </row>
    <row r="536" ht="15" customHeight="1">
      <c r="A536" t="inlineStr">
        <is>
          <t>A 28486-2022</t>
        </is>
      </c>
      <c r="B536" s="1" t="n">
        <v>44747</v>
      </c>
      <c r="C536" s="1" t="n">
        <v>45508</v>
      </c>
      <c r="D536" t="inlineStr">
        <is>
          <t>VÄSTERBOTTENS LÄN</t>
        </is>
      </c>
      <c r="E536" t="inlineStr">
        <is>
          <t>VILHELMINA</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28485-2022</t>
        </is>
      </c>
      <c r="B537" s="1" t="n">
        <v>44748</v>
      </c>
      <c r="C537" s="1" t="n">
        <v>45508</v>
      </c>
      <c r="D537" t="inlineStr">
        <is>
          <t>VÄSTERBOTTENS LÄN</t>
        </is>
      </c>
      <c r="E537" t="inlineStr">
        <is>
          <t>VILHELMINA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28722-2022</t>
        </is>
      </c>
      <c r="B538" s="1" t="n">
        <v>44748</v>
      </c>
      <c r="C538" s="1" t="n">
        <v>45508</v>
      </c>
      <c r="D538" t="inlineStr">
        <is>
          <t>VÄSTERBOTTENS LÄN</t>
        </is>
      </c>
      <c r="E538" t="inlineStr">
        <is>
          <t>VILHELMINA</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29555-2022</t>
        </is>
      </c>
      <c r="B539" s="1" t="n">
        <v>44754</v>
      </c>
      <c r="C539" s="1" t="n">
        <v>45508</v>
      </c>
      <c r="D539" t="inlineStr">
        <is>
          <t>VÄSTERBOTTENS LÄN</t>
        </is>
      </c>
      <c r="E539" t="inlineStr">
        <is>
          <t>VILHELMINA</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29773-2022</t>
        </is>
      </c>
      <c r="B540" s="1" t="n">
        <v>44755</v>
      </c>
      <c r="C540" s="1" t="n">
        <v>45508</v>
      </c>
      <c r="D540" t="inlineStr">
        <is>
          <t>VÄSTERBOTTENS LÄN</t>
        </is>
      </c>
      <c r="E540" t="inlineStr">
        <is>
          <t>VILHELMINA</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29855-2022</t>
        </is>
      </c>
      <c r="B541" s="1" t="n">
        <v>44756</v>
      </c>
      <c r="C541" s="1" t="n">
        <v>45508</v>
      </c>
      <c r="D541" t="inlineStr">
        <is>
          <t>VÄSTERBOTTENS LÄN</t>
        </is>
      </c>
      <c r="E541" t="inlineStr">
        <is>
          <t>VILHELMINA</t>
        </is>
      </c>
      <c r="G541" t="n">
        <v>3.4</v>
      </c>
      <c r="H541" t="n">
        <v>0</v>
      </c>
      <c r="I541" t="n">
        <v>0</v>
      </c>
      <c r="J541" t="n">
        <v>0</v>
      </c>
      <c r="K541" t="n">
        <v>0</v>
      </c>
      <c r="L541" t="n">
        <v>0</v>
      </c>
      <c r="M541" t="n">
        <v>0</v>
      </c>
      <c r="N541" t="n">
        <v>0</v>
      </c>
      <c r="O541" t="n">
        <v>0</v>
      </c>
      <c r="P541" t="n">
        <v>0</v>
      </c>
      <c r="Q541" t="n">
        <v>0</v>
      </c>
      <c r="R541" s="2" t="inlineStr"/>
    </row>
    <row r="542" ht="15" customHeight="1">
      <c r="A542" t="inlineStr">
        <is>
          <t>A 30018-2022</t>
        </is>
      </c>
      <c r="B542" s="1" t="n">
        <v>44756</v>
      </c>
      <c r="C542" s="1" t="n">
        <v>45508</v>
      </c>
      <c r="D542" t="inlineStr">
        <is>
          <t>VÄSTERBOTTENS LÄN</t>
        </is>
      </c>
      <c r="E542" t="inlineStr">
        <is>
          <t>VILHELMINA</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30025-2022</t>
        </is>
      </c>
      <c r="B543" s="1" t="n">
        <v>44757</v>
      </c>
      <c r="C543" s="1" t="n">
        <v>45508</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30020-2022</t>
        </is>
      </c>
      <c r="B544" s="1" t="n">
        <v>44757</v>
      </c>
      <c r="C544" s="1" t="n">
        <v>45508</v>
      </c>
      <c r="D544" t="inlineStr">
        <is>
          <t>VÄSTERBOTTENS LÄN</t>
        </is>
      </c>
      <c r="E544" t="inlineStr">
        <is>
          <t>VILHELMINA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30019-2022</t>
        </is>
      </c>
      <c r="B545" s="1" t="n">
        <v>44757</v>
      </c>
      <c r="C545" s="1" t="n">
        <v>45508</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30130-2022</t>
        </is>
      </c>
      <c r="B546" s="1" t="n">
        <v>44757</v>
      </c>
      <c r="C546" s="1" t="n">
        <v>45508</v>
      </c>
      <c r="D546" t="inlineStr">
        <is>
          <t>VÄSTERBOTTENS LÄN</t>
        </is>
      </c>
      <c r="E546" t="inlineStr">
        <is>
          <t>VILHELMINA</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31320-2022</t>
        </is>
      </c>
      <c r="B547" s="1" t="n">
        <v>44773</v>
      </c>
      <c r="C547" s="1" t="n">
        <v>45508</v>
      </c>
      <c r="D547" t="inlineStr">
        <is>
          <t>VÄSTERBOTTENS LÄN</t>
        </is>
      </c>
      <c r="E547" t="inlineStr">
        <is>
          <t>VILHELMINA</t>
        </is>
      </c>
      <c r="G547" t="n">
        <v>15.5</v>
      </c>
      <c r="H547" t="n">
        <v>0</v>
      </c>
      <c r="I547" t="n">
        <v>0</v>
      </c>
      <c r="J547" t="n">
        <v>0</v>
      </c>
      <c r="K547" t="n">
        <v>0</v>
      </c>
      <c r="L547" t="n">
        <v>0</v>
      </c>
      <c r="M547" t="n">
        <v>0</v>
      </c>
      <c r="N547" t="n">
        <v>0</v>
      </c>
      <c r="O547" t="n">
        <v>0</v>
      </c>
      <c r="P547" t="n">
        <v>0</v>
      </c>
      <c r="Q547" t="n">
        <v>0</v>
      </c>
      <c r="R547" s="2" t="inlineStr"/>
    </row>
    <row r="548" ht="15" customHeight="1">
      <c r="A548" t="inlineStr">
        <is>
          <t>A 32960-2022</t>
        </is>
      </c>
      <c r="B548" s="1" t="n">
        <v>44784</v>
      </c>
      <c r="C548" s="1" t="n">
        <v>45508</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33001-2022</t>
        </is>
      </c>
      <c r="B549" s="1" t="n">
        <v>44784</v>
      </c>
      <c r="C549" s="1" t="n">
        <v>45508</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33512-2022</t>
        </is>
      </c>
      <c r="B550" s="1" t="n">
        <v>44788</v>
      </c>
      <c r="C550" s="1" t="n">
        <v>45508</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33495-2022</t>
        </is>
      </c>
      <c r="B551" s="1" t="n">
        <v>44788</v>
      </c>
      <c r="C551" s="1" t="n">
        <v>45508</v>
      </c>
      <c r="D551" t="inlineStr">
        <is>
          <t>VÄSTERBOTTENS LÄN</t>
        </is>
      </c>
      <c r="E551" t="inlineStr">
        <is>
          <t>VILHELMINA</t>
        </is>
      </c>
      <c r="G551" t="n">
        <v>1</v>
      </c>
      <c r="H551" t="n">
        <v>0</v>
      </c>
      <c r="I551" t="n">
        <v>0</v>
      </c>
      <c r="J551" t="n">
        <v>0</v>
      </c>
      <c r="K551" t="n">
        <v>0</v>
      </c>
      <c r="L551" t="n">
        <v>0</v>
      </c>
      <c r="M551" t="n">
        <v>0</v>
      </c>
      <c r="N551" t="n">
        <v>0</v>
      </c>
      <c r="O551" t="n">
        <v>0</v>
      </c>
      <c r="P551" t="n">
        <v>0</v>
      </c>
      <c r="Q551" t="n">
        <v>0</v>
      </c>
      <c r="R551" s="2" t="inlineStr"/>
    </row>
    <row r="552" ht="15" customHeight="1">
      <c r="A552" t="inlineStr">
        <is>
          <t>A 33510-2022</t>
        </is>
      </c>
      <c r="B552" s="1" t="n">
        <v>44788</v>
      </c>
      <c r="C552" s="1" t="n">
        <v>45508</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33603-2022</t>
        </is>
      </c>
      <c r="B553" s="1" t="n">
        <v>44789</v>
      </c>
      <c r="C553" s="1" t="n">
        <v>45508</v>
      </c>
      <c r="D553" t="inlineStr">
        <is>
          <t>VÄSTERBOTTENS LÄN</t>
        </is>
      </c>
      <c r="E553" t="inlineStr">
        <is>
          <t>VILHELMINA</t>
        </is>
      </c>
      <c r="F553" t="inlineStr">
        <is>
          <t>Sveaskog</t>
        </is>
      </c>
      <c r="G553" t="n">
        <v>15.1</v>
      </c>
      <c r="H553" t="n">
        <v>0</v>
      </c>
      <c r="I553" t="n">
        <v>0</v>
      </c>
      <c r="J553" t="n">
        <v>0</v>
      </c>
      <c r="K553" t="n">
        <v>0</v>
      </c>
      <c r="L553" t="n">
        <v>0</v>
      </c>
      <c r="M553" t="n">
        <v>0</v>
      </c>
      <c r="N553" t="n">
        <v>0</v>
      </c>
      <c r="O553" t="n">
        <v>0</v>
      </c>
      <c r="P553" t="n">
        <v>0</v>
      </c>
      <c r="Q553" t="n">
        <v>0</v>
      </c>
      <c r="R553" s="2" t="inlineStr"/>
    </row>
    <row r="554" ht="15" customHeight="1">
      <c r="A554" t="inlineStr">
        <is>
          <t>A 33989-2022</t>
        </is>
      </c>
      <c r="B554" s="1" t="n">
        <v>44790</v>
      </c>
      <c r="C554" s="1" t="n">
        <v>45508</v>
      </c>
      <c r="D554" t="inlineStr">
        <is>
          <t>VÄSTERBOTTENS LÄN</t>
        </is>
      </c>
      <c r="E554" t="inlineStr">
        <is>
          <t>VILHELMINA</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35003-2022</t>
        </is>
      </c>
      <c r="B555" s="1" t="n">
        <v>44797</v>
      </c>
      <c r="C555" s="1" t="n">
        <v>45508</v>
      </c>
      <c r="D555" t="inlineStr">
        <is>
          <t>VÄSTERBOTTENS LÄN</t>
        </is>
      </c>
      <c r="E555" t="inlineStr">
        <is>
          <t>VILHELMINA</t>
        </is>
      </c>
      <c r="G555" t="n">
        <v>3.7</v>
      </c>
      <c r="H555" t="n">
        <v>0</v>
      </c>
      <c r="I555" t="n">
        <v>0</v>
      </c>
      <c r="J555" t="n">
        <v>0</v>
      </c>
      <c r="K555" t="n">
        <v>0</v>
      </c>
      <c r="L555" t="n">
        <v>0</v>
      </c>
      <c r="M555" t="n">
        <v>0</v>
      </c>
      <c r="N555" t="n">
        <v>0</v>
      </c>
      <c r="O555" t="n">
        <v>0</v>
      </c>
      <c r="P555" t="n">
        <v>0</v>
      </c>
      <c r="Q555" t="n">
        <v>0</v>
      </c>
      <c r="R555" s="2" t="inlineStr"/>
    </row>
    <row r="556" ht="15" customHeight="1">
      <c r="A556" t="inlineStr">
        <is>
          <t>A 35178-2022</t>
        </is>
      </c>
      <c r="B556" s="1" t="n">
        <v>44797</v>
      </c>
      <c r="C556" s="1" t="n">
        <v>45508</v>
      </c>
      <c r="D556" t="inlineStr">
        <is>
          <t>VÄSTERBOTTENS LÄN</t>
        </is>
      </c>
      <c r="E556" t="inlineStr">
        <is>
          <t>VILHELMINA</t>
        </is>
      </c>
      <c r="F556" t="inlineStr">
        <is>
          <t>Övriga statliga verk och myndigheter</t>
        </is>
      </c>
      <c r="G556" t="n">
        <v>32.5</v>
      </c>
      <c r="H556" t="n">
        <v>0</v>
      </c>
      <c r="I556" t="n">
        <v>0</v>
      </c>
      <c r="J556" t="n">
        <v>0</v>
      </c>
      <c r="K556" t="n">
        <v>0</v>
      </c>
      <c r="L556" t="n">
        <v>0</v>
      </c>
      <c r="M556" t="n">
        <v>0</v>
      </c>
      <c r="N556" t="n">
        <v>0</v>
      </c>
      <c r="O556" t="n">
        <v>0</v>
      </c>
      <c r="P556" t="n">
        <v>0</v>
      </c>
      <c r="Q556" t="n">
        <v>0</v>
      </c>
      <c r="R556" s="2" t="inlineStr"/>
    </row>
    <row r="557" ht="15" customHeight="1">
      <c r="A557" t="inlineStr">
        <is>
          <t>A 35514-2022</t>
        </is>
      </c>
      <c r="B557" s="1" t="n">
        <v>44799</v>
      </c>
      <c r="C557" s="1" t="n">
        <v>45508</v>
      </c>
      <c r="D557" t="inlineStr">
        <is>
          <t>VÄSTERBOTTENS LÄN</t>
        </is>
      </c>
      <c r="E557" t="inlineStr">
        <is>
          <t>VILHELMINA</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35506-2022</t>
        </is>
      </c>
      <c r="B558" s="1" t="n">
        <v>44798</v>
      </c>
      <c r="C558" s="1" t="n">
        <v>45508</v>
      </c>
      <c r="D558" t="inlineStr">
        <is>
          <t>VÄSTERBOTTENS LÄN</t>
        </is>
      </c>
      <c r="E558" t="inlineStr">
        <is>
          <t>VILHELMINA</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35515-2022</t>
        </is>
      </c>
      <c r="B559" s="1" t="n">
        <v>44799</v>
      </c>
      <c r="C559" s="1" t="n">
        <v>45508</v>
      </c>
      <c r="D559" t="inlineStr">
        <is>
          <t>VÄSTERBOTTENS LÄN</t>
        </is>
      </c>
      <c r="E559" t="inlineStr">
        <is>
          <t>VILHELMINA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35513-2022</t>
        </is>
      </c>
      <c r="B560" s="1" t="n">
        <v>44799</v>
      </c>
      <c r="C560" s="1" t="n">
        <v>45508</v>
      </c>
      <c r="D560" t="inlineStr">
        <is>
          <t>VÄSTERBOTTENS LÄN</t>
        </is>
      </c>
      <c r="E560" t="inlineStr">
        <is>
          <t>VILHELMINA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35686-2022</t>
        </is>
      </c>
      <c r="B561" s="1" t="n">
        <v>44799</v>
      </c>
      <c r="C561" s="1" t="n">
        <v>45508</v>
      </c>
      <c r="D561" t="inlineStr">
        <is>
          <t>VÄSTERBOTTENS LÄN</t>
        </is>
      </c>
      <c r="E561" t="inlineStr">
        <is>
          <t>VILHELMINA</t>
        </is>
      </c>
      <c r="F561" t="inlineStr">
        <is>
          <t>Övriga statliga verk och myndigheter</t>
        </is>
      </c>
      <c r="G561" t="n">
        <v>2.6</v>
      </c>
      <c r="H561" t="n">
        <v>0</v>
      </c>
      <c r="I561" t="n">
        <v>0</v>
      </c>
      <c r="J561" t="n">
        <v>0</v>
      </c>
      <c r="K561" t="n">
        <v>0</v>
      </c>
      <c r="L561" t="n">
        <v>0</v>
      </c>
      <c r="M561" t="n">
        <v>0</v>
      </c>
      <c r="N561" t="n">
        <v>0</v>
      </c>
      <c r="O561" t="n">
        <v>0</v>
      </c>
      <c r="P561" t="n">
        <v>0</v>
      </c>
      <c r="Q561" t="n">
        <v>0</v>
      </c>
      <c r="R561" s="2" t="inlineStr"/>
    </row>
    <row r="562" ht="15" customHeight="1">
      <c r="A562" t="inlineStr">
        <is>
          <t>A 36083-2022</t>
        </is>
      </c>
      <c r="B562" s="1" t="n">
        <v>44803</v>
      </c>
      <c r="C562" s="1" t="n">
        <v>45508</v>
      </c>
      <c r="D562" t="inlineStr">
        <is>
          <t>VÄSTERBOTTENS LÄN</t>
        </is>
      </c>
      <c r="E562" t="inlineStr">
        <is>
          <t>VILHELMINA</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36081-2022</t>
        </is>
      </c>
      <c r="B563" s="1" t="n">
        <v>44802</v>
      </c>
      <c r="C563" s="1" t="n">
        <v>45508</v>
      </c>
      <c r="D563" t="inlineStr">
        <is>
          <t>VÄSTERBOTTENS LÄN</t>
        </is>
      </c>
      <c r="E563" t="inlineStr">
        <is>
          <t>VILHELMINA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36082-2022</t>
        </is>
      </c>
      <c r="B564" s="1" t="n">
        <v>44802</v>
      </c>
      <c r="C564" s="1" t="n">
        <v>45508</v>
      </c>
      <c r="D564" t="inlineStr">
        <is>
          <t>VÄSTERBOTTENS LÄN</t>
        </is>
      </c>
      <c r="E564" t="inlineStr">
        <is>
          <t>VILHELMINA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36329-2022</t>
        </is>
      </c>
      <c r="B565" s="1" t="n">
        <v>44803</v>
      </c>
      <c r="C565" s="1" t="n">
        <v>45508</v>
      </c>
      <c r="D565" t="inlineStr">
        <is>
          <t>VÄSTERBOTTENS LÄN</t>
        </is>
      </c>
      <c r="E565" t="inlineStr">
        <is>
          <t>VILHELMINA</t>
        </is>
      </c>
      <c r="F565" t="inlineStr">
        <is>
          <t>Övriga statliga verk och myndigheter</t>
        </is>
      </c>
      <c r="G565" t="n">
        <v>30</v>
      </c>
      <c r="H565" t="n">
        <v>0</v>
      </c>
      <c r="I565" t="n">
        <v>0</v>
      </c>
      <c r="J565" t="n">
        <v>0</v>
      </c>
      <c r="K565" t="n">
        <v>0</v>
      </c>
      <c r="L565" t="n">
        <v>0</v>
      </c>
      <c r="M565" t="n">
        <v>0</v>
      </c>
      <c r="N565" t="n">
        <v>0</v>
      </c>
      <c r="O565" t="n">
        <v>0</v>
      </c>
      <c r="P565" t="n">
        <v>0</v>
      </c>
      <c r="Q565" t="n">
        <v>0</v>
      </c>
      <c r="R565" s="2" t="inlineStr"/>
    </row>
    <row r="566" ht="15" customHeight="1">
      <c r="A566" t="inlineStr">
        <is>
          <t>A 36929-2022</t>
        </is>
      </c>
      <c r="B566" s="1" t="n">
        <v>44806</v>
      </c>
      <c r="C566" s="1" t="n">
        <v>45508</v>
      </c>
      <c r="D566" t="inlineStr">
        <is>
          <t>VÄSTERBOTTENS LÄN</t>
        </is>
      </c>
      <c r="E566" t="inlineStr">
        <is>
          <t>VILHELMINA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36931-2022</t>
        </is>
      </c>
      <c r="B567" s="1" t="n">
        <v>44805</v>
      </c>
      <c r="C567" s="1" t="n">
        <v>45508</v>
      </c>
      <c r="D567" t="inlineStr">
        <is>
          <t>VÄSTERBOTTENS LÄN</t>
        </is>
      </c>
      <c r="E567" t="inlineStr">
        <is>
          <t>VILHELMINA</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36930-2022</t>
        </is>
      </c>
      <c r="B568" s="1" t="n">
        <v>44805</v>
      </c>
      <c r="C568" s="1" t="n">
        <v>45508</v>
      </c>
      <c r="D568" t="inlineStr">
        <is>
          <t>VÄSTERBOTTENS LÄN</t>
        </is>
      </c>
      <c r="E568" t="inlineStr">
        <is>
          <t>VILHELMINA</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37322-2022</t>
        </is>
      </c>
      <c r="B569" s="1" t="n">
        <v>44806</v>
      </c>
      <c r="C569" s="1" t="n">
        <v>45508</v>
      </c>
      <c r="D569" t="inlineStr">
        <is>
          <t>VÄSTERBOTTENS LÄN</t>
        </is>
      </c>
      <c r="E569" t="inlineStr">
        <is>
          <t>VILHELMINA</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37325-2022</t>
        </is>
      </c>
      <c r="B570" s="1" t="n">
        <v>44806</v>
      </c>
      <c r="C570" s="1" t="n">
        <v>45508</v>
      </c>
      <c r="D570" t="inlineStr">
        <is>
          <t>VÄSTERBOTTENS LÄN</t>
        </is>
      </c>
      <c r="E570" t="inlineStr">
        <is>
          <t>VILHELMINA</t>
        </is>
      </c>
      <c r="F570" t="inlineStr">
        <is>
          <t>Övriga statliga verk och myndigheter</t>
        </is>
      </c>
      <c r="G570" t="n">
        <v>11</v>
      </c>
      <c r="H570" t="n">
        <v>0</v>
      </c>
      <c r="I570" t="n">
        <v>0</v>
      </c>
      <c r="J570" t="n">
        <v>0</v>
      </c>
      <c r="K570" t="n">
        <v>0</v>
      </c>
      <c r="L570" t="n">
        <v>0</v>
      </c>
      <c r="M570" t="n">
        <v>0</v>
      </c>
      <c r="N570" t="n">
        <v>0</v>
      </c>
      <c r="O570" t="n">
        <v>0</v>
      </c>
      <c r="P570" t="n">
        <v>0</v>
      </c>
      <c r="Q570" t="n">
        <v>0</v>
      </c>
      <c r="R570" s="2" t="inlineStr"/>
    </row>
    <row r="571" ht="15" customHeight="1">
      <c r="A571" t="inlineStr">
        <is>
          <t>A 37655-2022</t>
        </is>
      </c>
      <c r="B571" s="1" t="n">
        <v>44810</v>
      </c>
      <c r="C571" s="1" t="n">
        <v>45508</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37661-2022</t>
        </is>
      </c>
      <c r="B572" s="1" t="n">
        <v>44810</v>
      </c>
      <c r="C572" s="1" t="n">
        <v>45508</v>
      </c>
      <c r="D572" t="inlineStr">
        <is>
          <t>VÄSTERBOTTENS LÄN</t>
        </is>
      </c>
      <c r="E572" t="inlineStr">
        <is>
          <t>VILHELMINA</t>
        </is>
      </c>
      <c r="G572" t="n">
        <v>5.8</v>
      </c>
      <c r="H572" t="n">
        <v>0</v>
      </c>
      <c r="I572" t="n">
        <v>0</v>
      </c>
      <c r="J572" t="n">
        <v>0</v>
      </c>
      <c r="K572" t="n">
        <v>0</v>
      </c>
      <c r="L572" t="n">
        <v>0</v>
      </c>
      <c r="M572" t="n">
        <v>0</v>
      </c>
      <c r="N572" t="n">
        <v>0</v>
      </c>
      <c r="O572" t="n">
        <v>0</v>
      </c>
      <c r="P572" t="n">
        <v>0</v>
      </c>
      <c r="Q572" t="n">
        <v>0</v>
      </c>
      <c r="R572" s="2" t="inlineStr"/>
    </row>
    <row r="573" ht="15" customHeight="1">
      <c r="A573" t="inlineStr">
        <is>
          <t>A 38417-2022</t>
        </is>
      </c>
      <c r="B573" s="1" t="n">
        <v>44813</v>
      </c>
      <c r="C573" s="1" t="n">
        <v>45508</v>
      </c>
      <c r="D573" t="inlineStr">
        <is>
          <t>VÄSTERBOTTENS LÄN</t>
        </is>
      </c>
      <c r="E573" t="inlineStr">
        <is>
          <t>VILHELMINA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38422-2022</t>
        </is>
      </c>
      <c r="B574" s="1" t="n">
        <v>44812</v>
      </c>
      <c r="C574" s="1" t="n">
        <v>45508</v>
      </c>
      <c r="D574" t="inlineStr">
        <is>
          <t>VÄSTERBOTTENS LÄN</t>
        </is>
      </c>
      <c r="E574" t="inlineStr">
        <is>
          <t>VILHELMINA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38416-2022</t>
        </is>
      </c>
      <c r="B575" s="1" t="n">
        <v>44812</v>
      </c>
      <c r="C575" s="1" t="n">
        <v>45508</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38419-2022</t>
        </is>
      </c>
      <c r="B576" s="1" t="n">
        <v>44813</v>
      </c>
      <c r="C576" s="1" t="n">
        <v>45508</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38558-2022</t>
        </is>
      </c>
      <c r="B577" s="1" t="n">
        <v>44813</v>
      </c>
      <c r="C577" s="1" t="n">
        <v>45508</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39389-2022</t>
        </is>
      </c>
      <c r="B578" s="1" t="n">
        <v>44817</v>
      </c>
      <c r="C578" s="1" t="n">
        <v>45508</v>
      </c>
      <c r="D578" t="inlineStr">
        <is>
          <t>VÄSTERBOTTENS LÄN</t>
        </is>
      </c>
      <c r="E578" t="inlineStr">
        <is>
          <t>VILHELMINA</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41343-2022</t>
        </is>
      </c>
      <c r="B579" s="1" t="n">
        <v>44824</v>
      </c>
      <c r="C579" s="1" t="n">
        <v>45508</v>
      </c>
      <c r="D579" t="inlineStr">
        <is>
          <t>VÄSTERBOTTENS LÄN</t>
        </is>
      </c>
      <c r="E579" t="inlineStr">
        <is>
          <t>VILHELMINA</t>
        </is>
      </c>
      <c r="G579" t="n">
        <v>6</v>
      </c>
      <c r="H579" t="n">
        <v>0</v>
      </c>
      <c r="I579" t="n">
        <v>0</v>
      </c>
      <c r="J579" t="n">
        <v>0</v>
      </c>
      <c r="K579" t="n">
        <v>0</v>
      </c>
      <c r="L579" t="n">
        <v>0</v>
      </c>
      <c r="M579" t="n">
        <v>0</v>
      </c>
      <c r="N579" t="n">
        <v>0</v>
      </c>
      <c r="O579" t="n">
        <v>0</v>
      </c>
      <c r="P579" t="n">
        <v>0</v>
      </c>
      <c r="Q579" t="n">
        <v>0</v>
      </c>
      <c r="R579" s="2" t="inlineStr"/>
    </row>
    <row r="580" ht="15" customHeight="1">
      <c r="A580" t="inlineStr">
        <is>
          <t>A 41350-2022</t>
        </is>
      </c>
      <c r="B580" s="1" t="n">
        <v>44824</v>
      </c>
      <c r="C580" s="1" t="n">
        <v>45508</v>
      </c>
      <c r="D580" t="inlineStr">
        <is>
          <t>VÄSTERBOTTENS LÄN</t>
        </is>
      </c>
      <c r="E580" t="inlineStr">
        <is>
          <t>VILHELMINA</t>
        </is>
      </c>
      <c r="G580" t="n">
        <v>1.7</v>
      </c>
      <c r="H580" t="n">
        <v>0</v>
      </c>
      <c r="I580" t="n">
        <v>0</v>
      </c>
      <c r="J580" t="n">
        <v>0</v>
      </c>
      <c r="K580" t="n">
        <v>0</v>
      </c>
      <c r="L580" t="n">
        <v>0</v>
      </c>
      <c r="M580" t="n">
        <v>0</v>
      </c>
      <c r="N580" t="n">
        <v>0</v>
      </c>
      <c r="O580" t="n">
        <v>0</v>
      </c>
      <c r="P580" t="n">
        <v>0</v>
      </c>
      <c r="Q580" t="n">
        <v>0</v>
      </c>
      <c r="R580" s="2" t="inlineStr"/>
    </row>
    <row r="581" ht="15" customHeight="1">
      <c r="A581" t="inlineStr">
        <is>
          <t>A 41330-2022</t>
        </is>
      </c>
      <c r="B581" s="1" t="n">
        <v>44826</v>
      </c>
      <c r="C581" s="1" t="n">
        <v>45508</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41482-2022</t>
        </is>
      </c>
      <c r="B582" s="1" t="n">
        <v>44827</v>
      </c>
      <c r="C582" s="1" t="n">
        <v>45508</v>
      </c>
      <c r="D582" t="inlineStr">
        <is>
          <t>VÄSTERBOTTENS LÄN</t>
        </is>
      </c>
      <c r="E582" t="inlineStr">
        <is>
          <t>VILHELMINA</t>
        </is>
      </c>
      <c r="F582" t="inlineStr">
        <is>
          <t>SCA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41485-2022</t>
        </is>
      </c>
      <c r="B583" s="1" t="n">
        <v>44827</v>
      </c>
      <c r="C583" s="1" t="n">
        <v>45508</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41484-2022</t>
        </is>
      </c>
      <c r="B584" s="1" t="n">
        <v>44826</v>
      </c>
      <c r="C584" s="1" t="n">
        <v>45508</v>
      </c>
      <c r="D584" t="inlineStr">
        <is>
          <t>VÄSTERBOTTENS LÄN</t>
        </is>
      </c>
      <c r="E584" t="inlineStr">
        <is>
          <t>VILHELMINA</t>
        </is>
      </c>
      <c r="F584" t="inlineStr">
        <is>
          <t>SCA</t>
        </is>
      </c>
      <c r="G584" t="n">
        <v>18.1</v>
      </c>
      <c r="H584" t="n">
        <v>0</v>
      </c>
      <c r="I584" t="n">
        <v>0</v>
      </c>
      <c r="J584" t="n">
        <v>0</v>
      </c>
      <c r="K584" t="n">
        <v>0</v>
      </c>
      <c r="L584" t="n">
        <v>0</v>
      </c>
      <c r="M584" t="n">
        <v>0</v>
      </c>
      <c r="N584" t="n">
        <v>0</v>
      </c>
      <c r="O584" t="n">
        <v>0</v>
      </c>
      <c r="P584" t="n">
        <v>0</v>
      </c>
      <c r="Q584" t="n">
        <v>0</v>
      </c>
      <c r="R584" s="2" t="inlineStr"/>
    </row>
    <row r="585" ht="15" customHeight="1">
      <c r="A585" t="inlineStr">
        <is>
          <t>A 42648-2022</t>
        </is>
      </c>
      <c r="B585" s="1" t="n">
        <v>44832</v>
      </c>
      <c r="C585" s="1" t="n">
        <v>45508</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42650-2022</t>
        </is>
      </c>
      <c r="B586" s="1" t="n">
        <v>44831</v>
      </c>
      <c r="C586" s="1" t="n">
        <v>45508</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43120-2022</t>
        </is>
      </c>
      <c r="B587" s="1" t="n">
        <v>44834</v>
      </c>
      <c r="C587" s="1" t="n">
        <v>45508</v>
      </c>
      <c r="D587" t="inlineStr">
        <is>
          <t>VÄSTERBOTTENS LÄN</t>
        </is>
      </c>
      <c r="E587" t="inlineStr">
        <is>
          <t>VILHELMINA</t>
        </is>
      </c>
      <c r="G587" t="n">
        <v>13.7</v>
      </c>
      <c r="H587" t="n">
        <v>0</v>
      </c>
      <c r="I587" t="n">
        <v>0</v>
      </c>
      <c r="J587" t="n">
        <v>0</v>
      </c>
      <c r="K587" t="n">
        <v>0</v>
      </c>
      <c r="L587" t="n">
        <v>0</v>
      </c>
      <c r="M587" t="n">
        <v>0</v>
      </c>
      <c r="N587" t="n">
        <v>0</v>
      </c>
      <c r="O587" t="n">
        <v>0</v>
      </c>
      <c r="P587" t="n">
        <v>0</v>
      </c>
      <c r="Q587" t="n">
        <v>0</v>
      </c>
      <c r="R587" s="2" t="inlineStr"/>
    </row>
    <row r="588" ht="15" customHeight="1">
      <c r="A588" t="inlineStr">
        <is>
          <t>A 43144-2022</t>
        </is>
      </c>
      <c r="B588" s="1" t="n">
        <v>44834</v>
      </c>
      <c r="C588" s="1" t="n">
        <v>45508</v>
      </c>
      <c r="D588" t="inlineStr">
        <is>
          <t>VÄSTERBOTTENS LÄN</t>
        </is>
      </c>
      <c r="E588" t="inlineStr">
        <is>
          <t>VILHELMINA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43714-2022</t>
        </is>
      </c>
      <c r="B589" s="1" t="n">
        <v>44837</v>
      </c>
      <c r="C589" s="1" t="n">
        <v>45508</v>
      </c>
      <c r="D589" t="inlineStr">
        <is>
          <t>VÄSTERBOTTENS LÄN</t>
        </is>
      </c>
      <c r="E589" t="inlineStr">
        <is>
          <t>VILHELMINA</t>
        </is>
      </c>
      <c r="G589" t="n">
        <v>8.9</v>
      </c>
      <c r="H589" t="n">
        <v>0</v>
      </c>
      <c r="I589" t="n">
        <v>0</v>
      </c>
      <c r="J589" t="n">
        <v>0</v>
      </c>
      <c r="K589" t="n">
        <v>0</v>
      </c>
      <c r="L589" t="n">
        <v>0</v>
      </c>
      <c r="M589" t="n">
        <v>0</v>
      </c>
      <c r="N589" t="n">
        <v>0</v>
      </c>
      <c r="O589" t="n">
        <v>0</v>
      </c>
      <c r="P589" t="n">
        <v>0</v>
      </c>
      <c r="Q589" t="n">
        <v>0</v>
      </c>
      <c r="R589" s="2" t="inlineStr"/>
    </row>
    <row r="590" ht="15" customHeight="1">
      <c r="A590" t="inlineStr">
        <is>
          <t>A 43741-2022</t>
        </is>
      </c>
      <c r="B590" s="1" t="n">
        <v>44837</v>
      </c>
      <c r="C590" s="1" t="n">
        <v>45508</v>
      </c>
      <c r="D590" t="inlineStr">
        <is>
          <t>VÄSTERBOTTENS LÄN</t>
        </is>
      </c>
      <c r="E590" t="inlineStr">
        <is>
          <t>VILHELMINA</t>
        </is>
      </c>
      <c r="G590" t="n">
        <v>54.2</v>
      </c>
      <c r="H590" t="n">
        <v>0</v>
      </c>
      <c r="I590" t="n">
        <v>0</v>
      </c>
      <c r="J590" t="n">
        <v>0</v>
      </c>
      <c r="K590" t="n">
        <v>0</v>
      </c>
      <c r="L590" t="n">
        <v>0</v>
      </c>
      <c r="M590" t="n">
        <v>0</v>
      </c>
      <c r="N590" t="n">
        <v>0</v>
      </c>
      <c r="O590" t="n">
        <v>0</v>
      </c>
      <c r="P590" t="n">
        <v>0</v>
      </c>
      <c r="Q590" t="n">
        <v>0</v>
      </c>
      <c r="R590" s="2" t="inlineStr"/>
    </row>
    <row r="591" ht="15" customHeight="1">
      <c r="A591" t="inlineStr">
        <is>
          <t>A 45425-2022</t>
        </is>
      </c>
      <c r="B591" s="1" t="n">
        <v>44844</v>
      </c>
      <c r="C591" s="1" t="n">
        <v>45508</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46121-2022</t>
        </is>
      </c>
      <c r="B592" s="1" t="n">
        <v>44847</v>
      </c>
      <c r="C592" s="1" t="n">
        <v>45508</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46071-2022</t>
        </is>
      </c>
      <c r="B593" s="1" t="n">
        <v>44847</v>
      </c>
      <c r="C593" s="1" t="n">
        <v>45508</v>
      </c>
      <c r="D593" t="inlineStr">
        <is>
          <t>VÄSTERBOTTENS LÄN</t>
        </is>
      </c>
      <c r="E593" t="inlineStr">
        <is>
          <t>VILHELMINA</t>
        </is>
      </c>
      <c r="G593" t="n">
        <v>10.6</v>
      </c>
      <c r="H593" t="n">
        <v>0</v>
      </c>
      <c r="I593" t="n">
        <v>0</v>
      </c>
      <c r="J593" t="n">
        <v>0</v>
      </c>
      <c r="K593" t="n">
        <v>0</v>
      </c>
      <c r="L593" t="n">
        <v>0</v>
      </c>
      <c r="M593" t="n">
        <v>0</v>
      </c>
      <c r="N593" t="n">
        <v>0</v>
      </c>
      <c r="O593" t="n">
        <v>0</v>
      </c>
      <c r="P593" t="n">
        <v>0</v>
      </c>
      <c r="Q593" t="n">
        <v>0</v>
      </c>
      <c r="R593" s="2" t="inlineStr"/>
    </row>
    <row r="594" ht="15" customHeight="1">
      <c r="A594" t="inlineStr">
        <is>
          <t>A 46316-2022</t>
        </is>
      </c>
      <c r="B594" s="1" t="n">
        <v>44847</v>
      </c>
      <c r="C594" s="1" t="n">
        <v>45508</v>
      </c>
      <c r="D594" t="inlineStr">
        <is>
          <t>VÄSTERBOTTENS LÄN</t>
        </is>
      </c>
      <c r="E594" t="inlineStr">
        <is>
          <t>VILHELMINA</t>
        </is>
      </c>
      <c r="G594" t="n">
        <v>2.1</v>
      </c>
      <c r="H594" t="n">
        <v>0</v>
      </c>
      <c r="I594" t="n">
        <v>0</v>
      </c>
      <c r="J594" t="n">
        <v>0</v>
      </c>
      <c r="K594" t="n">
        <v>0</v>
      </c>
      <c r="L594" t="n">
        <v>0</v>
      </c>
      <c r="M594" t="n">
        <v>0</v>
      </c>
      <c r="N594" t="n">
        <v>0</v>
      </c>
      <c r="O594" t="n">
        <v>0</v>
      </c>
      <c r="P594" t="n">
        <v>0</v>
      </c>
      <c r="Q594" t="n">
        <v>0</v>
      </c>
      <c r="R594" s="2" t="inlineStr"/>
    </row>
    <row r="595" ht="15" customHeight="1">
      <c r="A595" t="inlineStr">
        <is>
          <t>A 46119-2022</t>
        </is>
      </c>
      <c r="B595" s="1" t="n">
        <v>44847</v>
      </c>
      <c r="C595" s="1" t="n">
        <v>45508</v>
      </c>
      <c r="D595" t="inlineStr">
        <is>
          <t>VÄSTERBOTTENS LÄN</t>
        </is>
      </c>
      <c r="E595" t="inlineStr">
        <is>
          <t>VILHELMINA</t>
        </is>
      </c>
      <c r="G595" t="n">
        <v>12.1</v>
      </c>
      <c r="H595" t="n">
        <v>0</v>
      </c>
      <c r="I595" t="n">
        <v>0</v>
      </c>
      <c r="J595" t="n">
        <v>0</v>
      </c>
      <c r="K595" t="n">
        <v>0</v>
      </c>
      <c r="L595" t="n">
        <v>0</v>
      </c>
      <c r="M595" t="n">
        <v>0</v>
      </c>
      <c r="N595" t="n">
        <v>0</v>
      </c>
      <c r="O595" t="n">
        <v>0</v>
      </c>
      <c r="P595" t="n">
        <v>0</v>
      </c>
      <c r="Q595" t="n">
        <v>0</v>
      </c>
      <c r="R595" s="2" t="inlineStr"/>
    </row>
    <row r="596" ht="15" customHeight="1">
      <c r="A596" t="inlineStr">
        <is>
          <t>A 46318-2022</t>
        </is>
      </c>
      <c r="B596" s="1" t="n">
        <v>44847</v>
      </c>
      <c r="C596" s="1" t="n">
        <v>45508</v>
      </c>
      <c r="D596" t="inlineStr">
        <is>
          <t>VÄSTERBOTTENS LÄN</t>
        </is>
      </c>
      <c r="E596" t="inlineStr">
        <is>
          <t>VILHELMINA</t>
        </is>
      </c>
      <c r="G596" t="n">
        <v>11.7</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45508</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47252-2022</t>
        </is>
      </c>
      <c r="B598" s="1" t="n">
        <v>44852</v>
      </c>
      <c r="C598" s="1" t="n">
        <v>45508</v>
      </c>
      <c r="D598" t="inlineStr">
        <is>
          <t>VÄSTERBOTTENS LÄN</t>
        </is>
      </c>
      <c r="E598" t="inlineStr">
        <is>
          <t>VILHELMINA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47254-2022</t>
        </is>
      </c>
      <c r="B599" s="1" t="n">
        <v>44853</v>
      </c>
      <c r="C599" s="1" t="n">
        <v>45508</v>
      </c>
      <c r="D599" t="inlineStr">
        <is>
          <t>VÄSTERBOTTENS LÄN</t>
        </is>
      </c>
      <c r="E599" t="inlineStr">
        <is>
          <t>VILHELMINA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47288-2022</t>
        </is>
      </c>
      <c r="B600" s="1" t="n">
        <v>44852</v>
      </c>
      <c r="C600" s="1" t="n">
        <v>45508</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47287-2022</t>
        </is>
      </c>
      <c r="B601" s="1" t="n">
        <v>44853</v>
      </c>
      <c r="C601" s="1" t="n">
        <v>45508</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47285-2022</t>
        </is>
      </c>
      <c r="B602" s="1" t="n">
        <v>44853</v>
      </c>
      <c r="C602" s="1" t="n">
        <v>45508</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47286-2022</t>
        </is>
      </c>
      <c r="B603" s="1" t="n">
        <v>44852</v>
      </c>
      <c r="C603" s="1" t="n">
        <v>45508</v>
      </c>
      <c r="D603" t="inlineStr">
        <is>
          <t>VÄSTERBOTTENS LÄN</t>
        </is>
      </c>
      <c r="E603" t="inlineStr">
        <is>
          <t>VILHELMINA</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47575-2022</t>
        </is>
      </c>
      <c r="B604" s="1" t="n">
        <v>44853</v>
      </c>
      <c r="C604" s="1" t="n">
        <v>45508</v>
      </c>
      <c r="D604" t="inlineStr">
        <is>
          <t>VÄSTERBOTTENS LÄN</t>
        </is>
      </c>
      <c r="E604" t="inlineStr">
        <is>
          <t>VILHELMINA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47571-2022</t>
        </is>
      </c>
      <c r="B605" s="1" t="n">
        <v>44853</v>
      </c>
      <c r="C605" s="1" t="n">
        <v>45508</v>
      </c>
      <c r="D605" t="inlineStr">
        <is>
          <t>VÄSTERBOTTENS LÄN</t>
        </is>
      </c>
      <c r="E605" t="inlineStr">
        <is>
          <t>VILHELMINA</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48068-2022</t>
        </is>
      </c>
      <c r="B606" s="1" t="n">
        <v>44855</v>
      </c>
      <c r="C606" s="1" t="n">
        <v>45508</v>
      </c>
      <c r="D606" t="inlineStr">
        <is>
          <t>VÄSTERBOTTENS LÄN</t>
        </is>
      </c>
      <c r="E606" t="inlineStr">
        <is>
          <t>VILHELMINA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48117-2022</t>
        </is>
      </c>
      <c r="B607" s="1" t="n">
        <v>44857</v>
      </c>
      <c r="C607" s="1" t="n">
        <v>45508</v>
      </c>
      <c r="D607" t="inlineStr">
        <is>
          <t>VÄSTERBOTTENS LÄN</t>
        </is>
      </c>
      <c r="E607" t="inlineStr">
        <is>
          <t>VILHELMINA</t>
        </is>
      </c>
      <c r="G607" t="n">
        <v>5.8</v>
      </c>
      <c r="H607" t="n">
        <v>0</v>
      </c>
      <c r="I607" t="n">
        <v>0</v>
      </c>
      <c r="J607" t="n">
        <v>0</v>
      </c>
      <c r="K607" t="n">
        <v>0</v>
      </c>
      <c r="L607" t="n">
        <v>0</v>
      </c>
      <c r="M607" t="n">
        <v>0</v>
      </c>
      <c r="N607" t="n">
        <v>0</v>
      </c>
      <c r="O607" t="n">
        <v>0</v>
      </c>
      <c r="P607" t="n">
        <v>0</v>
      </c>
      <c r="Q607" t="n">
        <v>0</v>
      </c>
      <c r="R607" s="2" t="inlineStr"/>
    </row>
    <row r="608" ht="15" customHeight="1">
      <c r="A608" t="inlineStr">
        <is>
          <t>A 48524-2022</t>
        </is>
      </c>
      <c r="B608" s="1" t="n">
        <v>44859</v>
      </c>
      <c r="C608" s="1" t="n">
        <v>45508</v>
      </c>
      <c r="D608" t="inlineStr">
        <is>
          <t>VÄSTERBOTTENS LÄN</t>
        </is>
      </c>
      <c r="E608" t="inlineStr">
        <is>
          <t>VILHELMINA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48507-2022</t>
        </is>
      </c>
      <c r="B609" s="1" t="n">
        <v>44859</v>
      </c>
      <c r="C609" s="1" t="n">
        <v>45508</v>
      </c>
      <c r="D609" t="inlineStr">
        <is>
          <t>VÄSTERBOTTENS LÄN</t>
        </is>
      </c>
      <c r="E609" t="inlineStr">
        <is>
          <t>VILHELMINA</t>
        </is>
      </c>
      <c r="F609" t="inlineStr">
        <is>
          <t>SCA</t>
        </is>
      </c>
      <c r="G609" t="n">
        <v>10.5</v>
      </c>
      <c r="H609" t="n">
        <v>0</v>
      </c>
      <c r="I609" t="n">
        <v>0</v>
      </c>
      <c r="J609" t="n">
        <v>0</v>
      </c>
      <c r="K609" t="n">
        <v>0</v>
      </c>
      <c r="L609" t="n">
        <v>0</v>
      </c>
      <c r="M609" t="n">
        <v>0</v>
      </c>
      <c r="N609" t="n">
        <v>0</v>
      </c>
      <c r="O609" t="n">
        <v>0</v>
      </c>
      <c r="P609" t="n">
        <v>0</v>
      </c>
      <c r="Q609" t="n">
        <v>0</v>
      </c>
      <c r="R609" s="2" t="inlineStr"/>
    </row>
    <row r="610" ht="15" customHeight="1">
      <c r="A610" t="inlineStr">
        <is>
          <t>A 48526-2022</t>
        </is>
      </c>
      <c r="B610" s="1" t="n">
        <v>44858</v>
      </c>
      <c r="C610" s="1" t="n">
        <v>45508</v>
      </c>
      <c r="D610" t="inlineStr">
        <is>
          <t>VÄSTERBOTTENS LÄN</t>
        </is>
      </c>
      <c r="E610" t="inlineStr">
        <is>
          <t>VILHELMINA</t>
        </is>
      </c>
      <c r="F610" t="inlineStr">
        <is>
          <t>SCA</t>
        </is>
      </c>
      <c r="G610" t="n">
        <v>5.8</v>
      </c>
      <c r="H610" t="n">
        <v>0</v>
      </c>
      <c r="I610" t="n">
        <v>0</v>
      </c>
      <c r="J610" t="n">
        <v>0</v>
      </c>
      <c r="K610" t="n">
        <v>0</v>
      </c>
      <c r="L610" t="n">
        <v>0</v>
      </c>
      <c r="M610" t="n">
        <v>0</v>
      </c>
      <c r="N610" t="n">
        <v>0</v>
      </c>
      <c r="O610" t="n">
        <v>0</v>
      </c>
      <c r="P610" t="n">
        <v>0</v>
      </c>
      <c r="Q610" t="n">
        <v>0</v>
      </c>
      <c r="R610" s="2" t="inlineStr"/>
    </row>
    <row r="611" ht="15" customHeight="1">
      <c r="A611" t="inlineStr">
        <is>
          <t>A 48515-2022</t>
        </is>
      </c>
      <c r="B611" s="1" t="n">
        <v>44859</v>
      </c>
      <c r="C611" s="1" t="n">
        <v>45508</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48551-2022</t>
        </is>
      </c>
      <c r="B612" s="1" t="n">
        <v>44859</v>
      </c>
      <c r="C612" s="1" t="n">
        <v>45508</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48508-2022</t>
        </is>
      </c>
      <c r="B613" s="1" t="n">
        <v>44858</v>
      </c>
      <c r="C613" s="1" t="n">
        <v>45508</v>
      </c>
      <c r="D613" t="inlineStr">
        <is>
          <t>VÄSTERBOTTENS LÄN</t>
        </is>
      </c>
      <c r="E613" t="inlineStr">
        <is>
          <t>VILHELMINA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48527-2022</t>
        </is>
      </c>
      <c r="B614" s="1" t="n">
        <v>44859</v>
      </c>
      <c r="C614" s="1" t="n">
        <v>45508</v>
      </c>
      <c r="D614" t="inlineStr">
        <is>
          <t>VÄSTERBOTTENS LÄN</t>
        </is>
      </c>
      <c r="E614" t="inlineStr">
        <is>
          <t>VILHELMINA</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48775-2022</t>
        </is>
      </c>
      <c r="B615" s="1" t="n">
        <v>44859</v>
      </c>
      <c r="C615" s="1" t="n">
        <v>45508</v>
      </c>
      <c r="D615" t="inlineStr">
        <is>
          <t>VÄSTERBOTTENS LÄN</t>
        </is>
      </c>
      <c r="E615" t="inlineStr">
        <is>
          <t>VILHELMINA</t>
        </is>
      </c>
      <c r="F615" t="inlineStr">
        <is>
          <t>Sveaskog</t>
        </is>
      </c>
      <c r="G615" t="n">
        <v>10.7</v>
      </c>
      <c r="H615" t="n">
        <v>0</v>
      </c>
      <c r="I615" t="n">
        <v>0</v>
      </c>
      <c r="J615" t="n">
        <v>0</v>
      </c>
      <c r="K615" t="n">
        <v>0</v>
      </c>
      <c r="L615" t="n">
        <v>0</v>
      </c>
      <c r="M615" t="n">
        <v>0</v>
      </c>
      <c r="N615" t="n">
        <v>0</v>
      </c>
      <c r="O615" t="n">
        <v>0</v>
      </c>
      <c r="P615" t="n">
        <v>0</v>
      </c>
      <c r="Q615" t="n">
        <v>0</v>
      </c>
      <c r="R615" s="2" t="inlineStr"/>
    </row>
    <row r="616" ht="15" customHeight="1">
      <c r="A616" t="inlineStr">
        <is>
          <t>A 48768-2022</t>
        </is>
      </c>
      <c r="B616" s="1" t="n">
        <v>44859</v>
      </c>
      <c r="C616" s="1" t="n">
        <v>45508</v>
      </c>
      <c r="D616" t="inlineStr">
        <is>
          <t>VÄSTERBOTTENS LÄN</t>
        </is>
      </c>
      <c r="E616" t="inlineStr">
        <is>
          <t>VILHELMINA</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49599-2022</t>
        </is>
      </c>
      <c r="B617" s="1" t="n">
        <v>44859</v>
      </c>
      <c r="C617" s="1" t="n">
        <v>45508</v>
      </c>
      <c r="D617" t="inlineStr">
        <is>
          <t>VÄSTERBOTTENS LÄN</t>
        </is>
      </c>
      <c r="E617" t="inlineStr">
        <is>
          <t>VILHELMINA</t>
        </is>
      </c>
      <c r="G617" t="n">
        <v>3.6</v>
      </c>
      <c r="H617" t="n">
        <v>0</v>
      </c>
      <c r="I617" t="n">
        <v>0</v>
      </c>
      <c r="J617" t="n">
        <v>0</v>
      </c>
      <c r="K617" t="n">
        <v>0</v>
      </c>
      <c r="L617" t="n">
        <v>0</v>
      </c>
      <c r="M617" t="n">
        <v>0</v>
      </c>
      <c r="N617" t="n">
        <v>0</v>
      </c>
      <c r="O617" t="n">
        <v>0</v>
      </c>
      <c r="P617" t="n">
        <v>0</v>
      </c>
      <c r="Q617" t="n">
        <v>0</v>
      </c>
      <c r="R617" s="2" t="inlineStr"/>
    </row>
    <row r="618" ht="15" customHeight="1">
      <c r="A618" t="inlineStr">
        <is>
          <t>A 49526-2022</t>
        </is>
      </c>
      <c r="B618" s="1" t="n">
        <v>44862</v>
      </c>
      <c r="C618" s="1" t="n">
        <v>45508</v>
      </c>
      <c r="D618" t="inlineStr">
        <is>
          <t>VÄSTERBOTTENS LÄN</t>
        </is>
      </c>
      <c r="E618" t="inlineStr">
        <is>
          <t>VILHELMINA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49640-2022</t>
        </is>
      </c>
      <c r="B619" s="1" t="n">
        <v>44862</v>
      </c>
      <c r="C619" s="1" t="n">
        <v>45508</v>
      </c>
      <c r="D619" t="inlineStr">
        <is>
          <t>VÄSTERBOTTENS LÄN</t>
        </is>
      </c>
      <c r="E619" t="inlineStr">
        <is>
          <t>VILHELMINA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50883-2022</t>
        </is>
      </c>
      <c r="B620" s="1" t="n">
        <v>44867</v>
      </c>
      <c r="C620" s="1" t="n">
        <v>45508</v>
      </c>
      <c r="D620" t="inlineStr">
        <is>
          <t>VÄSTERBOTTENS LÄN</t>
        </is>
      </c>
      <c r="E620" t="inlineStr">
        <is>
          <t>VILHELMINA</t>
        </is>
      </c>
      <c r="F620" t="inlineStr">
        <is>
          <t>Sveaskog</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51017-2022</t>
        </is>
      </c>
      <c r="B621" s="1" t="n">
        <v>44867</v>
      </c>
      <c r="C621" s="1" t="n">
        <v>45508</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52008-2022</t>
        </is>
      </c>
      <c r="B622" s="1" t="n">
        <v>44872</v>
      </c>
      <c r="C622" s="1" t="n">
        <v>45508</v>
      </c>
      <c r="D622" t="inlineStr">
        <is>
          <t>VÄSTERBOTTENS LÄN</t>
        </is>
      </c>
      <c r="E622" t="inlineStr">
        <is>
          <t>VILHELMINA</t>
        </is>
      </c>
      <c r="G622" t="n">
        <v>6</v>
      </c>
      <c r="H622" t="n">
        <v>0</v>
      </c>
      <c r="I622" t="n">
        <v>0</v>
      </c>
      <c r="J622" t="n">
        <v>0</v>
      </c>
      <c r="K622" t="n">
        <v>0</v>
      </c>
      <c r="L622" t="n">
        <v>0</v>
      </c>
      <c r="M622" t="n">
        <v>0</v>
      </c>
      <c r="N622" t="n">
        <v>0</v>
      </c>
      <c r="O622" t="n">
        <v>0</v>
      </c>
      <c r="P622" t="n">
        <v>0</v>
      </c>
      <c r="Q622" t="n">
        <v>0</v>
      </c>
      <c r="R622" s="2" t="inlineStr"/>
    </row>
    <row r="623" ht="15" customHeight="1">
      <c r="A623" t="inlineStr">
        <is>
          <t>A 52711-2022</t>
        </is>
      </c>
      <c r="B623" s="1" t="n">
        <v>44874</v>
      </c>
      <c r="C623" s="1" t="n">
        <v>45508</v>
      </c>
      <c r="D623" t="inlineStr">
        <is>
          <t>VÄSTERBOTTENS LÄN</t>
        </is>
      </c>
      <c r="E623" t="inlineStr">
        <is>
          <t>VILHELMINA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52704-2022</t>
        </is>
      </c>
      <c r="B624" s="1" t="n">
        <v>44874</v>
      </c>
      <c r="C624" s="1" t="n">
        <v>45508</v>
      </c>
      <c r="D624" t="inlineStr">
        <is>
          <t>VÄSTERBOTTENS LÄN</t>
        </is>
      </c>
      <c r="E624" t="inlineStr">
        <is>
          <t>VILHELMINA</t>
        </is>
      </c>
      <c r="G624" t="n">
        <v>17.4</v>
      </c>
      <c r="H624" t="n">
        <v>0</v>
      </c>
      <c r="I624" t="n">
        <v>0</v>
      </c>
      <c r="J624" t="n">
        <v>0</v>
      </c>
      <c r="K624" t="n">
        <v>0</v>
      </c>
      <c r="L624" t="n">
        <v>0</v>
      </c>
      <c r="M624" t="n">
        <v>0</v>
      </c>
      <c r="N624" t="n">
        <v>0</v>
      </c>
      <c r="O624" t="n">
        <v>0</v>
      </c>
      <c r="P624" t="n">
        <v>0</v>
      </c>
      <c r="Q624" t="n">
        <v>0</v>
      </c>
      <c r="R624" s="2" t="inlineStr"/>
    </row>
    <row r="625" ht="15" customHeight="1">
      <c r="A625" t="inlineStr">
        <is>
          <t>A 52995-2022</t>
        </is>
      </c>
      <c r="B625" s="1" t="n">
        <v>44875</v>
      </c>
      <c r="C625" s="1" t="n">
        <v>45508</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53652-2022</t>
        </is>
      </c>
      <c r="B626" s="1" t="n">
        <v>44879</v>
      </c>
      <c r="C626" s="1" t="n">
        <v>45508</v>
      </c>
      <c r="D626" t="inlineStr">
        <is>
          <t>VÄSTERBOTTENS LÄN</t>
        </is>
      </c>
      <c r="E626" t="inlineStr">
        <is>
          <t>VILHELMINA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53654-2022</t>
        </is>
      </c>
      <c r="B627" s="1" t="n">
        <v>44879</v>
      </c>
      <c r="C627" s="1" t="n">
        <v>45508</v>
      </c>
      <c r="D627" t="inlineStr">
        <is>
          <t>VÄSTERBOTTENS LÄN</t>
        </is>
      </c>
      <c r="E627" t="inlineStr">
        <is>
          <t>VILHELMINA</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53658-2022</t>
        </is>
      </c>
      <c r="B628" s="1" t="n">
        <v>44879</v>
      </c>
      <c r="C628" s="1" t="n">
        <v>45508</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54729-2022</t>
        </is>
      </c>
      <c r="B629" s="1" t="n">
        <v>44881</v>
      </c>
      <c r="C629" s="1" t="n">
        <v>45508</v>
      </c>
      <c r="D629" t="inlineStr">
        <is>
          <t>VÄSTERBOTTENS LÄN</t>
        </is>
      </c>
      <c r="E629" t="inlineStr">
        <is>
          <t>VILHELMINA</t>
        </is>
      </c>
      <c r="G629" t="n">
        <v>19.2</v>
      </c>
      <c r="H629" t="n">
        <v>0</v>
      </c>
      <c r="I629" t="n">
        <v>0</v>
      </c>
      <c r="J629" t="n">
        <v>0</v>
      </c>
      <c r="K629" t="n">
        <v>0</v>
      </c>
      <c r="L629" t="n">
        <v>0</v>
      </c>
      <c r="M629" t="n">
        <v>0</v>
      </c>
      <c r="N629" t="n">
        <v>0</v>
      </c>
      <c r="O629" t="n">
        <v>0</v>
      </c>
      <c r="P629" t="n">
        <v>0</v>
      </c>
      <c r="Q629" t="n">
        <v>0</v>
      </c>
      <c r="R629" s="2" t="inlineStr"/>
    </row>
    <row r="630" ht="15" customHeight="1">
      <c r="A630" t="inlineStr">
        <is>
          <t>A 54727-2022</t>
        </is>
      </c>
      <c r="B630" s="1" t="n">
        <v>44881</v>
      </c>
      <c r="C630" s="1" t="n">
        <v>45508</v>
      </c>
      <c r="D630" t="inlineStr">
        <is>
          <t>VÄSTERBOTTENS LÄN</t>
        </is>
      </c>
      <c r="E630" t="inlineStr">
        <is>
          <t>VILHELMINA</t>
        </is>
      </c>
      <c r="G630" t="n">
        <v>4.3</v>
      </c>
      <c r="H630" t="n">
        <v>0</v>
      </c>
      <c r="I630" t="n">
        <v>0</v>
      </c>
      <c r="J630" t="n">
        <v>0</v>
      </c>
      <c r="K630" t="n">
        <v>0</v>
      </c>
      <c r="L630" t="n">
        <v>0</v>
      </c>
      <c r="M630" t="n">
        <v>0</v>
      </c>
      <c r="N630" t="n">
        <v>0</v>
      </c>
      <c r="O630" t="n">
        <v>0</v>
      </c>
      <c r="P630" t="n">
        <v>0</v>
      </c>
      <c r="Q630" t="n">
        <v>0</v>
      </c>
      <c r="R630" s="2" t="inlineStr"/>
    </row>
    <row r="631" ht="15" customHeight="1">
      <c r="A631" t="inlineStr">
        <is>
          <t>A 55870-2022</t>
        </is>
      </c>
      <c r="B631" s="1" t="n">
        <v>44888</v>
      </c>
      <c r="C631" s="1" t="n">
        <v>45508</v>
      </c>
      <c r="D631" t="inlineStr">
        <is>
          <t>VÄSTERBOTTENS LÄN</t>
        </is>
      </c>
      <c r="E631" t="inlineStr">
        <is>
          <t>VILHELMINA</t>
        </is>
      </c>
      <c r="G631" t="n">
        <v>13.6</v>
      </c>
      <c r="H631" t="n">
        <v>0</v>
      </c>
      <c r="I631" t="n">
        <v>0</v>
      </c>
      <c r="J631" t="n">
        <v>0</v>
      </c>
      <c r="K631" t="n">
        <v>0</v>
      </c>
      <c r="L631" t="n">
        <v>0</v>
      </c>
      <c r="M631" t="n">
        <v>0</v>
      </c>
      <c r="N631" t="n">
        <v>0</v>
      </c>
      <c r="O631" t="n">
        <v>0</v>
      </c>
      <c r="P631" t="n">
        <v>0</v>
      </c>
      <c r="Q631" t="n">
        <v>0</v>
      </c>
      <c r="R631" s="2" t="inlineStr"/>
    </row>
    <row r="632" ht="15" customHeight="1">
      <c r="A632" t="inlineStr">
        <is>
          <t>A 56154-2022</t>
        </is>
      </c>
      <c r="B632" s="1" t="n">
        <v>44889</v>
      </c>
      <c r="C632" s="1" t="n">
        <v>45508</v>
      </c>
      <c r="D632" t="inlineStr">
        <is>
          <t>VÄSTERBOTTENS LÄN</t>
        </is>
      </c>
      <c r="E632" t="inlineStr">
        <is>
          <t>VILHELMINA</t>
        </is>
      </c>
      <c r="G632" t="n">
        <v>30</v>
      </c>
      <c r="H632" t="n">
        <v>0</v>
      </c>
      <c r="I632" t="n">
        <v>0</v>
      </c>
      <c r="J632" t="n">
        <v>0</v>
      </c>
      <c r="K632" t="n">
        <v>0</v>
      </c>
      <c r="L632" t="n">
        <v>0</v>
      </c>
      <c r="M632" t="n">
        <v>0</v>
      </c>
      <c r="N632" t="n">
        <v>0</v>
      </c>
      <c r="O632" t="n">
        <v>0</v>
      </c>
      <c r="P632" t="n">
        <v>0</v>
      </c>
      <c r="Q632" t="n">
        <v>0</v>
      </c>
      <c r="R632" s="2" t="inlineStr"/>
    </row>
    <row r="633" ht="15" customHeight="1">
      <c r="A633" t="inlineStr">
        <is>
          <t>A 56153-2022</t>
        </is>
      </c>
      <c r="B633" s="1" t="n">
        <v>44889</v>
      </c>
      <c r="C633" s="1" t="n">
        <v>45508</v>
      </c>
      <c r="D633" t="inlineStr">
        <is>
          <t>VÄSTERBOTTENS LÄN</t>
        </is>
      </c>
      <c r="E633" t="inlineStr">
        <is>
          <t>VILHELMINA</t>
        </is>
      </c>
      <c r="G633" t="n">
        <v>31.6</v>
      </c>
      <c r="H633" t="n">
        <v>0</v>
      </c>
      <c r="I633" t="n">
        <v>0</v>
      </c>
      <c r="J633" t="n">
        <v>0</v>
      </c>
      <c r="K633" t="n">
        <v>0</v>
      </c>
      <c r="L633" t="n">
        <v>0</v>
      </c>
      <c r="M633" t="n">
        <v>0</v>
      </c>
      <c r="N633" t="n">
        <v>0</v>
      </c>
      <c r="O633" t="n">
        <v>0</v>
      </c>
      <c r="P633" t="n">
        <v>0</v>
      </c>
      <c r="Q633" t="n">
        <v>0</v>
      </c>
      <c r="R633" s="2" t="inlineStr"/>
    </row>
    <row r="634" ht="15" customHeight="1">
      <c r="A634" t="inlineStr">
        <is>
          <t>A 56173-2022</t>
        </is>
      </c>
      <c r="B634" s="1" t="n">
        <v>44889</v>
      </c>
      <c r="C634" s="1" t="n">
        <v>45508</v>
      </c>
      <c r="D634" t="inlineStr">
        <is>
          <t>VÄSTERBOTTENS LÄN</t>
        </is>
      </c>
      <c r="E634" t="inlineStr">
        <is>
          <t>VILHELMINA</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56174-2022</t>
        </is>
      </c>
      <c r="B635" s="1" t="n">
        <v>44889</v>
      </c>
      <c r="C635" s="1" t="n">
        <v>45508</v>
      </c>
      <c r="D635" t="inlineStr">
        <is>
          <t>VÄSTERBOTTENS LÄN</t>
        </is>
      </c>
      <c r="E635" t="inlineStr">
        <is>
          <t>VILHELMINA</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56179-2022</t>
        </is>
      </c>
      <c r="B636" s="1" t="n">
        <v>44889</v>
      </c>
      <c r="C636" s="1" t="n">
        <v>45508</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57332-2022</t>
        </is>
      </c>
      <c r="B637" s="1" t="n">
        <v>44889</v>
      </c>
      <c r="C637" s="1" t="n">
        <v>45508</v>
      </c>
      <c r="D637" t="inlineStr">
        <is>
          <t>VÄSTERBOTTENS LÄN</t>
        </is>
      </c>
      <c r="E637" t="inlineStr">
        <is>
          <t>VILHELMINA</t>
        </is>
      </c>
      <c r="G637" t="n">
        <v>5.1</v>
      </c>
      <c r="H637" t="n">
        <v>0</v>
      </c>
      <c r="I637" t="n">
        <v>0</v>
      </c>
      <c r="J637" t="n">
        <v>0</v>
      </c>
      <c r="K637" t="n">
        <v>0</v>
      </c>
      <c r="L637" t="n">
        <v>0</v>
      </c>
      <c r="M637" t="n">
        <v>0</v>
      </c>
      <c r="N637" t="n">
        <v>0</v>
      </c>
      <c r="O637" t="n">
        <v>0</v>
      </c>
      <c r="P637" t="n">
        <v>0</v>
      </c>
      <c r="Q637" t="n">
        <v>0</v>
      </c>
      <c r="R637" s="2" t="inlineStr"/>
    </row>
    <row r="638" ht="15" customHeight="1">
      <c r="A638" t="inlineStr">
        <is>
          <t>A 57324-2022</t>
        </is>
      </c>
      <c r="B638" s="1" t="n">
        <v>44889</v>
      </c>
      <c r="C638" s="1" t="n">
        <v>45508</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57328-2022</t>
        </is>
      </c>
      <c r="B639" s="1" t="n">
        <v>44889</v>
      </c>
      <c r="C639" s="1" t="n">
        <v>45508</v>
      </c>
      <c r="D639" t="inlineStr">
        <is>
          <t>VÄSTERBOTTENS LÄN</t>
        </is>
      </c>
      <c r="E639" t="inlineStr">
        <is>
          <t>VILHELMINA</t>
        </is>
      </c>
      <c r="G639" t="n">
        <v>9.5</v>
      </c>
      <c r="H639" t="n">
        <v>0</v>
      </c>
      <c r="I639" t="n">
        <v>0</v>
      </c>
      <c r="J639" t="n">
        <v>0</v>
      </c>
      <c r="K639" t="n">
        <v>0</v>
      </c>
      <c r="L639" t="n">
        <v>0</v>
      </c>
      <c r="M639" t="n">
        <v>0</v>
      </c>
      <c r="N639" t="n">
        <v>0</v>
      </c>
      <c r="O639" t="n">
        <v>0</v>
      </c>
      <c r="P639" t="n">
        <v>0</v>
      </c>
      <c r="Q639" t="n">
        <v>0</v>
      </c>
      <c r="R639" s="2" t="inlineStr"/>
    </row>
    <row r="640" ht="15" customHeight="1">
      <c r="A640" t="inlineStr">
        <is>
          <t>A 57339-2022</t>
        </is>
      </c>
      <c r="B640" s="1" t="n">
        <v>44889</v>
      </c>
      <c r="C640" s="1" t="n">
        <v>45508</v>
      </c>
      <c r="D640" t="inlineStr">
        <is>
          <t>VÄSTERBOTTENS LÄN</t>
        </is>
      </c>
      <c r="E640" t="inlineStr">
        <is>
          <t>VILHELMINA</t>
        </is>
      </c>
      <c r="G640" t="n">
        <v>33.1</v>
      </c>
      <c r="H640" t="n">
        <v>0</v>
      </c>
      <c r="I640" t="n">
        <v>0</v>
      </c>
      <c r="J640" t="n">
        <v>0</v>
      </c>
      <c r="K640" t="n">
        <v>0</v>
      </c>
      <c r="L640" t="n">
        <v>0</v>
      </c>
      <c r="M640" t="n">
        <v>0</v>
      </c>
      <c r="N640" t="n">
        <v>0</v>
      </c>
      <c r="O640" t="n">
        <v>0</v>
      </c>
      <c r="P640" t="n">
        <v>0</v>
      </c>
      <c r="Q640" t="n">
        <v>0</v>
      </c>
      <c r="R640" s="2" t="inlineStr"/>
    </row>
    <row r="641" ht="15" customHeight="1">
      <c r="A641" t="inlineStr">
        <is>
          <t>A 56408-2022</t>
        </is>
      </c>
      <c r="B641" s="1" t="n">
        <v>44890</v>
      </c>
      <c r="C641" s="1" t="n">
        <v>45508</v>
      </c>
      <c r="D641" t="inlineStr">
        <is>
          <t>VÄSTERBOTTENS LÄN</t>
        </is>
      </c>
      <c r="E641" t="inlineStr">
        <is>
          <t>VILHELMINA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56396-2022</t>
        </is>
      </c>
      <c r="B642" s="1" t="n">
        <v>44890</v>
      </c>
      <c r="C642" s="1" t="n">
        <v>45508</v>
      </c>
      <c r="D642" t="inlineStr">
        <is>
          <t>VÄSTERBOTTENS LÄN</t>
        </is>
      </c>
      <c r="E642" t="inlineStr">
        <is>
          <t>VILHELMINA</t>
        </is>
      </c>
      <c r="G642" t="n">
        <v>1.6</v>
      </c>
      <c r="H642" t="n">
        <v>0</v>
      </c>
      <c r="I642" t="n">
        <v>0</v>
      </c>
      <c r="J642" t="n">
        <v>0</v>
      </c>
      <c r="K642" t="n">
        <v>0</v>
      </c>
      <c r="L642" t="n">
        <v>0</v>
      </c>
      <c r="M642" t="n">
        <v>0</v>
      </c>
      <c r="N642" t="n">
        <v>0</v>
      </c>
      <c r="O642" t="n">
        <v>0</v>
      </c>
      <c r="P642" t="n">
        <v>0</v>
      </c>
      <c r="Q642" t="n">
        <v>0</v>
      </c>
      <c r="R642" s="2" t="inlineStr"/>
    </row>
    <row r="643" ht="15" customHeight="1">
      <c r="A643" t="inlineStr">
        <is>
          <t>A 56405-2022</t>
        </is>
      </c>
      <c r="B643" s="1" t="n">
        <v>44890</v>
      </c>
      <c r="C643" s="1" t="n">
        <v>45508</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56409-2022</t>
        </is>
      </c>
      <c r="B644" s="1" t="n">
        <v>44890</v>
      </c>
      <c r="C644" s="1" t="n">
        <v>45508</v>
      </c>
      <c r="D644" t="inlineStr">
        <is>
          <t>VÄSTERBOTTENS LÄN</t>
        </is>
      </c>
      <c r="E644" t="inlineStr">
        <is>
          <t>VILHELMINA</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56407-2022</t>
        </is>
      </c>
      <c r="B645" s="1" t="n">
        <v>44890</v>
      </c>
      <c r="C645" s="1" t="n">
        <v>45508</v>
      </c>
      <c r="D645" t="inlineStr">
        <is>
          <t>VÄSTERBOTTENS LÄN</t>
        </is>
      </c>
      <c r="E645" t="inlineStr">
        <is>
          <t>VILHELMINA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56406-2022</t>
        </is>
      </c>
      <c r="B646" s="1" t="n">
        <v>44890</v>
      </c>
      <c r="C646" s="1" t="n">
        <v>45508</v>
      </c>
      <c r="D646" t="inlineStr">
        <is>
          <t>VÄSTERBOTTENS LÄN</t>
        </is>
      </c>
      <c r="E646" t="inlineStr">
        <is>
          <t>VILHELMINA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56733-2022</t>
        </is>
      </c>
      <c r="B647" s="1" t="n">
        <v>44893</v>
      </c>
      <c r="C647" s="1" t="n">
        <v>45508</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57586-2022</t>
        </is>
      </c>
      <c r="B648" s="1" t="n">
        <v>44896</v>
      </c>
      <c r="C648" s="1" t="n">
        <v>45508</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58938-2022</t>
        </is>
      </c>
      <c r="B649" s="1" t="n">
        <v>44896</v>
      </c>
      <c r="C649" s="1" t="n">
        <v>45508</v>
      </c>
      <c r="D649" t="inlineStr">
        <is>
          <t>VÄSTERBOTTENS LÄN</t>
        </is>
      </c>
      <c r="E649" t="inlineStr">
        <is>
          <t>VILHELMINA</t>
        </is>
      </c>
      <c r="G649" t="n">
        <v>4.1</v>
      </c>
      <c r="H649" t="n">
        <v>0</v>
      </c>
      <c r="I649" t="n">
        <v>0</v>
      </c>
      <c r="J649" t="n">
        <v>0</v>
      </c>
      <c r="K649" t="n">
        <v>0</v>
      </c>
      <c r="L649" t="n">
        <v>0</v>
      </c>
      <c r="M649" t="n">
        <v>0</v>
      </c>
      <c r="N649" t="n">
        <v>0</v>
      </c>
      <c r="O649" t="n">
        <v>0</v>
      </c>
      <c r="P649" t="n">
        <v>0</v>
      </c>
      <c r="Q649" t="n">
        <v>0</v>
      </c>
      <c r="R649" s="2" t="inlineStr"/>
    </row>
    <row r="650" ht="15" customHeight="1">
      <c r="A650" t="inlineStr">
        <is>
          <t>A 58207-2022</t>
        </is>
      </c>
      <c r="B650" s="1" t="n">
        <v>44901</v>
      </c>
      <c r="C650" s="1" t="n">
        <v>45508</v>
      </c>
      <c r="D650" t="inlineStr">
        <is>
          <t>VÄSTERBOTTENS LÄN</t>
        </is>
      </c>
      <c r="E650" t="inlineStr">
        <is>
          <t>VILHELMINA</t>
        </is>
      </c>
      <c r="G650" t="n">
        <v>143.2</v>
      </c>
      <c r="H650" t="n">
        <v>0</v>
      </c>
      <c r="I650" t="n">
        <v>0</v>
      </c>
      <c r="J650" t="n">
        <v>0</v>
      </c>
      <c r="K650" t="n">
        <v>0</v>
      </c>
      <c r="L650" t="n">
        <v>0</v>
      </c>
      <c r="M650" t="n">
        <v>0</v>
      </c>
      <c r="N650" t="n">
        <v>0</v>
      </c>
      <c r="O650" t="n">
        <v>0</v>
      </c>
      <c r="P650" t="n">
        <v>0</v>
      </c>
      <c r="Q650" t="n">
        <v>0</v>
      </c>
      <c r="R650" s="2" t="inlineStr"/>
    </row>
    <row r="651" ht="15" customHeight="1">
      <c r="A651" t="inlineStr">
        <is>
          <t>A 58720-2022</t>
        </is>
      </c>
      <c r="B651" s="1" t="n">
        <v>44902</v>
      </c>
      <c r="C651" s="1" t="n">
        <v>45508</v>
      </c>
      <c r="D651" t="inlineStr">
        <is>
          <t>VÄSTERBOTTENS LÄN</t>
        </is>
      </c>
      <c r="E651" t="inlineStr">
        <is>
          <t>VILHELMINA</t>
        </is>
      </c>
      <c r="G651" t="n">
        <v>6.7</v>
      </c>
      <c r="H651" t="n">
        <v>0</v>
      </c>
      <c r="I651" t="n">
        <v>0</v>
      </c>
      <c r="J651" t="n">
        <v>0</v>
      </c>
      <c r="K651" t="n">
        <v>0</v>
      </c>
      <c r="L651" t="n">
        <v>0</v>
      </c>
      <c r="M651" t="n">
        <v>0</v>
      </c>
      <c r="N651" t="n">
        <v>0</v>
      </c>
      <c r="O651" t="n">
        <v>0</v>
      </c>
      <c r="P651" t="n">
        <v>0</v>
      </c>
      <c r="Q651" t="n">
        <v>0</v>
      </c>
      <c r="R651" s="2" t="inlineStr"/>
    </row>
    <row r="652" ht="15" customHeight="1">
      <c r="A652" t="inlineStr">
        <is>
          <t>A 58739-2022</t>
        </is>
      </c>
      <c r="B652" s="1" t="n">
        <v>44902</v>
      </c>
      <c r="C652" s="1" t="n">
        <v>45508</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59030-2022</t>
        </is>
      </c>
      <c r="B653" s="1" t="n">
        <v>44903</v>
      </c>
      <c r="C653" s="1" t="n">
        <v>45508</v>
      </c>
      <c r="D653" t="inlineStr">
        <is>
          <t>VÄSTERBOTTENS LÄN</t>
        </is>
      </c>
      <c r="E653" t="inlineStr">
        <is>
          <t>VILHELMINA</t>
        </is>
      </c>
      <c r="G653" t="n">
        <v>17.8</v>
      </c>
      <c r="H653" t="n">
        <v>0</v>
      </c>
      <c r="I653" t="n">
        <v>0</v>
      </c>
      <c r="J653" t="n">
        <v>0</v>
      </c>
      <c r="K653" t="n">
        <v>0</v>
      </c>
      <c r="L653" t="n">
        <v>0</v>
      </c>
      <c r="M653" t="n">
        <v>0</v>
      </c>
      <c r="N653" t="n">
        <v>0</v>
      </c>
      <c r="O653" t="n">
        <v>0</v>
      </c>
      <c r="P653" t="n">
        <v>0</v>
      </c>
      <c r="Q653" t="n">
        <v>0</v>
      </c>
      <c r="R653" s="2" t="inlineStr"/>
    </row>
    <row r="654" ht="15" customHeight="1">
      <c r="A654" t="inlineStr">
        <is>
          <t>A 60227-2022</t>
        </is>
      </c>
      <c r="B654" s="1" t="n">
        <v>44903</v>
      </c>
      <c r="C654" s="1" t="n">
        <v>45508</v>
      </c>
      <c r="D654" t="inlineStr">
        <is>
          <t>VÄSTERBOTTENS LÄN</t>
        </is>
      </c>
      <c r="E654" t="inlineStr">
        <is>
          <t>VILHELMINA</t>
        </is>
      </c>
      <c r="G654" t="n">
        <v>11</v>
      </c>
      <c r="H654" t="n">
        <v>0</v>
      </c>
      <c r="I654" t="n">
        <v>0</v>
      </c>
      <c r="J654" t="n">
        <v>0</v>
      </c>
      <c r="K654" t="n">
        <v>0</v>
      </c>
      <c r="L654" t="n">
        <v>0</v>
      </c>
      <c r="M654" t="n">
        <v>0</v>
      </c>
      <c r="N654" t="n">
        <v>0</v>
      </c>
      <c r="O654" t="n">
        <v>0</v>
      </c>
      <c r="P654" t="n">
        <v>0</v>
      </c>
      <c r="Q654" t="n">
        <v>0</v>
      </c>
      <c r="R654" s="2" t="inlineStr"/>
    </row>
    <row r="655" ht="15" customHeight="1">
      <c r="A655" t="inlineStr">
        <is>
          <t>A 60137-2022</t>
        </is>
      </c>
      <c r="B655" s="1" t="n">
        <v>44909</v>
      </c>
      <c r="C655" s="1" t="n">
        <v>45508</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61270-2022</t>
        </is>
      </c>
      <c r="B656" s="1" t="n">
        <v>44909</v>
      </c>
      <c r="C656" s="1" t="n">
        <v>45508</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v>
      </c>
      <c r="C657" s="1" t="n">
        <v>45508</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60549-2022</t>
        </is>
      </c>
      <c r="B658" s="1" t="n">
        <v>44911</v>
      </c>
      <c r="C658" s="1" t="n">
        <v>45508</v>
      </c>
      <c r="D658" t="inlineStr">
        <is>
          <t>VÄSTERBOTTENS LÄN</t>
        </is>
      </c>
      <c r="E658" t="inlineStr">
        <is>
          <t>VILHELMINA</t>
        </is>
      </c>
      <c r="G658" t="n">
        <v>3.8</v>
      </c>
      <c r="H658" t="n">
        <v>0</v>
      </c>
      <c r="I658" t="n">
        <v>0</v>
      </c>
      <c r="J658" t="n">
        <v>0</v>
      </c>
      <c r="K658" t="n">
        <v>0</v>
      </c>
      <c r="L658" t="n">
        <v>0</v>
      </c>
      <c r="M658" t="n">
        <v>0</v>
      </c>
      <c r="N658" t="n">
        <v>0</v>
      </c>
      <c r="O658" t="n">
        <v>0</v>
      </c>
      <c r="P658" t="n">
        <v>0</v>
      </c>
      <c r="Q658" t="n">
        <v>0</v>
      </c>
      <c r="R658" s="2" t="inlineStr"/>
    </row>
    <row r="659" ht="15" customHeight="1">
      <c r="A659" t="inlineStr">
        <is>
          <t>A 61048-2022</t>
        </is>
      </c>
      <c r="B659" s="1" t="n">
        <v>44914</v>
      </c>
      <c r="C659" s="1" t="n">
        <v>45508</v>
      </c>
      <c r="D659" t="inlineStr">
        <is>
          <t>VÄSTERBOTTENS LÄN</t>
        </is>
      </c>
      <c r="E659" t="inlineStr">
        <is>
          <t>VILHELMINA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61668-2022</t>
        </is>
      </c>
      <c r="B660" s="1" t="n">
        <v>44917</v>
      </c>
      <c r="C660" s="1" t="n">
        <v>45508</v>
      </c>
      <c r="D660" t="inlineStr">
        <is>
          <t>VÄSTERBOTTENS LÄN</t>
        </is>
      </c>
      <c r="E660" t="inlineStr">
        <is>
          <t>VILHELMINA</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61695-2022</t>
        </is>
      </c>
      <c r="B661" s="1" t="n">
        <v>44917</v>
      </c>
      <c r="C661" s="1" t="n">
        <v>45508</v>
      </c>
      <c r="D661" t="inlineStr">
        <is>
          <t>VÄSTERBOTTENS LÄN</t>
        </is>
      </c>
      <c r="E661" t="inlineStr">
        <is>
          <t>VILHELMINA</t>
        </is>
      </c>
      <c r="F661" t="inlineStr">
        <is>
          <t>Sveaskog</t>
        </is>
      </c>
      <c r="G661" t="n">
        <v>7.9</v>
      </c>
      <c r="H661" t="n">
        <v>0</v>
      </c>
      <c r="I661" t="n">
        <v>0</v>
      </c>
      <c r="J661" t="n">
        <v>0</v>
      </c>
      <c r="K661" t="n">
        <v>0</v>
      </c>
      <c r="L661" t="n">
        <v>0</v>
      </c>
      <c r="M661" t="n">
        <v>0</v>
      </c>
      <c r="N661" t="n">
        <v>0</v>
      </c>
      <c r="O661" t="n">
        <v>0</v>
      </c>
      <c r="P661" t="n">
        <v>0</v>
      </c>
      <c r="Q661" t="n">
        <v>0</v>
      </c>
      <c r="R661" s="2" t="inlineStr"/>
    </row>
    <row r="662" ht="15" customHeight="1">
      <c r="A662" t="inlineStr">
        <is>
          <t>A 62630-2022</t>
        </is>
      </c>
      <c r="B662" s="1" t="n">
        <v>44917</v>
      </c>
      <c r="C662" s="1" t="n">
        <v>45508</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62543-2022</t>
        </is>
      </c>
      <c r="B663" s="1" t="n">
        <v>44917</v>
      </c>
      <c r="C663" s="1" t="n">
        <v>45508</v>
      </c>
      <c r="D663" t="inlineStr">
        <is>
          <t>VÄSTERBOTTENS LÄN</t>
        </is>
      </c>
      <c r="E663" t="inlineStr">
        <is>
          <t>VILHELMINA</t>
        </is>
      </c>
      <c r="G663" t="n">
        <v>8.1</v>
      </c>
      <c r="H663" t="n">
        <v>0</v>
      </c>
      <c r="I663" t="n">
        <v>0</v>
      </c>
      <c r="J663" t="n">
        <v>0</v>
      </c>
      <c r="K663" t="n">
        <v>0</v>
      </c>
      <c r="L663" t="n">
        <v>0</v>
      </c>
      <c r="M663" t="n">
        <v>0</v>
      </c>
      <c r="N663" t="n">
        <v>0</v>
      </c>
      <c r="O663" t="n">
        <v>0</v>
      </c>
      <c r="P663" t="n">
        <v>0</v>
      </c>
      <c r="Q663" t="n">
        <v>0</v>
      </c>
      <c r="R663" s="2" t="inlineStr"/>
    </row>
    <row r="664" ht="15" customHeight="1">
      <c r="A664" t="inlineStr">
        <is>
          <t>A 62110-2022</t>
        </is>
      </c>
      <c r="B664" s="1" t="n">
        <v>44920</v>
      </c>
      <c r="C664" s="1" t="n">
        <v>45508</v>
      </c>
      <c r="D664" t="inlineStr">
        <is>
          <t>VÄSTERBOTTENS LÄN</t>
        </is>
      </c>
      <c r="E664" t="inlineStr">
        <is>
          <t>VILHELMINA</t>
        </is>
      </c>
      <c r="G664" t="n">
        <v>4.5</v>
      </c>
      <c r="H664" t="n">
        <v>0</v>
      </c>
      <c r="I664" t="n">
        <v>0</v>
      </c>
      <c r="J664" t="n">
        <v>0</v>
      </c>
      <c r="K664" t="n">
        <v>0</v>
      </c>
      <c r="L664" t="n">
        <v>0</v>
      </c>
      <c r="M664" t="n">
        <v>0</v>
      </c>
      <c r="N664" t="n">
        <v>0</v>
      </c>
      <c r="O664" t="n">
        <v>0</v>
      </c>
      <c r="P664" t="n">
        <v>0</v>
      </c>
      <c r="Q664" t="n">
        <v>0</v>
      </c>
      <c r="R664" s="2" t="inlineStr"/>
    </row>
    <row r="665" ht="15" customHeight="1">
      <c r="A665" t="inlineStr">
        <is>
          <t>A 62404-2022</t>
        </is>
      </c>
      <c r="B665" s="1" t="n">
        <v>44923</v>
      </c>
      <c r="C665" s="1" t="n">
        <v>45508</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62405-2022</t>
        </is>
      </c>
      <c r="B666" s="1" t="n">
        <v>44923</v>
      </c>
      <c r="C666" s="1" t="n">
        <v>45508</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402-2023</t>
        </is>
      </c>
      <c r="B667" s="1" t="n">
        <v>44923</v>
      </c>
      <c r="C667" s="1" t="n">
        <v>45508</v>
      </c>
      <c r="D667" t="inlineStr">
        <is>
          <t>VÄSTERBOTTENS LÄN</t>
        </is>
      </c>
      <c r="E667" t="inlineStr">
        <is>
          <t>VILHELMINA</t>
        </is>
      </c>
      <c r="G667" t="n">
        <v>14.7</v>
      </c>
      <c r="H667" t="n">
        <v>0</v>
      </c>
      <c r="I667" t="n">
        <v>0</v>
      </c>
      <c r="J667" t="n">
        <v>0</v>
      </c>
      <c r="K667" t="n">
        <v>0</v>
      </c>
      <c r="L667" t="n">
        <v>0</v>
      </c>
      <c r="M667" t="n">
        <v>0</v>
      </c>
      <c r="N667" t="n">
        <v>0</v>
      </c>
      <c r="O667" t="n">
        <v>0</v>
      </c>
      <c r="P667" t="n">
        <v>0</v>
      </c>
      <c r="Q667" t="n">
        <v>0</v>
      </c>
      <c r="R667" s="2" t="inlineStr"/>
    </row>
    <row r="668" ht="15" customHeight="1">
      <c r="A668" t="inlineStr">
        <is>
          <t>A 288-2023</t>
        </is>
      </c>
      <c r="B668" s="1" t="n">
        <v>44928</v>
      </c>
      <c r="C668" s="1" t="n">
        <v>45508</v>
      </c>
      <c r="D668" t="inlineStr">
        <is>
          <t>VÄSTERBOTTENS LÄN</t>
        </is>
      </c>
      <c r="E668" t="inlineStr">
        <is>
          <t>VILHELMINA</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701-2023</t>
        </is>
      </c>
      <c r="B669" s="1" t="n">
        <v>44930</v>
      </c>
      <c r="C669" s="1" t="n">
        <v>45508</v>
      </c>
      <c r="D669" t="inlineStr">
        <is>
          <t>VÄSTERBOTTENS LÄN</t>
        </is>
      </c>
      <c r="E669" t="inlineStr">
        <is>
          <t>VILHELMINA</t>
        </is>
      </c>
      <c r="G669" t="n">
        <v>11.5</v>
      </c>
      <c r="H669" t="n">
        <v>0</v>
      </c>
      <c r="I669" t="n">
        <v>0</v>
      </c>
      <c r="J669" t="n">
        <v>0</v>
      </c>
      <c r="K669" t="n">
        <v>0</v>
      </c>
      <c r="L669" t="n">
        <v>0</v>
      </c>
      <c r="M669" t="n">
        <v>0</v>
      </c>
      <c r="N669" t="n">
        <v>0</v>
      </c>
      <c r="O669" t="n">
        <v>0</v>
      </c>
      <c r="P669" t="n">
        <v>0</v>
      </c>
      <c r="Q669" t="n">
        <v>0</v>
      </c>
      <c r="R669" s="2" t="inlineStr"/>
    </row>
    <row r="670" ht="15" customHeight="1">
      <c r="A670" t="inlineStr">
        <is>
          <t>A 1035-2023</t>
        </is>
      </c>
      <c r="B670" s="1" t="n">
        <v>44935</v>
      </c>
      <c r="C670" s="1" t="n">
        <v>45508</v>
      </c>
      <c r="D670" t="inlineStr">
        <is>
          <t>VÄSTERBOTTENS LÄN</t>
        </is>
      </c>
      <c r="E670" t="inlineStr">
        <is>
          <t>VILHELMINA</t>
        </is>
      </c>
      <c r="G670" t="n">
        <v>10.4</v>
      </c>
      <c r="H670" t="n">
        <v>0</v>
      </c>
      <c r="I670" t="n">
        <v>0</v>
      </c>
      <c r="J670" t="n">
        <v>0</v>
      </c>
      <c r="K670" t="n">
        <v>0</v>
      </c>
      <c r="L670" t="n">
        <v>0</v>
      </c>
      <c r="M670" t="n">
        <v>0</v>
      </c>
      <c r="N670" t="n">
        <v>0</v>
      </c>
      <c r="O670" t="n">
        <v>0</v>
      </c>
      <c r="P670" t="n">
        <v>0</v>
      </c>
      <c r="Q670" t="n">
        <v>0</v>
      </c>
      <c r="R670" s="2" t="inlineStr"/>
    </row>
    <row r="671" ht="15" customHeight="1">
      <c r="A671" t="inlineStr">
        <is>
          <t>A 1776-2023</t>
        </is>
      </c>
      <c r="B671" s="1" t="n">
        <v>44936</v>
      </c>
      <c r="C671" s="1" t="n">
        <v>45508</v>
      </c>
      <c r="D671" t="inlineStr">
        <is>
          <t>VÄSTERBOTTENS LÄN</t>
        </is>
      </c>
      <c r="E671" t="inlineStr">
        <is>
          <t>VILHELMINA</t>
        </is>
      </c>
      <c r="F671" t="inlineStr">
        <is>
          <t>Övriga Aktiebolag</t>
        </is>
      </c>
      <c r="G671" t="n">
        <v>18.4</v>
      </c>
      <c r="H671" t="n">
        <v>0</v>
      </c>
      <c r="I671" t="n">
        <v>0</v>
      </c>
      <c r="J671" t="n">
        <v>0</v>
      </c>
      <c r="K671" t="n">
        <v>0</v>
      </c>
      <c r="L671" t="n">
        <v>0</v>
      </c>
      <c r="M671" t="n">
        <v>0</v>
      </c>
      <c r="N671" t="n">
        <v>0</v>
      </c>
      <c r="O671" t="n">
        <v>0</v>
      </c>
      <c r="P671" t="n">
        <v>0</v>
      </c>
      <c r="Q671" t="n">
        <v>0</v>
      </c>
      <c r="R671" s="2" t="inlineStr"/>
    </row>
    <row r="672" ht="15" customHeight="1">
      <c r="A672" t="inlineStr">
        <is>
          <t>A 1763-2023</t>
        </is>
      </c>
      <c r="B672" s="1" t="n">
        <v>44938</v>
      </c>
      <c r="C672" s="1" t="n">
        <v>45508</v>
      </c>
      <c r="D672" t="inlineStr">
        <is>
          <t>VÄSTERBOTTENS LÄN</t>
        </is>
      </c>
      <c r="E672" t="inlineStr">
        <is>
          <t>VILHELMINA</t>
        </is>
      </c>
      <c r="G672" t="n">
        <v>69.3</v>
      </c>
      <c r="H672" t="n">
        <v>0</v>
      </c>
      <c r="I672" t="n">
        <v>0</v>
      </c>
      <c r="J672" t="n">
        <v>0</v>
      </c>
      <c r="K672" t="n">
        <v>0</v>
      </c>
      <c r="L672" t="n">
        <v>0</v>
      </c>
      <c r="M672" t="n">
        <v>0</v>
      </c>
      <c r="N672" t="n">
        <v>0</v>
      </c>
      <c r="O672" t="n">
        <v>0</v>
      </c>
      <c r="P672" t="n">
        <v>0</v>
      </c>
      <c r="Q672" t="n">
        <v>0</v>
      </c>
      <c r="R672" s="2" t="inlineStr"/>
    </row>
    <row r="673" ht="15" customHeight="1">
      <c r="A673" t="inlineStr">
        <is>
          <t>A 1766-2023</t>
        </is>
      </c>
      <c r="B673" s="1" t="n">
        <v>44938</v>
      </c>
      <c r="C673" s="1" t="n">
        <v>45508</v>
      </c>
      <c r="D673" t="inlineStr">
        <is>
          <t>VÄSTERBOTTENS LÄN</t>
        </is>
      </c>
      <c r="E673" t="inlineStr">
        <is>
          <t>VILHELMINA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2031-2023</t>
        </is>
      </c>
      <c r="B674" s="1" t="n">
        <v>44939</v>
      </c>
      <c r="C674" s="1" t="n">
        <v>45508</v>
      </c>
      <c r="D674" t="inlineStr">
        <is>
          <t>VÄSTERBOTTENS LÄN</t>
        </is>
      </c>
      <c r="E674" t="inlineStr">
        <is>
          <t>VILHELMINA</t>
        </is>
      </c>
      <c r="F674" t="inlineStr">
        <is>
          <t>Sveaskog</t>
        </is>
      </c>
      <c r="G674" t="n">
        <v>6.5</v>
      </c>
      <c r="H674" t="n">
        <v>0</v>
      </c>
      <c r="I674" t="n">
        <v>0</v>
      </c>
      <c r="J674" t="n">
        <v>0</v>
      </c>
      <c r="K674" t="n">
        <v>0</v>
      </c>
      <c r="L674" t="n">
        <v>0</v>
      </c>
      <c r="M674" t="n">
        <v>0</v>
      </c>
      <c r="N674" t="n">
        <v>0</v>
      </c>
      <c r="O674" t="n">
        <v>0</v>
      </c>
      <c r="P674" t="n">
        <v>0</v>
      </c>
      <c r="Q674" t="n">
        <v>0</v>
      </c>
      <c r="R674" s="2" t="inlineStr"/>
    </row>
    <row r="675" ht="15" customHeight="1">
      <c r="A675" t="inlineStr">
        <is>
          <t>A 2074-2023</t>
        </is>
      </c>
      <c r="B675" s="1" t="n">
        <v>44939</v>
      </c>
      <c r="C675" s="1" t="n">
        <v>45508</v>
      </c>
      <c r="D675" t="inlineStr">
        <is>
          <t>VÄSTERBOTTENS LÄN</t>
        </is>
      </c>
      <c r="E675" t="inlineStr">
        <is>
          <t>VILHELMINA</t>
        </is>
      </c>
      <c r="G675" t="n">
        <v>6.2</v>
      </c>
      <c r="H675" t="n">
        <v>0</v>
      </c>
      <c r="I675" t="n">
        <v>0</v>
      </c>
      <c r="J675" t="n">
        <v>0</v>
      </c>
      <c r="K675" t="n">
        <v>0</v>
      </c>
      <c r="L675" t="n">
        <v>0</v>
      </c>
      <c r="M675" t="n">
        <v>0</v>
      </c>
      <c r="N675" t="n">
        <v>0</v>
      </c>
      <c r="O675" t="n">
        <v>0</v>
      </c>
      <c r="P675" t="n">
        <v>0</v>
      </c>
      <c r="Q675" t="n">
        <v>0</v>
      </c>
      <c r="R675" s="2" t="inlineStr"/>
    </row>
    <row r="676" ht="15" customHeight="1">
      <c r="A676" t="inlineStr">
        <is>
          <t>A 2054-2023</t>
        </is>
      </c>
      <c r="B676" s="1" t="n">
        <v>44939</v>
      </c>
      <c r="C676" s="1" t="n">
        <v>45508</v>
      </c>
      <c r="D676" t="inlineStr">
        <is>
          <t>VÄSTERBOTTENS LÄN</t>
        </is>
      </c>
      <c r="E676" t="inlineStr">
        <is>
          <t>VILHELMINA</t>
        </is>
      </c>
      <c r="F676" t="inlineStr">
        <is>
          <t>Sveaskog</t>
        </is>
      </c>
      <c r="G676" t="n">
        <v>19.2</v>
      </c>
      <c r="H676" t="n">
        <v>0</v>
      </c>
      <c r="I676" t="n">
        <v>0</v>
      </c>
      <c r="J676" t="n">
        <v>0</v>
      </c>
      <c r="K676" t="n">
        <v>0</v>
      </c>
      <c r="L676" t="n">
        <v>0</v>
      </c>
      <c r="M676" t="n">
        <v>0</v>
      </c>
      <c r="N676" t="n">
        <v>0</v>
      </c>
      <c r="O676" t="n">
        <v>0</v>
      </c>
      <c r="P676" t="n">
        <v>0</v>
      </c>
      <c r="Q676" t="n">
        <v>0</v>
      </c>
      <c r="R676" s="2" t="inlineStr"/>
    </row>
    <row r="677" ht="15" customHeight="1">
      <c r="A677" t="inlineStr">
        <is>
          <t>A 2034-2023</t>
        </is>
      </c>
      <c r="B677" s="1" t="n">
        <v>44939</v>
      </c>
      <c r="C677" s="1" t="n">
        <v>45508</v>
      </c>
      <c r="D677" t="inlineStr">
        <is>
          <t>VÄSTERBOTTENS LÄN</t>
        </is>
      </c>
      <c r="E677" t="inlineStr">
        <is>
          <t>VILHELMINA</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2125-2023</t>
        </is>
      </c>
      <c r="B678" s="1" t="n">
        <v>44939</v>
      </c>
      <c r="C678" s="1" t="n">
        <v>45508</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2043-2023</t>
        </is>
      </c>
      <c r="B679" s="1" t="n">
        <v>44939</v>
      </c>
      <c r="C679" s="1" t="n">
        <v>45508</v>
      </c>
      <c r="D679" t="inlineStr">
        <is>
          <t>VÄSTERBOTTENS LÄN</t>
        </is>
      </c>
      <c r="E679" t="inlineStr">
        <is>
          <t>VILHELMINA</t>
        </is>
      </c>
      <c r="F679" t="inlineStr">
        <is>
          <t>Sveaskog</t>
        </is>
      </c>
      <c r="G679" t="n">
        <v>10.5</v>
      </c>
      <c r="H679" t="n">
        <v>0</v>
      </c>
      <c r="I679" t="n">
        <v>0</v>
      </c>
      <c r="J679" t="n">
        <v>0</v>
      </c>
      <c r="K679" t="n">
        <v>0</v>
      </c>
      <c r="L679" t="n">
        <v>0</v>
      </c>
      <c r="M679" t="n">
        <v>0</v>
      </c>
      <c r="N679" t="n">
        <v>0</v>
      </c>
      <c r="O679" t="n">
        <v>0</v>
      </c>
      <c r="P679" t="n">
        <v>0</v>
      </c>
      <c r="Q679" t="n">
        <v>0</v>
      </c>
      <c r="R679" s="2" t="inlineStr"/>
    </row>
    <row r="680" ht="15" customHeight="1">
      <c r="A680" t="inlineStr">
        <is>
          <t>A 2123-2023</t>
        </is>
      </c>
      <c r="B680" s="1" t="n">
        <v>44939</v>
      </c>
      <c r="C680" s="1" t="n">
        <v>45508</v>
      </c>
      <c r="D680" t="inlineStr">
        <is>
          <t>VÄSTERBOTTENS LÄN</t>
        </is>
      </c>
      <c r="E680" t="inlineStr">
        <is>
          <t>VILHELMINA</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2075-2023</t>
        </is>
      </c>
      <c r="B681" s="1" t="n">
        <v>44939</v>
      </c>
      <c r="C681" s="1" t="n">
        <v>45508</v>
      </c>
      <c r="D681" t="inlineStr">
        <is>
          <t>VÄSTERBOTTENS LÄN</t>
        </is>
      </c>
      <c r="E681" t="inlineStr">
        <is>
          <t>VILHELMINA</t>
        </is>
      </c>
      <c r="G681" t="n">
        <v>8</v>
      </c>
      <c r="H681" t="n">
        <v>0</v>
      </c>
      <c r="I681" t="n">
        <v>0</v>
      </c>
      <c r="J681" t="n">
        <v>0</v>
      </c>
      <c r="K681" t="n">
        <v>0</v>
      </c>
      <c r="L681" t="n">
        <v>0</v>
      </c>
      <c r="M681" t="n">
        <v>0</v>
      </c>
      <c r="N681" t="n">
        <v>0</v>
      </c>
      <c r="O681" t="n">
        <v>0</v>
      </c>
      <c r="P681" t="n">
        <v>0</v>
      </c>
      <c r="Q681" t="n">
        <v>0</v>
      </c>
      <c r="R681" s="2" t="inlineStr"/>
    </row>
    <row r="682" ht="15" customHeight="1">
      <c r="A682" t="inlineStr">
        <is>
          <t>A 2082-2023</t>
        </is>
      </c>
      <c r="B682" s="1" t="n">
        <v>44939</v>
      </c>
      <c r="C682" s="1" t="n">
        <v>45508</v>
      </c>
      <c r="D682" t="inlineStr">
        <is>
          <t>VÄSTERBOTTENS LÄN</t>
        </is>
      </c>
      <c r="E682" t="inlineStr">
        <is>
          <t>VILHELMINA</t>
        </is>
      </c>
      <c r="G682" t="n">
        <v>5.5</v>
      </c>
      <c r="H682" t="n">
        <v>0</v>
      </c>
      <c r="I682" t="n">
        <v>0</v>
      </c>
      <c r="J682" t="n">
        <v>0</v>
      </c>
      <c r="K682" t="n">
        <v>0</v>
      </c>
      <c r="L682" t="n">
        <v>0</v>
      </c>
      <c r="M682" t="n">
        <v>0</v>
      </c>
      <c r="N682" t="n">
        <v>0</v>
      </c>
      <c r="O682" t="n">
        <v>0</v>
      </c>
      <c r="P682" t="n">
        <v>0</v>
      </c>
      <c r="Q682" t="n">
        <v>0</v>
      </c>
      <c r="R682" s="2" t="inlineStr"/>
    </row>
    <row r="683" ht="15" customHeight="1">
      <c r="A683" t="inlineStr">
        <is>
          <t>A 2124-2023</t>
        </is>
      </c>
      <c r="B683" s="1" t="n">
        <v>44939</v>
      </c>
      <c r="C683" s="1" t="n">
        <v>45508</v>
      </c>
      <c r="D683" t="inlineStr">
        <is>
          <t>VÄSTERBOTTENS LÄN</t>
        </is>
      </c>
      <c r="E683" t="inlineStr">
        <is>
          <t>VILHELMINA</t>
        </is>
      </c>
      <c r="F683" t="inlineStr">
        <is>
          <t>SCA</t>
        </is>
      </c>
      <c r="G683" t="n">
        <v>28.8</v>
      </c>
      <c r="H683" t="n">
        <v>0</v>
      </c>
      <c r="I683" t="n">
        <v>0</v>
      </c>
      <c r="J683" t="n">
        <v>0</v>
      </c>
      <c r="K683" t="n">
        <v>0</v>
      </c>
      <c r="L683" t="n">
        <v>0</v>
      </c>
      <c r="M683" t="n">
        <v>0</v>
      </c>
      <c r="N683" t="n">
        <v>0</v>
      </c>
      <c r="O683" t="n">
        <v>0</v>
      </c>
      <c r="P683" t="n">
        <v>0</v>
      </c>
      <c r="Q683" t="n">
        <v>0</v>
      </c>
      <c r="R683" s="2" t="inlineStr"/>
    </row>
    <row r="684" ht="15" customHeight="1">
      <c r="A684" t="inlineStr">
        <is>
          <t>A 2122-2023</t>
        </is>
      </c>
      <c r="B684" s="1" t="n">
        <v>44939</v>
      </c>
      <c r="C684" s="1" t="n">
        <v>45508</v>
      </c>
      <c r="D684" t="inlineStr">
        <is>
          <t>VÄSTERBOTTENS LÄN</t>
        </is>
      </c>
      <c r="E684" t="inlineStr">
        <is>
          <t>VILHELMINA</t>
        </is>
      </c>
      <c r="F684" t="inlineStr">
        <is>
          <t>SCA</t>
        </is>
      </c>
      <c r="G684" t="n">
        <v>14.6</v>
      </c>
      <c r="H684" t="n">
        <v>0</v>
      </c>
      <c r="I684" t="n">
        <v>0</v>
      </c>
      <c r="J684" t="n">
        <v>0</v>
      </c>
      <c r="K684" t="n">
        <v>0</v>
      </c>
      <c r="L684" t="n">
        <v>0</v>
      </c>
      <c r="M684" t="n">
        <v>0</v>
      </c>
      <c r="N684" t="n">
        <v>0</v>
      </c>
      <c r="O684" t="n">
        <v>0</v>
      </c>
      <c r="P684" t="n">
        <v>0</v>
      </c>
      <c r="Q684" t="n">
        <v>0</v>
      </c>
      <c r="R684" s="2" t="inlineStr"/>
    </row>
    <row r="685" ht="15" customHeight="1">
      <c r="A685" t="inlineStr">
        <is>
          <t>A 2126-2023</t>
        </is>
      </c>
      <c r="B685" s="1" t="n">
        <v>44939</v>
      </c>
      <c r="C685" s="1" t="n">
        <v>45508</v>
      </c>
      <c r="D685" t="inlineStr">
        <is>
          <t>VÄSTERBOTTENS LÄN</t>
        </is>
      </c>
      <c r="E685" t="inlineStr">
        <is>
          <t>VILHELMINA</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2382-2023</t>
        </is>
      </c>
      <c r="B686" s="1" t="n">
        <v>44942</v>
      </c>
      <c r="C686" s="1" t="n">
        <v>45508</v>
      </c>
      <c r="D686" t="inlineStr">
        <is>
          <t>VÄSTERBOTTENS LÄN</t>
        </is>
      </c>
      <c r="E686" t="inlineStr">
        <is>
          <t>VILHELMINA</t>
        </is>
      </c>
      <c r="G686" t="n">
        <v>29.7</v>
      </c>
      <c r="H686" t="n">
        <v>0</v>
      </c>
      <c r="I686" t="n">
        <v>0</v>
      </c>
      <c r="J686" t="n">
        <v>0</v>
      </c>
      <c r="K686" t="n">
        <v>0</v>
      </c>
      <c r="L686" t="n">
        <v>0</v>
      </c>
      <c r="M686" t="n">
        <v>0</v>
      </c>
      <c r="N686" t="n">
        <v>0</v>
      </c>
      <c r="O686" t="n">
        <v>0</v>
      </c>
      <c r="P686" t="n">
        <v>0</v>
      </c>
      <c r="Q686" t="n">
        <v>0</v>
      </c>
      <c r="R686" s="2" t="inlineStr"/>
    </row>
    <row r="687" ht="15" customHeight="1">
      <c r="A687" t="inlineStr">
        <is>
          <t>A 2360-2023</t>
        </is>
      </c>
      <c r="B687" s="1" t="n">
        <v>44942</v>
      </c>
      <c r="C687" s="1" t="n">
        <v>45508</v>
      </c>
      <c r="D687" t="inlineStr">
        <is>
          <t>VÄSTERBOTTENS LÄN</t>
        </is>
      </c>
      <c r="E687" t="inlineStr">
        <is>
          <t>VILHELMINA</t>
        </is>
      </c>
      <c r="G687" t="n">
        <v>2.7</v>
      </c>
      <c r="H687" t="n">
        <v>0</v>
      </c>
      <c r="I687" t="n">
        <v>0</v>
      </c>
      <c r="J687" t="n">
        <v>0</v>
      </c>
      <c r="K687" t="n">
        <v>0</v>
      </c>
      <c r="L687" t="n">
        <v>0</v>
      </c>
      <c r="M687" t="n">
        <v>0</v>
      </c>
      <c r="N687" t="n">
        <v>0</v>
      </c>
      <c r="O687" t="n">
        <v>0</v>
      </c>
      <c r="P687" t="n">
        <v>0</v>
      </c>
      <c r="Q687" t="n">
        <v>0</v>
      </c>
      <c r="R687" s="2" t="inlineStr"/>
    </row>
    <row r="688" ht="15" customHeight="1">
      <c r="A688" t="inlineStr">
        <is>
          <t>A 2403-2023</t>
        </is>
      </c>
      <c r="B688" s="1" t="n">
        <v>44942</v>
      </c>
      <c r="C688" s="1" t="n">
        <v>45508</v>
      </c>
      <c r="D688" t="inlineStr">
        <is>
          <t>VÄSTERBOTTENS LÄN</t>
        </is>
      </c>
      <c r="E688" t="inlineStr">
        <is>
          <t>VILHELMINA</t>
        </is>
      </c>
      <c r="G688" t="n">
        <v>14.5</v>
      </c>
      <c r="H688" t="n">
        <v>0</v>
      </c>
      <c r="I688" t="n">
        <v>0</v>
      </c>
      <c r="J688" t="n">
        <v>0</v>
      </c>
      <c r="K688" t="n">
        <v>0</v>
      </c>
      <c r="L688" t="n">
        <v>0</v>
      </c>
      <c r="M688" t="n">
        <v>0</v>
      </c>
      <c r="N688" t="n">
        <v>0</v>
      </c>
      <c r="O688" t="n">
        <v>0</v>
      </c>
      <c r="P688" t="n">
        <v>0</v>
      </c>
      <c r="Q688" t="n">
        <v>0</v>
      </c>
      <c r="R688" s="2" t="inlineStr"/>
    </row>
    <row r="689" ht="15" customHeight="1">
      <c r="A689" t="inlineStr">
        <is>
          <t>A 2488-2023</t>
        </is>
      </c>
      <c r="B689" s="1" t="n">
        <v>44943</v>
      </c>
      <c r="C689" s="1" t="n">
        <v>45508</v>
      </c>
      <c r="D689" t="inlineStr">
        <is>
          <t>VÄSTERBOTTENS LÄN</t>
        </is>
      </c>
      <c r="E689" t="inlineStr">
        <is>
          <t>VILHELMINA</t>
        </is>
      </c>
      <c r="G689" t="n">
        <v>69.3</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45508</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2604-2023</t>
        </is>
      </c>
      <c r="B691" s="1" t="n">
        <v>44944</v>
      </c>
      <c r="C691" s="1" t="n">
        <v>45508</v>
      </c>
      <c r="D691" t="inlineStr">
        <is>
          <t>VÄSTERBOTTENS LÄN</t>
        </is>
      </c>
      <c r="E691" t="inlineStr">
        <is>
          <t>VILHELMINA</t>
        </is>
      </c>
      <c r="G691" t="n">
        <v>15.4</v>
      </c>
      <c r="H691" t="n">
        <v>0</v>
      </c>
      <c r="I691" t="n">
        <v>0</v>
      </c>
      <c r="J691" t="n">
        <v>0</v>
      </c>
      <c r="K691" t="n">
        <v>0</v>
      </c>
      <c r="L691" t="n">
        <v>0</v>
      </c>
      <c r="M691" t="n">
        <v>0</v>
      </c>
      <c r="N691" t="n">
        <v>0</v>
      </c>
      <c r="O691" t="n">
        <v>0</v>
      </c>
      <c r="P691" t="n">
        <v>0</v>
      </c>
      <c r="Q691" t="n">
        <v>0</v>
      </c>
      <c r="R691" s="2" t="inlineStr"/>
    </row>
    <row r="692" ht="15" customHeight="1">
      <c r="A692" t="inlineStr">
        <is>
          <t>A 2605-2023</t>
        </is>
      </c>
      <c r="B692" s="1" t="n">
        <v>44944</v>
      </c>
      <c r="C692" s="1" t="n">
        <v>45508</v>
      </c>
      <c r="D692" t="inlineStr">
        <is>
          <t>VÄSTERBOTTENS LÄN</t>
        </is>
      </c>
      <c r="E692" t="inlineStr">
        <is>
          <t>VILHELMINA</t>
        </is>
      </c>
      <c r="G692" t="n">
        <v>10.7</v>
      </c>
      <c r="H692" t="n">
        <v>0</v>
      </c>
      <c r="I692" t="n">
        <v>0</v>
      </c>
      <c r="J692" t="n">
        <v>0</v>
      </c>
      <c r="K692" t="n">
        <v>0</v>
      </c>
      <c r="L692" t="n">
        <v>0</v>
      </c>
      <c r="M692" t="n">
        <v>0</v>
      </c>
      <c r="N692" t="n">
        <v>0</v>
      </c>
      <c r="O692" t="n">
        <v>0</v>
      </c>
      <c r="P692" t="n">
        <v>0</v>
      </c>
      <c r="Q692" t="n">
        <v>0</v>
      </c>
      <c r="R692" s="2" t="inlineStr"/>
    </row>
    <row r="693" ht="15" customHeight="1">
      <c r="A693" t="inlineStr">
        <is>
          <t>A 2820-2023</t>
        </is>
      </c>
      <c r="B693" s="1" t="n">
        <v>44944</v>
      </c>
      <c r="C693" s="1" t="n">
        <v>45508</v>
      </c>
      <c r="D693" t="inlineStr">
        <is>
          <t>VÄSTERBOTTENS LÄN</t>
        </is>
      </c>
      <c r="E693" t="inlineStr">
        <is>
          <t>VILHELMINA</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3393-2023</t>
        </is>
      </c>
      <c r="B694" s="1" t="n">
        <v>44945</v>
      </c>
      <c r="C694" s="1" t="n">
        <v>45508</v>
      </c>
      <c r="D694" t="inlineStr">
        <is>
          <t>VÄSTERBOTTENS LÄN</t>
        </is>
      </c>
      <c r="E694" t="inlineStr">
        <is>
          <t>VILHELMINA</t>
        </is>
      </c>
      <c r="G694" t="n">
        <v>3.4</v>
      </c>
      <c r="H694" t="n">
        <v>0</v>
      </c>
      <c r="I694" t="n">
        <v>0</v>
      </c>
      <c r="J694" t="n">
        <v>0</v>
      </c>
      <c r="K694" t="n">
        <v>0</v>
      </c>
      <c r="L694" t="n">
        <v>0</v>
      </c>
      <c r="M694" t="n">
        <v>0</v>
      </c>
      <c r="N694" t="n">
        <v>0</v>
      </c>
      <c r="O694" t="n">
        <v>0</v>
      </c>
      <c r="P694" t="n">
        <v>0</v>
      </c>
      <c r="Q694" t="n">
        <v>0</v>
      </c>
      <c r="R694" s="2" t="inlineStr"/>
    </row>
    <row r="695" ht="15" customHeight="1">
      <c r="A695" t="inlineStr">
        <is>
          <t>A 3745-2023</t>
        </is>
      </c>
      <c r="B695" s="1" t="n">
        <v>44949</v>
      </c>
      <c r="C695" s="1" t="n">
        <v>45508</v>
      </c>
      <c r="D695" t="inlineStr">
        <is>
          <t>VÄSTERBOTTENS LÄN</t>
        </is>
      </c>
      <c r="E695" t="inlineStr">
        <is>
          <t>VILHELMINA</t>
        </is>
      </c>
      <c r="G695" t="n">
        <v>36.6</v>
      </c>
      <c r="H695" t="n">
        <v>0</v>
      </c>
      <c r="I695" t="n">
        <v>0</v>
      </c>
      <c r="J695" t="n">
        <v>0</v>
      </c>
      <c r="K695" t="n">
        <v>0</v>
      </c>
      <c r="L695" t="n">
        <v>0</v>
      </c>
      <c r="M695" t="n">
        <v>0</v>
      </c>
      <c r="N695" t="n">
        <v>0</v>
      </c>
      <c r="O695" t="n">
        <v>0</v>
      </c>
      <c r="P695" t="n">
        <v>0</v>
      </c>
      <c r="Q695" t="n">
        <v>0</v>
      </c>
      <c r="R695" s="2" t="inlineStr"/>
    </row>
    <row r="696" ht="15" customHeight="1">
      <c r="A696" t="inlineStr">
        <is>
          <t>A 4344-2023</t>
        </is>
      </c>
      <c r="B696" s="1" t="n">
        <v>44954</v>
      </c>
      <c r="C696" s="1" t="n">
        <v>45508</v>
      </c>
      <c r="D696" t="inlineStr">
        <is>
          <t>VÄSTERBOTTENS LÄN</t>
        </is>
      </c>
      <c r="E696" t="inlineStr">
        <is>
          <t>VILHELMINA</t>
        </is>
      </c>
      <c r="F696" t="inlineStr">
        <is>
          <t>SCA</t>
        </is>
      </c>
      <c r="G696" t="n">
        <v>20.9</v>
      </c>
      <c r="H696" t="n">
        <v>0</v>
      </c>
      <c r="I696" t="n">
        <v>0</v>
      </c>
      <c r="J696" t="n">
        <v>0</v>
      </c>
      <c r="K696" t="n">
        <v>0</v>
      </c>
      <c r="L696" t="n">
        <v>0</v>
      </c>
      <c r="M696" t="n">
        <v>0</v>
      </c>
      <c r="N696" t="n">
        <v>0</v>
      </c>
      <c r="O696" t="n">
        <v>0</v>
      </c>
      <c r="P696" t="n">
        <v>0</v>
      </c>
      <c r="Q696" t="n">
        <v>0</v>
      </c>
      <c r="R696" s="2" t="inlineStr"/>
    </row>
    <row r="697" ht="15" customHeight="1">
      <c r="A697" t="inlineStr">
        <is>
          <t>A 4373-2023</t>
        </is>
      </c>
      <c r="B697" s="1" t="n">
        <v>44955</v>
      </c>
      <c r="C697" s="1" t="n">
        <v>45508</v>
      </c>
      <c r="D697" t="inlineStr">
        <is>
          <t>VÄSTERBOTTENS LÄN</t>
        </is>
      </c>
      <c r="E697" t="inlineStr">
        <is>
          <t>VILHELMINA</t>
        </is>
      </c>
      <c r="G697" t="n">
        <v>2.6</v>
      </c>
      <c r="H697" t="n">
        <v>0</v>
      </c>
      <c r="I697" t="n">
        <v>0</v>
      </c>
      <c r="J697" t="n">
        <v>0</v>
      </c>
      <c r="K697" t="n">
        <v>0</v>
      </c>
      <c r="L697" t="n">
        <v>0</v>
      </c>
      <c r="M697" t="n">
        <v>0</v>
      </c>
      <c r="N697" t="n">
        <v>0</v>
      </c>
      <c r="O697" t="n">
        <v>0</v>
      </c>
      <c r="P697" t="n">
        <v>0</v>
      </c>
      <c r="Q697" t="n">
        <v>0</v>
      </c>
      <c r="R697" s="2" t="inlineStr"/>
    </row>
    <row r="698" ht="15" customHeight="1">
      <c r="A698" t="inlineStr">
        <is>
          <t>A 4919-2023</t>
        </is>
      </c>
      <c r="B698" s="1" t="n">
        <v>44956</v>
      </c>
      <c r="C698" s="1" t="n">
        <v>45508</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5301-2023</t>
        </is>
      </c>
      <c r="B699" s="1" t="n">
        <v>44956</v>
      </c>
      <c r="C699" s="1" t="n">
        <v>45508</v>
      </c>
      <c r="D699" t="inlineStr">
        <is>
          <t>VÄSTERBOTTENS LÄN</t>
        </is>
      </c>
      <c r="E699" t="inlineStr">
        <is>
          <t>VILHELMINA</t>
        </is>
      </c>
      <c r="G699" t="n">
        <v>16</v>
      </c>
      <c r="H699" t="n">
        <v>0</v>
      </c>
      <c r="I699" t="n">
        <v>0</v>
      </c>
      <c r="J699" t="n">
        <v>0</v>
      </c>
      <c r="K699" t="n">
        <v>0</v>
      </c>
      <c r="L699" t="n">
        <v>0</v>
      </c>
      <c r="M699" t="n">
        <v>0</v>
      </c>
      <c r="N699" t="n">
        <v>0</v>
      </c>
      <c r="O699" t="n">
        <v>0</v>
      </c>
      <c r="P699" t="n">
        <v>0</v>
      </c>
      <c r="Q699" t="n">
        <v>0</v>
      </c>
      <c r="R699" s="2" t="inlineStr"/>
    </row>
    <row r="700" ht="15" customHeight="1">
      <c r="A700" t="inlineStr">
        <is>
          <t>A 5297-2023</t>
        </is>
      </c>
      <c r="B700" s="1" t="n">
        <v>44956</v>
      </c>
      <c r="C700" s="1" t="n">
        <v>45508</v>
      </c>
      <c r="D700" t="inlineStr">
        <is>
          <t>VÄSTERBOTTENS LÄN</t>
        </is>
      </c>
      <c r="E700" t="inlineStr">
        <is>
          <t>VILHELMINA</t>
        </is>
      </c>
      <c r="G700" t="n">
        <v>10.7</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45508</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5713-2023</t>
        </is>
      </c>
      <c r="B702" s="1" t="n">
        <v>44960</v>
      </c>
      <c r="C702" s="1" t="n">
        <v>45508</v>
      </c>
      <c r="D702" t="inlineStr">
        <is>
          <t>VÄSTERBOTTENS LÄN</t>
        </is>
      </c>
      <c r="E702" t="inlineStr">
        <is>
          <t>VILHELMINA</t>
        </is>
      </c>
      <c r="F702" t="inlineStr">
        <is>
          <t>SCA</t>
        </is>
      </c>
      <c r="G702" t="n">
        <v>33.2</v>
      </c>
      <c r="H702" t="n">
        <v>0</v>
      </c>
      <c r="I702" t="n">
        <v>0</v>
      </c>
      <c r="J702" t="n">
        <v>0</v>
      </c>
      <c r="K702" t="n">
        <v>0</v>
      </c>
      <c r="L702" t="n">
        <v>0</v>
      </c>
      <c r="M702" t="n">
        <v>0</v>
      </c>
      <c r="N702" t="n">
        <v>0</v>
      </c>
      <c r="O702" t="n">
        <v>0</v>
      </c>
      <c r="P702" t="n">
        <v>0</v>
      </c>
      <c r="Q702" t="n">
        <v>0</v>
      </c>
      <c r="R702" s="2" t="inlineStr"/>
    </row>
    <row r="703" ht="15" customHeight="1">
      <c r="A703" t="inlineStr">
        <is>
          <t>A 5697-2023</t>
        </is>
      </c>
      <c r="B703" s="1" t="n">
        <v>44960</v>
      </c>
      <c r="C703" s="1" t="n">
        <v>45508</v>
      </c>
      <c r="D703" t="inlineStr">
        <is>
          <t>VÄSTERBOTTENS LÄN</t>
        </is>
      </c>
      <c r="E703" t="inlineStr">
        <is>
          <t>VILHELMINA</t>
        </is>
      </c>
      <c r="F703" t="inlineStr">
        <is>
          <t>SCA</t>
        </is>
      </c>
      <c r="G703" t="n">
        <v>15.9</v>
      </c>
      <c r="H703" t="n">
        <v>0</v>
      </c>
      <c r="I703" t="n">
        <v>0</v>
      </c>
      <c r="J703" t="n">
        <v>0</v>
      </c>
      <c r="K703" t="n">
        <v>0</v>
      </c>
      <c r="L703" t="n">
        <v>0</v>
      </c>
      <c r="M703" t="n">
        <v>0</v>
      </c>
      <c r="N703" t="n">
        <v>0</v>
      </c>
      <c r="O703" t="n">
        <v>0</v>
      </c>
      <c r="P703" t="n">
        <v>0</v>
      </c>
      <c r="Q703" t="n">
        <v>0</v>
      </c>
      <c r="R703" s="2" t="inlineStr"/>
    </row>
    <row r="704" ht="15" customHeight="1">
      <c r="A704" t="inlineStr">
        <is>
          <t>A 5699-2023</t>
        </is>
      </c>
      <c r="B704" s="1" t="n">
        <v>44960</v>
      </c>
      <c r="C704" s="1" t="n">
        <v>45508</v>
      </c>
      <c r="D704" t="inlineStr">
        <is>
          <t>VÄSTERBOTTENS LÄN</t>
        </is>
      </c>
      <c r="E704" t="inlineStr">
        <is>
          <t>VILHELMINA</t>
        </is>
      </c>
      <c r="F704" t="inlineStr">
        <is>
          <t>SCA</t>
        </is>
      </c>
      <c r="G704" t="n">
        <v>104.8</v>
      </c>
      <c r="H704" t="n">
        <v>0</v>
      </c>
      <c r="I704" t="n">
        <v>0</v>
      </c>
      <c r="J704" t="n">
        <v>0</v>
      </c>
      <c r="K704" t="n">
        <v>0</v>
      </c>
      <c r="L704" t="n">
        <v>0</v>
      </c>
      <c r="M704" t="n">
        <v>0</v>
      </c>
      <c r="N704" t="n">
        <v>0</v>
      </c>
      <c r="O704" t="n">
        <v>0</v>
      </c>
      <c r="P704" t="n">
        <v>0</v>
      </c>
      <c r="Q704" t="n">
        <v>0</v>
      </c>
      <c r="R704" s="2" t="inlineStr"/>
    </row>
    <row r="705" ht="15" customHeight="1">
      <c r="A705" t="inlineStr">
        <is>
          <t>A 5712-2023</t>
        </is>
      </c>
      <c r="B705" s="1" t="n">
        <v>44960</v>
      </c>
      <c r="C705" s="1" t="n">
        <v>45508</v>
      </c>
      <c r="D705" t="inlineStr">
        <is>
          <t>VÄSTERBOTTENS LÄN</t>
        </is>
      </c>
      <c r="E705" t="inlineStr">
        <is>
          <t>VILHELMINA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6616-2023</t>
        </is>
      </c>
      <c r="B706" s="1" t="n">
        <v>44960</v>
      </c>
      <c r="C706" s="1" t="n">
        <v>45508</v>
      </c>
      <c r="D706" t="inlineStr">
        <is>
          <t>VÄSTERBOTTENS LÄN</t>
        </is>
      </c>
      <c r="E706" t="inlineStr">
        <is>
          <t>VILHELMINA</t>
        </is>
      </c>
      <c r="G706" t="n">
        <v>1.5</v>
      </c>
      <c r="H706" t="n">
        <v>0</v>
      </c>
      <c r="I706" t="n">
        <v>0</v>
      </c>
      <c r="J706" t="n">
        <v>0</v>
      </c>
      <c r="K706" t="n">
        <v>0</v>
      </c>
      <c r="L706" t="n">
        <v>0</v>
      </c>
      <c r="M706" t="n">
        <v>0</v>
      </c>
      <c r="N706" t="n">
        <v>0</v>
      </c>
      <c r="O706" t="n">
        <v>0</v>
      </c>
      <c r="P706" t="n">
        <v>0</v>
      </c>
      <c r="Q706" t="n">
        <v>0</v>
      </c>
      <c r="R706" s="2" t="inlineStr"/>
    </row>
    <row r="707" ht="15" customHeight="1">
      <c r="A707" t="inlineStr">
        <is>
          <t>A 6610-2023</t>
        </is>
      </c>
      <c r="B707" s="1" t="n">
        <v>44960</v>
      </c>
      <c r="C707" s="1" t="n">
        <v>45508</v>
      </c>
      <c r="D707" t="inlineStr">
        <is>
          <t>VÄSTERBOTTENS LÄN</t>
        </is>
      </c>
      <c r="E707" t="inlineStr">
        <is>
          <t>VILHELMINA</t>
        </is>
      </c>
      <c r="G707" t="n">
        <v>3.4</v>
      </c>
      <c r="H707" t="n">
        <v>0</v>
      </c>
      <c r="I707" t="n">
        <v>0</v>
      </c>
      <c r="J707" t="n">
        <v>0</v>
      </c>
      <c r="K707" t="n">
        <v>0</v>
      </c>
      <c r="L707" t="n">
        <v>0</v>
      </c>
      <c r="M707" t="n">
        <v>0</v>
      </c>
      <c r="N707" t="n">
        <v>0</v>
      </c>
      <c r="O707" t="n">
        <v>0</v>
      </c>
      <c r="P707" t="n">
        <v>0</v>
      </c>
      <c r="Q707" t="n">
        <v>0</v>
      </c>
      <c r="R707" s="2" t="inlineStr"/>
    </row>
    <row r="708" ht="15" customHeight="1">
      <c r="A708" t="inlineStr">
        <is>
          <t>A 5955-2023</t>
        </is>
      </c>
      <c r="B708" s="1" t="n">
        <v>44963</v>
      </c>
      <c r="C708" s="1" t="n">
        <v>45508</v>
      </c>
      <c r="D708" t="inlineStr">
        <is>
          <t>VÄSTERBOTTENS LÄN</t>
        </is>
      </c>
      <c r="E708" t="inlineStr">
        <is>
          <t>VILHELMINA</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5947-2023</t>
        </is>
      </c>
      <c r="B709" s="1" t="n">
        <v>44963</v>
      </c>
      <c r="C709" s="1" t="n">
        <v>45508</v>
      </c>
      <c r="D709" t="inlineStr">
        <is>
          <t>VÄSTERBOTTENS LÄN</t>
        </is>
      </c>
      <c r="E709" t="inlineStr">
        <is>
          <t>VILHELMINA</t>
        </is>
      </c>
      <c r="G709" t="n">
        <v>4.3</v>
      </c>
      <c r="H709" t="n">
        <v>0</v>
      </c>
      <c r="I709" t="n">
        <v>0</v>
      </c>
      <c r="J709" t="n">
        <v>0</v>
      </c>
      <c r="K709" t="n">
        <v>0</v>
      </c>
      <c r="L709" t="n">
        <v>0</v>
      </c>
      <c r="M709" t="n">
        <v>0</v>
      </c>
      <c r="N709" t="n">
        <v>0</v>
      </c>
      <c r="O709" t="n">
        <v>0</v>
      </c>
      <c r="P709" t="n">
        <v>0</v>
      </c>
      <c r="Q709" t="n">
        <v>0</v>
      </c>
      <c r="R709" s="2" t="inlineStr"/>
    </row>
    <row r="710" ht="15" customHeight="1">
      <c r="A710" t="inlineStr">
        <is>
          <t>A 8215-2023</t>
        </is>
      </c>
      <c r="B710" s="1" t="n">
        <v>44971</v>
      </c>
      <c r="C710" s="1" t="n">
        <v>45508</v>
      </c>
      <c r="D710" t="inlineStr">
        <is>
          <t>VÄSTERBOTTENS LÄN</t>
        </is>
      </c>
      <c r="E710" t="inlineStr">
        <is>
          <t>VILHELMINA</t>
        </is>
      </c>
      <c r="G710" t="n">
        <v>0.8</v>
      </c>
      <c r="H710" t="n">
        <v>0</v>
      </c>
      <c r="I710" t="n">
        <v>0</v>
      </c>
      <c r="J710" t="n">
        <v>0</v>
      </c>
      <c r="K710" t="n">
        <v>0</v>
      </c>
      <c r="L710" t="n">
        <v>0</v>
      </c>
      <c r="M710" t="n">
        <v>0</v>
      </c>
      <c r="N710" t="n">
        <v>0</v>
      </c>
      <c r="O710" t="n">
        <v>0</v>
      </c>
      <c r="P710" t="n">
        <v>0</v>
      </c>
      <c r="Q710" t="n">
        <v>0</v>
      </c>
      <c r="R710" s="2" t="inlineStr"/>
    </row>
    <row r="711" ht="15" customHeight="1">
      <c r="A711" t="inlineStr">
        <is>
          <t>A 8555-2023</t>
        </is>
      </c>
      <c r="B711" s="1" t="n">
        <v>44972</v>
      </c>
      <c r="C711" s="1" t="n">
        <v>45508</v>
      </c>
      <c r="D711" t="inlineStr">
        <is>
          <t>VÄSTERBOTTENS LÄN</t>
        </is>
      </c>
      <c r="E711" t="inlineStr">
        <is>
          <t>VILHELMINA</t>
        </is>
      </c>
      <c r="F711" t="inlineStr">
        <is>
          <t>Allmännings- och besparingsskogar</t>
        </is>
      </c>
      <c r="G711" t="n">
        <v>37.9</v>
      </c>
      <c r="H711" t="n">
        <v>0</v>
      </c>
      <c r="I711" t="n">
        <v>0</v>
      </c>
      <c r="J711" t="n">
        <v>0</v>
      </c>
      <c r="K711" t="n">
        <v>0</v>
      </c>
      <c r="L711" t="n">
        <v>0</v>
      </c>
      <c r="M711" t="n">
        <v>0</v>
      </c>
      <c r="N711" t="n">
        <v>0</v>
      </c>
      <c r="O711" t="n">
        <v>0</v>
      </c>
      <c r="P711" t="n">
        <v>0</v>
      </c>
      <c r="Q711" t="n">
        <v>0</v>
      </c>
      <c r="R711" s="2" t="inlineStr"/>
    </row>
    <row r="712" ht="15" customHeight="1">
      <c r="A712" t="inlineStr">
        <is>
          <t>A 8745-2023</t>
        </is>
      </c>
      <c r="B712" s="1" t="n">
        <v>44972</v>
      </c>
      <c r="C712" s="1" t="n">
        <v>45508</v>
      </c>
      <c r="D712" t="inlineStr">
        <is>
          <t>VÄSTERBOTTENS LÄN</t>
        </is>
      </c>
      <c r="E712" t="inlineStr">
        <is>
          <t>VILHELMINA</t>
        </is>
      </c>
      <c r="F712" t="inlineStr">
        <is>
          <t>Allmännings- och besparingsskogar</t>
        </is>
      </c>
      <c r="G712" t="n">
        <v>41</v>
      </c>
      <c r="H712" t="n">
        <v>0</v>
      </c>
      <c r="I712" t="n">
        <v>0</v>
      </c>
      <c r="J712" t="n">
        <v>0</v>
      </c>
      <c r="K712" t="n">
        <v>0</v>
      </c>
      <c r="L712" t="n">
        <v>0</v>
      </c>
      <c r="M712" t="n">
        <v>0</v>
      </c>
      <c r="N712" t="n">
        <v>0</v>
      </c>
      <c r="O712" t="n">
        <v>0</v>
      </c>
      <c r="P712" t="n">
        <v>0</v>
      </c>
      <c r="Q712" t="n">
        <v>0</v>
      </c>
      <c r="R712" s="2" t="inlineStr"/>
    </row>
    <row r="713" ht="15" customHeight="1">
      <c r="A713" t="inlineStr">
        <is>
          <t>A 8759-2023</t>
        </is>
      </c>
      <c r="B713" s="1" t="n">
        <v>44972</v>
      </c>
      <c r="C713" s="1" t="n">
        <v>45508</v>
      </c>
      <c r="D713" t="inlineStr">
        <is>
          <t>VÄSTERBOTTENS LÄN</t>
        </is>
      </c>
      <c r="E713" t="inlineStr">
        <is>
          <t>VILHELMINA</t>
        </is>
      </c>
      <c r="F713" t="inlineStr">
        <is>
          <t>Allmännings- och besparingsskogar</t>
        </is>
      </c>
      <c r="G713" t="n">
        <v>23.4</v>
      </c>
      <c r="H713" t="n">
        <v>0</v>
      </c>
      <c r="I713" t="n">
        <v>0</v>
      </c>
      <c r="J713" t="n">
        <v>0</v>
      </c>
      <c r="K713" t="n">
        <v>0</v>
      </c>
      <c r="L713" t="n">
        <v>0</v>
      </c>
      <c r="M713" t="n">
        <v>0</v>
      </c>
      <c r="N713" t="n">
        <v>0</v>
      </c>
      <c r="O713" t="n">
        <v>0</v>
      </c>
      <c r="P713" t="n">
        <v>0</v>
      </c>
      <c r="Q713" t="n">
        <v>0</v>
      </c>
      <c r="R713" s="2" t="inlineStr"/>
    </row>
    <row r="714" ht="15" customHeight="1">
      <c r="A714" t="inlineStr">
        <is>
          <t>A 8733-2023</t>
        </is>
      </c>
      <c r="B714" s="1" t="n">
        <v>44972</v>
      </c>
      <c r="C714" s="1" t="n">
        <v>45508</v>
      </c>
      <c r="D714" t="inlineStr">
        <is>
          <t>VÄSTERBOTTENS LÄN</t>
        </is>
      </c>
      <c r="E714" t="inlineStr">
        <is>
          <t>VILHELMINA</t>
        </is>
      </c>
      <c r="F714" t="inlineStr">
        <is>
          <t>Allmännings- och besparingsskogar</t>
        </is>
      </c>
      <c r="G714" t="n">
        <v>19</v>
      </c>
      <c r="H714" t="n">
        <v>0</v>
      </c>
      <c r="I714" t="n">
        <v>0</v>
      </c>
      <c r="J714" t="n">
        <v>0</v>
      </c>
      <c r="K714" t="n">
        <v>0</v>
      </c>
      <c r="L714" t="n">
        <v>0</v>
      </c>
      <c r="M714" t="n">
        <v>0</v>
      </c>
      <c r="N714" t="n">
        <v>0</v>
      </c>
      <c r="O714" t="n">
        <v>0</v>
      </c>
      <c r="P714" t="n">
        <v>0</v>
      </c>
      <c r="Q714" t="n">
        <v>0</v>
      </c>
      <c r="R714" s="2" t="inlineStr"/>
    </row>
    <row r="715" ht="15" customHeight="1">
      <c r="A715" t="inlineStr">
        <is>
          <t>A 8726-2023</t>
        </is>
      </c>
      <c r="B715" s="1" t="n">
        <v>44972</v>
      </c>
      <c r="C715" s="1" t="n">
        <v>45508</v>
      </c>
      <c r="D715" t="inlineStr">
        <is>
          <t>VÄSTERBOTTENS LÄN</t>
        </is>
      </c>
      <c r="E715" t="inlineStr">
        <is>
          <t>VILHELMINA</t>
        </is>
      </c>
      <c r="F715" t="inlineStr">
        <is>
          <t>Allmännings- och besparingsskogar</t>
        </is>
      </c>
      <c r="G715" t="n">
        <v>48.5</v>
      </c>
      <c r="H715" t="n">
        <v>0</v>
      </c>
      <c r="I715" t="n">
        <v>0</v>
      </c>
      <c r="J715" t="n">
        <v>0</v>
      </c>
      <c r="K715" t="n">
        <v>0</v>
      </c>
      <c r="L715" t="n">
        <v>0</v>
      </c>
      <c r="M715" t="n">
        <v>0</v>
      </c>
      <c r="N715" t="n">
        <v>0</v>
      </c>
      <c r="O715" t="n">
        <v>0</v>
      </c>
      <c r="P715" t="n">
        <v>0</v>
      </c>
      <c r="Q715" t="n">
        <v>0</v>
      </c>
      <c r="R715" s="2" t="inlineStr"/>
    </row>
    <row r="716" ht="15" customHeight="1">
      <c r="A716" t="inlineStr">
        <is>
          <t>A 8908-2023</t>
        </is>
      </c>
      <c r="B716" s="1" t="n">
        <v>44972</v>
      </c>
      <c r="C716" s="1" t="n">
        <v>45508</v>
      </c>
      <c r="D716" t="inlineStr">
        <is>
          <t>VÄSTERBOTTENS LÄN</t>
        </is>
      </c>
      <c r="E716" t="inlineStr">
        <is>
          <t>VILHELMINA</t>
        </is>
      </c>
      <c r="F716" t="inlineStr">
        <is>
          <t>Allmännings- och besparingsskogar</t>
        </is>
      </c>
      <c r="G716" t="n">
        <v>22.3</v>
      </c>
      <c r="H716" t="n">
        <v>0</v>
      </c>
      <c r="I716" t="n">
        <v>0</v>
      </c>
      <c r="J716" t="n">
        <v>0</v>
      </c>
      <c r="K716" t="n">
        <v>0</v>
      </c>
      <c r="L716" t="n">
        <v>0</v>
      </c>
      <c r="M716" t="n">
        <v>0</v>
      </c>
      <c r="N716" t="n">
        <v>0</v>
      </c>
      <c r="O716" t="n">
        <v>0</v>
      </c>
      <c r="P716" t="n">
        <v>0</v>
      </c>
      <c r="Q716" t="n">
        <v>0</v>
      </c>
      <c r="R716" s="2" t="inlineStr"/>
    </row>
    <row r="717" ht="15" customHeight="1">
      <c r="A717" t="inlineStr">
        <is>
          <t>A 9181-2023</t>
        </is>
      </c>
      <c r="B717" s="1" t="n">
        <v>44972</v>
      </c>
      <c r="C717" s="1" t="n">
        <v>45508</v>
      </c>
      <c r="D717" t="inlineStr">
        <is>
          <t>VÄSTERBOTTENS LÄN</t>
        </is>
      </c>
      <c r="E717" t="inlineStr">
        <is>
          <t>VILHELMINA</t>
        </is>
      </c>
      <c r="F717" t="inlineStr">
        <is>
          <t>Allmännings- och besparingsskogar</t>
        </is>
      </c>
      <c r="G717" t="n">
        <v>213.9</v>
      </c>
      <c r="H717" t="n">
        <v>0</v>
      </c>
      <c r="I717" t="n">
        <v>0</v>
      </c>
      <c r="J717" t="n">
        <v>0</v>
      </c>
      <c r="K717" t="n">
        <v>0</v>
      </c>
      <c r="L717" t="n">
        <v>0</v>
      </c>
      <c r="M717" t="n">
        <v>0</v>
      </c>
      <c r="N717" t="n">
        <v>0</v>
      </c>
      <c r="O717" t="n">
        <v>0</v>
      </c>
      <c r="P717" t="n">
        <v>0</v>
      </c>
      <c r="Q717" t="n">
        <v>0</v>
      </c>
      <c r="R717" s="2" t="inlineStr"/>
    </row>
    <row r="718" ht="15" customHeight="1">
      <c r="A718" t="inlineStr">
        <is>
          <t>A 9170-2023</t>
        </is>
      </c>
      <c r="B718" s="1" t="n">
        <v>44972</v>
      </c>
      <c r="C718" s="1" t="n">
        <v>45508</v>
      </c>
      <c r="D718" t="inlineStr">
        <is>
          <t>VÄSTERBOTTENS LÄN</t>
        </is>
      </c>
      <c r="E718" t="inlineStr">
        <is>
          <t>VILHELMINA</t>
        </is>
      </c>
      <c r="F718" t="inlineStr">
        <is>
          <t>Allmännings- och besparingsskogar</t>
        </is>
      </c>
      <c r="G718" t="n">
        <v>4.7</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45508</v>
      </c>
      <c r="D719" t="inlineStr">
        <is>
          <t>VÄSTERBOTTENS LÄN</t>
        </is>
      </c>
      <c r="E719" t="inlineStr">
        <is>
          <t>VILHELMINA</t>
        </is>
      </c>
      <c r="F719" t="inlineStr">
        <is>
          <t>Allmännings- och besparingsskogar</t>
        </is>
      </c>
      <c r="G719" t="n">
        <v>20.9</v>
      </c>
      <c r="H719" t="n">
        <v>0</v>
      </c>
      <c r="I719" t="n">
        <v>0</v>
      </c>
      <c r="J719" t="n">
        <v>0</v>
      </c>
      <c r="K719" t="n">
        <v>0</v>
      </c>
      <c r="L719" t="n">
        <v>0</v>
      </c>
      <c r="M719" t="n">
        <v>0</v>
      </c>
      <c r="N719" t="n">
        <v>0</v>
      </c>
      <c r="O719" t="n">
        <v>0</v>
      </c>
      <c r="P719" t="n">
        <v>0</v>
      </c>
      <c r="Q719" t="n">
        <v>0</v>
      </c>
      <c r="R719" s="2" t="inlineStr"/>
    </row>
    <row r="720" ht="15" customHeight="1">
      <c r="A720" t="inlineStr">
        <is>
          <t>A 9185-2023</t>
        </is>
      </c>
      <c r="B720" s="1" t="n">
        <v>44972</v>
      </c>
      <c r="C720" s="1" t="n">
        <v>45508</v>
      </c>
      <c r="D720" t="inlineStr">
        <is>
          <t>VÄSTERBOTTENS LÄN</t>
        </is>
      </c>
      <c r="E720" t="inlineStr">
        <is>
          <t>VILHELMINA</t>
        </is>
      </c>
      <c r="F720" t="inlineStr">
        <is>
          <t>Allmännings- och besparingsskogar</t>
        </is>
      </c>
      <c r="G720" t="n">
        <v>4.1</v>
      </c>
      <c r="H720" t="n">
        <v>0</v>
      </c>
      <c r="I720" t="n">
        <v>0</v>
      </c>
      <c r="J720" t="n">
        <v>0</v>
      </c>
      <c r="K720" t="n">
        <v>0</v>
      </c>
      <c r="L720" t="n">
        <v>0</v>
      </c>
      <c r="M720" t="n">
        <v>0</v>
      </c>
      <c r="N720" t="n">
        <v>0</v>
      </c>
      <c r="O720" t="n">
        <v>0</v>
      </c>
      <c r="P720" t="n">
        <v>0</v>
      </c>
      <c r="Q720" t="n">
        <v>0</v>
      </c>
      <c r="R720" s="2" t="inlineStr"/>
    </row>
    <row r="721" ht="15" customHeight="1">
      <c r="A721" t="inlineStr">
        <is>
          <t>A 8027-2023</t>
        </is>
      </c>
      <c r="B721" s="1" t="n">
        <v>44973</v>
      </c>
      <c r="C721" s="1" t="n">
        <v>45508</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8652-2023</t>
        </is>
      </c>
      <c r="B722" s="1" t="n">
        <v>44978</v>
      </c>
      <c r="C722" s="1" t="n">
        <v>45508</v>
      </c>
      <c r="D722" t="inlineStr">
        <is>
          <t>VÄSTERBOTTENS LÄN</t>
        </is>
      </c>
      <c r="E722" t="inlineStr">
        <is>
          <t>VILHELMINA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8653-2023</t>
        </is>
      </c>
      <c r="B723" s="1" t="n">
        <v>44977</v>
      </c>
      <c r="C723" s="1" t="n">
        <v>45508</v>
      </c>
      <c r="D723" t="inlineStr">
        <is>
          <t>VÄSTERBOTTENS LÄN</t>
        </is>
      </c>
      <c r="E723" t="inlineStr">
        <is>
          <t>VILHELMINA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8650-2023</t>
        </is>
      </c>
      <c r="B724" s="1" t="n">
        <v>44977</v>
      </c>
      <c r="C724" s="1" t="n">
        <v>45508</v>
      </c>
      <c r="D724" t="inlineStr">
        <is>
          <t>VÄSTERBOTTENS LÄN</t>
        </is>
      </c>
      <c r="E724" t="inlineStr">
        <is>
          <t>VILHELMINA</t>
        </is>
      </c>
      <c r="F724" t="inlineStr">
        <is>
          <t>SCA</t>
        </is>
      </c>
      <c r="G724" t="n">
        <v>48.9</v>
      </c>
      <c r="H724" t="n">
        <v>0</v>
      </c>
      <c r="I724" t="n">
        <v>0</v>
      </c>
      <c r="J724" t="n">
        <v>0</v>
      </c>
      <c r="K724" t="n">
        <v>0</v>
      </c>
      <c r="L724" t="n">
        <v>0</v>
      </c>
      <c r="M724" t="n">
        <v>0</v>
      </c>
      <c r="N724" t="n">
        <v>0</v>
      </c>
      <c r="O724" t="n">
        <v>0</v>
      </c>
      <c r="P724" t="n">
        <v>0</v>
      </c>
      <c r="Q724" t="n">
        <v>0</v>
      </c>
      <c r="R724" s="2" t="inlineStr"/>
    </row>
    <row r="725" ht="15" customHeight="1">
      <c r="A725" t="inlineStr">
        <is>
          <t>A 9197-2023</t>
        </is>
      </c>
      <c r="B725" s="1" t="n">
        <v>44977</v>
      </c>
      <c r="C725" s="1" t="n">
        <v>45508</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8859-2023</t>
        </is>
      </c>
      <c r="B726" s="1" t="n">
        <v>44978</v>
      </c>
      <c r="C726" s="1" t="n">
        <v>45508</v>
      </c>
      <c r="D726" t="inlineStr">
        <is>
          <t>VÄSTERBOTTENS LÄN</t>
        </is>
      </c>
      <c r="E726" t="inlineStr">
        <is>
          <t>VILHELMINA</t>
        </is>
      </c>
      <c r="G726" t="n">
        <v>6.3</v>
      </c>
      <c r="H726" t="n">
        <v>0</v>
      </c>
      <c r="I726" t="n">
        <v>0</v>
      </c>
      <c r="J726" t="n">
        <v>0</v>
      </c>
      <c r="K726" t="n">
        <v>0</v>
      </c>
      <c r="L726" t="n">
        <v>0</v>
      </c>
      <c r="M726" t="n">
        <v>0</v>
      </c>
      <c r="N726" t="n">
        <v>0</v>
      </c>
      <c r="O726" t="n">
        <v>0</v>
      </c>
      <c r="P726" t="n">
        <v>0</v>
      </c>
      <c r="Q726" t="n">
        <v>0</v>
      </c>
      <c r="R726" s="2" t="inlineStr"/>
    </row>
    <row r="727" ht="15" customHeight="1">
      <c r="A727" t="inlineStr">
        <is>
          <t>A 9534-2023</t>
        </is>
      </c>
      <c r="B727" s="1" t="n">
        <v>44981</v>
      </c>
      <c r="C727" s="1" t="n">
        <v>45508</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9844-2023</t>
        </is>
      </c>
      <c r="B728" s="1" t="n">
        <v>44984</v>
      </c>
      <c r="C728" s="1" t="n">
        <v>45508</v>
      </c>
      <c r="D728" t="inlineStr">
        <is>
          <t>VÄSTERBOTTENS LÄN</t>
        </is>
      </c>
      <c r="E728" t="inlineStr">
        <is>
          <t>VILHELMINA</t>
        </is>
      </c>
      <c r="G728" t="n">
        <v>21.8</v>
      </c>
      <c r="H728" t="n">
        <v>0</v>
      </c>
      <c r="I728" t="n">
        <v>0</v>
      </c>
      <c r="J728" t="n">
        <v>0</v>
      </c>
      <c r="K728" t="n">
        <v>0</v>
      </c>
      <c r="L728" t="n">
        <v>0</v>
      </c>
      <c r="M728" t="n">
        <v>0</v>
      </c>
      <c r="N728" t="n">
        <v>0</v>
      </c>
      <c r="O728" t="n">
        <v>0</v>
      </c>
      <c r="P728" t="n">
        <v>0</v>
      </c>
      <c r="Q728" t="n">
        <v>0</v>
      </c>
      <c r="R728" s="2" t="inlineStr"/>
    </row>
    <row r="729" ht="15" customHeight="1">
      <c r="A729" t="inlineStr">
        <is>
          <t>A 10941-2023</t>
        </is>
      </c>
      <c r="B729" s="1" t="n">
        <v>44985</v>
      </c>
      <c r="C729" s="1" t="n">
        <v>45508</v>
      </c>
      <c r="D729" t="inlineStr">
        <is>
          <t>VÄSTERBOTTENS LÄN</t>
        </is>
      </c>
      <c r="E729" t="inlineStr">
        <is>
          <t>VILHELMINA</t>
        </is>
      </c>
      <c r="G729" t="n">
        <v>16.7</v>
      </c>
      <c r="H729" t="n">
        <v>0</v>
      </c>
      <c r="I729" t="n">
        <v>0</v>
      </c>
      <c r="J729" t="n">
        <v>0</v>
      </c>
      <c r="K729" t="n">
        <v>0</v>
      </c>
      <c r="L729" t="n">
        <v>0</v>
      </c>
      <c r="M729" t="n">
        <v>0</v>
      </c>
      <c r="N729" t="n">
        <v>0</v>
      </c>
      <c r="O729" t="n">
        <v>0</v>
      </c>
      <c r="P729" t="n">
        <v>0</v>
      </c>
      <c r="Q729" t="n">
        <v>0</v>
      </c>
      <c r="R729" s="2" t="inlineStr"/>
    </row>
    <row r="730" ht="15" customHeight="1">
      <c r="A730" t="inlineStr">
        <is>
          <t>A 10952-2023</t>
        </is>
      </c>
      <c r="B730" s="1" t="n">
        <v>44985</v>
      </c>
      <c r="C730" s="1" t="n">
        <v>45508</v>
      </c>
      <c r="D730" t="inlineStr">
        <is>
          <t>VÄSTERBOTTENS LÄN</t>
        </is>
      </c>
      <c r="E730" t="inlineStr">
        <is>
          <t>VILHELMINA</t>
        </is>
      </c>
      <c r="G730" t="n">
        <v>10.6</v>
      </c>
      <c r="H730" t="n">
        <v>0</v>
      </c>
      <c r="I730" t="n">
        <v>0</v>
      </c>
      <c r="J730" t="n">
        <v>0</v>
      </c>
      <c r="K730" t="n">
        <v>0</v>
      </c>
      <c r="L730" t="n">
        <v>0</v>
      </c>
      <c r="M730" t="n">
        <v>0</v>
      </c>
      <c r="N730" t="n">
        <v>0</v>
      </c>
      <c r="O730" t="n">
        <v>0</v>
      </c>
      <c r="P730" t="n">
        <v>0</v>
      </c>
      <c r="Q730" t="n">
        <v>0</v>
      </c>
      <c r="R730" s="2" t="inlineStr"/>
    </row>
    <row r="731" ht="15" customHeight="1">
      <c r="A731" t="inlineStr">
        <is>
          <t>A 10937-2023</t>
        </is>
      </c>
      <c r="B731" s="1" t="n">
        <v>44985</v>
      </c>
      <c r="C731" s="1" t="n">
        <v>45508</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10947-2023</t>
        </is>
      </c>
      <c r="B732" s="1" t="n">
        <v>44985</v>
      </c>
      <c r="C732" s="1" t="n">
        <v>45508</v>
      </c>
      <c r="D732" t="inlineStr">
        <is>
          <t>VÄSTERBOTTENS LÄN</t>
        </is>
      </c>
      <c r="E732" t="inlineStr">
        <is>
          <t>VILHELMINA</t>
        </is>
      </c>
      <c r="G732" t="n">
        <v>2.1</v>
      </c>
      <c r="H732" t="n">
        <v>0</v>
      </c>
      <c r="I732" t="n">
        <v>0</v>
      </c>
      <c r="J732" t="n">
        <v>0</v>
      </c>
      <c r="K732" t="n">
        <v>0</v>
      </c>
      <c r="L732" t="n">
        <v>0</v>
      </c>
      <c r="M732" t="n">
        <v>0</v>
      </c>
      <c r="N732" t="n">
        <v>0</v>
      </c>
      <c r="O732" t="n">
        <v>0</v>
      </c>
      <c r="P732" t="n">
        <v>0</v>
      </c>
      <c r="Q732" t="n">
        <v>0</v>
      </c>
      <c r="R732" s="2" t="inlineStr"/>
    </row>
    <row r="733" ht="15" customHeight="1">
      <c r="A733" t="inlineStr">
        <is>
          <t>A 10956-2023</t>
        </is>
      </c>
      <c r="B733" s="1" t="n">
        <v>44985</v>
      </c>
      <c r="C733" s="1" t="n">
        <v>45508</v>
      </c>
      <c r="D733" t="inlineStr">
        <is>
          <t>VÄSTERBOTTENS LÄN</t>
        </is>
      </c>
      <c r="E733" t="inlineStr">
        <is>
          <t>VILHELMINA</t>
        </is>
      </c>
      <c r="G733" t="n">
        <v>3.3</v>
      </c>
      <c r="H733" t="n">
        <v>0</v>
      </c>
      <c r="I733" t="n">
        <v>0</v>
      </c>
      <c r="J733" t="n">
        <v>0</v>
      </c>
      <c r="K733" t="n">
        <v>0</v>
      </c>
      <c r="L733" t="n">
        <v>0</v>
      </c>
      <c r="M733" t="n">
        <v>0</v>
      </c>
      <c r="N733" t="n">
        <v>0</v>
      </c>
      <c r="O733" t="n">
        <v>0</v>
      </c>
      <c r="P733" t="n">
        <v>0</v>
      </c>
      <c r="Q733" t="n">
        <v>0</v>
      </c>
      <c r="R733" s="2" t="inlineStr"/>
    </row>
    <row r="734" ht="15" customHeight="1">
      <c r="A734" t="inlineStr">
        <is>
          <t>A 10933-2023</t>
        </is>
      </c>
      <c r="B734" s="1" t="n">
        <v>44985</v>
      </c>
      <c r="C734" s="1" t="n">
        <v>45508</v>
      </c>
      <c r="D734" t="inlineStr">
        <is>
          <t>VÄSTERBOTTENS LÄN</t>
        </is>
      </c>
      <c r="E734" t="inlineStr">
        <is>
          <t>VILHELMINA</t>
        </is>
      </c>
      <c r="G734" t="n">
        <v>9.5</v>
      </c>
      <c r="H734" t="n">
        <v>0</v>
      </c>
      <c r="I734" t="n">
        <v>0</v>
      </c>
      <c r="J734" t="n">
        <v>0</v>
      </c>
      <c r="K734" t="n">
        <v>0</v>
      </c>
      <c r="L734" t="n">
        <v>0</v>
      </c>
      <c r="M734" t="n">
        <v>0</v>
      </c>
      <c r="N734" t="n">
        <v>0</v>
      </c>
      <c r="O734" t="n">
        <v>0</v>
      </c>
      <c r="P734" t="n">
        <v>0</v>
      </c>
      <c r="Q734" t="n">
        <v>0</v>
      </c>
      <c r="R734" s="2" t="inlineStr"/>
    </row>
    <row r="735" ht="15" customHeight="1">
      <c r="A735" t="inlineStr">
        <is>
          <t>A 10418-2023</t>
        </is>
      </c>
      <c r="B735" s="1" t="n">
        <v>44987</v>
      </c>
      <c r="C735" s="1" t="n">
        <v>45508</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11323-2023</t>
        </is>
      </c>
      <c r="B736" s="1" t="n">
        <v>44993</v>
      </c>
      <c r="C736" s="1" t="n">
        <v>45508</v>
      </c>
      <c r="D736" t="inlineStr">
        <is>
          <t>VÄSTERBOTTENS LÄN</t>
        </is>
      </c>
      <c r="E736" t="inlineStr">
        <is>
          <t>VILHELMINA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11544-2023</t>
        </is>
      </c>
      <c r="B737" s="1" t="n">
        <v>44993</v>
      </c>
      <c r="C737" s="1" t="n">
        <v>45508</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11311-2023</t>
        </is>
      </c>
      <c r="B738" s="1" t="n">
        <v>44993</v>
      </c>
      <c r="C738" s="1" t="n">
        <v>45508</v>
      </c>
      <c r="D738" t="inlineStr">
        <is>
          <t>VÄSTERBOTTENS LÄN</t>
        </is>
      </c>
      <c r="E738" t="inlineStr">
        <is>
          <t>VILHELMINA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11825-2023</t>
        </is>
      </c>
      <c r="B739" s="1" t="n">
        <v>44994</v>
      </c>
      <c r="C739" s="1" t="n">
        <v>45508</v>
      </c>
      <c r="D739" t="inlineStr">
        <is>
          <t>VÄSTERBOTTENS LÄN</t>
        </is>
      </c>
      <c r="E739" t="inlineStr">
        <is>
          <t>VILHELMINA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11833-2023</t>
        </is>
      </c>
      <c r="B740" s="1" t="n">
        <v>44994</v>
      </c>
      <c r="C740" s="1" t="n">
        <v>45508</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12043-2023</t>
        </is>
      </c>
      <c r="B741" s="1" t="n">
        <v>44995</v>
      </c>
      <c r="C741" s="1" t="n">
        <v>45508</v>
      </c>
      <c r="D741" t="inlineStr">
        <is>
          <t>VÄSTERBOTTENS LÄN</t>
        </is>
      </c>
      <c r="E741" t="inlineStr">
        <is>
          <t>VILHELMINA</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12784-2023</t>
        </is>
      </c>
      <c r="B742" s="1" t="n">
        <v>45000</v>
      </c>
      <c r="C742" s="1" t="n">
        <v>45508</v>
      </c>
      <c r="D742" t="inlineStr">
        <is>
          <t>VÄSTERBOTTENS LÄN</t>
        </is>
      </c>
      <c r="E742" t="inlineStr">
        <is>
          <t>VILHELMINA</t>
        </is>
      </c>
      <c r="G742" t="n">
        <v>18.6</v>
      </c>
      <c r="H742" t="n">
        <v>0</v>
      </c>
      <c r="I742" t="n">
        <v>0</v>
      </c>
      <c r="J742" t="n">
        <v>0</v>
      </c>
      <c r="K742" t="n">
        <v>0</v>
      </c>
      <c r="L742" t="n">
        <v>0</v>
      </c>
      <c r="M742" t="n">
        <v>0</v>
      </c>
      <c r="N742" t="n">
        <v>0</v>
      </c>
      <c r="O742" t="n">
        <v>0</v>
      </c>
      <c r="P742" t="n">
        <v>0</v>
      </c>
      <c r="Q742" t="n">
        <v>0</v>
      </c>
      <c r="R742" s="2" t="inlineStr"/>
    </row>
    <row r="743" ht="15" customHeight="1">
      <c r="A743" t="inlineStr">
        <is>
          <t>A 12866-2023</t>
        </is>
      </c>
      <c r="B743" s="1" t="n">
        <v>45000</v>
      </c>
      <c r="C743" s="1" t="n">
        <v>45508</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12825-2023</t>
        </is>
      </c>
      <c r="B744" s="1" t="n">
        <v>45000</v>
      </c>
      <c r="C744" s="1" t="n">
        <v>45508</v>
      </c>
      <c r="D744" t="inlineStr">
        <is>
          <t>VÄSTERBOTTENS LÄN</t>
        </is>
      </c>
      <c r="E744" t="inlineStr">
        <is>
          <t>VILHELMINA</t>
        </is>
      </c>
      <c r="G744" t="n">
        <v>22.4</v>
      </c>
      <c r="H744" t="n">
        <v>0</v>
      </c>
      <c r="I744" t="n">
        <v>0</v>
      </c>
      <c r="J744" t="n">
        <v>0</v>
      </c>
      <c r="K744" t="n">
        <v>0</v>
      </c>
      <c r="L744" t="n">
        <v>0</v>
      </c>
      <c r="M744" t="n">
        <v>0</v>
      </c>
      <c r="N744" t="n">
        <v>0</v>
      </c>
      <c r="O744" t="n">
        <v>0</v>
      </c>
      <c r="P744" t="n">
        <v>0</v>
      </c>
      <c r="Q744" t="n">
        <v>0</v>
      </c>
      <c r="R744" s="2" t="inlineStr"/>
    </row>
    <row r="745" ht="15" customHeight="1">
      <c r="A745" t="inlineStr">
        <is>
          <t>A 15814-2023</t>
        </is>
      </c>
      <c r="B745" s="1" t="n">
        <v>45021</v>
      </c>
      <c r="C745" s="1" t="n">
        <v>45508</v>
      </c>
      <c r="D745" t="inlineStr">
        <is>
          <t>VÄSTERBOTTENS LÄN</t>
        </is>
      </c>
      <c r="E745" t="inlineStr">
        <is>
          <t>VILHELMINA</t>
        </is>
      </c>
      <c r="F745" t="inlineStr">
        <is>
          <t>SCA</t>
        </is>
      </c>
      <c r="G745" t="n">
        <v>69.7</v>
      </c>
      <c r="H745" t="n">
        <v>0</v>
      </c>
      <c r="I745" t="n">
        <v>0</v>
      </c>
      <c r="J745" t="n">
        <v>0</v>
      </c>
      <c r="K745" t="n">
        <v>0</v>
      </c>
      <c r="L745" t="n">
        <v>0</v>
      </c>
      <c r="M745" t="n">
        <v>0</v>
      </c>
      <c r="N745" t="n">
        <v>0</v>
      </c>
      <c r="O745" t="n">
        <v>0</v>
      </c>
      <c r="P745" t="n">
        <v>0</v>
      </c>
      <c r="Q745" t="n">
        <v>0</v>
      </c>
      <c r="R745" s="2" t="inlineStr"/>
    </row>
    <row r="746" ht="15" customHeight="1">
      <c r="A746" t="inlineStr">
        <is>
          <t>A 18554-2023</t>
        </is>
      </c>
      <c r="B746" s="1" t="n">
        <v>45043</v>
      </c>
      <c r="C746" s="1" t="n">
        <v>45508</v>
      </c>
      <c r="D746" t="inlineStr">
        <is>
          <t>VÄSTERBOTTENS LÄN</t>
        </is>
      </c>
      <c r="E746" t="inlineStr">
        <is>
          <t>VILHELMINA</t>
        </is>
      </c>
      <c r="F746" t="inlineStr">
        <is>
          <t>SCA</t>
        </is>
      </c>
      <c r="G746" t="n">
        <v>18.1</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45508</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19060-2023</t>
        </is>
      </c>
      <c r="B748" s="1" t="n">
        <v>45043</v>
      </c>
      <c r="C748" s="1" t="n">
        <v>45508</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19232-2023</t>
        </is>
      </c>
      <c r="B749" s="1" t="n">
        <v>45048</v>
      </c>
      <c r="C749" s="1" t="n">
        <v>45508</v>
      </c>
      <c r="D749" t="inlineStr">
        <is>
          <t>VÄSTERBOTTENS LÄN</t>
        </is>
      </c>
      <c r="E749" t="inlineStr">
        <is>
          <t>VILHELMINA</t>
        </is>
      </c>
      <c r="G749" t="n">
        <v>4.8</v>
      </c>
      <c r="H749" t="n">
        <v>0</v>
      </c>
      <c r="I749" t="n">
        <v>0</v>
      </c>
      <c r="J749" t="n">
        <v>0</v>
      </c>
      <c r="K749" t="n">
        <v>0</v>
      </c>
      <c r="L749" t="n">
        <v>0</v>
      </c>
      <c r="M749" t="n">
        <v>0</v>
      </c>
      <c r="N749" t="n">
        <v>0</v>
      </c>
      <c r="O749" t="n">
        <v>0</v>
      </c>
      <c r="P749" t="n">
        <v>0</v>
      </c>
      <c r="Q749" t="n">
        <v>0</v>
      </c>
      <c r="R749" s="2" t="inlineStr"/>
    </row>
    <row r="750" ht="15" customHeight="1">
      <c r="A750" t="inlineStr">
        <is>
          <t>A 19401-2023</t>
        </is>
      </c>
      <c r="B750" s="1" t="n">
        <v>45048</v>
      </c>
      <c r="C750" s="1" t="n">
        <v>45508</v>
      </c>
      <c r="D750" t="inlineStr">
        <is>
          <t>VÄSTERBOTTENS LÄN</t>
        </is>
      </c>
      <c r="E750" t="inlineStr">
        <is>
          <t>VILHELMINA</t>
        </is>
      </c>
      <c r="G750" t="n">
        <v>5.4</v>
      </c>
      <c r="H750" t="n">
        <v>0</v>
      </c>
      <c r="I750" t="n">
        <v>0</v>
      </c>
      <c r="J750" t="n">
        <v>0</v>
      </c>
      <c r="K750" t="n">
        <v>0</v>
      </c>
      <c r="L750" t="n">
        <v>0</v>
      </c>
      <c r="M750" t="n">
        <v>0</v>
      </c>
      <c r="N750" t="n">
        <v>0</v>
      </c>
      <c r="O750" t="n">
        <v>0</v>
      </c>
      <c r="P750" t="n">
        <v>0</v>
      </c>
      <c r="Q750" t="n">
        <v>0</v>
      </c>
      <c r="R750" s="2" t="inlineStr"/>
    </row>
    <row r="751" ht="15" customHeight="1">
      <c r="A751" t="inlineStr">
        <is>
          <t>A 19397-2023</t>
        </is>
      </c>
      <c r="B751" s="1" t="n">
        <v>45048</v>
      </c>
      <c r="C751" s="1" t="n">
        <v>45508</v>
      </c>
      <c r="D751" t="inlineStr">
        <is>
          <t>VÄSTERBOTTENS LÄN</t>
        </is>
      </c>
      <c r="E751" t="inlineStr">
        <is>
          <t>VILHELMINA</t>
        </is>
      </c>
      <c r="G751" t="n">
        <v>12.8</v>
      </c>
      <c r="H751" t="n">
        <v>0</v>
      </c>
      <c r="I751" t="n">
        <v>0</v>
      </c>
      <c r="J751" t="n">
        <v>0</v>
      </c>
      <c r="K751" t="n">
        <v>0</v>
      </c>
      <c r="L751" t="n">
        <v>0</v>
      </c>
      <c r="M751" t="n">
        <v>0</v>
      </c>
      <c r="N751" t="n">
        <v>0</v>
      </c>
      <c r="O751" t="n">
        <v>0</v>
      </c>
      <c r="P751" t="n">
        <v>0</v>
      </c>
      <c r="Q751" t="n">
        <v>0</v>
      </c>
      <c r="R751" s="2" t="inlineStr"/>
    </row>
    <row r="752" ht="15" customHeight="1">
      <c r="A752" t="inlineStr">
        <is>
          <t>A 19934-2023</t>
        </is>
      </c>
      <c r="B752" s="1" t="n">
        <v>45051</v>
      </c>
      <c r="C752" s="1" t="n">
        <v>45508</v>
      </c>
      <c r="D752" t="inlineStr">
        <is>
          <t>VÄSTERBOTTENS LÄN</t>
        </is>
      </c>
      <c r="E752" t="inlineStr">
        <is>
          <t>VILHELMINA</t>
        </is>
      </c>
      <c r="F752" t="inlineStr">
        <is>
          <t>Övriga statliga verk och myndigheter</t>
        </is>
      </c>
      <c r="G752" t="n">
        <v>28.1</v>
      </c>
      <c r="H752" t="n">
        <v>0</v>
      </c>
      <c r="I752" t="n">
        <v>0</v>
      </c>
      <c r="J752" t="n">
        <v>0</v>
      </c>
      <c r="K752" t="n">
        <v>0</v>
      </c>
      <c r="L752" t="n">
        <v>0</v>
      </c>
      <c r="M752" t="n">
        <v>0</v>
      </c>
      <c r="N752" t="n">
        <v>0</v>
      </c>
      <c r="O752" t="n">
        <v>0</v>
      </c>
      <c r="P752" t="n">
        <v>0</v>
      </c>
      <c r="Q752" t="n">
        <v>0</v>
      </c>
      <c r="R752" s="2" t="inlineStr"/>
    </row>
    <row r="753" ht="15" customHeight="1">
      <c r="A753" t="inlineStr">
        <is>
          <t>A 20090-2023</t>
        </is>
      </c>
      <c r="B753" s="1" t="n">
        <v>45054</v>
      </c>
      <c r="C753" s="1" t="n">
        <v>45508</v>
      </c>
      <c r="D753" t="inlineStr">
        <is>
          <t>VÄSTERBOTTENS LÄN</t>
        </is>
      </c>
      <c r="E753" t="inlineStr">
        <is>
          <t>VILHELMINA</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20454-2023</t>
        </is>
      </c>
      <c r="B754" s="1" t="n">
        <v>45056</v>
      </c>
      <c r="C754" s="1" t="n">
        <v>45508</v>
      </c>
      <c r="D754" t="inlineStr">
        <is>
          <t>VÄSTERBOTTENS LÄN</t>
        </is>
      </c>
      <c r="E754" t="inlineStr">
        <is>
          <t>VILHELMINA</t>
        </is>
      </c>
      <c r="G754" t="n">
        <v>5.5</v>
      </c>
      <c r="H754" t="n">
        <v>0</v>
      </c>
      <c r="I754" t="n">
        <v>0</v>
      </c>
      <c r="J754" t="n">
        <v>0</v>
      </c>
      <c r="K754" t="n">
        <v>0</v>
      </c>
      <c r="L754" t="n">
        <v>0</v>
      </c>
      <c r="M754" t="n">
        <v>0</v>
      </c>
      <c r="N754" t="n">
        <v>0</v>
      </c>
      <c r="O754" t="n">
        <v>0</v>
      </c>
      <c r="P754" t="n">
        <v>0</v>
      </c>
      <c r="Q754" t="n">
        <v>0</v>
      </c>
      <c r="R754" s="2" t="inlineStr"/>
    </row>
    <row r="755" ht="15" customHeight="1">
      <c r="A755" t="inlineStr">
        <is>
          <t>A 20455-2023</t>
        </is>
      </c>
      <c r="B755" s="1" t="n">
        <v>45056</v>
      </c>
      <c r="C755" s="1" t="n">
        <v>45508</v>
      </c>
      <c r="D755" t="inlineStr">
        <is>
          <t>VÄSTERBOTTENS LÄN</t>
        </is>
      </c>
      <c r="E755" t="inlineStr">
        <is>
          <t>VILHELMINA</t>
        </is>
      </c>
      <c r="G755" t="n">
        <v>3.1</v>
      </c>
      <c r="H755" t="n">
        <v>0</v>
      </c>
      <c r="I755" t="n">
        <v>0</v>
      </c>
      <c r="J755" t="n">
        <v>0</v>
      </c>
      <c r="K755" t="n">
        <v>0</v>
      </c>
      <c r="L755" t="n">
        <v>0</v>
      </c>
      <c r="M755" t="n">
        <v>0</v>
      </c>
      <c r="N755" t="n">
        <v>0</v>
      </c>
      <c r="O755" t="n">
        <v>0</v>
      </c>
      <c r="P755" t="n">
        <v>0</v>
      </c>
      <c r="Q755" t="n">
        <v>0</v>
      </c>
      <c r="R755" s="2" t="inlineStr"/>
    </row>
    <row r="756" ht="15" customHeight="1">
      <c r="A756" t="inlineStr">
        <is>
          <t>A 20595-2023</t>
        </is>
      </c>
      <c r="B756" s="1" t="n">
        <v>45057</v>
      </c>
      <c r="C756" s="1" t="n">
        <v>45508</v>
      </c>
      <c r="D756" t="inlineStr">
        <is>
          <t>VÄSTERBOTTENS LÄN</t>
        </is>
      </c>
      <c r="E756" t="inlineStr">
        <is>
          <t>VILHELMINA</t>
        </is>
      </c>
      <c r="F756" t="inlineStr">
        <is>
          <t>SCA</t>
        </is>
      </c>
      <c r="G756" t="n">
        <v>22.7</v>
      </c>
      <c r="H756" t="n">
        <v>0</v>
      </c>
      <c r="I756" t="n">
        <v>0</v>
      </c>
      <c r="J756" t="n">
        <v>0</v>
      </c>
      <c r="K756" t="n">
        <v>0</v>
      </c>
      <c r="L756" t="n">
        <v>0</v>
      </c>
      <c r="M756" t="n">
        <v>0</v>
      </c>
      <c r="N756" t="n">
        <v>0</v>
      </c>
      <c r="O756" t="n">
        <v>0</v>
      </c>
      <c r="P756" t="n">
        <v>0</v>
      </c>
      <c r="Q756" t="n">
        <v>0</v>
      </c>
      <c r="R756" s="2" t="inlineStr"/>
    </row>
    <row r="757" ht="15" customHeight="1">
      <c r="A757" t="inlineStr">
        <is>
          <t>A 21334-2023</t>
        </is>
      </c>
      <c r="B757" s="1" t="n">
        <v>45062</v>
      </c>
      <c r="C757" s="1" t="n">
        <v>45508</v>
      </c>
      <c r="D757" t="inlineStr">
        <is>
          <t>VÄSTERBOTTENS LÄN</t>
        </is>
      </c>
      <c r="E757" t="inlineStr">
        <is>
          <t>VILHELMINA</t>
        </is>
      </c>
      <c r="G757" t="n">
        <v>20</v>
      </c>
      <c r="H757" t="n">
        <v>0</v>
      </c>
      <c r="I757" t="n">
        <v>0</v>
      </c>
      <c r="J757" t="n">
        <v>0</v>
      </c>
      <c r="K757" t="n">
        <v>0</v>
      </c>
      <c r="L757" t="n">
        <v>0</v>
      </c>
      <c r="M757" t="n">
        <v>0</v>
      </c>
      <c r="N757" t="n">
        <v>0</v>
      </c>
      <c r="O757" t="n">
        <v>0</v>
      </c>
      <c r="P757" t="n">
        <v>0</v>
      </c>
      <c r="Q757" t="n">
        <v>0</v>
      </c>
      <c r="R757" s="2" t="inlineStr"/>
    </row>
    <row r="758" ht="15" customHeight="1">
      <c r="A758" t="inlineStr">
        <is>
          <t>A 24373-2023</t>
        </is>
      </c>
      <c r="B758" s="1" t="n">
        <v>45076</v>
      </c>
      <c r="C758" s="1" t="n">
        <v>45508</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24598-2023</t>
        </is>
      </c>
      <c r="B759" s="1" t="n">
        <v>45084</v>
      </c>
      <c r="C759" s="1" t="n">
        <v>45508</v>
      </c>
      <c r="D759" t="inlineStr">
        <is>
          <t>VÄSTERBOTTENS LÄN</t>
        </is>
      </c>
      <c r="E759" t="inlineStr">
        <is>
          <t>VILHELMINA</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24828-2023</t>
        </is>
      </c>
      <c r="B760" s="1" t="n">
        <v>45084</v>
      </c>
      <c r="C760" s="1" t="n">
        <v>45508</v>
      </c>
      <c r="D760" t="inlineStr">
        <is>
          <t>VÄSTERBOTTENS LÄN</t>
        </is>
      </c>
      <c r="E760" t="inlineStr">
        <is>
          <t>VILHELMINA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25313-2023</t>
        </is>
      </c>
      <c r="B761" s="1" t="n">
        <v>45087</v>
      </c>
      <c r="C761" s="1" t="n">
        <v>45508</v>
      </c>
      <c r="D761" t="inlineStr">
        <is>
          <t>VÄSTERBOTTENS LÄN</t>
        </is>
      </c>
      <c r="E761" t="inlineStr">
        <is>
          <t>VILHELMINA</t>
        </is>
      </c>
      <c r="F761" t="inlineStr">
        <is>
          <t>SCA</t>
        </is>
      </c>
      <c r="G761" t="n">
        <v>9.5</v>
      </c>
      <c r="H761" t="n">
        <v>0</v>
      </c>
      <c r="I761" t="n">
        <v>0</v>
      </c>
      <c r="J761" t="n">
        <v>0</v>
      </c>
      <c r="K761" t="n">
        <v>0</v>
      </c>
      <c r="L761" t="n">
        <v>0</v>
      </c>
      <c r="M761" t="n">
        <v>0</v>
      </c>
      <c r="N761" t="n">
        <v>0</v>
      </c>
      <c r="O761" t="n">
        <v>0</v>
      </c>
      <c r="P761" t="n">
        <v>0</v>
      </c>
      <c r="Q761" t="n">
        <v>0</v>
      </c>
      <c r="R761" s="2" t="inlineStr"/>
    </row>
    <row r="762" ht="15" customHeight="1">
      <c r="A762" t="inlineStr">
        <is>
          <t>A 26553-2023</t>
        </is>
      </c>
      <c r="B762" s="1" t="n">
        <v>45089</v>
      </c>
      <c r="C762" s="1" t="n">
        <v>45508</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26564-2023</t>
        </is>
      </c>
      <c r="B763" s="1" t="n">
        <v>45089</v>
      </c>
      <c r="C763" s="1" t="n">
        <v>45508</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26557-2023</t>
        </is>
      </c>
      <c r="B764" s="1" t="n">
        <v>45089</v>
      </c>
      <c r="C764" s="1" t="n">
        <v>45508</v>
      </c>
      <c r="D764" t="inlineStr">
        <is>
          <t>VÄSTERBOTTENS LÄN</t>
        </is>
      </c>
      <c r="E764" t="inlineStr">
        <is>
          <t>VILHELMINA</t>
        </is>
      </c>
      <c r="G764" t="n">
        <v>0.5</v>
      </c>
      <c r="H764" t="n">
        <v>0</v>
      </c>
      <c r="I764" t="n">
        <v>0</v>
      </c>
      <c r="J764" t="n">
        <v>0</v>
      </c>
      <c r="K764" t="n">
        <v>0</v>
      </c>
      <c r="L764" t="n">
        <v>0</v>
      </c>
      <c r="M764" t="n">
        <v>0</v>
      </c>
      <c r="N764" t="n">
        <v>0</v>
      </c>
      <c r="O764" t="n">
        <v>0</v>
      </c>
      <c r="P764" t="n">
        <v>0</v>
      </c>
      <c r="Q764" t="n">
        <v>0</v>
      </c>
      <c r="R764" s="2" t="inlineStr"/>
    </row>
    <row r="765" ht="15" customHeight="1">
      <c r="A765" t="inlineStr">
        <is>
          <t>A 26000-2023</t>
        </is>
      </c>
      <c r="B765" s="1" t="n">
        <v>45090</v>
      </c>
      <c r="C765" s="1" t="n">
        <v>45508</v>
      </c>
      <c r="D765" t="inlineStr">
        <is>
          <t>VÄSTERBOTTENS LÄN</t>
        </is>
      </c>
      <c r="E765" t="inlineStr">
        <is>
          <t>VILHELMINA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25997-2023</t>
        </is>
      </c>
      <c r="B766" s="1" t="n">
        <v>45090</v>
      </c>
      <c r="C766" s="1" t="n">
        <v>45508</v>
      </c>
      <c r="D766" t="inlineStr">
        <is>
          <t>VÄSTERBOTTENS LÄN</t>
        </is>
      </c>
      <c r="E766" t="inlineStr">
        <is>
          <t>VILHELMINA</t>
        </is>
      </c>
      <c r="G766" t="n">
        <v>7.8</v>
      </c>
      <c r="H766" t="n">
        <v>0</v>
      </c>
      <c r="I766" t="n">
        <v>0</v>
      </c>
      <c r="J766" t="n">
        <v>0</v>
      </c>
      <c r="K766" t="n">
        <v>0</v>
      </c>
      <c r="L766" t="n">
        <v>0</v>
      </c>
      <c r="M766" t="n">
        <v>0</v>
      </c>
      <c r="N766" t="n">
        <v>0</v>
      </c>
      <c r="O766" t="n">
        <v>0</v>
      </c>
      <c r="P766" t="n">
        <v>0</v>
      </c>
      <c r="Q766" t="n">
        <v>0</v>
      </c>
      <c r="R766" s="2" t="inlineStr"/>
    </row>
    <row r="767" ht="15" customHeight="1">
      <c r="A767" t="inlineStr">
        <is>
          <t>A 26657-2023</t>
        </is>
      </c>
      <c r="B767" s="1" t="n">
        <v>45092</v>
      </c>
      <c r="C767" s="1" t="n">
        <v>45508</v>
      </c>
      <c r="D767" t="inlineStr">
        <is>
          <t>VÄSTERBOTTENS LÄN</t>
        </is>
      </c>
      <c r="E767" t="inlineStr">
        <is>
          <t>VILHELMINA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26663-2023</t>
        </is>
      </c>
      <c r="B768" s="1" t="n">
        <v>45093</v>
      </c>
      <c r="C768" s="1" t="n">
        <v>45508</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26656-2023</t>
        </is>
      </c>
      <c r="B769" s="1" t="n">
        <v>45092</v>
      </c>
      <c r="C769" s="1" t="n">
        <v>45508</v>
      </c>
      <c r="D769" t="inlineStr">
        <is>
          <t>VÄSTERBOTTENS LÄN</t>
        </is>
      </c>
      <c r="E769" t="inlineStr">
        <is>
          <t>VILHELMINA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27601-2023</t>
        </is>
      </c>
      <c r="B770" s="1" t="n">
        <v>45092</v>
      </c>
      <c r="C770" s="1" t="n">
        <v>45508</v>
      </c>
      <c r="D770" t="inlineStr">
        <is>
          <t>VÄSTERBOTTENS LÄN</t>
        </is>
      </c>
      <c r="E770" t="inlineStr">
        <is>
          <t>VILHELMINA</t>
        </is>
      </c>
      <c r="G770" t="n">
        <v>2</v>
      </c>
      <c r="H770" t="n">
        <v>0</v>
      </c>
      <c r="I770" t="n">
        <v>0</v>
      </c>
      <c r="J770" t="n">
        <v>0</v>
      </c>
      <c r="K770" t="n">
        <v>0</v>
      </c>
      <c r="L770" t="n">
        <v>0</v>
      </c>
      <c r="M770" t="n">
        <v>0</v>
      </c>
      <c r="N770" t="n">
        <v>0</v>
      </c>
      <c r="O770" t="n">
        <v>0</v>
      </c>
      <c r="P770" t="n">
        <v>0</v>
      </c>
      <c r="Q770" t="n">
        <v>0</v>
      </c>
      <c r="R770" s="2" t="inlineStr"/>
    </row>
    <row r="771" ht="15" customHeight="1">
      <c r="A771" t="inlineStr">
        <is>
          <t>A 26997-2023</t>
        </is>
      </c>
      <c r="B771" s="1" t="n">
        <v>45093</v>
      </c>
      <c r="C771" s="1" t="n">
        <v>45508</v>
      </c>
      <c r="D771" t="inlineStr">
        <is>
          <t>VÄSTERBOTTENS LÄN</t>
        </is>
      </c>
      <c r="E771" t="inlineStr">
        <is>
          <t>VILHELMINA</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27763-2023</t>
        </is>
      </c>
      <c r="B772" s="1" t="n">
        <v>45093</v>
      </c>
      <c r="C772" s="1" t="n">
        <v>45508</v>
      </c>
      <c r="D772" t="inlineStr">
        <is>
          <t>VÄSTERBOTTENS LÄN</t>
        </is>
      </c>
      <c r="E772" t="inlineStr">
        <is>
          <t>VILHELMINA</t>
        </is>
      </c>
      <c r="G772" t="n">
        <v>21.5</v>
      </c>
      <c r="H772" t="n">
        <v>0</v>
      </c>
      <c r="I772" t="n">
        <v>0</v>
      </c>
      <c r="J772" t="n">
        <v>0</v>
      </c>
      <c r="K772" t="n">
        <v>0</v>
      </c>
      <c r="L772" t="n">
        <v>0</v>
      </c>
      <c r="M772" t="n">
        <v>0</v>
      </c>
      <c r="N772" t="n">
        <v>0</v>
      </c>
      <c r="O772" t="n">
        <v>0</v>
      </c>
      <c r="P772" t="n">
        <v>0</v>
      </c>
      <c r="Q772" t="n">
        <v>0</v>
      </c>
      <c r="R772" s="2" t="inlineStr"/>
    </row>
    <row r="773" ht="15" customHeight="1">
      <c r="A773" t="inlineStr">
        <is>
          <t>A 27357-2023</t>
        </is>
      </c>
      <c r="B773" s="1" t="n">
        <v>45096</v>
      </c>
      <c r="C773" s="1" t="n">
        <v>45508</v>
      </c>
      <c r="D773" t="inlineStr">
        <is>
          <t>VÄSTERBOTTENS LÄN</t>
        </is>
      </c>
      <c r="E773" t="inlineStr">
        <is>
          <t>VILHELMINA</t>
        </is>
      </c>
      <c r="G773" t="n">
        <v>3.1</v>
      </c>
      <c r="H773" t="n">
        <v>0</v>
      </c>
      <c r="I773" t="n">
        <v>0</v>
      </c>
      <c r="J773" t="n">
        <v>0</v>
      </c>
      <c r="K773" t="n">
        <v>0</v>
      </c>
      <c r="L773" t="n">
        <v>0</v>
      </c>
      <c r="M773" t="n">
        <v>0</v>
      </c>
      <c r="N773" t="n">
        <v>0</v>
      </c>
      <c r="O773" t="n">
        <v>0</v>
      </c>
      <c r="P773" t="n">
        <v>0</v>
      </c>
      <c r="Q773" t="n">
        <v>0</v>
      </c>
      <c r="R773" s="2" t="inlineStr"/>
    </row>
    <row r="774" ht="15" customHeight="1">
      <c r="A774" t="inlineStr">
        <is>
          <t>A 27355-2023</t>
        </is>
      </c>
      <c r="B774" s="1" t="n">
        <v>45096</v>
      </c>
      <c r="C774" s="1" t="n">
        <v>45508</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28011-2023</t>
        </is>
      </c>
      <c r="B775" s="1" t="n">
        <v>45098</v>
      </c>
      <c r="C775" s="1" t="n">
        <v>45508</v>
      </c>
      <c r="D775" t="inlineStr">
        <is>
          <t>VÄSTERBOTTENS LÄN</t>
        </is>
      </c>
      <c r="E775" t="inlineStr">
        <is>
          <t>VILHELMINA</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28380-2023</t>
        </is>
      </c>
      <c r="B776" s="1" t="n">
        <v>45099</v>
      </c>
      <c r="C776" s="1" t="n">
        <v>45508</v>
      </c>
      <c r="D776" t="inlineStr">
        <is>
          <t>VÄSTERBOTTENS LÄN</t>
        </is>
      </c>
      <c r="E776" t="inlineStr">
        <is>
          <t>VILHELMINA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28718-2023</t>
        </is>
      </c>
      <c r="B777" s="1" t="n">
        <v>45103</v>
      </c>
      <c r="C777" s="1" t="n">
        <v>45508</v>
      </c>
      <c r="D777" t="inlineStr">
        <is>
          <t>VÄSTERBOTTENS LÄN</t>
        </is>
      </c>
      <c r="E777" t="inlineStr">
        <is>
          <t>VILHELMINA</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28982-2023</t>
        </is>
      </c>
      <c r="B778" s="1" t="n">
        <v>45104</v>
      </c>
      <c r="C778" s="1" t="n">
        <v>45508</v>
      </c>
      <c r="D778" t="inlineStr">
        <is>
          <t>VÄSTERBOTTENS LÄN</t>
        </is>
      </c>
      <c r="E778" t="inlineStr">
        <is>
          <t>VILHELMINA</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28986-2023</t>
        </is>
      </c>
      <c r="B779" s="1" t="n">
        <v>45104</v>
      </c>
      <c r="C779" s="1" t="n">
        <v>45508</v>
      </c>
      <c r="D779" t="inlineStr">
        <is>
          <t>VÄSTERBOTTENS LÄN</t>
        </is>
      </c>
      <c r="E779" t="inlineStr">
        <is>
          <t>VILHELMINA</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28991-2023</t>
        </is>
      </c>
      <c r="B780" s="1" t="n">
        <v>45104</v>
      </c>
      <c r="C780" s="1" t="n">
        <v>45508</v>
      </c>
      <c r="D780" t="inlineStr">
        <is>
          <t>VÄSTERBOTTENS LÄN</t>
        </is>
      </c>
      <c r="E780" t="inlineStr">
        <is>
          <t>VILHELMINA</t>
        </is>
      </c>
      <c r="F780" t="inlineStr">
        <is>
          <t>Sveaskog</t>
        </is>
      </c>
      <c r="G780" t="n">
        <v>5.1</v>
      </c>
      <c r="H780" t="n">
        <v>0</v>
      </c>
      <c r="I780" t="n">
        <v>0</v>
      </c>
      <c r="J780" t="n">
        <v>0</v>
      </c>
      <c r="K780" t="n">
        <v>0</v>
      </c>
      <c r="L780" t="n">
        <v>0</v>
      </c>
      <c r="M780" t="n">
        <v>0</v>
      </c>
      <c r="N780" t="n">
        <v>0</v>
      </c>
      <c r="O780" t="n">
        <v>0</v>
      </c>
      <c r="P780" t="n">
        <v>0</v>
      </c>
      <c r="Q780" t="n">
        <v>0</v>
      </c>
      <c r="R780" s="2" t="inlineStr"/>
    </row>
    <row r="781" ht="15" customHeight="1">
      <c r="A781" t="inlineStr">
        <is>
          <t>A 28984-2023</t>
        </is>
      </c>
      <c r="B781" s="1" t="n">
        <v>45104</v>
      </c>
      <c r="C781" s="1" t="n">
        <v>45508</v>
      </c>
      <c r="D781" t="inlineStr">
        <is>
          <t>VÄSTERBOTTENS LÄN</t>
        </is>
      </c>
      <c r="E781" t="inlineStr">
        <is>
          <t>VILHELMINA</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29250-2023</t>
        </is>
      </c>
      <c r="B782" s="1" t="n">
        <v>45105</v>
      </c>
      <c r="C782" s="1" t="n">
        <v>45508</v>
      </c>
      <c r="D782" t="inlineStr">
        <is>
          <t>VÄSTERBOTTENS LÄN</t>
        </is>
      </c>
      <c r="E782" t="inlineStr">
        <is>
          <t>VILHELMINA</t>
        </is>
      </c>
      <c r="F782" t="inlineStr">
        <is>
          <t>Sveaskog</t>
        </is>
      </c>
      <c r="G782" t="n">
        <v>11.3</v>
      </c>
      <c r="H782" t="n">
        <v>0</v>
      </c>
      <c r="I782" t="n">
        <v>0</v>
      </c>
      <c r="J782" t="n">
        <v>0</v>
      </c>
      <c r="K782" t="n">
        <v>0</v>
      </c>
      <c r="L782" t="n">
        <v>0</v>
      </c>
      <c r="M782" t="n">
        <v>0</v>
      </c>
      <c r="N782" t="n">
        <v>0</v>
      </c>
      <c r="O782" t="n">
        <v>0</v>
      </c>
      <c r="P782" t="n">
        <v>0</v>
      </c>
      <c r="Q782" t="n">
        <v>0</v>
      </c>
      <c r="R782" s="2" t="inlineStr"/>
    </row>
    <row r="783" ht="15" customHeight="1">
      <c r="A783" t="inlineStr">
        <is>
          <t>A 29608-2023</t>
        </is>
      </c>
      <c r="B783" s="1" t="n">
        <v>45106</v>
      </c>
      <c r="C783" s="1" t="n">
        <v>45508</v>
      </c>
      <c r="D783" t="inlineStr">
        <is>
          <t>VÄSTERBOTTENS LÄN</t>
        </is>
      </c>
      <c r="E783" t="inlineStr">
        <is>
          <t>VILHELMINA</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29954-2023</t>
        </is>
      </c>
      <c r="B784" s="1" t="n">
        <v>45107</v>
      </c>
      <c r="C784" s="1" t="n">
        <v>45508</v>
      </c>
      <c r="D784" t="inlineStr">
        <is>
          <t>VÄSTERBOTTENS LÄN</t>
        </is>
      </c>
      <c r="E784" t="inlineStr">
        <is>
          <t>VILHELMINA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30846-2023</t>
        </is>
      </c>
      <c r="B785" s="1" t="n">
        <v>45112</v>
      </c>
      <c r="C785" s="1" t="n">
        <v>45508</v>
      </c>
      <c r="D785" t="inlineStr">
        <is>
          <t>VÄSTERBOTTENS LÄN</t>
        </is>
      </c>
      <c r="E785" t="inlineStr">
        <is>
          <t>VILHELMINA</t>
        </is>
      </c>
      <c r="F785" t="inlineStr">
        <is>
          <t>SCA</t>
        </is>
      </c>
      <c r="G785" t="n">
        <v>9.5</v>
      </c>
      <c r="H785" t="n">
        <v>0</v>
      </c>
      <c r="I785" t="n">
        <v>0</v>
      </c>
      <c r="J785" t="n">
        <v>0</v>
      </c>
      <c r="K785" t="n">
        <v>0</v>
      </c>
      <c r="L785" t="n">
        <v>0</v>
      </c>
      <c r="M785" t="n">
        <v>0</v>
      </c>
      <c r="N785" t="n">
        <v>0</v>
      </c>
      <c r="O785" t="n">
        <v>0</v>
      </c>
      <c r="P785" t="n">
        <v>0</v>
      </c>
      <c r="Q785" t="n">
        <v>0</v>
      </c>
      <c r="R785" s="2" t="inlineStr"/>
    </row>
    <row r="786" ht="15" customHeight="1">
      <c r="A786" t="inlineStr">
        <is>
          <t>A 30847-2023</t>
        </is>
      </c>
      <c r="B786" s="1" t="n">
        <v>45112</v>
      </c>
      <c r="C786" s="1" t="n">
        <v>45508</v>
      </c>
      <c r="D786" t="inlineStr">
        <is>
          <t>VÄSTERBOTTENS LÄN</t>
        </is>
      </c>
      <c r="E786" t="inlineStr">
        <is>
          <t>VILHELMINA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30940-2023</t>
        </is>
      </c>
      <c r="B787" s="1" t="n">
        <v>45113</v>
      </c>
      <c r="C787" s="1" t="n">
        <v>45508</v>
      </c>
      <c r="D787" t="inlineStr">
        <is>
          <t>VÄSTERBOTTENS LÄN</t>
        </is>
      </c>
      <c r="E787" t="inlineStr">
        <is>
          <t>VILHELMINA</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30934-2023</t>
        </is>
      </c>
      <c r="B788" s="1" t="n">
        <v>45113</v>
      </c>
      <c r="C788" s="1" t="n">
        <v>45508</v>
      </c>
      <c r="D788" t="inlineStr">
        <is>
          <t>VÄSTERBOTTENS LÄN</t>
        </is>
      </c>
      <c r="E788" t="inlineStr">
        <is>
          <t>VILHELMINA</t>
        </is>
      </c>
      <c r="F788" t="inlineStr">
        <is>
          <t>Sveaskog</t>
        </is>
      </c>
      <c r="G788" t="n">
        <v>11.3</v>
      </c>
      <c r="H788" t="n">
        <v>0</v>
      </c>
      <c r="I788" t="n">
        <v>0</v>
      </c>
      <c r="J788" t="n">
        <v>0</v>
      </c>
      <c r="K788" t="n">
        <v>0</v>
      </c>
      <c r="L788" t="n">
        <v>0</v>
      </c>
      <c r="M788" t="n">
        <v>0</v>
      </c>
      <c r="N788" t="n">
        <v>0</v>
      </c>
      <c r="O788" t="n">
        <v>0</v>
      </c>
      <c r="P788" t="n">
        <v>0</v>
      </c>
      <c r="Q788" t="n">
        <v>0</v>
      </c>
      <c r="R788" s="2" t="inlineStr"/>
    </row>
    <row r="789" ht="15" customHeight="1">
      <c r="A789" t="inlineStr">
        <is>
          <t>A 31495-2023</t>
        </is>
      </c>
      <c r="B789" s="1" t="n">
        <v>45115</v>
      </c>
      <c r="C789" s="1" t="n">
        <v>45508</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31496-2023</t>
        </is>
      </c>
      <c r="B790" s="1" t="n">
        <v>45115</v>
      </c>
      <c r="C790" s="1" t="n">
        <v>45508</v>
      </c>
      <c r="D790" t="inlineStr">
        <is>
          <t>VÄSTERBOTTENS LÄN</t>
        </is>
      </c>
      <c r="E790" t="inlineStr">
        <is>
          <t>VILHELMINA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33349-2023</t>
        </is>
      </c>
      <c r="B791" s="1" t="n">
        <v>45117</v>
      </c>
      <c r="C791" s="1" t="n">
        <v>45508</v>
      </c>
      <c r="D791" t="inlineStr">
        <is>
          <t>VÄSTERBOTTENS LÄN</t>
        </is>
      </c>
      <c r="E791" t="inlineStr">
        <is>
          <t>VILHELMINA</t>
        </is>
      </c>
      <c r="G791" t="n">
        <v>1.3</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45508</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33675-2023</t>
        </is>
      </c>
      <c r="B793" s="1" t="n">
        <v>45119</v>
      </c>
      <c r="C793" s="1" t="n">
        <v>45508</v>
      </c>
      <c r="D793" t="inlineStr">
        <is>
          <t>VÄSTERBOTTENS LÄN</t>
        </is>
      </c>
      <c r="E793" t="inlineStr">
        <is>
          <t>VILHELMINA</t>
        </is>
      </c>
      <c r="F793" t="inlineStr">
        <is>
          <t>Allmännings- och besparingsskogar</t>
        </is>
      </c>
      <c r="G793" t="n">
        <v>27.9</v>
      </c>
      <c r="H793" t="n">
        <v>0</v>
      </c>
      <c r="I793" t="n">
        <v>0</v>
      </c>
      <c r="J793" t="n">
        <v>0</v>
      </c>
      <c r="K793" t="n">
        <v>0</v>
      </c>
      <c r="L793" t="n">
        <v>0</v>
      </c>
      <c r="M793" t="n">
        <v>0</v>
      </c>
      <c r="N793" t="n">
        <v>0</v>
      </c>
      <c r="O793" t="n">
        <v>0</v>
      </c>
      <c r="P793" t="n">
        <v>0</v>
      </c>
      <c r="Q793" t="n">
        <v>0</v>
      </c>
      <c r="R793" s="2" t="inlineStr"/>
    </row>
    <row r="794" ht="15" customHeight="1">
      <c r="A794" t="inlineStr">
        <is>
          <t>A 33661-2023</t>
        </is>
      </c>
      <c r="B794" s="1" t="n">
        <v>45119</v>
      </c>
      <c r="C794" s="1" t="n">
        <v>45508</v>
      </c>
      <c r="D794" t="inlineStr">
        <is>
          <t>VÄSTERBOTTENS LÄN</t>
        </is>
      </c>
      <c r="E794" t="inlineStr">
        <is>
          <t>VILHELMINA</t>
        </is>
      </c>
      <c r="G794" t="n">
        <v>1.8</v>
      </c>
      <c r="H794" t="n">
        <v>0</v>
      </c>
      <c r="I794" t="n">
        <v>0</v>
      </c>
      <c r="J794" t="n">
        <v>0</v>
      </c>
      <c r="K794" t="n">
        <v>0</v>
      </c>
      <c r="L794" t="n">
        <v>0</v>
      </c>
      <c r="M794" t="n">
        <v>0</v>
      </c>
      <c r="N794" t="n">
        <v>0</v>
      </c>
      <c r="O794" t="n">
        <v>0</v>
      </c>
      <c r="P794" t="n">
        <v>0</v>
      </c>
      <c r="Q794" t="n">
        <v>0</v>
      </c>
      <c r="R794" s="2" t="inlineStr"/>
    </row>
    <row r="795" ht="15" customHeight="1">
      <c r="A795" t="inlineStr">
        <is>
          <t>A 33679-2023</t>
        </is>
      </c>
      <c r="B795" s="1" t="n">
        <v>45119</v>
      </c>
      <c r="C795" s="1" t="n">
        <v>45508</v>
      </c>
      <c r="D795" t="inlineStr">
        <is>
          <t>VÄSTERBOTTENS LÄN</t>
        </is>
      </c>
      <c r="E795" t="inlineStr">
        <is>
          <t>VILHELMINA</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34074-2023</t>
        </is>
      </c>
      <c r="B796" s="1" t="n">
        <v>45125</v>
      </c>
      <c r="C796" s="1" t="n">
        <v>45508</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34087-2023</t>
        </is>
      </c>
      <c r="B797" s="1" t="n">
        <v>45125</v>
      </c>
      <c r="C797" s="1" t="n">
        <v>45508</v>
      </c>
      <c r="D797" t="inlineStr">
        <is>
          <t>VÄSTERBOTTENS LÄN</t>
        </is>
      </c>
      <c r="E797" t="inlineStr">
        <is>
          <t>VILHELMINA</t>
        </is>
      </c>
      <c r="G797" t="n">
        <v>13.2</v>
      </c>
      <c r="H797" t="n">
        <v>0</v>
      </c>
      <c r="I797" t="n">
        <v>0</v>
      </c>
      <c r="J797" t="n">
        <v>0</v>
      </c>
      <c r="K797" t="n">
        <v>0</v>
      </c>
      <c r="L797" t="n">
        <v>0</v>
      </c>
      <c r="M797" t="n">
        <v>0</v>
      </c>
      <c r="N797" t="n">
        <v>0</v>
      </c>
      <c r="O797" t="n">
        <v>0</v>
      </c>
      <c r="P797" t="n">
        <v>0</v>
      </c>
      <c r="Q797" t="n">
        <v>0</v>
      </c>
      <c r="R797" s="2" t="inlineStr"/>
    </row>
    <row r="798" ht="15" customHeight="1">
      <c r="A798" t="inlineStr">
        <is>
          <t>A 34799-2023</t>
        </is>
      </c>
      <c r="B798" s="1" t="n">
        <v>45140</v>
      </c>
      <c r="C798" s="1" t="n">
        <v>45508</v>
      </c>
      <c r="D798" t="inlineStr">
        <is>
          <t>VÄSTERBOTTENS LÄN</t>
        </is>
      </c>
      <c r="E798" t="inlineStr">
        <is>
          <t>VILHELMINA</t>
        </is>
      </c>
      <c r="G798" t="n">
        <v>17.4</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45508</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34809-2023</t>
        </is>
      </c>
      <c r="B800" s="1" t="n">
        <v>45140</v>
      </c>
      <c r="C800" s="1" t="n">
        <v>45508</v>
      </c>
      <c r="D800" t="inlineStr">
        <is>
          <t>VÄSTERBOTTENS LÄN</t>
        </is>
      </c>
      <c r="E800" t="inlineStr">
        <is>
          <t>VILHELMINA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34805-2023</t>
        </is>
      </c>
      <c r="B801" s="1" t="n">
        <v>45140</v>
      </c>
      <c r="C801" s="1" t="n">
        <v>45508</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35006-2023</t>
        </is>
      </c>
      <c r="B802" s="1" t="n">
        <v>45143</v>
      </c>
      <c r="C802" s="1" t="n">
        <v>45508</v>
      </c>
      <c r="D802" t="inlineStr">
        <is>
          <t>VÄSTERBOTTENS LÄN</t>
        </is>
      </c>
      <c r="E802" t="inlineStr">
        <is>
          <t>VILHELMINA</t>
        </is>
      </c>
      <c r="F802" t="inlineStr">
        <is>
          <t>SCA</t>
        </is>
      </c>
      <c r="G802" t="n">
        <v>11.6</v>
      </c>
      <c r="H802" t="n">
        <v>0</v>
      </c>
      <c r="I802" t="n">
        <v>0</v>
      </c>
      <c r="J802" t="n">
        <v>0</v>
      </c>
      <c r="K802" t="n">
        <v>0</v>
      </c>
      <c r="L802" t="n">
        <v>0</v>
      </c>
      <c r="M802" t="n">
        <v>0</v>
      </c>
      <c r="N802" t="n">
        <v>0</v>
      </c>
      <c r="O802" t="n">
        <v>0</v>
      </c>
      <c r="P802" t="n">
        <v>0</v>
      </c>
      <c r="Q802" t="n">
        <v>0</v>
      </c>
      <c r="R802" s="2" t="inlineStr"/>
    </row>
    <row r="803" ht="15" customHeight="1">
      <c r="A803" t="inlineStr">
        <is>
          <t>A 35018-2023</t>
        </is>
      </c>
      <c r="B803" s="1" t="n">
        <v>45142</v>
      </c>
      <c r="C803" s="1" t="n">
        <v>45508</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35289-2023</t>
        </is>
      </c>
      <c r="B804" s="1" t="n">
        <v>45145</v>
      </c>
      <c r="C804" s="1" t="n">
        <v>45508</v>
      </c>
      <c r="D804" t="inlineStr">
        <is>
          <t>VÄSTERBOTTENS LÄN</t>
        </is>
      </c>
      <c r="E804" t="inlineStr">
        <is>
          <t>VILHELMINA</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35758-2023</t>
        </is>
      </c>
      <c r="B805" s="1" t="n">
        <v>45148</v>
      </c>
      <c r="C805" s="1" t="n">
        <v>45508</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35755-2023</t>
        </is>
      </c>
      <c r="B806" s="1" t="n">
        <v>45148</v>
      </c>
      <c r="C806" s="1" t="n">
        <v>45508</v>
      </c>
      <c r="D806" t="inlineStr">
        <is>
          <t>VÄSTERBOTTENS LÄN</t>
        </is>
      </c>
      <c r="E806" t="inlineStr">
        <is>
          <t>VILHELMINA</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35759-2023</t>
        </is>
      </c>
      <c r="B807" s="1" t="n">
        <v>45147</v>
      </c>
      <c r="C807" s="1" t="n">
        <v>45508</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35752-2023</t>
        </is>
      </c>
      <c r="B808" s="1" t="n">
        <v>45147</v>
      </c>
      <c r="C808" s="1" t="n">
        <v>45508</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35756-2023</t>
        </is>
      </c>
      <c r="B809" s="1" t="n">
        <v>45148</v>
      </c>
      <c r="C809" s="1" t="n">
        <v>45508</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35760-2023</t>
        </is>
      </c>
      <c r="B810" s="1" t="n">
        <v>45147</v>
      </c>
      <c r="C810" s="1" t="n">
        <v>45508</v>
      </c>
      <c r="D810" t="inlineStr">
        <is>
          <t>VÄSTERBOTTENS LÄN</t>
        </is>
      </c>
      <c r="E810" t="inlineStr">
        <is>
          <t>VILHELMINA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35753-2023</t>
        </is>
      </c>
      <c r="B811" s="1" t="n">
        <v>45148</v>
      </c>
      <c r="C811" s="1" t="n">
        <v>45508</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35757-2023</t>
        </is>
      </c>
      <c r="B812" s="1" t="n">
        <v>45148</v>
      </c>
      <c r="C812" s="1" t="n">
        <v>45508</v>
      </c>
      <c r="D812" t="inlineStr">
        <is>
          <t>VÄSTERBOTTENS LÄN</t>
        </is>
      </c>
      <c r="E812" t="inlineStr">
        <is>
          <t>VILHELMINA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35968-2023</t>
        </is>
      </c>
      <c r="B813" s="1" t="n">
        <v>45149</v>
      </c>
      <c r="C813" s="1" t="n">
        <v>45508</v>
      </c>
      <c r="D813" t="inlineStr">
        <is>
          <t>VÄSTERBOTTENS LÄN</t>
        </is>
      </c>
      <c r="E813" t="inlineStr">
        <is>
          <t>VILHELMINA</t>
        </is>
      </c>
      <c r="G813" t="n">
        <v>0.8</v>
      </c>
      <c r="H813" t="n">
        <v>0</v>
      </c>
      <c r="I813" t="n">
        <v>0</v>
      </c>
      <c r="J813" t="n">
        <v>0</v>
      </c>
      <c r="K813" t="n">
        <v>0</v>
      </c>
      <c r="L813" t="n">
        <v>0</v>
      </c>
      <c r="M813" t="n">
        <v>0</v>
      </c>
      <c r="N813" t="n">
        <v>0</v>
      </c>
      <c r="O813" t="n">
        <v>0</v>
      </c>
      <c r="P813" t="n">
        <v>0</v>
      </c>
      <c r="Q813" t="n">
        <v>0</v>
      </c>
      <c r="R813" s="2" t="inlineStr"/>
    </row>
    <row r="814" ht="15" customHeight="1">
      <c r="A814" t="inlineStr">
        <is>
          <t>A 35984-2023</t>
        </is>
      </c>
      <c r="B814" s="1" t="n">
        <v>45149</v>
      </c>
      <c r="C814" s="1" t="n">
        <v>45508</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35983-2023</t>
        </is>
      </c>
      <c r="B815" s="1" t="n">
        <v>45149</v>
      </c>
      <c r="C815" s="1" t="n">
        <v>45508</v>
      </c>
      <c r="D815" t="inlineStr">
        <is>
          <t>VÄSTERBOTTENS LÄN</t>
        </is>
      </c>
      <c r="E815" t="inlineStr">
        <is>
          <t>VILHELMINA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35985-2023</t>
        </is>
      </c>
      <c r="B816" s="1" t="n">
        <v>45148</v>
      </c>
      <c r="C816" s="1" t="n">
        <v>45508</v>
      </c>
      <c r="D816" t="inlineStr">
        <is>
          <t>VÄSTERBOTTENS LÄN</t>
        </is>
      </c>
      <c r="E816" t="inlineStr">
        <is>
          <t>VILHELMINA</t>
        </is>
      </c>
      <c r="F816" t="inlineStr">
        <is>
          <t>SCA</t>
        </is>
      </c>
      <c r="G816" t="n">
        <v>43.8</v>
      </c>
      <c r="H816" t="n">
        <v>0</v>
      </c>
      <c r="I816" t="n">
        <v>0</v>
      </c>
      <c r="J816" t="n">
        <v>0</v>
      </c>
      <c r="K816" t="n">
        <v>0</v>
      </c>
      <c r="L816" t="n">
        <v>0</v>
      </c>
      <c r="M816" t="n">
        <v>0</v>
      </c>
      <c r="N816" t="n">
        <v>0</v>
      </c>
      <c r="O816" t="n">
        <v>0</v>
      </c>
      <c r="P816" t="n">
        <v>0</v>
      </c>
      <c r="Q816" t="n">
        <v>0</v>
      </c>
      <c r="R816" s="2" t="inlineStr"/>
    </row>
    <row r="817" ht="15" customHeight="1">
      <c r="A817" t="inlineStr">
        <is>
          <t>A 36214-2023</t>
        </is>
      </c>
      <c r="B817" s="1" t="n">
        <v>45150</v>
      </c>
      <c r="C817" s="1" t="n">
        <v>45508</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36219-2023</t>
        </is>
      </c>
      <c r="B818" s="1" t="n">
        <v>45150</v>
      </c>
      <c r="C818" s="1" t="n">
        <v>45508</v>
      </c>
      <c r="D818" t="inlineStr">
        <is>
          <t>VÄSTERBOTTENS LÄN</t>
        </is>
      </c>
      <c r="E818" t="inlineStr">
        <is>
          <t>VILHELMINA</t>
        </is>
      </c>
      <c r="F818" t="inlineStr">
        <is>
          <t>SCA</t>
        </is>
      </c>
      <c r="G818" t="n">
        <v>7.3</v>
      </c>
      <c r="H818" t="n">
        <v>0</v>
      </c>
      <c r="I818" t="n">
        <v>0</v>
      </c>
      <c r="J818" t="n">
        <v>0</v>
      </c>
      <c r="K818" t="n">
        <v>0</v>
      </c>
      <c r="L818" t="n">
        <v>0</v>
      </c>
      <c r="M818" t="n">
        <v>0</v>
      </c>
      <c r="N818" t="n">
        <v>0</v>
      </c>
      <c r="O818" t="n">
        <v>0</v>
      </c>
      <c r="P818" t="n">
        <v>0</v>
      </c>
      <c r="Q818" t="n">
        <v>0</v>
      </c>
      <c r="R818" s="2" t="inlineStr"/>
    </row>
    <row r="819" ht="15" customHeight="1">
      <c r="A819" t="inlineStr">
        <is>
          <t>A 36215-2023</t>
        </is>
      </c>
      <c r="B819" s="1" t="n">
        <v>45150</v>
      </c>
      <c r="C819" s="1" t="n">
        <v>45508</v>
      </c>
      <c r="D819" t="inlineStr">
        <is>
          <t>VÄSTERBOTTENS LÄN</t>
        </is>
      </c>
      <c r="E819" t="inlineStr">
        <is>
          <t>VILHELMINA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36216-2023</t>
        </is>
      </c>
      <c r="B820" s="1" t="n">
        <v>45150</v>
      </c>
      <c r="C820" s="1" t="n">
        <v>45508</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36221-2023</t>
        </is>
      </c>
      <c r="B821" s="1" t="n">
        <v>45150</v>
      </c>
      <c r="C821" s="1" t="n">
        <v>45508</v>
      </c>
      <c r="D821" t="inlineStr">
        <is>
          <t>VÄSTERBOTTENS LÄN</t>
        </is>
      </c>
      <c r="E821" t="inlineStr">
        <is>
          <t>VILHELMINA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36217-2023</t>
        </is>
      </c>
      <c r="B822" s="1" t="n">
        <v>45150</v>
      </c>
      <c r="C822" s="1" t="n">
        <v>45508</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36408-2023</t>
        </is>
      </c>
      <c r="B823" s="1" t="n">
        <v>45152</v>
      </c>
      <c r="C823" s="1" t="n">
        <v>45508</v>
      </c>
      <c r="D823" t="inlineStr">
        <is>
          <t>VÄSTERBOTTENS LÄN</t>
        </is>
      </c>
      <c r="E823" t="inlineStr">
        <is>
          <t>VILHELMINA</t>
        </is>
      </c>
      <c r="G823" t="n">
        <v>4.4</v>
      </c>
      <c r="H823" t="n">
        <v>0</v>
      </c>
      <c r="I823" t="n">
        <v>0</v>
      </c>
      <c r="J823" t="n">
        <v>0</v>
      </c>
      <c r="K823" t="n">
        <v>0</v>
      </c>
      <c r="L823" t="n">
        <v>0</v>
      </c>
      <c r="M823" t="n">
        <v>0</v>
      </c>
      <c r="N823" t="n">
        <v>0</v>
      </c>
      <c r="O823" t="n">
        <v>0</v>
      </c>
      <c r="P823" t="n">
        <v>0</v>
      </c>
      <c r="Q823" t="n">
        <v>0</v>
      </c>
      <c r="R823" s="2" t="inlineStr"/>
    </row>
    <row r="824" ht="15" customHeight="1">
      <c r="A824" t="inlineStr">
        <is>
          <t>A 36376-2023</t>
        </is>
      </c>
      <c r="B824" s="1" t="n">
        <v>45152</v>
      </c>
      <c r="C824" s="1" t="n">
        <v>45508</v>
      </c>
      <c r="D824" t="inlineStr">
        <is>
          <t>VÄSTERBOTTENS LÄN</t>
        </is>
      </c>
      <c r="E824" t="inlineStr">
        <is>
          <t>VILHELMINA</t>
        </is>
      </c>
      <c r="G824" t="n">
        <v>12.7</v>
      </c>
      <c r="H824" t="n">
        <v>0</v>
      </c>
      <c r="I824" t="n">
        <v>0</v>
      </c>
      <c r="J824" t="n">
        <v>0</v>
      </c>
      <c r="K824" t="n">
        <v>0</v>
      </c>
      <c r="L824" t="n">
        <v>0</v>
      </c>
      <c r="M824" t="n">
        <v>0</v>
      </c>
      <c r="N824" t="n">
        <v>0</v>
      </c>
      <c r="O824" t="n">
        <v>0</v>
      </c>
      <c r="P824" t="n">
        <v>0</v>
      </c>
      <c r="Q824" t="n">
        <v>0</v>
      </c>
      <c r="R824" s="2" t="inlineStr"/>
    </row>
    <row r="825" ht="15" customHeight="1">
      <c r="A825" t="inlineStr">
        <is>
          <t>A 36957-2023</t>
        </is>
      </c>
      <c r="B825" s="1" t="n">
        <v>45155</v>
      </c>
      <c r="C825" s="1" t="n">
        <v>45508</v>
      </c>
      <c r="D825" t="inlineStr">
        <is>
          <t>VÄSTERBOTTENS LÄN</t>
        </is>
      </c>
      <c r="E825" t="inlineStr">
        <is>
          <t>VILHELMINA</t>
        </is>
      </c>
      <c r="G825" t="n">
        <v>0.5</v>
      </c>
      <c r="H825" t="n">
        <v>0</v>
      </c>
      <c r="I825" t="n">
        <v>0</v>
      </c>
      <c r="J825" t="n">
        <v>0</v>
      </c>
      <c r="K825" t="n">
        <v>0</v>
      </c>
      <c r="L825" t="n">
        <v>0</v>
      </c>
      <c r="M825" t="n">
        <v>0</v>
      </c>
      <c r="N825" t="n">
        <v>0</v>
      </c>
      <c r="O825" t="n">
        <v>0</v>
      </c>
      <c r="P825" t="n">
        <v>0</v>
      </c>
      <c r="Q825" t="n">
        <v>0</v>
      </c>
      <c r="R825" s="2" t="inlineStr"/>
    </row>
    <row r="826" ht="15" customHeight="1">
      <c r="A826" t="inlineStr">
        <is>
          <t>A 36972-2023</t>
        </is>
      </c>
      <c r="B826" s="1" t="n">
        <v>45154</v>
      </c>
      <c r="C826" s="1" t="n">
        <v>45508</v>
      </c>
      <c r="D826" t="inlineStr">
        <is>
          <t>VÄSTERBOTTENS LÄN</t>
        </is>
      </c>
      <c r="E826" t="inlineStr">
        <is>
          <t>VILHELMINA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36996-2023</t>
        </is>
      </c>
      <c r="B827" s="1" t="n">
        <v>45155</v>
      </c>
      <c r="C827" s="1" t="n">
        <v>45508</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36995-2023</t>
        </is>
      </c>
      <c r="B828" s="1" t="n">
        <v>45154</v>
      </c>
      <c r="C828" s="1" t="n">
        <v>45508</v>
      </c>
      <c r="D828" t="inlineStr">
        <is>
          <t>VÄSTERBOTTENS LÄN</t>
        </is>
      </c>
      <c r="E828" t="inlineStr">
        <is>
          <t>VILHELMINA</t>
        </is>
      </c>
      <c r="F828" t="inlineStr">
        <is>
          <t>SCA</t>
        </is>
      </c>
      <c r="G828" t="n">
        <v>31.7</v>
      </c>
      <c r="H828" t="n">
        <v>0</v>
      </c>
      <c r="I828" t="n">
        <v>0</v>
      </c>
      <c r="J828" t="n">
        <v>0</v>
      </c>
      <c r="K828" t="n">
        <v>0</v>
      </c>
      <c r="L828" t="n">
        <v>0</v>
      </c>
      <c r="M828" t="n">
        <v>0</v>
      </c>
      <c r="N828" t="n">
        <v>0</v>
      </c>
      <c r="O828" t="n">
        <v>0</v>
      </c>
      <c r="P828" t="n">
        <v>0</v>
      </c>
      <c r="Q828" t="n">
        <v>0</v>
      </c>
      <c r="R828" s="2" t="inlineStr"/>
    </row>
    <row r="829" ht="15" customHeight="1">
      <c r="A829" t="inlineStr">
        <is>
          <t>A 37413-2023</t>
        </is>
      </c>
      <c r="B829" s="1" t="n">
        <v>45155</v>
      </c>
      <c r="C829" s="1" t="n">
        <v>45508</v>
      </c>
      <c r="D829" t="inlineStr">
        <is>
          <t>VÄSTERBOTTENS LÄN</t>
        </is>
      </c>
      <c r="E829" t="inlineStr">
        <is>
          <t>VILHELMINA</t>
        </is>
      </c>
      <c r="G829" t="n">
        <v>12.3</v>
      </c>
      <c r="H829" t="n">
        <v>0</v>
      </c>
      <c r="I829" t="n">
        <v>0</v>
      </c>
      <c r="J829" t="n">
        <v>0</v>
      </c>
      <c r="K829" t="n">
        <v>0</v>
      </c>
      <c r="L829" t="n">
        <v>0</v>
      </c>
      <c r="M829" t="n">
        <v>0</v>
      </c>
      <c r="N829" t="n">
        <v>0</v>
      </c>
      <c r="O829" t="n">
        <v>0</v>
      </c>
      <c r="P829" t="n">
        <v>0</v>
      </c>
      <c r="Q829" t="n">
        <v>0</v>
      </c>
      <c r="R829" s="2" t="inlineStr"/>
    </row>
    <row r="830" ht="15" customHeight="1">
      <c r="A830" t="inlineStr">
        <is>
          <t>A 37406-2023</t>
        </is>
      </c>
      <c r="B830" s="1" t="n">
        <v>45155</v>
      </c>
      <c r="C830" s="1" t="n">
        <v>45508</v>
      </c>
      <c r="D830" t="inlineStr">
        <is>
          <t>VÄSTERBOTTENS LÄN</t>
        </is>
      </c>
      <c r="E830" t="inlineStr">
        <is>
          <t>VILHELMINA</t>
        </is>
      </c>
      <c r="G830" t="n">
        <v>13.2</v>
      </c>
      <c r="H830" t="n">
        <v>0</v>
      </c>
      <c r="I830" t="n">
        <v>0</v>
      </c>
      <c r="J830" t="n">
        <v>0</v>
      </c>
      <c r="K830" t="n">
        <v>0</v>
      </c>
      <c r="L830" t="n">
        <v>0</v>
      </c>
      <c r="M830" t="n">
        <v>0</v>
      </c>
      <c r="N830" t="n">
        <v>0</v>
      </c>
      <c r="O830" t="n">
        <v>0</v>
      </c>
      <c r="P830" t="n">
        <v>0</v>
      </c>
      <c r="Q830" t="n">
        <v>0</v>
      </c>
      <c r="R830" s="2" t="inlineStr"/>
    </row>
    <row r="831" ht="15" customHeight="1">
      <c r="A831" t="inlineStr">
        <is>
          <t>A 37773-2023</t>
        </is>
      </c>
      <c r="B831" s="1" t="n">
        <v>45156</v>
      </c>
      <c r="C831" s="1" t="n">
        <v>45508</v>
      </c>
      <c r="D831" t="inlineStr">
        <is>
          <t>VÄSTERBOTTENS LÄN</t>
        </is>
      </c>
      <c r="E831" t="inlineStr">
        <is>
          <t>VILHELMINA</t>
        </is>
      </c>
      <c r="G831" t="n">
        <v>6.5</v>
      </c>
      <c r="H831" t="n">
        <v>0</v>
      </c>
      <c r="I831" t="n">
        <v>0</v>
      </c>
      <c r="J831" t="n">
        <v>0</v>
      </c>
      <c r="K831" t="n">
        <v>0</v>
      </c>
      <c r="L831" t="n">
        <v>0</v>
      </c>
      <c r="M831" t="n">
        <v>0</v>
      </c>
      <c r="N831" t="n">
        <v>0</v>
      </c>
      <c r="O831" t="n">
        <v>0</v>
      </c>
      <c r="P831" t="n">
        <v>0</v>
      </c>
      <c r="Q831" t="n">
        <v>0</v>
      </c>
      <c r="R831" s="2" t="inlineStr"/>
    </row>
    <row r="832" ht="15" customHeight="1">
      <c r="A832" t="inlineStr">
        <is>
          <t>A 37505-2023</t>
        </is>
      </c>
      <c r="B832" s="1" t="n">
        <v>45158</v>
      </c>
      <c r="C832" s="1" t="n">
        <v>45508</v>
      </c>
      <c r="D832" t="inlineStr">
        <is>
          <t>VÄSTERBOTTENS LÄN</t>
        </is>
      </c>
      <c r="E832" t="inlineStr">
        <is>
          <t>VILHELMINA</t>
        </is>
      </c>
      <c r="G832" t="n">
        <v>10.5</v>
      </c>
      <c r="H832" t="n">
        <v>0</v>
      </c>
      <c r="I832" t="n">
        <v>0</v>
      </c>
      <c r="J832" t="n">
        <v>0</v>
      </c>
      <c r="K832" t="n">
        <v>0</v>
      </c>
      <c r="L832" t="n">
        <v>0</v>
      </c>
      <c r="M832" t="n">
        <v>0</v>
      </c>
      <c r="N832" t="n">
        <v>0</v>
      </c>
      <c r="O832" t="n">
        <v>0</v>
      </c>
      <c r="P832" t="n">
        <v>0</v>
      </c>
      <c r="Q832" t="n">
        <v>0</v>
      </c>
      <c r="R832" s="2" t="inlineStr"/>
    </row>
    <row r="833" ht="15" customHeight="1">
      <c r="A833" t="inlineStr">
        <is>
          <t>A 37937-2023</t>
        </is>
      </c>
      <c r="B833" s="1" t="n">
        <v>45159</v>
      </c>
      <c r="C833" s="1" t="n">
        <v>45508</v>
      </c>
      <c r="D833" t="inlineStr">
        <is>
          <t>VÄSTERBOTTENS LÄN</t>
        </is>
      </c>
      <c r="E833" t="inlineStr">
        <is>
          <t>VILHELMINA</t>
        </is>
      </c>
      <c r="G833" t="n">
        <v>2.2</v>
      </c>
      <c r="H833" t="n">
        <v>0</v>
      </c>
      <c r="I833" t="n">
        <v>0</v>
      </c>
      <c r="J833" t="n">
        <v>0</v>
      </c>
      <c r="K833" t="n">
        <v>0</v>
      </c>
      <c r="L833" t="n">
        <v>0</v>
      </c>
      <c r="M833" t="n">
        <v>0</v>
      </c>
      <c r="N833" t="n">
        <v>0</v>
      </c>
      <c r="O833" t="n">
        <v>0</v>
      </c>
      <c r="P833" t="n">
        <v>0</v>
      </c>
      <c r="Q833" t="n">
        <v>0</v>
      </c>
      <c r="R833" s="2" t="inlineStr"/>
    </row>
    <row r="834" ht="15" customHeight="1">
      <c r="A834" t="inlineStr">
        <is>
          <t>A 38363-2023</t>
        </is>
      </c>
      <c r="B834" s="1" t="n">
        <v>45161</v>
      </c>
      <c r="C834" s="1" t="n">
        <v>45508</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38364-2023</t>
        </is>
      </c>
      <c r="B835" s="1" t="n">
        <v>45161</v>
      </c>
      <c r="C835" s="1" t="n">
        <v>45508</v>
      </c>
      <c r="D835" t="inlineStr">
        <is>
          <t>VÄSTERBOTTENS LÄN</t>
        </is>
      </c>
      <c r="E835" t="inlineStr">
        <is>
          <t>VILHELMINA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38361-2023</t>
        </is>
      </c>
      <c r="B836" s="1" t="n">
        <v>45162</v>
      </c>
      <c r="C836" s="1" t="n">
        <v>45508</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38829-2023</t>
        </is>
      </c>
      <c r="B837" s="1" t="n">
        <v>45161</v>
      </c>
      <c r="C837" s="1" t="n">
        <v>45508</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38674-2023</t>
        </is>
      </c>
      <c r="B838" s="1" t="n">
        <v>45163</v>
      </c>
      <c r="C838" s="1" t="n">
        <v>45508</v>
      </c>
      <c r="D838" t="inlineStr">
        <is>
          <t>VÄSTERBOTTENS LÄN</t>
        </is>
      </c>
      <c r="E838" t="inlineStr">
        <is>
          <t>VILHELMINA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39914-2023</t>
        </is>
      </c>
      <c r="B839" s="1" t="n">
        <v>45166</v>
      </c>
      <c r="C839" s="1" t="n">
        <v>45508</v>
      </c>
      <c r="D839" t="inlineStr">
        <is>
          <t>VÄSTERBOTTENS LÄN</t>
        </is>
      </c>
      <c r="E839" t="inlineStr">
        <is>
          <t>VILHELMINA</t>
        </is>
      </c>
      <c r="G839" t="n">
        <v>27.5</v>
      </c>
      <c r="H839" t="n">
        <v>0</v>
      </c>
      <c r="I839" t="n">
        <v>0</v>
      </c>
      <c r="J839" t="n">
        <v>0</v>
      </c>
      <c r="K839" t="n">
        <v>0</v>
      </c>
      <c r="L839" t="n">
        <v>0</v>
      </c>
      <c r="M839" t="n">
        <v>0</v>
      </c>
      <c r="N839" t="n">
        <v>0</v>
      </c>
      <c r="O839" t="n">
        <v>0</v>
      </c>
      <c r="P839" t="n">
        <v>0</v>
      </c>
      <c r="Q839" t="n">
        <v>0</v>
      </c>
      <c r="R839" s="2" t="inlineStr"/>
    </row>
    <row r="840" ht="15" customHeight="1">
      <c r="A840" t="inlineStr">
        <is>
          <t>A 40431-2023</t>
        </is>
      </c>
      <c r="B840" s="1" t="n">
        <v>45170</v>
      </c>
      <c r="C840" s="1" t="n">
        <v>45508</v>
      </c>
      <c r="D840" t="inlineStr">
        <is>
          <t>VÄSTERBOTTENS LÄN</t>
        </is>
      </c>
      <c r="E840" t="inlineStr">
        <is>
          <t>VILHELMINA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40426-2023</t>
        </is>
      </c>
      <c r="B841" s="1" t="n">
        <v>45169</v>
      </c>
      <c r="C841" s="1" t="n">
        <v>45508</v>
      </c>
      <c r="D841" t="inlineStr">
        <is>
          <t>VÄSTERBOTTENS LÄN</t>
        </is>
      </c>
      <c r="E841" t="inlineStr">
        <is>
          <t>VILHELMINA</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40649-2023</t>
        </is>
      </c>
      <c r="B842" s="1" t="n">
        <v>45170</v>
      </c>
      <c r="C842" s="1" t="n">
        <v>45508</v>
      </c>
      <c r="D842" t="inlineStr">
        <is>
          <t>VÄSTERBOTTENS LÄN</t>
        </is>
      </c>
      <c r="E842" t="inlineStr">
        <is>
          <t>VILHELMINA</t>
        </is>
      </c>
      <c r="G842" t="n">
        <v>18.5</v>
      </c>
      <c r="H842" t="n">
        <v>0</v>
      </c>
      <c r="I842" t="n">
        <v>0</v>
      </c>
      <c r="J842" t="n">
        <v>0</v>
      </c>
      <c r="K842" t="n">
        <v>0</v>
      </c>
      <c r="L842" t="n">
        <v>0</v>
      </c>
      <c r="M842" t="n">
        <v>0</v>
      </c>
      <c r="N842" t="n">
        <v>0</v>
      </c>
      <c r="O842" t="n">
        <v>0</v>
      </c>
      <c r="P842" t="n">
        <v>0</v>
      </c>
      <c r="Q842" t="n">
        <v>0</v>
      </c>
      <c r="R842" s="2" t="inlineStr"/>
    </row>
    <row r="843" ht="15" customHeight="1">
      <c r="A843" t="inlineStr">
        <is>
          <t>A 40785-2023</t>
        </is>
      </c>
      <c r="B843" s="1" t="n">
        <v>45171</v>
      </c>
      <c r="C843" s="1" t="n">
        <v>45508</v>
      </c>
      <c r="D843" t="inlineStr">
        <is>
          <t>VÄSTERBOTTENS LÄN</t>
        </is>
      </c>
      <c r="E843" t="inlineStr">
        <is>
          <t>VILHELMINA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40781-2023</t>
        </is>
      </c>
      <c r="B844" s="1" t="n">
        <v>45171</v>
      </c>
      <c r="C844" s="1" t="n">
        <v>45508</v>
      </c>
      <c r="D844" t="inlineStr">
        <is>
          <t>VÄSTERBOTTENS LÄN</t>
        </is>
      </c>
      <c r="E844" t="inlineStr">
        <is>
          <t>VILHELMINA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40782-2023</t>
        </is>
      </c>
      <c r="B845" s="1" t="n">
        <v>45171</v>
      </c>
      <c r="C845" s="1" t="n">
        <v>45508</v>
      </c>
      <c r="D845" t="inlineStr">
        <is>
          <t>VÄSTERBOTTENS LÄN</t>
        </is>
      </c>
      <c r="E845" t="inlineStr">
        <is>
          <t>VILHELMINA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40783-2023</t>
        </is>
      </c>
      <c r="B846" s="1" t="n">
        <v>45171</v>
      </c>
      <c r="C846" s="1" t="n">
        <v>45508</v>
      </c>
      <c r="D846" t="inlineStr">
        <is>
          <t>VÄSTERBOTTENS LÄN</t>
        </is>
      </c>
      <c r="E846" t="inlineStr">
        <is>
          <t>VILHELMINA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40787-2023</t>
        </is>
      </c>
      <c r="B847" s="1" t="n">
        <v>45171</v>
      </c>
      <c r="C847" s="1" t="n">
        <v>45508</v>
      </c>
      <c r="D847" t="inlineStr">
        <is>
          <t>VÄSTERBOTTENS LÄN</t>
        </is>
      </c>
      <c r="E847" t="inlineStr">
        <is>
          <t>VILHELMINA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40784-2023</t>
        </is>
      </c>
      <c r="B848" s="1" t="n">
        <v>45171</v>
      </c>
      <c r="C848" s="1" t="n">
        <v>45508</v>
      </c>
      <c r="D848" t="inlineStr">
        <is>
          <t>VÄSTERBOTTENS LÄN</t>
        </is>
      </c>
      <c r="E848" t="inlineStr">
        <is>
          <t>VILHELMINA</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40780-2023</t>
        </is>
      </c>
      <c r="B849" s="1" t="n">
        <v>45170</v>
      </c>
      <c r="C849" s="1" t="n">
        <v>45508</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40908-2023</t>
        </is>
      </c>
      <c r="B850" s="1" t="n">
        <v>45173</v>
      </c>
      <c r="C850" s="1" t="n">
        <v>45508</v>
      </c>
      <c r="D850" t="inlineStr">
        <is>
          <t>VÄSTERBOTTENS LÄN</t>
        </is>
      </c>
      <c r="E850" t="inlineStr">
        <is>
          <t>VILHELMINA</t>
        </is>
      </c>
      <c r="G850" t="n">
        <v>3.3</v>
      </c>
      <c r="H850" t="n">
        <v>0</v>
      </c>
      <c r="I850" t="n">
        <v>0</v>
      </c>
      <c r="J850" t="n">
        <v>0</v>
      </c>
      <c r="K850" t="n">
        <v>0</v>
      </c>
      <c r="L850" t="n">
        <v>0</v>
      </c>
      <c r="M850" t="n">
        <v>0</v>
      </c>
      <c r="N850" t="n">
        <v>0</v>
      </c>
      <c r="O850" t="n">
        <v>0</v>
      </c>
      <c r="P850" t="n">
        <v>0</v>
      </c>
      <c r="Q850" t="n">
        <v>0</v>
      </c>
      <c r="R850" s="2" t="inlineStr"/>
    </row>
    <row r="851" ht="15" customHeight="1">
      <c r="A851" t="inlineStr">
        <is>
          <t>A 41931-2023</t>
        </is>
      </c>
      <c r="B851" s="1" t="n">
        <v>45177</v>
      </c>
      <c r="C851" s="1" t="n">
        <v>45508</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41930-2023</t>
        </is>
      </c>
      <c r="B852" s="1" t="n">
        <v>45177</v>
      </c>
      <c r="C852" s="1" t="n">
        <v>45508</v>
      </c>
      <c r="D852" t="inlineStr">
        <is>
          <t>VÄSTERBOTTENS LÄN</t>
        </is>
      </c>
      <c r="E852" t="inlineStr">
        <is>
          <t>VILHELMINA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41932-2023</t>
        </is>
      </c>
      <c r="B853" s="1" t="n">
        <v>45177</v>
      </c>
      <c r="C853" s="1" t="n">
        <v>45508</v>
      </c>
      <c r="D853" t="inlineStr">
        <is>
          <t>VÄSTERBOTTENS LÄN</t>
        </is>
      </c>
      <c r="E853" t="inlineStr">
        <is>
          <t>VILHELMINA</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43637-2023</t>
        </is>
      </c>
      <c r="B854" s="1" t="n">
        <v>45186</v>
      </c>
      <c r="C854" s="1" t="n">
        <v>45508</v>
      </c>
      <c r="D854" t="inlineStr">
        <is>
          <t>VÄSTERBOTTENS LÄN</t>
        </is>
      </c>
      <c r="E854" t="inlineStr">
        <is>
          <t>VILHELMINA</t>
        </is>
      </c>
      <c r="G854" t="n">
        <v>3.3</v>
      </c>
      <c r="H854" t="n">
        <v>0</v>
      </c>
      <c r="I854" t="n">
        <v>0</v>
      </c>
      <c r="J854" t="n">
        <v>0</v>
      </c>
      <c r="K854" t="n">
        <v>0</v>
      </c>
      <c r="L854" t="n">
        <v>0</v>
      </c>
      <c r="M854" t="n">
        <v>0</v>
      </c>
      <c r="N854" t="n">
        <v>0</v>
      </c>
      <c r="O854" t="n">
        <v>0</v>
      </c>
      <c r="P854" t="n">
        <v>0</v>
      </c>
      <c r="Q854" t="n">
        <v>0</v>
      </c>
      <c r="R854" s="2" t="inlineStr"/>
    </row>
    <row r="855" ht="15" customHeight="1">
      <c r="A855" t="inlineStr">
        <is>
          <t>A 43948-2023</t>
        </is>
      </c>
      <c r="B855" s="1" t="n">
        <v>45187</v>
      </c>
      <c r="C855" s="1" t="n">
        <v>45508</v>
      </c>
      <c r="D855" t="inlineStr">
        <is>
          <t>VÄSTERBOTTENS LÄN</t>
        </is>
      </c>
      <c r="E855" t="inlineStr">
        <is>
          <t>VILHELMINA</t>
        </is>
      </c>
      <c r="G855" t="n">
        <v>3.7</v>
      </c>
      <c r="H855" t="n">
        <v>0</v>
      </c>
      <c r="I855" t="n">
        <v>0</v>
      </c>
      <c r="J855" t="n">
        <v>0</v>
      </c>
      <c r="K855" t="n">
        <v>0</v>
      </c>
      <c r="L855" t="n">
        <v>0</v>
      </c>
      <c r="M855" t="n">
        <v>0</v>
      </c>
      <c r="N855" t="n">
        <v>0</v>
      </c>
      <c r="O855" t="n">
        <v>0</v>
      </c>
      <c r="P855" t="n">
        <v>0</v>
      </c>
      <c r="Q855" t="n">
        <v>0</v>
      </c>
      <c r="R855" s="2" t="inlineStr"/>
    </row>
    <row r="856" ht="15" customHeight="1">
      <c r="A856" t="inlineStr">
        <is>
          <t>A 45219-2023</t>
        </is>
      </c>
      <c r="B856" s="1" t="n">
        <v>45187</v>
      </c>
      <c r="C856" s="1" t="n">
        <v>45508</v>
      </c>
      <c r="D856" t="inlineStr">
        <is>
          <t>VÄSTERBOTTENS LÄN</t>
        </is>
      </c>
      <c r="E856" t="inlineStr">
        <is>
          <t>VILHELMINA</t>
        </is>
      </c>
      <c r="G856" t="n">
        <v>10.6</v>
      </c>
      <c r="H856" t="n">
        <v>0</v>
      </c>
      <c r="I856" t="n">
        <v>0</v>
      </c>
      <c r="J856" t="n">
        <v>0</v>
      </c>
      <c r="K856" t="n">
        <v>0</v>
      </c>
      <c r="L856" t="n">
        <v>0</v>
      </c>
      <c r="M856" t="n">
        <v>0</v>
      </c>
      <c r="N856" t="n">
        <v>0</v>
      </c>
      <c r="O856" t="n">
        <v>0</v>
      </c>
      <c r="P856" t="n">
        <v>0</v>
      </c>
      <c r="Q856" t="n">
        <v>0</v>
      </c>
      <c r="R856" s="2" t="inlineStr"/>
    </row>
    <row r="857" ht="15" customHeight="1">
      <c r="A857" t="inlineStr">
        <is>
          <t>A 43990-2023</t>
        </is>
      </c>
      <c r="B857" s="1" t="n">
        <v>45188</v>
      </c>
      <c r="C857" s="1" t="n">
        <v>45508</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45215-2023</t>
        </is>
      </c>
      <c r="B858" s="1" t="n">
        <v>45187</v>
      </c>
      <c r="C858" s="1" t="n">
        <v>45508</v>
      </c>
      <c r="D858" t="inlineStr">
        <is>
          <t>VÄSTERBOTTENS LÄN</t>
        </is>
      </c>
      <c r="E858" t="inlineStr">
        <is>
          <t>VILHELMINA</t>
        </is>
      </c>
      <c r="F858" t="inlineStr">
        <is>
          <t>Kommuner</t>
        </is>
      </c>
      <c r="G858" t="n">
        <v>8.6</v>
      </c>
      <c r="H858" t="n">
        <v>0</v>
      </c>
      <c r="I858" t="n">
        <v>0</v>
      </c>
      <c r="J858" t="n">
        <v>0</v>
      </c>
      <c r="K858" t="n">
        <v>0</v>
      </c>
      <c r="L858" t="n">
        <v>0</v>
      </c>
      <c r="M858" t="n">
        <v>0</v>
      </c>
      <c r="N858" t="n">
        <v>0</v>
      </c>
      <c r="O858" t="n">
        <v>0</v>
      </c>
      <c r="P858" t="n">
        <v>0</v>
      </c>
      <c r="Q858" t="n">
        <v>0</v>
      </c>
      <c r="R858" s="2" t="inlineStr"/>
    </row>
    <row r="859" ht="15" customHeight="1">
      <c r="A859" t="inlineStr">
        <is>
          <t>A 44371-2023</t>
        </is>
      </c>
      <c r="B859" s="1" t="n">
        <v>45188</v>
      </c>
      <c r="C859" s="1" t="n">
        <v>45508</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44601-2023</t>
        </is>
      </c>
      <c r="B860" s="1" t="n">
        <v>45189</v>
      </c>
      <c r="C860" s="1" t="n">
        <v>45508</v>
      </c>
      <c r="D860" t="inlineStr">
        <is>
          <t>VÄSTERBOTTENS LÄN</t>
        </is>
      </c>
      <c r="E860" t="inlineStr">
        <is>
          <t>VILHELMINA</t>
        </is>
      </c>
      <c r="F860" t="inlineStr">
        <is>
          <t>Kommuner</t>
        </is>
      </c>
      <c r="G860" t="n">
        <v>16.5</v>
      </c>
      <c r="H860" t="n">
        <v>0</v>
      </c>
      <c r="I860" t="n">
        <v>0</v>
      </c>
      <c r="J860" t="n">
        <v>0</v>
      </c>
      <c r="K860" t="n">
        <v>0</v>
      </c>
      <c r="L860" t="n">
        <v>0</v>
      </c>
      <c r="M860" t="n">
        <v>0</v>
      </c>
      <c r="N860" t="n">
        <v>0</v>
      </c>
      <c r="O860" t="n">
        <v>0</v>
      </c>
      <c r="P860" t="n">
        <v>0</v>
      </c>
      <c r="Q860" t="n">
        <v>0</v>
      </c>
      <c r="R860" s="2" t="inlineStr"/>
    </row>
    <row r="861" ht="15" customHeight="1">
      <c r="A861" t="inlineStr">
        <is>
          <t>A 44695-2023</t>
        </is>
      </c>
      <c r="B861" s="1" t="n">
        <v>45190</v>
      </c>
      <c r="C861" s="1" t="n">
        <v>45508</v>
      </c>
      <c r="D861" t="inlineStr">
        <is>
          <t>VÄSTERBOTTENS LÄN</t>
        </is>
      </c>
      <c r="E861" t="inlineStr">
        <is>
          <t>VILHELMINA</t>
        </is>
      </c>
      <c r="G861" t="n">
        <v>15.6</v>
      </c>
      <c r="H861" t="n">
        <v>0</v>
      </c>
      <c r="I861" t="n">
        <v>0</v>
      </c>
      <c r="J861" t="n">
        <v>0</v>
      </c>
      <c r="K861" t="n">
        <v>0</v>
      </c>
      <c r="L861" t="n">
        <v>0</v>
      </c>
      <c r="M861" t="n">
        <v>0</v>
      </c>
      <c r="N861" t="n">
        <v>0</v>
      </c>
      <c r="O861" t="n">
        <v>0</v>
      </c>
      <c r="P861" t="n">
        <v>0</v>
      </c>
      <c r="Q861" t="n">
        <v>0</v>
      </c>
      <c r="R861" s="2" t="inlineStr"/>
    </row>
    <row r="862" ht="15" customHeight="1">
      <c r="A862" t="inlineStr">
        <is>
          <t>A 45022-2023</t>
        </is>
      </c>
      <c r="B862" s="1" t="n">
        <v>45190</v>
      </c>
      <c r="C862" s="1" t="n">
        <v>45508</v>
      </c>
      <c r="D862" t="inlineStr">
        <is>
          <t>VÄSTERBOTTENS LÄN</t>
        </is>
      </c>
      <c r="E862" t="inlineStr">
        <is>
          <t>VILHELMINA</t>
        </is>
      </c>
      <c r="F862" t="inlineStr">
        <is>
          <t>SCA</t>
        </is>
      </c>
      <c r="G862" t="n">
        <v>6.9</v>
      </c>
      <c r="H862" t="n">
        <v>0</v>
      </c>
      <c r="I862" t="n">
        <v>0</v>
      </c>
      <c r="J862" t="n">
        <v>0</v>
      </c>
      <c r="K862" t="n">
        <v>0</v>
      </c>
      <c r="L862" t="n">
        <v>0</v>
      </c>
      <c r="M862" t="n">
        <v>0</v>
      </c>
      <c r="N862" t="n">
        <v>0</v>
      </c>
      <c r="O862" t="n">
        <v>0</v>
      </c>
      <c r="P862" t="n">
        <v>0</v>
      </c>
      <c r="Q862" t="n">
        <v>0</v>
      </c>
      <c r="R862" s="2" t="inlineStr"/>
    </row>
    <row r="863" ht="15" customHeight="1">
      <c r="A863" t="inlineStr">
        <is>
          <t>A 46177-2023</t>
        </is>
      </c>
      <c r="B863" s="1" t="n">
        <v>45190</v>
      </c>
      <c r="C863" s="1" t="n">
        <v>45508</v>
      </c>
      <c r="D863" t="inlineStr">
        <is>
          <t>VÄSTERBOTTENS LÄN</t>
        </is>
      </c>
      <c r="E863" t="inlineStr">
        <is>
          <t>VILHELMINA</t>
        </is>
      </c>
      <c r="F863" t="inlineStr">
        <is>
          <t>Övriga Aktiebolag</t>
        </is>
      </c>
      <c r="G863" t="n">
        <v>7.7</v>
      </c>
      <c r="H863" t="n">
        <v>0</v>
      </c>
      <c r="I863" t="n">
        <v>0</v>
      </c>
      <c r="J863" t="n">
        <v>0</v>
      </c>
      <c r="K863" t="n">
        <v>0</v>
      </c>
      <c r="L863" t="n">
        <v>0</v>
      </c>
      <c r="M863" t="n">
        <v>0</v>
      </c>
      <c r="N863" t="n">
        <v>0</v>
      </c>
      <c r="O863" t="n">
        <v>0</v>
      </c>
      <c r="P863" t="n">
        <v>0</v>
      </c>
      <c r="Q863" t="n">
        <v>0</v>
      </c>
      <c r="R863" s="2" t="inlineStr"/>
    </row>
    <row r="864" ht="15" customHeight="1">
      <c r="A864" t="inlineStr">
        <is>
          <t>A 46164-2023</t>
        </is>
      </c>
      <c r="B864" s="1" t="n">
        <v>45190</v>
      </c>
      <c r="C864" s="1" t="n">
        <v>45508</v>
      </c>
      <c r="D864" t="inlineStr">
        <is>
          <t>VÄSTERBOTTENS LÄN</t>
        </is>
      </c>
      <c r="E864" t="inlineStr">
        <is>
          <t>VILHELMINA</t>
        </is>
      </c>
      <c r="G864" t="n">
        <v>6.3</v>
      </c>
      <c r="H864" t="n">
        <v>0</v>
      </c>
      <c r="I864" t="n">
        <v>0</v>
      </c>
      <c r="J864" t="n">
        <v>0</v>
      </c>
      <c r="K864" t="n">
        <v>0</v>
      </c>
      <c r="L864" t="n">
        <v>0</v>
      </c>
      <c r="M864" t="n">
        <v>0</v>
      </c>
      <c r="N864" t="n">
        <v>0</v>
      </c>
      <c r="O864" t="n">
        <v>0</v>
      </c>
      <c r="P864" t="n">
        <v>0</v>
      </c>
      <c r="Q864" t="n">
        <v>0</v>
      </c>
      <c r="R864" s="2" t="inlineStr"/>
    </row>
    <row r="865" ht="15" customHeight="1">
      <c r="A865" t="inlineStr">
        <is>
          <t>A 46119-2023</t>
        </is>
      </c>
      <c r="B865" s="1" t="n">
        <v>45190</v>
      </c>
      <c r="C865" s="1" t="n">
        <v>45508</v>
      </c>
      <c r="D865" t="inlineStr">
        <is>
          <t>VÄSTERBOTTENS LÄN</t>
        </is>
      </c>
      <c r="E865" t="inlineStr">
        <is>
          <t>VILHELMINA</t>
        </is>
      </c>
      <c r="G865" t="n">
        <v>17.7</v>
      </c>
      <c r="H865" t="n">
        <v>0</v>
      </c>
      <c r="I865" t="n">
        <v>0</v>
      </c>
      <c r="J865" t="n">
        <v>0</v>
      </c>
      <c r="K865" t="n">
        <v>0</v>
      </c>
      <c r="L865" t="n">
        <v>0</v>
      </c>
      <c r="M865" t="n">
        <v>0</v>
      </c>
      <c r="N865" t="n">
        <v>0</v>
      </c>
      <c r="O865" t="n">
        <v>0</v>
      </c>
      <c r="P865" t="n">
        <v>0</v>
      </c>
      <c r="Q865" t="n">
        <v>0</v>
      </c>
      <c r="R865" s="2" t="inlineStr"/>
    </row>
    <row r="866" ht="15" customHeight="1">
      <c r="A866" t="inlineStr">
        <is>
          <t>A 45672-2023</t>
        </is>
      </c>
      <c r="B866" s="1" t="n">
        <v>45194</v>
      </c>
      <c r="C866" s="1" t="n">
        <v>45508</v>
      </c>
      <c r="D866" t="inlineStr">
        <is>
          <t>VÄSTERBOTTENS LÄN</t>
        </is>
      </c>
      <c r="E866" t="inlineStr">
        <is>
          <t>VILHELMINA</t>
        </is>
      </c>
      <c r="G866" t="n">
        <v>1.5</v>
      </c>
      <c r="H866" t="n">
        <v>0</v>
      </c>
      <c r="I866" t="n">
        <v>0</v>
      </c>
      <c r="J866" t="n">
        <v>0</v>
      </c>
      <c r="K866" t="n">
        <v>0</v>
      </c>
      <c r="L866" t="n">
        <v>0</v>
      </c>
      <c r="M866" t="n">
        <v>0</v>
      </c>
      <c r="N866" t="n">
        <v>0</v>
      </c>
      <c r="O866" t="n">
        <v>0</v>
      </c>
      <c r="P866" t="n">
        <v>0</v>
      </c>
      <c r="Q866" t="n">
        <v>0</v>
      </c>
      <c r="R866" s="2" t="inlineStr"/>
    </row>
    <row r="867" ht="15" customHeight="1">
      <c r="A867" t="inlineStr">
        <is>
          <t>A 45673-2023</t>
        </is>
      </c>
      <c r="B867" s="1" t="n">
        <v>45194</v>
      </c>
      <c r="C867" s="1" t="n">
        <v>45508</v>
      </c>
      <c r="D867" t="inlineStr">
        <is>
          <t>VÄSTERBOTTENS LÄN</t>
        </is>
      </c>
      <c r="E867" t="inlineStr">
        <is>
          <t>VILHELMINA</t>
        </is>
      </c>
      <c r="G867" t="n">
        <v>13.4</v>
      </c>
      <c r="H867" t="n">
        <v>0</v>
      </c>
      <c r="I867" t="n">
        <v>0</v>
      </c>
      <c r="J867" t="n">
        <v>0</v>
      </c>
      <c r="K867" t="n">
        <v>0</v>
      </c>
      <c r="L867" t="n">
        <v>0</v>
      </c>
      <c r="M867" t="n">
        <v>0</v>
      </c>
      <c r="N867" t="n">
        <v>0</v>
      </c>
      <c r="O867" t="n">
        <v>0</v>
      </c>
      <c r="P867" t="n">
        <v>0</v>
      </c>
      <c r="Q867" t="n">
        <v>0</v>
      </c>
      <c r="R867" s="2" t="inlineStr"/>
    </row>
    <row r="868" ht="15" customHeight="1">
      <c r="A868" t="inlineStr">
        <is>
          <t>A 45970-2023</t>
        </is>
      </c>
      <c r="B868" s="1" t="n">
        <v>45195</v>
      </c>
      <c r="C868" s="1" t="n">
        <v>45508</v>
      </c>
      <c r="D868" t="inlineStr">
        <is>
          <t>VÄSTERBOTTENS LÄN</t>
        </is>
      </c>
      <c r="E868" t="inlineStr">
        <is>
          <t>VILHELMINA</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45971-2023</t>
        </is>
      </c>
      <c r="B869" s="1" t="n">
        <v>45195</v>
      </c>
      <c r="C869" s="1" t="n">
        <v>45508</v>
      </c>
      <c r="D869" t="inlineStr">
        <is>
          <t>VÄSTERBOTTENS LÄN</t>
        </is>
      </c>
      <c r="E869" t="inlineStr">
        <is>
          <t>VILHELMINA</t>
        </is>
      </c>
      <c r="F869" t="inlineStr">
        <is>
          <t>SCA</t>
        </is>
      </c>
      <c r="G869" t="n">
        <v>48.3</v>
      </c>
      <c r="H869" t="n">
        <v>0</v>
      </c>
      <c r="I869" t="n">
        <v>0</v>
      </c>
      <c r="J869" t="n">
        <v>0</v>
      </c>
      <c r="K869" t="n">
        <v>0</v>
      </c>
      <c r="L869" t="n">
        <v>0</v>
      </c>
      <c r="M869" t="n">
        <v>0</v>
      </c>
      <c r="N869" t="n">
        <v>0</v>
      </c>
      <c r="O869" t="n">
        <v>0</v>
      </c>
      <c r="P869" t="n">
        <v>0</v>
      </c>
      <c r="Q869" t="n">
        <v>0</v>
      </c>
      <c r="R869" s="2" t="inlineStr"/>
    </row>
    <row r="870" ht="15" customHeight="1">
      <c r="A870" t="inlineStr">
        <is>
          <t>A 45927-2023</t>
        </is>
      </c>
      <c r="B870" s="1" t="n">
        <v>45196</v>
      </c>
      <c r="C870" s="1" t="n">
        <v>45508</v>
      </c>
      <c r="D870" t="inlineStr">
        <is>
          <t>VÄSTERBOTTENS LÄN</t>
        </is>
      </c>
      <c r="E870" t="inlineStr">
        <is>
          <t>VILHELMINA</t>
        </is>
      </c>
      <c r="G870" t="n">
        <v>4.7</v>
      </c>
      <c r="H870" t="n">
        <v>0</v>
      </c>
      <c r="I870" t="n">
        <v>0</v>
      </c>
      <c r="J870" t="n">
        <v>0</v>
      </c>
      <c r="K870" t="n">
        <v>0</v>
      </c>
      <c r="L870" t="n">
        <v>0</v>
      </c>
      <c r="M870" t="n">
        <v>0</v>
      </c>
      <c r="N870" t="n">
        <v>0</v>
      </c>
      <c r="O870" t="n">
        <v>0</v>
      </c>
      <c r="P870" t="n">
        <v>0</v>
      </c>
      <c r="Q870" t="n">
        <v>0</v>
      </c>
      <c r="R870" s="2" t="inlineStr"/>
    </row>
    <row r="871" ht="15" customHeight="1">
      <c r="A871" t="inlineStr">
        <is>
          <t>A 45965-2023</t>
        </is>
      </c>
      <c r="B871" s="1" t="n">
        <v>45196</v>
      </c>
      <c r="C871" s="1" t="n">
        <v>45508</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45926-2023</t>
        </is>
      </c>
      <c r="B872" s="1" t="n">
        <v>45196</v>
      </c>
      <c r="C872" s="1" t="n">
        <v>45508</v>
      </c>
      <c r="D872" t="inlineStr">
        <is>
          <t>VÄSTERBOTTENS LÄN</t>
        </is>
      </c>
      <c r="E872" t="inlineStr">
        <is>
          <t>VILHELMINA</t>
        </is>
      </c>
      <c r="G872" t="n">
        <v>1.1</v>
      </c>
      <c r="H872" t="n">
        <v>0</v>
      </c>
      <c r="I872" t="n">
        <v>0</v>
      </c>
      <c r="J872" t="n">
        <v>0</v>
      </c>
      <c r="K872" t="n">
        <v>0</v>
      </c>
      <c r="L872" t="n">
        <v>0</v>
      </c>
      <c r="M872" t="n">
        <v>0</v>
      </c>
      <c r="N872" t="n">
        <v>0</v>
      </c>
      <c r="O872" t="n">
        <v>0</v>
      </c>
      <c r="P872" t="n">
        <v>0</v>
      </c>
      <c r="Q872" t="n">
        <v>0</v>
      </c>
      <c r="R872" s="2" t="inlineStr"/>
    </row>
    <row r="873" ht="15" customHeight="1">
      <c r="A873" t="inlineStr">
        <is>
          <t>A 45964-2023</t>
        </is>
      </c>
      <c r="B873" s="1" t="n">
        <v>45195</v>
      </c>
      <c r="C873" s="1" t="n">
        <v>45508</v>
      </c>
      <c r="D873" t="inlineStr">
        <is>
          <t>VÄSTERBOTTENS LÄN</t>
        </is>
      </c>
      <c r="E873" t="inlineStr">
        <is>
          <t>VILHELMINA</t>
        </is>
      </c>
      <c r="F873" t="inlineStr">
        <is>
          <t>SCA</t>
        </is>
      </c>
      <c r="G873" t="n">
        <v>17.2</v>
      </c>
      <c r="H873" t="n">
        <v>0</v>
      </c>
      <c r="I873" t="n">
        <v>0</v>
      </c>
      <c r="J873" t="n">
        <v>0</v>
      </c>
      <c r="K873" t="n">
        <v>0</v>
      </c>
      <c r="L873" t="n">
        <v>0</v>
      </c>
      <c r="M873" t="n">
        <v>0</v>
      </c>
      <c r="N873" t="n">
        <v>0</v>
      </c>
      <c r="O873" t="n">
        <v>0</v>
      </c>
      <c r="P873" t="n">
        <v>0</v>
      </c>
      <c r="Q873" t="n">
        <v>0</v>
      </c>
      <c r="R873" s="2" t="inlineStr"/>
    </row>
    <row r="874" ht="15" customHeight="1">
      <c r="A874" t="inlineStr">
        <is>
          <t>A 45972-2023</t>
        </is>
      </c>
      <c r="B874" s="1" t="n">
        <v>45195</v>
      </c>
      <c r="C874" s="1" t="n">
        <v>45508</v>
      </c>
      <c r="D874" t="inlineStr">
        <is>
          <t>VÄSTERBOTTENS LÄN</t>
        </is>
      </c>
      <c r="E874" t="inlineStr">
        <is>
          <t>VILHELMINA</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46547-2023</t>
        </is>
      </c>
      <c r="B875" s="1" t="n">
        <v>45198</v>
      </c>
      <c r="C875" s="1" t="n">
        <v>45508</v>
      </c>
      <c r="D875" t="inlineStr">
        <is>
          <t>VÄSTERBOTTENS LÄN</t>
        </is>
      </c>
      <c r="E875" t="inlineStr">
        <is>
          <t>VILHELMINA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46824-2023</t>
        </is>
      </c>
      <c r="B876" s="1" t="n">
        <v>45199</v>
      </c>
      <c r="C876" s="1" t="n">
        <v>45508</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46823-2023</t>
        </is>
      </c>
      <c r="B877" s="1" t="n">
        <v>45199</v>
      </c>
      <c r="C877" s="1" t="n">
        <v>45508</v>
      </c>
      <c r="D877" t="inlineStr">
        <is>
          <t>VÄSTERBOTTENS LÄN</t>
        </is>
      </c>
      <c r="E877" t="inlineStr">
        <is>
          <t>VILHELMINA</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47482-2023</t>
        </is>
      </c>
      <c r="B878" s="1" t="n">
        <v>45203</v>
      </c>
      <c r="C878" s="1" t="n">
        <v>45508</v>
      </c>
      <c r="D878" t="inlineStr">
        <is>
          <t>VÄSTERBOTTENS LÄN</t>
        </is>
      </c>
      <c r="E878" t="inlineStr">
        <is>
          <t>VILHELMINA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47481-2023</t>
        </is>
      </c>
      <c r="B879" s="1" t="n">
        <v>45203</v>
      </c>
      <c r="C879" s="1" t="n">
        <v>45508</v>
      </c>
      <c r="D879" t="inlineStr">
        <is>
          <t>VÄSTERBOTTENS LÄN</t>
        </is>
      </c>
      <c r="E879" t="inlineStr">
        <is>
          <t>VILHELMINA</t>
        </is>
      </c>
      <c r="F879" t="inlineStr">
        <is>
          <t>SCA</t>
        </is>
      </c>
      <c r="G879" t="n">
        <v>16.4</v>
      </c>
      <c r="H879" t="n">
        <v>0</v>
      </c>
      <c r="I879" t="n">
        <v>0</v>
      </c>
      <c r="J879" t="n">
        <v>0</v>
      </c>
      <c r="K879" t="n">
        <v>0</v>
      </c>
      <c r="L879" t="n">
        <v>0</v>
      </c>
      <c r="M879" t="n">
        <v>0</v>
      </c>
      <c r="N879" t="n">
        <v>0</v>
      </c>
      <c r="O879" t="n">
        <v>0</v>
      </c>
      <c r="P879" t="n">
        <v>0</v>
      </c>
      <c r="Q879" t="n">
        <v>0</v>
      </c>
      <c r="R879" s="2" t="inlineStr"/>
    </row>
    <row r="880" ht="15" customHeight="1">
      <c r="A880" t="inlineStr">
        <is>
          <t>A 47480-2023</t>
        </is>
      </c>
      <c r="B880" s="1" t="n">
        <v>45203</v>
      </c>
      <c r="C880" s="1" t="n">
        <v>45508</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47479-2023</t>
        </is>
      </c>
      <c r="B881" s="1" t="n">
        <v>45203</v>
      </c>
      <c r="C881" s="1" t="n">
        <v>45508</v>
      </c>
      <c r="D881" t="inlineStr">
        <is>
          <t>VÄSTERBOTTENS LÄN</t>
        </is>
      </c>
      <c r="E881" t="inlineStr">
        <is>
          <t>VILHELMINA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47483-2023</t>
        </is>
      </c>
      <c r="B882" s="1" t="n">
        <v>45203</v>
      </c>
      <c r="C882" s="1" t="n">
        <v>45508</v>
      </c>
      <c r="D882" t="inlineStr">
        <is>
          <t>VÄSTERBOTTENS LÄN</t>
        </is>
      </c>
      <c r="E882" t="inlineStr">
        <is>
          <t>VILHELMINA</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48368-2023</t>
        </is>
      </c>
      <c r="B883" s="1" t="n">
        <v>45205</v>
      </c>
      <c r="C883" s="1" t="n">
        <v>45508</v>
      </c>
      <c r="D883" t="inlineStr">
        <is>
          <t>VÄSTERBOTTENS LÄN</t>
        </is>
      </c>
      <c r="E883" t="inlineStr">
        <is>
          <t>VILHELMINA</t>
        </is>
      </c>
      <c r="F883" t="inlineStr">
        <is>
          <t>Sveaskog</t>
        </is>
      </c>
      <c r="G883" t="n">
        <v>16.8</v>
      </c>
      <c r="H883" t="n">
        <v>0</v>
      </c>
      <c r="I883" t="n">
        <v>0</v>
      </c>
      <c r="J883" t="n">
        <v>0</v>
      </c>
      <c r="K883" t="n">
        <v>0</v>
      </c>
      <c r="L883" t="n">
        <v>0</v>
      </c>
      <c r="M883" t="n">
        <v>0</v>
      </c>
      <c r="N883" t="n">
        <v>0</v>
      </c>
      <c r="O883" t="n">
        <v>0</v>
      </c>
      <c r="P883" t="n">
        <v>0</v>
      </c>
      <c r="Q883" t="n">
        <v>0</v>
      </c>
      <c r="R883" s="2" t="inlineStr"/>
    </row>
    <row r="884" ht="15" customHeight="1">
      <c r="A884" t="inlineStr">
        <is>
          <t>A 48424-2023</t>
        </is>
      </c>
      <c r="B884" s="1" t="n">
        <v>45205</v>
      </c>
      <c r="C884" s="1" t="n">
        <v>45508</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48372-2023</t>
        </is>
      </c>
      <c r="B885" s="1" t="n">
        <v>45205</v>
      </c>
      <c r="C885" s="1" t="n">
        <v>45508</v>
      </c>
      <c r="D885" t="inlineStr">
        <is>
          <t>VÄSTERBOTTENS LÄN</t>
        </is>
      </c>
      <c r="E885" t="inlineStr">
        <is>
          <t>VILHELMINA</t>
        </is>
      </c>
      <c r="F885" t="inlineStr">
        <is>
          <t>Sveaskog</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48423-2023</t>
        </is>
      </c>
      <c r="B886" s="1" t="n">
        <v>45205</v>
      </c>
      <c r="C886" s="1" t="n">
        <v>45508</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48422-2023</t>
        </is>
      </c>
      <c r="B887" s="1" t="n">
        <v>45205</v>
      </c>
      <c r="C887" s="1" t="n">
        <v>45508</v>
      </c>
      <c r="D887" t="inlineStr">
        <is>
          <t>VÄSTERBOTTENS LÄN</t>
        </is>
      </c>
      <c r="E887" t="inlineStr">
        <is>
          <t>VILHELMINA</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48370-2023</t>
        </is>
      </c>
      <c r="B888" s="1" t="n">
        <v>45205</v>
      </c>
      <c r="C888" s="1" t="n">
        <v>45508</v>
      </c>
      <c r="D888" t="inlineStr">
        <is>
          <t>VÄSTERBOTTENS LÄN</t>
        </is>
      </c>
      <c r="E888" t="inlineStr">
        <is>
          <t>VILHELMINA</t>
        </is>
      </c>
      <c r="F888" t="inlineStr">
        <is>
          <t>Sveaskog</t>
        </is>
      </c>
      <c r="G888" t="n">
        <v>7.7</v>
      </c>
      <c r="H888" t="n">
        <v>0</v>
      </c>
      <c r="I888" t="n">
        <v>0</v>
      </c>
      <c r="J888" t="n">
        <v>0</v>
      </c>
      <c r="K888" t="n">
        <v>0</v>
      </c>
      <c r="L888" t="n">
        <v>0</v>
      </c>
      <c r="M888" t="n">
        <v>0</v>
      </c>
      <c r="N888" t="n">
        <v>0</v>
      </c>
      <c r="O888" t="n">
        <v>0</v>
      </c>
      <c r="P888" t="n">
        <v>0</v>
      </c>
      <c r="Q888" t="n">
        <v>0</v>
      </c>
      <c r="R888" s="2" t="inlineStr"/>
    </row>
    <row r="889" ht="15" customHeight="1">
      <c r="A889" t="inlineStr">
        <is>
          <t>A 48471-2023</t>
        </is>
      </c>
      <c r="B889" s="1" t="n">
        <v>45207</v>
      </c>
      <c r="C889" s="1" t="n">
        <v>45508</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48470-2023</t>
        </is>
      </c>
      <c r="B890" s="1" t="n">
        <v>45207</v>
      </c>
      <c r="C890" s="1" t="n">
        <v>45508</v>
      </c>
      <c r="D890" t="inlineStr">
        <is>
          <t>VÄSTERBOTTENS LÄN</t>
        </is>
      </c>
      <c r="E890" t="inlineStr">
        <is>
          <t>VILHELMINA</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48483-2023</t>
        </is>
      </c>
      <c r="B891" s="1" t="n">
        <v>45207</v>
      </c>
      <c r="C891" s="1" t="n">
        <v>45508</v>
      </c>
      <c r="D891" t="inlineStr">
        <is>
          <t>VÄSTERBOTTENS LÄN</t>
        </is>
      </c>
      <c r="E891" t="inlineStr">
        <is>
          <t>VILHELMINA</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48472-2023</t>
        </is>
      </c>
      <c r="B892" s="1" t="n">
        <v>45207</v>
      </c>
      <c r="C892" s="1" t="n">
        <v>45508</v>
      </c>
      <c r="D892" t="inlineStr">
        <is>
          <t>VÄSTERBOTTENS LÄN</t>
        </is>
      </c>
      <c r="E892" t="inlineStr">
        <is>
          <t>VILHELMINA</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48505-2023</t>
        </is>
      </c>
      <c r="B893" s="1" t="n">
        <v>45208</v>
      </c>
      <c r="C893" s="1" t="n">
        <v>45508</v>
      </c>
      <c r="D893" t="inlineStr">
        <is>
          <t>VÄSTERBOTTENS LÄN</t>
        </is>
      </c>
      <c r="E893" t="inlineStr">
        <is>
          <t>VILHELMINA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50347-2023</t>
        </is>
      </c>
      <c r="B894" s="1" t="n">
        <v>45209</v>
      </c>
      <c r="C894" s="1" t="n">
        <v>45508</v>
      </c>
      <c r="D894" t="inlineStr">
        <is>
          <t>VÄSTERBOTTENS LÄN</t>
        </is>
      </c>
      <c r="E894" t="inlineStr">
        <is>
          <t>VILHELMINA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49310-2023</t>
        </is>
      </c>
      <c r="B895" s="1" t="n">
        <v>45210</v>
      </c>
      <c r="C895" s="1" t="n">
        <v>45508</v>
      </c>
      <c r="D895" t="inlineStr">
        <is>
          <t>VÄSTERBOTTENS LÄN</t>
        </is>
      </c>
      <c r="E895" t="inlineStr">
        <is>
          <t>VILHELMINA</t>
        </is>
      </c>
      <c r="G895" t="n">
        <v>25.1</v>
      </c>
      <c r="H895" t="n">
        <v>0</v>
      </c>
      <c r="I895" t="n">
        <v>0</v>
      </c>
      <c r="J895" t="n">
        <v>0</v>
      </c>
      <c r="K895" t="n">
        <v>0</v>
      </c>
      <c r="L895" t="n">
        <v>0</v>
      </c>
      <c r="M895" t="n">
        <v>0</v>
      </c>
      <c r="N895" t="n">
        <v>0</v>
      </c>
      <c r="O895" t="n">
        <v>0</v>
      </c>
      <c r="P895" t="n">
        <v>0</v>
      </c>
      <c r="Q895" t="n">
        <v>0</v>
      </c>
      <c r="R895" s="2" t="inlineStr"/>
    </row>
    <row r="896" ht="15" customHeight="1">
      <c r="A896" t="inlineStr">
        <is>
          <t>A 49642-2023</t>
        </is>
      </c>
      <c r="B896" s="1" t="n">
        <v>45212</v>
      </c>
      <c r="C896" s="1" t="n">
        <v>45508</v>
      </c>
      <c r="D896" t="inlineStr">
        <is>
          <t>VÄSTERBOTTENS LÄN</t>
        </is>
      </c>
      <c r="E896" t="inlineStr">
        <is>
          <t>VILHELMINA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49652-2023</t>
        </is>
      </c>
      <c r="B897" s="1" t="n">
        <v>45212</v>
      </c>
      <c r="C897" s="1" t="n">
        <v>45508</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49860-2023</t>
        </is>
      </c>
      <c r="B898" s="1" t="n">
        <v>45212</v>
      </c>
      <c r="C898" s="1" t="n">
        <v>45508</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50505-2023</t>
        </is>
      </c>
      <c r="B899" s="1" t="n">
        <v>45217</v>
      </c>
      <c r="C899" s="1" t="n">
        <v>45508</v>
      </c>
      <c r="D899" t="inlineStr">
        <is>
          <t>VÄSTERBOTTENS LÄN</t>
        </is>
      </c>
      <c r="E899" t="inlineStr">
        <is>
          <t>VILHELMINA</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50502-2023</t>
        </is>
      </c>
      <c r="B900" s="1" t="n">
        <v>45217</v>
      </c>
      <c r="C900" s="1" t="n">
        <v>45508</v>
      </c>
      <c r="D900" t="inlineStr">
        <is>
          <t>VÄSTERBOTTENS LÄN</t>
        </is>
      </c>
      <c r="E900" t="inlineStr">
        <is>
          <t>VILHELMINA</t>
        </is>
      </c>
      <c r="F900" t="inlineStr">
        <is>
          <t>SCA</t>
        </is>
      </c>
      <c r="G900" t="n">
        <v>30.6</v>
      </c>
      <c r="H900" t="n">
        <v>0</v>
      </c>
      <c r="I900" t="n">
        <v>0</v>
      </c>
      <c r="J900" t="n">
        <v>0</v>
      </c>
      <c r="K900" t="n">
        <v>0</v>
      </c>
      <c r="L900" t="n">
        <v>0</v>
      </c>
      <c r="M900" t="n">
        <v>0</v>
      </c>
      <c r="N900" t="n">
        <v>0</v>
      </c>
      <c r="O900" t="n">
        <v>0</v>
      </c>
      <c r="P900" t="n">
        <v>0</v>
      </c>
      <c r="Q900" t="n">
        <v>0</v>
      </c>
      <c r="R900" s="2" t="inlineStr"/>
    </row>
    <row r="901" ht="15" customHeight="1">
      <c r="A901" t="inlineStr">
        <is>
          <t>A 50506-2023</t>
        </is>
      </c>
      <c r="B901" s="1" t="n">
        <v>45217</v>
      </c>
      <c r="C901" s="1" t="n">
        <v>45508</v>
      </c>
      <c r="D901" t="inlineStr">
        <is>
          <t>VÄSTERBOTTENS LÄN</t>
        </is>
      </c>
      <c r="E901" t="inlineStr">
        <is>
          <t>VILHELMINA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50499-2023</t>
        </is>
      </c>
      <c r="B902" s="1" t="n">
        <v>45217</v>
      </c>
      <c r="C902" s="1" t="n">
        <v>45508</v>
      </c>
      <c r="D902" t="inlineStr">
        <is>
          <t>VÄSTERBOTTENS LÄN</t>
        </is>
      </c>
      <c r="E902" t="inlineStr">
        <is>
          <t>VILHELMINA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50500-2023</t>
        </is>
      </c>
      <c r="B903" s="1" t="n">
        <v>45217</v>
      </c>
      <c r="C903" s="1" t="n">
        <v>45508</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50494-2023</t>
        </is>
      </c>
      <c r="B904" s="1" t="n">
        <v>45217</v>
      </c>
      <c r="C904" s="1" t="n">
        <v>45508</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50490-2023</t>
        </is>
      </c>
      <c r="B905" s="1" t="n">
        <v>45217</v>
      </c>
      <c r="C905" s="1" t="n">
        <v>45508</v>
      </c>
      <c r="D905" t="inlineStr">
        <is>
          <t>VÄSTERBOTTENS LÄN</t>
        </is>
      </c>
      <c r="E905" t="inlineStr">
        <is>
          <t>VILHELMINA</t>
        </is>
      </c>
      <c r="F905" t="inlineStr">
        <is>
          <t>SCA</t>
        </is>
      </c>
      <c r="G905" t="n">
        <v>12.3</v>
      </c>
      <c r="H905" t="n">
        <v>0</v>
      </c>
      <c r="I905" t="n">
        <v>0</v>
      </c>
      <c r="J905" t="n">
        <v>0</v>
      </c>
      <c r="K905" t="n">
        <v>0</v>
      </c>
      <c r="L905" t="n">
        <v>0</v>
      </c>
      <c r="M905" t="n">
        <v>0</v>
      </c>
      <c r="N905" t="n">
        <v>0</v>
      </c>
      <c r="O905" t="n">
        <v>0</v>
      </c>
      <c r="P905" t="n">
        <v>0</v>
      </c>
      <c r="Q905" t="n">
        <v>0</v>
      </c>
      <c r="R905" s="2" t="inlineStr"/>
    </row>
    <row r="906" ht="15" customHeight="1">
      <c r="A906" t="inlineStr">
        <is>
          <t>A 50482-2023</t>
        </is>
      </c>
      <c r="B906" s="1" t="n">
        <v>45216</v>
      </c>
      <c r="C906" s="1" t="n">
        <v>45508</v>
      </c>
      <c r="D906" t="inlineStr">
        <is>
          <t>VÄSTERBOTTENS LÄN</t>
        </is>
      </c>
      <c r="E906" t="inlineStr">
        <is>
          <t>VILHELMINA</t>
        </is>
      </c>
      <c r="G906" t="n">
        <v>3.5</v>
      </c>
      <c r="H906" t="n">
        <v>0</v>
      </c>
      <c r="I906" t="n">
        <v>0</v>
      </c>
      <c r="J906" t="n">
        <v>0</v>
      </c>
      <c r="K906" t="n">
        <v>0</v>
      </c>
      <c r="L906" t="n">
        <v>0</v>
      </c>
      <c r="M906" t="n">
        <v>0</v>
      </c>
      <c r="N906" t="n">
        <v>0</v>
      </c>
      <c r="O906" t="n">
        <v>0</v>
      </c>
      <c r="P906" t="n">
        <v>0</v>
      </c>
      <c r="Q906" t="n">
        <v>0</v>
      </c>
      <c r="R906" s="2" t="inlineStr"/>
    </row>
    <row r="907" ht="15" customHeight="1">
      <c r="A907" t="inlineStr">
        <is>
          <t>A 50501-2023</t>
        </is>
      </c>
      <c r="B907" s="1" t="n">
        <v>45216</v>
      </c>
      <c r="C907" s="1" t="n">
        <v>45508</v>
      </c>
      <c r="D907" t="inlineStr">
        <is>
          <t>VÄSTERBOTTENS LÄN</t>
        </is>
      </c>
      <c r="E907" t="inlineStr">
        <is>
          <t>VILHELMINA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50489-2023</t>
        </is>
      </c>
      <c r="B908" s="1" t="n">
        <v>45217</v>
      </c>
      <c r="C908" s="1" t="n">
        <v>45508</v>
      </c>
      <c r="D908" t="inlineStr">
        <is>
          <t>VÄSTERBOTTENS LÄN</t>
        </is>
      </c>
      <c r="E908" t="inlineStr">
        <is>
          <t>VILHELMINA</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50655-2023</t>
        </is>
      </c>
      <c r="B909" s="1" t="n">
        <v>45217</v>
      </c>
      <c r="C909" s="1" t="n">
        <v>45508</v>
      </c>
      <c r="D909" t="inlineStr">
        <is>
          <t>VÄSTERBOTTENS LÄN</t>
        </is>
      </c>
      <c r="E909" t="inlineStr">
        <is>
          <t>VILHELMINA</t>
        </is>
      </c>
      <c r="F909" t="inlineStr">
        <is>
          <t>Sveaskog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50830-2023</t>
        </is>
      </c>
      <c r="B910" s="1" t="n">
        <v>45218</v>
      </c>
      <c r="C910" s="1" t="n">
        <v>45508</v>
      </c>
      <c r="D910" t="inlineStr">
        <is>
          <t>VÄSTERBOTTENS LÄN</t>
        </is>
      </c>
      <c r="E910" t="inlineStr">
        <is>
          <t>VILHELMINA</t>
        </is>
      </c>
      <c r="F910" t="inlineStr">
        <is>
          <t>SCA</t>
        </is>
      </c>
      <c r="G910" t="n">
        <v>31.1</v>
      </c>
      <c r="H910" t="n">
        <v>0</v>
      </c>
      <c r="I910" t="n">
        <v>0</v>
      </c>
      <c r="J910" t="n">
        <v>0</v>
      </c>
      <c r="K910" t="n">
        <v>0</v>
      </c>
      <c r="L910" t="n">
        <v>0</v>
      </c>
      <c r="M910" t="n">
        <v>0</v>
      </c>
      <c r="N910" t="n">
        <v>0</v>
      </c>
      <c r="O910" t="n">
        <v>0</v>
      </c>
      <c r="P910" t="n">
        <v>0</v>
      </c>
      <c r="Q910" t="n">
        <v>0</v>
      </c>
      <c r="R910" s="2" t="inlineStr"/>
    </row>
    <row r="911" ht="15" customHeight="1">
      <c r="A911" t="inlineStr">
        <is>
          <t>A 51825-2023</t>
        </is>
      </c>
      <c r="B911" s="1" t="n">
        <v>45222</v>
      </c>
      <c r="C911" s="1" t="n">
        <v>45508</v>
      </c>
      <c r="D911" t="inlineStr">
        <is>
          <t>VÄSTERBOTTENS LÄN</t>
        </is>
      </c>
      <c r="E911" t="inlineStr">
        <is>
          <t>VILHELMINA</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51826-2023</t>
        </is>
      </c>
      <c r="B912" s="1" t="n">
        <v>45223</v>
      </c>
      <c r="C912" s="1" t="n">
        <v>45508</v>
      </c>
      <c r="D912" t="inlineStr">
        <is>
          <t>VÄSTERBOTTENS LÄN</t>
        </is>
      </c>
      <c r="E912" t="inlineStr">
        <is>
          <t>VILHELMINA</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52123-2023</t>
        </is>
      </c>
      <c r="B913" s="1" t="n">
        <v>45224</v>
      </c>
      <c r="C913" s="1" t="n">
        <v>45508</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52740-2023</t>
        </is>
      </c>
      <c r="B914" s="1" t="n">
        <v>45225</v>
      </c>
      <c r="C914" s="1" t="n">
        <v>45508</v>
      </c>
      <c r="D914" t="inlineStr">
        <is>
          <t>VÄSTERBOTTENS LÄN</t>
        </is>
      </c>
      <c r="E914" t="inlineStr">
        <is>
          <t>VILHELMINA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52744-2023</t>
        </is>
      </c>
      <c r="B915" s="1" t="n">
        <v>45226</v>
      </c>
      <c r="C915" s="1" t="n">
        <v>45508</v>
      </c>
      <c r="D915" t="inlineStr">
        <is>
          <t>VÄSTERBOTTENS LÄN</t>
        </is>
      </c>
      <c r="E915" t="inlineStr">
        <is>
          <t>VILHELMINA</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52748-2023</t>
        </is>
      </c>
      <c r="B916" s="1" t="n">
        <v>45225</v>
      </c>
      <c r="C916" s="1" t="n">
        <v>45508</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52745-2023</t>
        </is>
      </c>
      <c r="B917" s="1" t="n">
        <v>45226</v>
      </c>
      <c r="C917" s="1" t="n">
        <v>45508</v>
      </c>
      <c r="D917" t="inlineStr">
        <is>
          <t>VÄSTERBOTTENS LÄN</t>
        </is>
      </c>
      <c r="E917" t="inlineStr">
        <is>
          <t>VILHELMINA</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52749-2023</t>
        </is>
      </c>
      <c r="B918" s="1" t="n">
        <v>45226</v>
      </c>
      <c r="C918" s="1" t="n">
        <v>45508</v>
      </c>
      <c r="D918" t="inlineStr">
        <is>
          <t>VÄSTERBOTTENS LÄN</t>
        </is>
      </c>
      <c r="E918" t="inlineStr">
        <is>
          <t>VILHELMINA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52746-2023</t>
        </is>
      </c>
      <c r="B919" s="1" t="n">
        <v>45226</v>
      </c>
      <c r="C919" s="1" t="n">
        <v>45508</v>
      </c>
      <c r="D919" t="inlineStr">
        <is>
          <t>VÄSTERBOTTENS LÄN</t>
        </is>
      </c>
      <c r="E919" t="inlineStr">
        <is>
          <t>VILHELMINA</t>
        </is>
      </c>
      <c r="F919" t="inlineStr">
        <is>
          <t>SCA</t>
        </is>
      </c>
      <c r="G919" t="n">
        <v>10.4</v>
      </c>
      <c r="H919" t="n">
        <v>0</v>
      </c>
      <c r="I919" t="n">
        <v>0</v>
      </c>
      <c r="J919" t="n">
        <v>0</v>
      </c>
      <c r="K919" t="n">
        <v>0</v>
      </c>
      <c r="L919" t="n">
        <v>0</v>
      </c>
      <c r="M919" t="n">
        <v>0</v>
      </c>
      <c r="N919" t="n">
        <v>0</v>
      </c>
      <c r="O919" t="n">
        <v>0</v>
      </c>
      <c r="P919" t="n">
        <v>0</v>
      </c>
      <c r="Q919" t="n">
        <v>0</v>
      </c>
      <c r="R919" s="2" t="inlineStr"/>
    </row>
    <row r="920" ht="15" customHeight="1">
      <c r="A920" t="inlineStr">
        <is>
          <t>A 52747-2023</t>
        </is>
      </c>
      <c r="B920" s="1" t="n">
        <v>45226</v>
      </c>
      <c r="C920" s="1" t="n">
        <v>45508</v>
      </c>
      <c r="D920" t="inlineStr">
        <is>
          <t>VÄSTERBOTTENS LÄN</t>
        </is>
      </c>
      <c r="E920" t="inlineStr">
        <is>
          <t>VILHELMINA</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53034-2023</t>
        </is>
      </c>
      <c r="B921" s="1" t="n">
        <v>45227</v>
      </c>
      <c r="C921" s="1" t="n">
        <v>45508</v>
      </c>
      <c r="D921" t="inlineStr">
        <is>
          <t>VÄSTERBOTTENS LÄN</t>
        </is>
      </c>
      <c r="E921" t="inlineStr">
        <is>
          <t>VILHELMINA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54931-2023</t>
        </is>
      </c>
      <c r="B922" s="1" t="n">
        <v>45229</v>
      </c>
      <c r="C922" s="1" t="n">
        <v>45508</v>
      </c>
      <c r="D922" t="inlineStr">
        <is>
          <t>VÄSTERBOTTENS LÄN</t>
        </is>
      </c>
      <c r="E922" t="inlineStr">
        <is>
          <t>VILHELMINA</t>
        </is>
      </c>
      <c r="G922" t="n">
        <v>14.5</v>
      </c>
      <c r="H922" t="n">
        <v>0</v>
      </c>
      <c r="I922" t="n">
        <v>0</v>
      </c>
      <c r="J922" t="n">
        <v>0</v>
      </c>
      <c r="K922" t="n">
        <v>0</v>
      </c>
      <c r="L922" t="n">
        <v>0</v>
      </c>
      <c r="M922" t="n">
        <v>0</v>
      </c>
      <c r="N922" t="n">
        <v>0</v>
      </c>
      <c r="O922" t="n">
        <v>0</v>
      </c>
      <c r="P922" t="n">
        <v>0</v>
      </c>
      <c r="Q922" t="n">
        <v>0</v>
      </c>
      <c r="R922" s="2" t="inlineStr"/>
    </row>
    <row r="923" ht="15" customHeight="1">
      <c r="A923" t="inlineStr">
        <is>
          <t>A 55051-2023</t>
        </is>
      </c>
      <c r="B923" s="1" t="n">
        <v>45229</v>
      </c>
      <c r="C923" s="1" t="n">
        <v>45508</v>
      </c>
      <c r="D923" t="inlineStr">
        <is>
          <t>VÄSTERBOTTENS LÄN</t>
        </is>
      </c>
      <c r="E923" t="inlineStr">
        <is>
          <t>VILHELMINA</t>
        </is>
      </c>
      <c r="G923" t="n">
        <v>12.1</v>
      </c>
      <c r="H923" t="n">
        <v>0</v>
      </c>
      <c r="I923" t="n">
        <v>0</v>
      </c>
      <c r="J923" t="n">
        <v>0</v>
      </c>
      <c r="K923" t="n">
        <v>0</v>
      </c>
      <c r="L923" t="n">
        <v>0</v>
      </c>
      <c r="M923" t="n">
        <v>0</v>
      </c>
      <c r="N923" t="n">
        <v>0</v>
      </c>
      <c r="O923" t="n">
        <v>0</v>
      </c>
      <c r="P923" t="n">
        <v>0</v>
      </c>
      <c r="Q923" t="n">
        <v>0</v>
      </c>
      <c r="R923" s="2" t="inlineStr"/>
    </row>
    <row r="924" ht="15" customHeight="1">
      <c r="A924" t="inlineStr">
        <is>
          <t>A 55200-2023</t>
        </is>
      </c>
      <c r="B924" s="1" t="n">
        <v>45230</v>
      </c>
      <c r="C924" s="1" t="n">
        <v>45508</v>
      </c>
      <c r="D924" t="inlineStr">
        <is>
          <t>VÄSTERBOTTENS LÄN</t>
        </is>
      </c>
      <c r="E924" t="inlineStr">
        <is>
          <t>VILHELMINA</t>
        </is>
      </c>
      <c r="G924" t="n">
        <v>20.8</v>
      </c>
      <c r="H924" t="n">
        <v>0</v>
      </c>
      <c r="I924" t="n">
        <v>0</v>
      </c>
      <c r="J924" t="n">
        <v>0</v>
      </c>
      <c r="K924" t="n">
        <v>0</v>
      </c>
      <c r="L924" t="n">
        <v>0</v>
      </c>
      <c r="M924" t="n">
        <v>0</v>
      </c>
      <c r="N924" t="n">
        <v>0</v>
      </c>
      <c r="O924" t="n">
        <v>0</v>
      </c>
      <c r="P924" t="n">
        <v>0</v>
      </c>
      <c r="Q924" t="n">
        <v>0</v>
      </c>
      <c r="R924" s="2" t="inlineStr"/>
    </row>
    <row r="925" ht="15" customHeight="1">
      <c r="A925" t="inlineStr">
        <is>
          <t>A 55159-2023</t>
        </is>
      </c>
      <c r="B925" s="1" t="n">
        <v>45230</v>
      </c>
      <c r="C925" s="1" t="n">
        <v>45508</v>
      </c>
      <c r="D925" t="inlineStr">
        <is>
          <t>VÄSTERBOTTENS LÄN</t>
        </is>
      </c>
      <c r="E925" t="inlineStr">
        <is>
          <t>VILHELMINA</t>
        </is>
      </c>
      <c r="G925" t="n">
        <v>24.4</v>
      </c>
      <c r="H925" t="n">
        <v>0</v>
      </c>
      <c r="I925" t="n">
        <v>0</v>
      </c>
      <c r="J925" t="n">
        <v>0</v>
      </c>
      <c r="K925" t="n">
        <v>0</v>
      </c>
      <c r="L925" t="n">
        <v>0</v>
      </c>
      <c r="M925" t="n">
        <v>0</v>
      </c>
      <c r="N925" t="n">
        <v>0</v>
      </c>
      <c r="O925" t="n">
        <v>0</v>
      </c>
      <c r="P925" t="n">
        <v>0</v>
      </c>
      <c r="Q925" t="n">
        <v>0</v>
      </c>
      <c r="R925" s="2" t="inlineStr"/>
    </row>
    <row r="926" ht="15" customHeight="1">
      <c r="A926" t="inlineStr">
        <is>
          <t>A 54316-2023</t>
        </is>
      </c>
      <c r="B926" s="1" t="n">
        <v>45232</v>
      </c>
      <c r="C926" s="1" t="n">
        <v>45508</v>
      </c>
      <c r="D926" t="inlineStr">
        <is>
          <t>VÄSTERBOTTENS LÄN</t>
        </is>
      </c>
      <c r="E926" t="inlineStr">
        <is>
          <t>VILHELMINA</t>
        </is>
      </c>
      <c r="G926" t="n">
        <v>4.1</v>
      </c>
      <c r="H926" t="n">
        <v>0</v>
      </c>
      <c r="I926" t="n">
        <v>0</v>
      </c>
      <c r="J926" t="n">
        <v>0</v>
      </c>
      <c r="K926" t="n">
        <v>0</v>
      </c>
      <c r="L926" t="n">
        <v>0</v>
      </c>
      <c r="M926" t="n">
        <v>0</v>
      </c>
      <c r="N926" t="n">
        <v>0</v>
      </c>
      <c r="O926" t="n">
        <v>0</v>
      </c>
      <c r="P926" t="n">
        <v>0</v>
      </c>
      <c r="Q926" t="n">
        <v>0</v>
      </c>
      <c r="R926" s="2" t="inlineStr"/>
    </row>
    <row r="927" ht="15" customHeight="1">
      <c r="A927" t="inlineStr">
        <is>
          <t>A 55714-2023</t>
        </is>
      </c>
      <c r="B927" s="1" t="n">
        <v>45232</v>
      </c>
      <c r="C927" s="1" t="n">
        <v>45508</v>
      </c>
      <c r="D927" t="inlineStr">
        <is>
          <t>VÄSTERBOTTENS LÄN</t>
        </is>
      </c>
      <c r="E927" t="inlineStr">
        <is>
          <t>VILHELMINA</t>
        </is>
      </c>
      <c r="G927" t="n">
        <v>1.8</v>
      </c>
      <c r="H927" t="n">
        <v>0</v>
      </c>
      <c r="I927" t="n">
        <v>0</v>
      </c>
      <c r="J927" t="n">
        <v>0</v>
      </c>
      <c r="K927" t="n">
        <v>0</v>
      </c>
      <c r="L927" t="n">
        <v>0</v>
      </c>
      <c r="M927" t="n">
        <v>0</v>
      </c>
      <c r="N927" t="n">
        <v>0</v>
      </c>
      <c r="O927" t="n">
        <v>0</v>
      </c>
      <c r="P927" t="n">
        <v>0</v>
      </c>
      <c r="Q927" t="n">
        <v>0</v>
      </c>
      <c r="R927" s="2" t="inlineStr"/>
    </row>
    <row r="928" ht="15" customHeight="1">
      <c r="A928" t="inlineStr">
        <is>
          <t>A 55688-2023</t>
        </is>
      </c>
      <c r="B928" s="1" t="n">
        <v>45232</v>
      </c>
      <c r="C928" s="1" t="n">
        <v>45508</v>
      </c>
      <c r="D928" t="inlineStr">
        <is>
          <t>VÄSTERBOTTENS LÄN</t>
        </is>
      </c>
      <c r="E928" t="inlineStr">
        <is>
          <t>VILHELMINA</t>
        </is>
      </c>
      <c r="G928" t="n">
        <v>6.4</v>
      </c>
      <c r="H928" t="n">
        <v>0</v>
      </c>
      <c r="I928" t="n">
        <v>0</v>
      </c>
      <c r="J928" t="n">
        <v>0</v>
      </c>
      <c r="K928" t="n">
        <v>0</v>
      </c>
      <c r="L928" t="n">
        <v>0</v>
      </c>
      <c r="M928" t="n">
        <v>0</v>
      </c>
      <c r="N928" t="n">
        <v>0</v>
      </c>
      <c r="O928" t="n">
        <v>0</v>
      </c>
      <c r="P928" t="n">
        <v>0</v>
      </c>
      <c r="Q928" t="n">
        <v>0</v>
      </c>
      <c r="R928" s="2" t="inlineStr"/>
    </row>
    <row r="929" ht="15" customHeight="1">
      <c r="A929" t="inlineStr">
        <is>
          <t>A 55722-2023</t>
        </is>
      </c>
      <c r="B929" s="1" t="n">
        <v>45232</v>
      </c>
      <c r="C929" s="1" t="n">
        <v>45508</v>
      </c>
      <c r="D929" t="inlineStr">
        <is>
          <t>VÄSTERBOTTENS LÄN</t>
        </is>
      </c>
      <c r="E929" t="inlineStr">
        <is>
          <t>VILHELMINA</t>
        </is>
      </c>
      <c r="G929" t="n">
        <v>5.8</v>
      </c>
      <c r="H929" t="n">
        <v>0</v>
      </c>
      <c r="I929" t="n">
        <v>0</v>
      </c>
      <c r="J929" t="n">
        <v>0</v>
      </c>
      <c r="K929" t="n">
        <v>0</v>
      </c>
      <c r="L929" t="n">
        <v>0</v>
      </c>
      <c r="M929" t="n">
        <v>0</v>
      </c>
      <c r="N929" t="n">
        <v>0</v>
      </c>
      <c r="O929" t="n">
        <v>0</v>
      </c>
      <c r="P929" t="n">
        <v>0</v>
      </c>
      <c r="Q929" t="n">
        <v>0</v>
      </c>
      <c r="R929" s="2" t="inlineStr"/>
    </row>
    <row r="930" ht="15" customHeight="1">
      <c r="A930" t="inlineStr">
        <is>
          <t>A 55706-2023</t>
        </is>
      </c>
      <c r="B930" s="1" t="n">
        <v>45232</v>
      </c>
      <c r="C930" s="1" t="n">
        <v>45508</v>
      </c>
      <c r="D930" t="inlineStr">
        <is>
          <t>VÄSTERBOTTENS LÄN</t>
        </is>
      </c>
      <c r="E930" t="inlineStr">
        <is>
          <t>VILHELMINA</t>
        </is>
      </c>
      <c r="G930" t="n">
        <v>17.3</v>
      </c>
      <c r="H930" t="n">
        <v>0</v>
      </c>
      <c r="I930" t="n">
        <v>0</v>
      </c>
      <c r="J930" t="n">
        <v>0</v>
      </c>
      <c r="K930" t="n">
        <v>0</v>
      </c>
      <c r="L930" t="n">
        <v>0</v>
      </c>
      <c r="M930" t="n">
        <v>0</v>
      </c>
      <c r="N930" t="n">
        <v>0</v>
      </c>
      <c r="O930" t="n">
        <v>0</v>
      </c>
      <c r="P930" t="n">
        <v>0</v>
      </c>
      <c r="Q930" t="n">
        <v>0</v>
      </c>
      <c r="R930" s="2" t="inlineStr"/>
    </row>
    <row r="931" ht="15" customHeight="1">
      <c r="A931" t="inlineStr">
        <is>
          <t>A 54601-2023</t>
        </is>
      </c>
      <c r="B931" s="1" t="n">
        <v>45233</v>
      </c>
      <c r="C931" s="1" t="n">
        <v>45508</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54733-2023</t>
        </is>
      </c>
      <c r="B932" s="1" t="n">
        <v>45236</v>
      </c>
      <c r="C932" s="1" t="n">
        <v>45508</v>
      </c>
      <c r="D932" t="inlineStr">
        <is>
          <t>VÄSTERBOTTENS LÄN</t>
        </is>
      </c>
      <c r="E932" t="inlineStr">
        <is>
          <t>VILHELMINA</t>
        </is>
      </c>
      <c r="F932" t="inlineStr">
        <is>
          <t>Sveaskog</t>
        </is>
      </c>
      <c r="G932" t="n">
        <v>7.1</v>
      </c>
      <c r="H932" t="n">
        <v>0</v>
      </c>
      <c r="I932" t="n">
        <v>0</v>
      </c>
      <c r="J932" t="n">
        <v>0</v>
      </c>
      <c r="K932" t="n">
        <v>0</v>
      </c>
      <c r="L932" t="n">
        <v>0</v>
      </c>
      <c r="M932" t="n">
        <v>0</v>
      </c>
      <c r="N932" t="n">
        <v>0</v>
      </c>
      <c r="O932" t="n">
        <v>0</v>
      </c>
      <c r="P932" t="n">
        <v>0</v>
      </c>
      <c r="Q932" t="n">
        <v>0</v>
      </c>
      <c r="R932" s="2" t="inlineStr"/>
    </row>
    <row r="933" ht="15" customHeight="1">
      <c r="A933" t="inlineStr">
        <is>
          <t>A 54983-2023</t>
        </is>
      </c>
      <c r="B933" s="1" t="n">
        <v>45237</v>
      </c>
      <c r="C933" s="1" t="n">
        <v>45508</v>
      </c>
      <c r="D933" t="inlineStr">
        <is>
          <t>VÄSTERBOTTENS LÄN</t>
        </is>
      </c>
      <c r="E933" t="inlineStr">
        <is>
          <t>VILHELMINA</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54984-2023</t>
        </is>
      </c>
      <c r="B934" s="1" t="n">
        <v>45236</v>
      </c>
      <c r="C934" s="1" t="n">
        <v>45508</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54981-2023</t>
        </is>
      </c>
      <c r="B935" s="1" t="n">
        <v>45237</v>
      </c>
      <c r="C935" s="1" t="n">
        <v>45508</v>
      </c>
      <c r="D935" t="inlineStr">
        <is>
          <t>VÄSTERBOTTENS LÄN</t>
        </is>
      </c>
      <c r="E935" t="inlineStr">
        <is>
          <t>VILHELMINA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54985-2023</t>
        </is>
      </c>
      <c r="B936" s="1" t="n">
        <v>45236</v>
      </c>
      <c r="C936" s="1" t="n">
        <v>45508</v>
      </c>
      <c r="D936" t="inlineStr">
        <is>
          <t>VÄSTERBOTTENS LÄN</t>
        </is>
      </c>
      <c r="E936" t="inlineStr">
        <is>
          <t>VILHELMINA</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55325-2023</t>
        </is>
      </c>
      <c r="B937" s="1" t="n">
        <v>45237</v>
      </c>
      <c r="C937" s="1" t="n">
        <v>45508</v>
      </c>
      <c r="D937" t="inlineStr">
        <is>
          <t>VÄSTERBOTTENS LÄN</t>
        </is>
      </c>
      <c r="E937" t="inlineStr">
        <is>
          <t>VILHELMINA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55326-2023</t>
        </is>
      </c>
      <c r="B938" s="1" t="n">
        <v>45238</v>
      </c>
      <c r="C938" s="1" t="n">
        <v>45508</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55327-2023</t>
        </is>
      </c>
      <c r="B939" s="1" t="n">
        <v>45238</v>
      </c>
      <c r="C939" s="1" t="n">
        <v>45508</v>
      </c>
      <c r="D939" t="inlineStr">
        <is>
          <t>VÄSTERBOTTENS LÄN</t>
        </is>
      </c>
      <c r="E939" t="inlineStr">
        <is>
          <t>VILHELMINA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55335-2023</t>
        </is>
      </c>
      <c r="B940" s="1" t="n">
        <v>45238</v>
      </c>
      <c r="C940" s="1" t="n">
        <v>45508</v>
      </c>
      <c r="D940" t="inlineStr">
        <is>
          <t>VÄSTERBOTTENS LÄN</t>
        </is>
      </c>
      <c r="E940" t="inlineStr">
        <is>
          <t>VILHELMINA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56754-2023</t>
        </is>
      </c>
      <c r="B941" s="1" t="n">
        <v>45238</v>
      </c>
      <c r="C941" s="1" t="n">
        <v>45508</v>
      </c>
      <c r="D941" t="inlineStr">
        <is>
          <t>VÄSTERBOTTENS LÄN</t>
        </is>
      </c>
      <c r="E941" t="inlineStr">
        <is>
          <t>VILHELMINA</t>
        </is>
      </c>
      <c r="F941" t="inlineStr">
        <is>
          <t>Allmännings- och besparingsskogar</t>
        </is>
      </c>
      <c r="G941" t="n">
        <v>17.7</v>
      </c>
      <c r="H941" t="n">
        <v>0</v>
      </c>
      <c r="I941" t="n">
        <v>0</v>
      </c>
      <c r="J941" t="n">
        <v>0</v>
      </c>
      <c r="K941" t="n">
        <v>0</v>
      </c>
      <c r="L941" t="n">
        <v>0</v>
      </c>
      <c r="M941" t="n">
        <v>0</v>
      </c>
      <c r="N941" t="n">
        <v>0</v>
      </c>
      <c r="O941" t="n">
        <v>0</v>
      </c>
      <c r="P941" t="n">
        <v>0</v>
      </c>
      <c r="Q941" t="n">
        <v>0</v>
      </c>
      <c r="R941" s="2" t="inlineStr"/>
    </row>
    <row r="942" ht="15" customHeight="1">
      <c r="A942" t="inlineStr">
        <is>
          <t>A 56763-2023</t>
        </is>
      </c>
      <c r="B942" s="1" t="n">
        <v>45238</v>
      </c>
      <c r="C942" s="1" t="n">
        <v>45508</v>
      </c>
      <c r="D942" t="inlineStr">
        <is>
          <t>VÄSTERBOTTENS LÄN</t>
        </is>
      </c>
      <c r="E942" t="inlineStr">
        <is>
          <t>VILHELMINA</t>
        </is>
      </c>
      <c r="F942" t="inlineStr">
        <is>
          <t>Allmännings- och besparingsskogar</t>
        </is>
      </c>
      <c r="G942" t="n">
        <v>78</v>
      </c>
      <c r="H942" t="n">
        <v>0</v>
      </c>
      <c r="I942" t="n">
        <v>0</v>
      </c>
      <c r="J942" t="n">
        <v>0</v>
      </c>
      <c r="K942" t="n">
        <v>0</v>
      </c>
      <c r="L942" t="n">
        <v>0</v>
      </c>
      <c r="M942" t="n">
        <v>0</v>
      </c>
      <c r="N942" t="n">
        <v>0</v>
      </c>
      <c r="O942" t="n">
        <v>0</v>
      </c>
      <c r="P942" t="n">
        <v>0</v>
      </c>
      <c r="Q942" t="n">
        <v>0</v>
      </c>
      <c r="R942" s="2" t="inlineStr"/>
    </row>
    <row r="943" ht="15" customHeight="1">
      <c r="A943" t="inlineStr">
        <is>
          <t>A 56823-2023</t>
        </is>
      </c>
      <c r="B943" s="1" t="n">
        <v>45238</v>
      </c>
      <c r="C943" s="1" t="n">
        <v>45508</v>
      </c>
      <c r="D943" t="inlineStr">
        <is>
          <t>VÄSTERBOTTENS LÄN</t>
        </is>
      </c>
      <c r="E943" t="inlineStr">
        <is>
          <t>VILHELMINA</t>
        </is>
      </c>
      <c r="F943" t="inlineStr">
        <is>
          <t>Allmännings- och besparingsskogar</t>
        </is>
      </c>
      <c r="G943" t="n">
        <v>81.40000000000001</v>
      </c>
      <c r="H943" t="n">
        <v>0</v>
      </c>
      <c r="I943" t="n">
        <v>0</v>
      </c>
      <c r="J943" t="n">
        <v>0</v>
      </c>
      <c r="K943" t="n">
        <v>0</v>
      </c>
      <c r="L943" t="n">
        <v>0</v>
      </c>
      <c r="M943" t="n">
        <v>0</v>
      </c>
      <c r="N943" t="n">
        <v>0</v>
      </c>
      <c r="O943" t="n">
        <v>0</v>
      </c>
      <c r="P943" t="n">
        <v>0</v>
      </c>
      <c r="Q943" t="n">
        <v>0</v>
      </c>
      <c r="R943" s="2" t="inlineStr"/>
    </row>
    <row r="944" ht="15" customHeight="1">
      <c r="A944" t="inlineStr">
        <is>
          <t>A 56847-2023</t>
        </is>
      </c>
      <c r="B944" s="1" t="n">
        <v>45238</v>
      </c>
      <c r="C944" s="1" t="n">
        <v>45508</v>
      </c>
      <c r="D944" t="inlineStr">
        <is>
          <t>VÄSTERBOTTENS LÄN</t>
        </is>
      </c>
      <c r="E944" t="inlineStr">
        <is>
          <t>VILHELMINA</t>
        </is>
      </c>
      <c r="F944" t="inlineStr">
        <is>
          <t>Allmännings- och besparingsskogar</t>
        </is>
      </c>
      <c r="G944" t="n">
        <v>41</v>
      </c>
      <c r="H944" t="n">
        <v>0</v>
      </c>
      <c r="I944" t="n">
        <v>0</v>
      </c>
      <c r="J944" t="n">
        <v>0</v>
      </c>
      <c r="K944" t="n">
        <v>0</v>
      </c>
      <c r="L944" t="n">
        <v>0</v>
      </c>
      <c r="M944" t="n">
        <v>0</v>
      </c>
      <c r="N944" t="n">
        <v>0</v>
      </c>
      <c r="O944" t="n">
        <v>0</v>
      </c>
      <c r="P944" t="n">
        <v>0</v>
      </c>
      <c r="Q944" t="n">
        <v>0</v>
      </c>
      <c r="R944" s="2" t="inlineStr"/>
    </row>
    <row r="945" ht="15" customHeight="1">
      <c r="A945" t="inlineStr">
        <is>
          <t>A 56758-2023</t>
        </is>
      </c>
      <c r="B945" s="1" t="n">
        <v>45238</v>
      </c>
      <c r="C945" s="1" t="n">
        <v>45508</v>
      </c>
      <c r="D945" t="inlineStr">
        <is>
          <t>VÄSTERBOTTENS LÄN</t>
        </is>
      </c>
      <c r="E945" t="inlineStr">
        <is>
          <t>VILHELMINA</t>
        </is>
      </c>
      <c r="F945" t="inlineStr">
        <is>
          <t>Allmännings- och besparingsskogar</t>
        </is>
      </c>
      <c r="G945" t="n">
        <v>371.4</v>
      </c>
      <c r="H945" t="n">
        <v>0</v>
      </c>
      <c r="I945" t="n">
        <v>0</v>
      </c>
      <c r="J945" t="n">
        <v>0</v>
      </c>
      <c r="K945" t="n">
        <v>0</v>
      </c>
      <c r="L945" t="n">
        <v>0</v>
      </c>
      <c r="M945" t="n">
        <v>0</v>
      </c>
      <c r="N945" t="n">
        <v>0</v>
      </c>
      <c r="O945" t="n">
        <v>0</v>
      </c>
      <c r="P945" t="n">
        <v>0</v>
      </c>
      <c r="Q945" t="n">
        <v>0</v>
      </c>
      <c r="R945" s="2" t="inlineStr"/>
    </row>
    <row r="946" ht="15" customHeight="1">
      <c r="A946" t="inlineStr">
        <is>
          <t>A 56830-2023</t>
        </is>
      </c>
      <c r="B946" s="1" t="n">
        <v>45238</v>
      </c>
      <c r="C946" s="1" t="n">
        <v>45508</v>
      </c>
      <c r="D946" t="inlineStr">
        <is>
          <t>VÄSTERBOTTENS LÄN</t>
        </is>
      </c>
      <c r="E946" t="inlineStr">
        <is>
          <t>VILHELMINA</t>
        </is>
      </c>
      <c r="F946" t="inlineStr">
        <is>
          <t>Allmännings- och besparingsskogar</t>
        </is>
      </c>
      <c r="G946" t="n">
        <v>66.90000000000001</v>
      </c>
      <c r="H946" t="n">
        <v>0</v>
      </c>
      <c r="I946" t="n">
        <v>0</v>
      </c>
      <c r="J946" t="n">
        <v>0</v>
      </c>
      <c r="K946" t="n">
        <v>0</v>
      </c>
      <c r="L946" t="n">
        <v>0</v>
      </c>
      <c r="M946" t="n">
        <v>0</v>
      </c>
      <c r="N946" t="n">
        <v>0</v>
      </c>
      <c r="O946" t="n">
        <v>0</v>
      </c>
      <c r="P946" t="n">
        <v>0</v>
      </c>
      <c r="Q946" t="n">
        <v>0</v>
      </c>
      <c r="R946" s="2" t="inlineStr"/>
    </row>
    <row r="947" ht="15" customHeight="1">
      <c r="A947" t="inlineStr">
        <is>
          <t>A 55643-2023</t>
        </is>
      </c>
      <c r="B947" s="1" t="n">
        <v>45238</v>
      </c>
      <c r="C947" s="1" t="n">
        <v>45508</v>
      </c>
      <c r="D947" t="inlineStr">
        <is>
          <t>VÄSTERBOTTENS LÄN</t>
        </is>
      </c>
      <c r="E947" t="inlineStr">
        <is>
          <t>VILHELMINA</t>
        </is>
      </c>
      <c r="G947" t="n">
        <v>23.1</v>
      </c>
      <c r="H947" t="n">
        <v>0</v>
      </c>
      <c r="I947" t="n">
        <v>0</v>
      </c>
      <c r="J947" t="n">
        <v>0</v>
      </c>
      <c r="K947" t="n">
        <v>0</v>
      </c>
      <c r="L947" t="n">
        <v>0</v>
      </c>
      <c r="M947" t="n">
        <v>0</v>
      </c>
      <c r="N947" t="n">
        <v>0</v>
      </c>
      <c r="O947" t="n">
        <v>0</v>
      </c>
      <c r="P947" t="n">
        <v>0</v>
      </c>
      <c r="Q947" t="n">
        <v>0</v>
      </c>
      <c r="R947" s="2" t="inlineStr"/>
    </row>
    <row r="948" ht="15" customHeight="1">
      <c r="A948" t="inlineStr">
        <is>
          <t>A 56747-2023</t>
        </is>
      </c>
      <c r="B948" s="1" t="n">
        <v>45238</v>
      </c>
      <c r="C948" s="1" t="n">
        <v>45508</v>
      </c>
      <c r="D948" t="inlineStr">
        <is>
          <t>VÄSTERBOTTENS LÄN</t>
        </is>
      </c>
      <c r="E948" t="inlineStr">
        <is>
          <t>VILHELMINA</t>
        </is>
      </c>
      <c r="F948" t="inlineStr">
        <is>
          <t>Allmännings- och besparingsskogar</t>
        </is>
      </c>
      <c r="G948" t="n">
        <v>16.2</v>
      </c>
      <c r="H948" t="n">
        <v>0</v>
      </c>
      <c r="I948" t="n">
        <v>0</v>
      </c>
      <c r="J948" t="n">
        <v>0</v>
      </c>
      <c r="K948" t="n">
        <v>0</v>
      </c>
      <c r="L948" t="n">
        <v>0</v>
      </c>
      <c r="M948" t="n">
        <v>0</v>
      </c>
      <c r="N948" t="n">
        <v>0</v>
      </c>
      <c r="O948" t="n">
        <v>0</v>
      </c>
      <c r="P948" t="n">
        <v>0</v>
      </c>
      <c r="Q948" t="n">
        <v>0</v>
      </c>
      <c r="R948" s="2" t="inlineStr"/>
    </row>
    <row r="949" ht="15" customHeight="1">
      <c r="A949" t="inlineStr">
        <is>
          <t>A 57137-2023</t>
        </is>
      </c>
      <c r="B949" s="1" t="n">
        <v>45239</v>
      </c>
      <c r="C949" s="1" t="n">
        <v>45508</v>
      </c>
      <c r="D949" t="inlineStr">
        <is>
          <t>VÄSTERBOTTENS LÄN</t>
        </is>
      </c>
      <c r="E949" t="inlineStr">
        <is>
          <t>VILHELMINA</t>
        </is>
      </c>
      <c r="G949" t="n">
        <v>38.8</v>
      </c>
      <c r="H949" t="n">
        <v>0</v>
      </c>
      <c r="I949" t="n">
        <v>0</v>
      </c>
      <c r="J949" t="n">
        <v>0</v>
      </c>
      <c r="K949" t="n">
        <v>0</v>
      </c>
      <c r="L949" t="n">
        <v>0</v>
      </c>
      <c r="M949" t="n">
        <v>0</v>
      </c>
      <c r="N949" t="n">
        <v>0</v>
      </c>
      <c r="O949" t="n">
        <v>0</v>
      </c>
      <c r="P949" t="n">
        <v>0</v>
      </c>
      <c r="Q949" t="n">
        <v>0</v>
      </c>
      <c r="R949" s="2" t="inlineStr"/>
    </row>
    <row r="950" ht="15" customHeight="1">
      <c r="A950" t="inlineStr">
        <is>
          <t>A 57108-2023</t>
        </is>
      </c>
      <c r="B950" s="1" t="n">
        <v>45239</v>
      </c>
      <c r="C950" s="1" t="n">
        <v>45508</v>
      </c>
      <c r="D950" t="inlineStr">
        <is>
          <t>VÄSTERBOTTENS LÄN</t>
        </is>
      </c>
      <c r="E950" t="inlineStr">
        <is>
          <t>VILHELMINA</t>
        </is>
      </c>
      <c r="G950" t="n">
        <v>0.6</v>
      </c>
      <c r="H950" t="n">
        <v>0</v>
      </c>
      <c r="I950" t="n">
        <v>0</v>
      </c>
      <c r="J950" t="n">
        <v>0</v>
      </c>
      <c r="K950" t="n">
        <v>0</v>
      </c>
      <c r="L950" t="n">
        <v>0</v>
      </c>
      <c r="M950" t="n">
        <v>0</v>
      </c>
      <c r="N950" t="n">
        <v>0</v>
      </c>
      <c r="O950" t="n">
        <v>0</v>
      </c>
      <c r="P950" t="n">
        <v>0</v>
      </c>
      <c r="Q950" t="n">
        <v>0</v>
      </c>
      <c r="R950" s="2" t="inlineStr"/>
    </row>
    <row r="951" ht="15" customHeight="1">
      <c r="A951" t="inlineStr">
        <is>
          <t>A 56891-2023</t>
        </is>
      </c>
      <c r="B951" s="1" t="n">
        <v>45239</v>
      </c>
      <c r="C951" s="1" t="n">
        <v>45508</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57123-2023</t>
        </is>
      </c>
      <c r="B952" s="1" t="n">
        <v>45239</v>
      </c>
      <c r="C952" s="1" t="n">
        <v>45508</v>
      </c>
      <c r="D952" t="inlineStr">
        <is>
          <t>VÄSTERBOTTENS LÄN</t>
        </is>
      </c>
      <c r="E952" t="inlineStr">
        <is>
          <t>VILHELMINA</t>
        </is>
      </c>
      <c r="G952" t="n">
        <v>16.1</v>
      </c>
      <c r="H952" t="n">
        <v>0</v>
      </c>
      <c r="I952" t="n">
        <v>0</v>
      </c>
      <c r="J952" t="n">
        <v>0</v>
      </c>
      <c r="K952" t="n">
        <v>0</v>
      </c>
      <c r="L952" t="n">
        <v>0</v>
      </c>
      <c r="M952" t="n">
        <v>0</v>
      </c>
      <c r="N952" t="n">
        <v>0</v>
      </c>
      <c r="O952" t="n">
        <v>0</v>
      </c>
      <c r="P952" t="n">
        <v>0</v>
      </c>
      <c r="Q952" t="n">
        <v>0</v>
      </c>
      <c r="R952" s="2" t="inlineStr"/>
    </row>
    <row r="953" ht="15" customHeight="1">
      <c r="A953" t="inlineStr">
        <is>
          <t>A 57246-2023</t>
        </is>
      </c>
      <c r="B953" s="1" t="n">
        <v>45239</v>
      </c>
      <c r="C953" s="1" t="n">
        <v>45508</v>
      </c>
      <c r="D953" t="inlineStr">
        <is>
          <t>VÄSTERBOTTENS LÄN</t>
        </is>
      </c>
      <c r="E953" t="inlineStr">
        <is>
          <t>VILHELMINA</t>
        </is>
      </c>
      <c r="G953" t="n">
        <v>15.3</v>
      </c>
      <c r="H953" t="n">
        <v>0</v>
      </c>
      <c r="I953" t="n">
        <v>0</v>
      </c>
      <c r="J953" t="n">
        <v>0</v>
      </c>
      <c r="K953" t="n">
        <v>0</v>
      </c>
      <c r="L953" t="n">
        <v>0</v>
      </c>
      <c r="M953" t="n">
        <v>0</v>
      </c>
      <c r="N953" t="n">
        <v>0</v>
      </c>
      <c r="O953" t="n">
        <v>0</v>
      </c>
      <c r="P953" t="n">
        <v>0</v>
      </c>
      <c r="Q953" t="n">
        <v>0</v>
      </c>
      <c r="R953" s="2" t="inlineStr"/>
    </row>
    <row r="954" ht="15" customHeight="1">
      <c r="A954" t="inlineStr">
        <is>
          <t>A 56245-2023</t>
        </is>
      </c>
      <c r="B954" s="1" t="n">
        <v>45240</v>
      </c>
      <c r="C954" s="1" t="n">
        <v>45508</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56246-2023</t>
        </is>
      </c>
      <c r="B955" s="1" t="n">
        <v>45240</v>
      </c>
      <c r="C955" s="1" t="n">
        <v>45508</v>
      </c>
      <c r="D955" t="inlineStr">
        <is>
          <t>VÄSTERBOTTENS LÄN</t>
        </is>
      </c>
      <c r="E955" t="inlineStr">
        <is>
          <t>VILHELMINA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56236-2023</t>
        </is>
      </c>
      <c r="B956" s="1" t="n">
        <v>45240</v>
      </c>
      <c r="C956" s="1" t="n">
        <v>45508</v>
      </c>
      <c r="D956" t="inlineStr">
        <is>
          <t>VÄSTERBOTTENS LÄN</t>
        </is>
      </c>
      <c r="E956" t="inlineStr">
        <is>
          <t>VILHELMINA</t>
        </is>
      </c>
      <c r="G956" t="n">
        <v>6.1</v>
      </c>
      <c r="H956" t="n">
        <v>0</v>
      </c>
      <c r="I956" t="n">
        <v>0</v>
      </c>
      <c r="J956" t="n">
        <v>0</v>
      </c>
      <c r="K956" t="n">
        <v>0</v>
      </c>
      <c r="L956" t="n">
        <v>0</v>
      </c>
      <c r="M956" t="n">
        <v>0</v>
      </c>
      <c r="N956" t="n">
        <v>0</v>
      </c>
      <c r="O956" t="n">
        <v>0</v>
      </c>
      <c r="P956" t="n">
        <v>0</v>
      </c>
      <c r="Q956" t="n">
        <v>0</v>
      </c>
      <c r="R956" s="2" t="inlineStr"/>
    </row>
    <row r="957" ht="15" customHeight="1">
      <c r="A957" t="inlineStr">
        <is>
          <t>A 56235-2023</t>
        </is>
      </c>
      <c r="B957" s="1" t="n">
        <v>45240</v>
      </c>
      <c r="C957" s="1" t="n">
        <v>45508</v>
      </c>
      <c r="D957" t="inlineStr">
        <is>
          <t>VÄSTERBOTTENS LÄN</t>
        </is>
      </c>
      <c r="E957" t="inlineStr">
        <is>
          <t>VILHELMINA</t>
        </is>
      </c>
      <c r="G957" t="n">
        <v>12.7</v>
      </c>
      <c r="H957" t="n">
        <v>0</v>
      </c>
      <c r="I957" t="n">
        <v>0</v>
      </c>
      <c r="J957" t="n">
        <v>0</v>
      </c>
      <c r="K957" t="n">
        <v>0</v>
      </c>
      <c r="L957" t="n">
        <v>0</v>
      </c>
      <c r="M957" t="n">
        <v>0</v>
      </c>
      <c r="N957" t="n">
        <v>0</v>
      </c>
      <c r="O957" t="n">
        <v>0</v>
      </c>
      <c r="P957" t="n">
        <v>0</v>
      </c>
      <c r="Q957" t="n">
        <v>0</v>
      </c>
      <c r="R957" s="2" t="inlineStr"/>
    </row>
    <row r="958" ht="15" customHeight="1">
      <c r="A958" t="inlineStr">
        <is>
          <t>A 56617-2023</t>
        </is>
      </c>
      <c r="B958" s="1" t="n">
        <v>45243</v>
      </c>
      <c r="C958" s="1" t="n">
        <v>45508</v>
      </c>
      <c r="D958" t="inlineStr">
        <is>
          <t>VÄSTERBOTTENS LÄN</t>
        </is>
      </c>
      <c r="E958" t="inlineStr">
        <is>
          <t>VILHELMINA</t>
        </is>
      </c>
      <c r="G958" t="n">
        <v>0.9</v>
      </c>
      <c r="H958" t="n">
        <v>0</v>
      </c>
      <c r="I958" t="n">
        <v>0</v>
      </c>
      <c r="J958" t="n">
        <v>0</v>
      </c>
      <c r="K958" t="n">
        <v>0</v>
      </c>
      <c r="L958" t="n">
        <v>0</v>
      </c>
      <c r="M958" t="n">
        <v>0</v>
      </c>
      <c r="N958" t="n">
        <v>0</v>
      </c>
      <c r="O958" t="n">
        <v>0</v>
      </c>
      <c r="P958" t="n">
        <v>0</v>
      </c>
      <c r="Q958" t="n">
        <v>0</v>
      </c>
      <c r="R958" s="2" t="inlineStr"/>
    </row>
    <row r="959" ht="15" customHeight="1">
      <c r="A959" t="inlineStr">
        <is>
          <t>A 56622-2023</t>
        </is>
      </c>
      <c r="B959" s="1" t="n">
        <v>45243</v>
      </c>
      <c r="C959" s="1" t="n">
        <v>45508</v>
      </c>
      <c r="D959" t="inlineStr">
        <is>
          <t>VÄSTERBOTTENS LÄN</t>
        </is>
      </c>
      <c r="E959" t="inlineStr">
        <is>
          <t>VILHELMINA</t>
        </is>
      </c>
      <c r="G959" t="n">
        <v>1.2</v>
      </c>
      <c r="H959" t="n">
        <v>0</v>
      </c>
      <c r="I959" t="n">
        <v>0</v>
      </c>
      <c r="J959" t="n">
        <v>0</v>
      </c>
      <c r="K959" t="n">
        <v>0</v>
      </c>
      <c r="L959" t="n">
        <v>0</v>
      </c>
      <c r="M959" t="n">
        <v>0</v>
      </c>
      <c r="N959" t="n">
        <v>0</v>
      </c>
      <c r="O959" t="n">
        <v>0</v>
      </c>
      <c r="P959" t="n">
        <v>0</v>
      </c>
      <c r="Q959" t="n">
        <v>0</v>
      </c>
      <c r="R959" s="2" t="inlineStr"/>
    </row>
    <row r="960" ht="15" customHeight="1">
      <c r="A960" t="inlineStr">
        <is>
          <t>A 57691-2023</t>
        </is>
      </c>
      <c r="B960" s="1" t="n">
        <v>45243</v>
      </c>
      <c r="C960" s="1" t="n">
        <v>45508</v>
      </c>
      <c r="D960" t="inlineStr">
        <is>
          <t>VÄSTERBOTTENS LÄN</t>
        </is>
      </c>
      <c r="E960" t="inlineStr">
        <is>
          <t>VILHELMINA</t>
        </is>
      </c>
      <c r="G960" t="n">
        <v>4.5</v>
      </c>
      <c r="H960" t="n">
        <v>0</v>
      </c>
      <c r="I960" t="n">
        <v>0</v>
      </c>
      <c r="J960" t="n">
        <v>0</v>
      </c>
      <c r="K960" t="n">
        <v>0</v>
      </c>
      <c r="L960" t="n">
        <v>0</v>
      </c>
      <c r="M960" t="n">
        <v>0</v>
      </c>
      <c r="N960" t="n">
        <v>0</v>
      </c>
      <c r="O960" t="n">
        <v>0</v>
      </c>
      <c r="P960" t="n">
        <v>0</v>
      </c>
      <c r="Q960" t="n">
        <v>0</v>
      </c>
      <c r="R960" s="2" t="inlineStr"/>
    </row>
    <row r="961" ht="15" customHeight="1">
      <c r="A961" t="inlineStr">
        <is>
          <t>A 57058-2023</t>
        </is>
      </c>
      <c r="B961" s="1" t="n">
        <v>45244</v>
      </c>
      <c r="C961" s="1" t="n">
        <v>45508</v>
      </c>
      <c r="D961" t="inlineStr">
        <is>
          <t>VÄSTERBOTTENS LÄN</t>
        </is>
      </c>
      <c r="E961" t="inlineStr">
        <is>
          <t>VILHELMINA</t>
        </is>
      </c>
      <c r="G961" t="n">
        <v>2.9</v>
      </c>
      <c r="H961" t="n">
        <v>0</v>
      </c>
      <c r="I961" t="n">
        <v>0</v>
      </c>
      <c r="J961" t="n">
        <v>0</v>
      </c>
      <c r="K961" t="n">
        <v>0</v>
      </c>
      <c r="L961" t="n">
        <v>0</v>
      </c>
      <c r="M961" t="n">
        <v>0</v>
      </c>
      <c r="N961" t="n">
        <v>0</v>
      </c>
      <c r="O961" t="n">
        <v>0</v>
      </c>
      <c r="P961" t="n">
        <v>0</v>
      </c>
      <c r="Q961" t="n">
        <v>0</v>
      </c>
      <c r="R961" s="2" t="inlineStr"/>
    </row>
    <row r="962" ht="15" customHeight="1">
      <c r="A962" t="inlineStr">
        <is>
          <t>A 57057-2023</t>
        </is>
      </c>
      <c r="B962" s="1" t="n">
        <v>45244</v>
      </c>
      <c r="C962" s="1" t="n">
        <v>45508</v>
      </c>
      <c r="D962" t="inlineStr">
        <is>
          <t>VÄSTERBOTTENS LÄN</t>
        </is>
      </c>
      <c r="E962" t="inlineStr">
        <is>
          <t>VILHELMINA</t>
        </is>
      </c>
      <c r="G962" t="n">
        <v>1.2</v>
      </c>
      <c r="H962" t="n">
        <v>0</v>
      </c>
      <c r="I962" t="n">
        <v>0</v>
      </c>
      <c r="J962" t="n">
        <v>0</v>
      </c>
      <c r="K962" t="n">
        <v>0</v>
      </c>
      <c r="L962" t="n">
        <v>0</v>
      </c>
      <c r="M962" t="n">
        <v>0</v>
      </c>
      <c r="N962" t="n">
        <v>0</v>
      </c>
      <c r="O962" t="n">
        <v>0</v>
      </c>
      <c r="P962" t="n">
        <v>0</v>
      </c>
      <c r="Q962" t="n">
        <v>0</v>
      </c>
      <c r="R962" s="2" t="inlineStr"/>
    </row>
    <row r="963" ht="15" customHeight="1">
      <c r="A963" t="inlineStr">
        <is>
          <t>A 58362-2023</t>
        </is>
      </c>
      <c r="B963" s="1" t="n">
        <v>45245</v>
      </c>
      <c r="C963" s="1" t="n">
        <v>45508</v>
      </c>
      <c r="D963" t="inlineStr">
        <is>
          <t>VÄSTERBOTTENS LÄN</t>
        </is>
      </c>
      <c r="E963" t="inlineStr">
        <is>
          <t>VILHELMINA</t>
        </is>
      </c>
      <c r="G963" t="n">
        <v>13.6</v>
      </c>
      <c r="H963" t="n">
        <v>0</v>
      </c>
      <c r="I963" t="n">
        <v>0</v>
      </c>
      <c r="J963" t="n">
        <v>0</v>
      </c>
      <c r="K963" t="n">
        <v>0</v>
      </c>
      <c r="L963" t="n">
        <v>0</v>
      </c>
      <c r="M963" t="n">
        <v>0</v>
      </c>
      <c r="N963" t="n">
        <v>0</v>
      </c>
      <c r="O963" t="n">
        <v>0</v>
      </c>
      <c r="P963" t="n">
        <v>0</v>
      </c>
      <c r="Q963" t="n">
        <v>0</v>
      </c>
      <c r="R963" s="2" t="inlineStr"/>
    </row>
    <row r="964" ht="15" customHeight="1">
      <c r="A964" t="inlineStr">
        <is>
          <t>A 57795-2023</t>
        </is>
      </c>
      <c r="B964" s="1" t="n">
        <v>45247</v>
      </c>
      <c r="C964" s="1" t="n">
        <v>45508</v>
      </c>
      <c r="D964" t="inlineStr">
        <is>
          <t>VÄSTERBOTTENS LÄN</t>
        </is>
      </c>
      <c r="E964" t="inlineStr">
        <is>
          <t>VILHELMINA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58833-2023</t>
        </is>
      </c>
      <c r="B965" s="1" t="n">
        <v>45248</v>
      </c>
      <c r="C965" s="1" t="n">
        <v>45508</v>
      </c>
      <c r="D965" t="inlineStr">
        <is>
          <t>VÄSTERBOTTENS LÄN</t>
        </is>
      </c>
      <c r="E965" t="inlineStr">
        <is>
          <t>VILHELMINA</t>
        </is>
      </c>
      <c r="G965" t="n">
        <v>1.5</v>
      </c>
      <c r="H965" t="n">
        <v>0</v>
      </c>
      <c r="I965" t="n">
        <v>0</v>
      </c>
      <c r="J965" t="n">
        <v>0</v>
      </c>
      <c r="K965" t="n">
        <v>0</v>
      </c>
      <c r="L965" t="n">
        <v>0</v>
      </c>
      <c r="M965" t="n">
        <v>0</v>
      </c>
      <c r="N965" t="n">
        <v>0</v>
      </c>
      <c r="O965" t="n">
        <v>0</v>
      </c>
      <c r="P965" t="n">
        <v>0</v>
      </c>
      <c r="Q965" t="n">
        <v>0</v>
      </c>
      <c r="R965" s="2" t="inlineStr"/>
    </row>
    <row r="966" ht="15" customHeight="1">
      <c r="A966" t="inlineStr">
        <is>
          <t>A 58456-2023</t>
        </is>
      </c>
      <c r="B966" s="1" t="n">
        <v>45251</v>
      </c>
      <c r="C966" s="1" t="n">
        <v>45508</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58756-2023</t>
        </is>
      </c>
      <c r="B967" s="1" t="n">
        <v>45251</v>
      </c>
      <c r="C967" s="1" t="n">
        <v>45508</v>
      </c>
      <c r="D967" t="inlineStr">
        <is>
          <t>VÄSTERBOTTENS LÄN</t>
        </is>
      </c>
      <c r="E967" t="inlineStr">
        <is>
          <t>VILHELMINA</t>
        </is>
      </c>
      <c r="G967" t="n">
        <v>1.6</v>
      </c>
      <c r="H967" t="n">
        <v>0</v>
      </c>
      <c r="I967" t="n">
        <v>0</v>
      </c>
      <c r="J967" t="n">
        <v>0</v>
      </c>
      <c r="K967" t="n">
        <v>0</v>
      </c>
      <c r="L967" t="n">
        <v>0</v>
      </c>
      <c r="M967" t="n">
        <v>0</v>
      </c>
      <c r="N967" t="n">
        <v>0</v>
      </c>
      <c r="O967" t="n">
        <v>0</v>
      </c>
      <c r="P967" t="n">
        <v>0</v>
      </c>
      <c r="Q967" t="n">
        <v>0</v>
      </c>
      <c r="R967" s="2" t="inlineStr"/>
    </row>
    <row r="968" ht="15" customHeight="1">
      <c r="A968" t="inlineStr">
        <is>
          <t>A 59117-2023</t>
        </is>
      </c>
      <c r="B968" s="1" t="n">
        <v>45251</v>
      </c>
      <c r="C968" s="1" t="n">
        <v>45508</v>
      </c>
      <c r="D968" t="inlineStr">
        <is>
          <t>VÄSTERBOTTENS LÄN</t>
        </is>
      </c>
      <c r="E968" t="inlineStr">
        <is>
          <t>VILHELMINA</t>
        </is>
      </c>
      <c r="G968" t="n">
        <v>1</v>
      </c>
      <c r="H968" t="n">
        <v>0</v>
      </c>
      <c r="I968" t="n">
        <v>0</v>
      </c>
      <c r="J968" t="n">
        <v>0</v>
      </c>
      <c r="K968" t="n">
        <v>0</v>
      </c>
      <c r="L968" t="n">
        <v>0</v>
      </c>
      <c r="M968" t="n">
        <v>0</v>
      </c>
      <c r="N968" t="n">
        <v>0</v>
      </c>
      <c r="O968" t="n">
        <v>0</v>
      </c>
      <c r="P968" t="n">
        <v>0</v>
      </c>
      <c r="Q968" t="n">
        <v>0</v>
      </c>
      <c r="R968" s="2" t="inlineStr"/>
    </row>
    <row r="969" ht="15" customHeight="1">
      <c r="A969" t="inlineStr">
        <is>
          <t>A 58749-2023</t>
        </is>
      </c>
      <c r="B969" s="1" t="n">
        <v>45251</v>
      </c>
      <c r="C969" s="1" t="n">
        <v>45508</v>
      </c>
      <c r="D969" t="inlineStr">
        <is>
          <t>VÄSTERBOTTENS LÄN</t>
        </is>
      </c>
      <c r="E969" t="inlineStr">
        <is>
          <t>VILHELMINA</t>
        </is>
      </c>
      <c r="G969" t="n">
        <v>2.8</v>
      </c>
      <c r="H969" t="n">
        <v>0</v>
      </c>
      <c r="I969" t="n">
        <v>0</v>
      </c>
      <c r="J969" t="n">
        <v>0</v>
      </c>
      <c r="K969" t="n">
        <v>0</v>
      </c>
      <c r="L969" t="n">
        <v>0</v>
      </c>
      <c r="M969" t="n">
        <v>0</v>
      </c>
      <c r="N969" t="n">
        <v>0</v>
      </c>
      <c r="O969" t="n">
        <v>0</v>
      </c>
      <c r="P969" t="n">
        <v>0</v>
      </c>
      <c r="Q969" t="n">
        <v>0</v>
      </c>
      <c r="R969" s="2" t="inlineStr"/>
    </row>
    <row r="970" ht="15" customHeight="1">
      <c r="A970" t="inlineStr">
        <is>
          <t>A 59110-2023</t>
        </is>
      </c>
      <c r="B970" s="1" t="n">
        <v>45251</v>
      </c>
      <c r="C970" s="1" t="n">
        <v>45508</v>
      </c>
      <c r="D970" t="inlineStr">
        <is>
          <t>VÄSTERBOTTENS LÄN</t>
        </is>
      </c>
      <c r="E970" t="inlineStr">
        <is>
          <t>VILHELMINA</t>
        </is>
      </c>
      <c r="G970" t="n">
        <v>10.1</v>
      </c>
      <c r="H970" t="n">
        <v>0</v>
      </c>
      <c r="I970" t="n">
        <v>0</v>
      </c>
      <c r="J970" t="n">
        <v>0</v>
      </c>
      <c r="K970" t="n">
        <v>0</v>
      </c>
      <c r="L970" t="n">
        <v>0</v>
      </c>
      <c r="M970" t="n">
        <v>0</v>
      </c>
      <c r="N970" t="n">
        <v>0</v>
      </c>
      <c r="O970" t="n">
        <v>0</v>
      </c>
      <c r="P970" t="n">
        <v>0</v>
      </c>
      <c r="Q970" t="n">
        <v>0</v>
      </c>
      <c r="R970" s="2" t="inlineStr"/>
    </row>
    <row r="971" ht="15" customHeight="1">
      <c r="A971" t="inlineStr">
        <is>
          <t>A 59083-2023</t>
        </is>
      </c>
      <c r="B971" s="1" t="n">
        <v>45252</v>
      </c>
      <c r="C971" s="1" t="n">
        <v>45508</v>
      </c>
      <c r="D971" t="inlineStr">
        <is>
          <t>VÄSTERBOTTENS LÄN</t>
        </is>
      </c>
      <c r="E971" t="inlineStr">
        <is>
          <t>VILHELMINA</t>
        </is>
      </c>
      <c r="G971" t="n">
        <v>8.5</v>
      </c>
      <c r="H971" t="n">
        <v>0</v>
      </c>
      <c r="I971" t="n">
        <v>0</v>
      </c>
      <c r="J971" t="n">
        <v>0</v>
      </c>
      <c r="K971" t="n">
        <v>0</v>
      </c>
      <c r="L971" t="n">
        <v>0</v>
      </c>
      <c r="M971" t="n">
        <v>0</v>
      </c>
      <c r="N971" t="n">
        <v>0</v>
      </c>
      <c r="O971" t="n">
        <v>0</v>
      </c>
      <c r="P971" t="n">
        <v>0</v>
      </c>
      <c r="Q971" t="n">
        <v>0</v>
      </c>
      <c r="R971" s="2" t="inlineStr"/>
    </row>
    <row r="972" ht="15" customHeight="1">
      <c r="A972" t="inlineStr">
        <is>
          <t>A 59664-2023</t>
        </is>
      </c>
      <c r="B972" s="1" t="n">
        <v>45254</v>
      </c>
      <c r="C972" s="1" t="n">
        <v>45508</v>
      </c>
      <c r="D972" t="inlineStr">
        <is>
          <t>VÄSTERBOTTENS LÄN</t>
        </is>
      </c>
      <c r="E972" t="inlineStr">
        <is>
          <t>VILHELMINA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60035-2023</t>
        </is>
      </c>
      <c r="B973" s="1" t="n">
        <v>45254</v>
      </c>
      <c r="C973" s="1" t="n">
        <v>45508</v>
      </c>
      <c r="D973" t="inlineStr">
        <is>
          <t>VÄSTERBOTTENS LÄN</t>
        </is>
      </c>
      <c r="E973" t="inlineStr">
        <is>
          <t>VILHELMINA</t>
        </is>
      </c>
      <c r="G973" t="n">
        <v>2</v>
      </c>
      <c r="H973" t="n">
        <v>0</v>
      </c>
      <c r="I973" t="n">
        <v>0</v>
      </c>
      <c r="J973" t="n">
        <v>0</v>
      </c>
      <c r="K973" t="n">
        <v>0</v>
      </c>
      <c r="L973" t="n">
        <v>0</v>
      </c>
      <c r="M973" t="n">
        <v>0</v>
      </c>
      <c r="N973" t="n">
        <v>0</v>
      </c>
      <c r="O973" t="n">
        <v>0</v>
      </c>
      <c r="P973" t="n">
        <v>0</v>
      </c>
      <c r="Q973" t="n">
        <v>0</v>
      </c>
      <c r="R973" s="2" t="inlineStr"/>
    </row>
    <row r="974" ht="15" customHeight="1">
      <c r="A974" t="inlineStr">
        <is>
          <t>A 59663-2023</t>
        </is>
      </c>
      <c r="B974" s="1" t="n">
        <v>45254</v>
      </c>
      <c r="C974" s="1" t="n">
        <v>45508</v>
      </c>
      <c r="D974" t="inlineStr">
        <is>
          <t>VÄSTERBOTTENS LÄN</t>
        </is>
      </c>
      <c r="E974" t="inlineStr">
        <is>
          <t>VILHELMINA</t>
        </is>
      </c>
      <c r="F974" t="inlineStr">
        <is>
          <t>SCA</t>
        </is>
      </c>
      <c r="G974" t="n">
        <v>12.8</v>
      </c>
      <c r="H974" t="n">
        <v>0</v>
      </c>
      <c r="I974" t="n">
        <v>0</v>
      </c>
      <c r="J974" t="n">
        <v>0</v>
      </c>
      <c r="K974" t="n">
        <v>0</v>
      </c>
      <c r="L974" t="n">
        <v>0</v>
      </c>
      <c r="M974" t="n">
        <v>0</v>
      </c>
      <c r="N974" t="n">
        <v>0</v>
      </c>
      <c r="O974" t="n">
        <v>0</v>
      </c>
      <c r="P974" t="n">
        <v>0</v>
      </c>
      <c r="Q974" t="n">
        <v>0</v>
      </c>
      <c r="R974" s="2" t="inlineStr"/>
    </row>
    <row r="975" ht="15" customHeight="1">
      <c r="A975" t="inlineStr">
        <is>
          <t>A 59671-2023</t>
        </is>
      </c>
      <c r="B975" s="1" t="n">
        <v>45255</v>
      </c>
      <c r="C975" s="1" t="n">
        <v>45508</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60782-2023</t>
        </is>
      </c>
      <c r="B976" s="1" t="n">
        <v>45259</v>
      </c>
      <c r="C976" s="1" t="n">
        <v>45508</v>
      </c>
      <c r="D976" t="inlineStr">
        <is>
          <t>VÄSTERBOTTENS LÄN</t>
        </is>
      </c>
      <c r="E976" t="inlineStr">
        <is>
          <t>VILHELMINA</t>
        </is>
      </c>
      <c r="G976" t="n">
        <v>12.7</v>
      </c>
      <c r="H976" t="n">
        <v>0</v>
      </c>
      <c r="I976" t="n">
        <v>0</v>
      </c>
      <c r="J976" t="n">
        <v>0</v>
      </c>
      <c r="K976" t="n">
        <v>0</v>
      </c>
      <c r="L976" t="n">
        <v>0</v>
      </c>
      <c r="M976" t="n">
        <v>0</v>
      </c>
      <c r="N976" t="n">
        <v>0</v>
      </c>
      <c r="O976" t="n">
        <v>0</v>
      </c>
      <c r="P976" t="n">
        <v>0</v>
      </c>
      <c r="Q976" t="n">
        <v>0</v>
      </c>
      <c r="R976" s="2" t="inlineStr"/>
    </row>
    <row r="977" ht="15" customHeight="1">
      <c r="A977" t="inlineStr">
        <is>
          <t>A 60842-2023</t>
        </is>
      </c>
      <c r="B977" s="1" t="n">
        <v>45260</v>
      </c>
      <c r="C977" s="1" t="n">
        <v>45508</v>
      </c>
      <c r="D977" t="inlineStr">
        <is>
          <t>VÄSTERBOTTENS LÄN</t>
        </is>
      </c>
      <c r="E977" t="inlineStr">
        <is>
          <t>VILHELMINA</t>
        </is>
      </c>
      <c r="G977" t="n">
        <v>2.9</v>
      </c>
      <c r="H977" t="n">
        <v>0</v>
      </c>
      <c r="I977" t="n">
        <v>0</v>
      </c>
      <c r="J977" t="n">
        <v>0</v>
      </c>
      <c r="K977" t="n">
        <v>0</v>
      </c>
      <c r="L977" t="n">
        <v>0</v>
      </c>
      <c r="M977" t="n">
        <v>0</v>
      </c>
      <c r="N977" t="n">
        <v>0</v>
      </c>
      <c r="O977" t="n">
        <v>0</v>
      </c>
      <c r="P977" t="n">
        <v>0</v>
      </c>
      <c r="Q977" t="n">
        <v>0</v>
      </c>
      <c r="R977" s="2" t="inlineStr"/>
    </row>
    <row r="978" ht="15" customHeight="1">
      <c r="A978" t="inlineStr">
        <is>
          <t>A 60841-2023</t>
        </is>
      </c>
      <c r="B978" s="1" t="n">
        <v>45260</v>
      </c>
      <c r="C978" s="1" t="n">
        <v>45508</v>
      </c>
      <c r="D978" t="inlineStr">
        <is>
          <t>VÄSTERBOTTENS LÄN</t>
        </is>
      </c>
      <c r="E978" t="inlineStr">
        <is>
          <t>VILHELMINA</t>
        </is>
      </c>
      <c r="G978" t="n">
        <v>1.2</v>
      </c>
      <c r="H978" t="n">
        <v>0</v>
      </c>
      <c r="I978" t="n">
        <v>0</v>
      </c>
      <c r="J978" t="n">
        <v>0</v>
      </c>
      <c r="K978" t="n">
        <v>0</v>
      </c>
      <c r="L978" t="n">
        <v>0</v>
      </c>
      <c r="M978" t="n">
        <v>0</v>
      </c>
      <c r="N978" t="n">
        <v>0</v>
      </c>
      <c r="O978" t="n">
        <v>0</v>
      </c>
      <c r="P978" t="n">
        <v>0</v>
      </c>
      <c r="Q978" t="n">
        <v>0</v>
      </c>
      <c r="R978" s="2" t="inlineStr"/>
    </row>
    <row r="979" ht="15" customHeight="1">
      <c r="A979" t="inlineStr">
        <is>
          <t>A 61778-2023</t>
        </is>
      </c>
      <c r="B979" s="1" t="n">
        <v>45265</v>
      </c>
      <c r="C979" s="1" t="n">
        <v>45508</v>
      </c>
      <c r="D979" t="inlineStr">
        <is>
          <t>VÄSTERBOTTENS LÄN</t>
        </is>
      </c>
      <c r="E979" t="inlineStr">
        <is>
          <t>VILHELMINA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61777-2023</t>
        </is>
      </c>
      <c r="B980" s="1" t="n">
        <v>45265</v>
      </c>
      <c r="C980" s="1" t="n">
        <v>45508</v>
      </c>
      <c r="D980" t="inlineStr">
        <is>
          <t>VÄSTERBOTTENS LÄN</t>
        </is>
      </c>
      <c r="E980" t="inlineStr">
        <is>
          <t>VILHELMINA</t>
        </is>
      </c>
      <c r="F980" t="inlineStr">
        <is>
          <t>SCA</t>
        </is>
      </c>
      <c r="G980" t="n">
        <v>20.6</v>
      </c>
      <c r="H980" t="n">
        <v>0</v>
      </c>
      <c r="I980" t="n">
        <v>0</v>
      </c>
      <c r="J980" t="n">
        <v>0</v>
      </c>
      <c r="K980" t="n">
        <v>0</v>
      </c>
      <c r="L980" t="n">
        <v>0</v>
      </c>
      <c r="M980" t="n">
        <v>0</v>
      </c>
      <c r="N980" t="n">
        <v>0</v>
      </c>
      <c r="O980" t="n">
        <v>0</v>
      </c>
      <c r="P980" t="n">
        <v>0</v>
      </c>
      <c r="Q980" t="n">
        <v>0</v>
      </c>
      <c r="R980" s="2" t="inlineStr"/>
    </row>
    <row r="981" ht="15" customHeight="1">
      <c r="A981" t="inlineStr">
        <is>
          <t>A 61780-2023</t>
        </is>
      </c>
      <c r="B981" s="1" t="n">
        <v>45265</v>
      </c>
      <c r="C981" s="1" t="n">
        <v>45508</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61779-2023</t>
        </is>
      </c>
      <c r="B982" s="1" t="n">
        <v>45265</v>
      </c>
      <c r="C982" s="1" t="n">
        <v>45508</v>
      </c>
      <c r="D982" t="inlineStr">
        <is>
          <t>VÄSTERBOTTENS LÄN</t>
        </is>
      </c>
      <c r="E982" t="inlineStr">
        <is>
          <t>VILHELMINA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62015-2023</t>
        </is>
      </c>
      <c r="B983" s="1" t="n">
        <v>45265</v>
      </c>
      <c r="C983" s="1" t="n">
        <v>45508</v>
      </c>
      <c r="D983" t="inlineStr">
        <is>
          <t>VÄSTERBOTTENS LÄN</t>
        </is>
      </c>
      <c r="E983" t="inlineStr">
        <is>
          <t>VILHELMINA</t>
        </is>
      </c>
      <c r="G983" t="n">
        <v>3.1</v>
      </c>
      <c r="H983" t="n">
        <v>0</v>
      </c>
      <c r="I983" t="n">
        <v>0</v>
      </c>
      <c r="J983" t="n">
        <v>0</v>
      </c>
      <c r="K983" t="n">
        <v>0</v>
      </c>
      <c r="L983" t="n">
        <v>0</v>
      </c>
      <c r="M983" t="n">
        <v>0</v>
      </c>
      <c r="N983" t="n">
        <v>0</v>
      </c>
      <c r="O983" t="n">
        <v>0</v>
      </c>
      <c r="P983" t="n">
        <v>0</v>
      </c>
      <c r="Q983" t="n">
        <v>0</v>
      </c>
      <c r="R983" s="2" t="inlineStr"/>
    </row>
    <row r="984" ht="15" customHeight="1">
      <c r="A984" t="inlineStr">
        <is>
          <t>A 61973-2023</t>
        </is>
      </c>
      <c r="B984" s="1" t="n">
        <v>45265</v>
      </c>
      <c r="C984" s="1" t="n">
        <v>45508</v>
      </c>
      <c r="D984" t="inlineStr">
        <is>
          <t>VÄSTERBOTTENS LÄN</t>
        </is>
      </c>
      <c r="E984" t="inlineStr">
        <is>
          <t>VILHELMINA</t>
        </is>
      </c>
      <c r="G984" t="n">
        <v>24.9</v>
      </c>
      <c r="H984" t="n">
        <v>0</v>
      </c>
      <c r="I984" t="n">
        <v>0</v>
      </c>
      <c r="J984" t="n">
        <v>0</v>
      </c>
      <c r="K984" t="n">
        <v>0</v>
      </c>
      <c r="L984" t="n">
        <v>0</v>
      </c>
      <c r="M984" t="n">
        <v>0</v>
      </c>
      <c r="N984" t="n">
        <v>0</v>
      </c>
      <c r="O984" t="n">
        <v>0</v>
      </c>
      <c r="P984" t="n">
        <v>0</v>
      </c>
      <c r="Q984" t="n">
        <v>0</v>
      </c>
      <c r="R984" s="2" t="inlineStr"/>
    </row>
    <row r="985" ht="15" customHeight="1">
      <c r="A985" t="inlineStr">
        <is>
          <t>A 62021-2023</t>
        </is>
      </c>
      <c r="B985" s="1" t="n">
        <v>45265</v>
      </c>
      <c r="C985" s="1" t="n">
        <v>45508</v>
      </c>
      <c r="D985" t="inlineStr">
        <is>
          <t>VÄSTERBOTTENS LÄN</t>
        </is>
      </c>
      <c r="E985" t="inlineStr">
        <is>
          <t>VILHELMINA</t>
        </is>
      </c>
      <c r="G985" t="n">
        <v>2.4</v>
      </c>
      <c r="H985" t="n">
        <v>0</v>
      </c>
      <c r="I985" t="n">
        <v>0</v>
      </c>
      <c r="J985" t="n">
        <v>0</v>
      </c>
      <c r="K985" t="n">
        <v>0</v>
      </c>
      <c r="L985" t="n">
        <v>0</v>
      </c>
      <c r="M985" t="n">
        <v>0</v>
      </c>
      <c r="N985" t="n">
        <v>0</v>
      </c>
      <c r="O985" t="n">
        <v>0</v>
      </c>
      <c r="P985" t="n">
        <v>0</v>
      </c>
      <c r="Q985" t="n">
        <v>0</v>
      </c>
      <c r="R985" s="2" t="inlineStr"/>
    </row>
    <row r="986" ht="15" customHeight="1">
      <c r="A986" t="inlineStr">
        <is>
          <t>A 62663-2023</t>
        </is>
      </c>
      <c r="B986" s="1" t="n">
        <v>45267</v>
      </c>
      <c r="C986" s="1" t="n">
        <v>45508</v>
      </c>
      <c r="D986" t="inlineStr">
        <is>
          <t>VÄSTERBOTTENS LÄN</t>
        </is>
      </c>
      <c r="E986" t="inlineStr">
        <is>
          <t>VILHELMINA</t>
        </is>
      </c>
      <c r="F986" t="inlineStr">
        <is>
          <t>Allmännings- och besparingsskogar</t>
        </is>
      </c>
      <c r="G986" t="n">
        <v>19.3</v>
      </c>
      <c r="H986" t="n">
        <v>0</v>
      </c>
      <c r="I986" t="n">
        <v>0</v>
      </c>
      <c r="J986" t="n">
        <v>0</v>
      </c>
      <c r="K986" t="n">
        <v>0</v>
      </c>
      <c r="L986" t="n">
        <v>0</v>
      </c>
      <c r="M986" t="n">
        <v>0</v>
      </c>
      <c r="N986" t="n">
        <v>0</v>
      </c>
      <c r="O986" t="n">
        <v>0</v>
      </c>
      <c r="P986" t="n">
        <v>0</v>
      </c>
      <c r="Q986" t="n">
        <v>0</v>
      </c>
      <c r="R986" s="2" t="inlineStr"/>
    </row>
    <row r="987" ht="15" customHeight="1">
      <c r="A987" t="inlineStr">
        <is>
          <t>A 62673-2023</t>
        </is>
      </c>
      <c r="B987" s="1" t="n">
        <v>45267</v>
      </c>
      <c r="C987" s="1" t="n">
        <v>45508</v>
      </c>
      <c r="D987" t="inlineStr">
        <is>
          <t>VÄSTERBOTTENS LÄN</t>
        </is>
      </c>
      <c r="E987" t="inlineStr">
        <is>
          <t>VILHELMINA</t>
        </is>
      </c>
      <c r="F987" t="inlineStr">
        <is>
          <t>Allmännings- och besparingsskogar</t>
        </is>
      </c>
      <c r="G987" t="n">
        <v>19.8</v>
      </c>
      <c r="H987" t="n">
        <v>0</v>
      </c>
      <c r="I987" t="n">
        <v>0</v>
      </c>
      <c r="J987" t="n">
        <v>0</v>
      </c>
      <c r="K987" t="n">
        <v>0</v>
      </c>
      <c r="L987" t="n">
        <v>0</v>
      </c>
      <c r="M987" t="n">
        <v>0</v>
      </c>
      <c r="N987" t="n">
        <v>0</v>
      </c>
      <c r="O987" t="n">
        <v>0</v>
      </c>
      <c r="P987" t="n">
        <v>0</v>
      </c>
      <c r="Q987" t="n">
        <v>0</v>
      </c>
      <c r="R987" s="2" t="inlineStr"/>
    </row>
    <row r="988" ht="15" customHeight="1">
      <c r="A988" t="inlineStr">
        <is>
          <t>A 63050-2023</t>
        </is>
      </c>
      <c r="B988" s="1" t="n">
        <v>45272</v>
      </c>
      <c r="C988" s="1" t="n">
        <v>45508</v>
      </c>
      <c r="D988" t="inlineStr">
        <is>
          <t>VÄSTERBOTTENS LÄN</t>
        </is>
      </c>
      <c r="E988" t="inlineStr">
        <is>
          <t>VILHELMINA</t>
        </is>
      </c>
      <c r="G988" t="n">
        <v>2.5</v>
      </c>
      <c r="H988" t="n">
        <v>0</v>
      </c>
      <c r="I988" t="n">
        <v>0</v>
      </c>
      <c r="J988" t="n">
        <v>0</v>
      </c>
      <c r="K988" t="n">
        <v>0</v>
      </c>
      <c r="L988" t="n">
        <v>0</v>
      </c>
      <c r="M988" t="n">
        <v>0</v>
      </c>
      <c r="N988" t="n">
        <v>0</v>
      </c>
      <c r="O988" t="n">
        <v>0</v>
      </c>
      <c r="P988" t="n">
        <v>0</v>
      </c>
      <c r="Q988" t="n">
        <v>0</v>
      </c>
      <c r="R988" s="2" t="inlineStr"/>
    </row>
    <row r="989" ht="15" customHeight="1">
      <c r="A989" t="inlineStr">
        <is>
          <t>A 63049-2023</t>
        </is>
      </c>
      <c r="B989" s="1" t="n">
        <v>45272</v>
      </c>
      <c r="C989" s="1" t="n">
        <v>45508</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63053-2023</t>
        </is>
      </c>
      <c r="B990" s="1" t="n">
        <v>45272</v>
      </c>
      <c r="C990" s="1" t="n">
        <v>45508</v>
      </c>
      <c r="D990" t="inlineStr">
        <is>
          <t>VÄSTERBOTTENS LÄN</t>
        </is>
      </c>
      <c r="E990" t="inlineStr">
        <is>
          <t>VILHELMINA</t>
        </is>
      </c>
      <c r="G990" t="n">
        <v>2</v>
      </c>
      <c r="H990" t="n">
        <v>0</v>
      </c>
      <c r="I990" t="n">
        <v>0</v>
      </c>
      <c r="J990" t="n">
        <v>0</v>
      </c>
      <c r="K990" t="n">
        <v>0</v>
      </c>
      <c r="L990" t="n">
        <v>0</v>
      </c>
      <c r="M990" t="n">
        <v>0</v>
      </c>
      <c r="N990" t="n">
        <v>0</v>
      </c>
      <c r="O990" t="n">
        <v>0</v>
      </c>
      <c r="P990" t="n">
        <v>0</v>
      </c>
      <c r="Q990" t="n">
        <v>0</v>
      </c>
      <c r="R990" s="2" t="inlineStr"/>
    </row>
    <row r="991" ht="15" customHeight="1">
      <c r="A991" t="inlineStr">
        <is>
          <t>A 63563-2023</t>
        </is>
      </c>
      <c r="B991" s="1" t="n">
        <v>45274</v>
      </c>
      <c r="C991" s="1" t="n">
        <v>45508</v>
      </c>
      <c r="D991" t="inlineStr">
        <is>
          <t>VÄSTERBOTTENS LÄN</t>
        </is>
      </c>
      <c r="E991" t="inlineStr">
        <is>
          <t>VILHELMINA</t>
        </is>
      </c>
      <c r="F991" t="inlineStr">
        <is>
          <t>Övriga Aktiebolag</t>
        </is>
      </c>
      <c r="G991" t="n">
        <v>15.1</v>
      </c>
      <c r="H991" t="n">
        <v>0</v>
      </c>
      <c r="I991" t="n">
        <v>0</v>
      </c>
      <c r="J991" t="n">
        <v>0</v>
      </c>
      <c r="K991" t="n">
        <v>0</v>
      </c>
      <c r="L991" t="n">
        <v>0</v>
      </c>
      <c r="M991" t="n">
        <v>0</v>
      </c>
      <c r="N991" t="n">
        <v>0</v>
      </c>
      <c r="O991" t="n">
        <v>0</v>
      </c>
      <c r="P991" t="n">
        <v>0</v>
      </c>
      <c r="Q991" t="n">
        <v>0</v>
      </c>
      <c r="R991" s="2" t="inlineStr"/>
    </row>
    <row r="992" ht="15" customHeight="1">
      <c r="A992" t="inlineStr">
        <is>
          <t>A 63877-2023</t>
        </is>
      </c>
      <c r="B992" s="1" t="n">
        <v>45278</v>
      </c>
      <c r="C992" s="1" t="n">
        <v>45508</v>
      </c>
      <c r="D992" t="inlineStr">
        <is>
          <t>VÄSTERBOTTENS LÄN</t>
        </is>
      </c>
      <c r="E992" t="inlineStr">
        <is>
          <t>VILHELMINA</t>
        </is>
      </c>
      <c r="G992" t="n">
        <v>1.2</v>
      </c>
      <c r="H992" t="n">
        <v>0</v>
      </c>
      <c r="I992" t="n">
        <v>0</v>
      </c>
      <c r="J992" t="n">
        <v>0</v>
      </c>
      <c r="K992" t="n">
        <v>0</v>
      </c>
      <c r="L992" t="n">
        <v>0</v>
      </c>
      <c r="M992" t="n">
        <v>0</v>
      </c>
      <c r="N992" t="n">
        <v>0</v>
      </c>
      <c r="O992" t="n">
        <v>0</v>
      </c>
      <c r="P992" t="n">
        <v>0</v>
      </c>
      <c r="Q992" t="n">
        <v>0</v>
      </c>
      <c r="R992" s="2" t="inlineStr"/>
    </row>
    <row r="993" ht="15" customHeight="1">
      <c r="A993" t="inlineStr">
        <is>
          <t>A 64029-2023</t>
        </is>
      </c>
      <c r="B993" s="1" t="n">
        <v>45278</v>
      </c>
      <c r="C993" s="1" t="n">
        <v>45508</v>
      </c>
      <c r="D993" t="inlineStr">
        <is>
          <t>VÄSTERBOTTENS LÄN</t>
        </is>
      </c>
      <c r="E993" t="inlineStr">
        <is>
          <t>VILHELMINA</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64028-2023</t>
        </is>
      </c>
      <c r="B994" s="1" t="n">
        <v>45278</v>
      </c>
      <c r="C994" s="1" t="n">
        <v>45508</v>
      </c>
      <c r="D994" t="inlineStr">
        <is>
          <t>VÄSTERBOTTENS LÄN</t>
        </is>
      </c>
      <c r="E994" t="inlineStr">
        <is>
          <t>VILHELMINA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64027-2023</t>
        </is>
      </c>
      <c r="B995" s="1" t="n">
        <v>45278</v>
      </c>
      <c r="C995" s="1" t="n">
        <v>45508</v>
      </c>
      <c r="D995" t="inlineStr">
        <is>
          <t>VÄSTERBOTTENS LÄN</t>
        </is>
      </c>
      <c r="E995" t="inlineStr">
        <is>
          <t>VILHELMINA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64362-2023</t>
        </is>
      </c>
      <c r="B996" s="1" t="n">
        <v>45280</v>
      </c>
      <c r="C996" s="1" t="n">
        <v>45508</v>
      </c>
      <c r="D996" t="inlineStr">
        <is>
          <t>VÄSTERBOTTENS LÄN</t>
        </is>
      </c>
      <c r="E996" t="inlineStr">
        <is>
          <t>VILHELMINA</t>
        </is>
      </c>
      <c r="G996" t="n">
        <v>4.5</v>
      </c>
      <c r="H996" t="n">
        <v>0</v>
      </c>
      <c r="I996" t="n">
        <v>0</v>
      </c>
      <c r="J996" t="n">
        <v>0</v>
      </c>
      <c r="K996" t="n">
        <v>0</v>
      </c>
      <c r="L996" t="n">
        <v>0</v>
      </c>
      <c r="M996" t="n">
        <v>0</v>
      </c>
      <c r="N996" t="n">
        <v>0</v>
      </c>
      <c r="O996" t="n">
        <v>0</v>
      </c>
      <c r="P996" t="n">
        <v>0</v>
      </c>
      <c r="Q996" t="n">
        <v>0</v>
      </c>
      <c r="R996" s="2" t="inlineStr"/>
    </row>
    <row r="997" ht="15" customHeight="1">
      <c r="A997" t="inlineStr">
        <is>
          <t>A 64495-2023</t>
        </is>
      </c>
      <c r="B997" s="1" t="n">
        <v>45280</v>
      </c>
      <c r="C997" s="1" t="n">
        <v>45508</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64421-2023</t>
        </is>
      </c>
      <c r="B998" s="1" t="n">
        <v>45280</v>
      </c>
      <c r="C998" s="1" t="n">
        <v>45508</v>
      </c>
      <c r="D998" t="inlineStr">
        <is>
          <t>VÄSTERBOTTENS LÄN</t>
        </is>
      </c>
      <c r="E998" t="inlineStr">
        <is>
          <t>VILHELMINA</t>
        </is>
      </c>
      <c r="G998" t="n">
        <v>4.9</v>
      </c>
      <c r="H998" t="n">
        <v>0</v>
      </c>
      <c r="I998" t="n">
        <v>0</v>
      </c>
      <c r="J998" t="n">
        <v>0</v>
      </c>
      <c r="K998" t="n">
        <v>0</v>
      </c>
      <c r="L998" t="n">
        <v>0</v>
      </c>
      <c r="M998" t="n">
        <v>0</v>
      </c>
      <c r="N998" t="n">
        <v>0</v>
      </c>
      <c r="O998" t="n">
        <v>0</v>
      </c>
      <c r="P998" t="n">
        <v>0</v>
      </c>
      <c r="Q998" t="n">
        <v>0</v>
      </c>
      <c r="R998" s="2" t="inlineStr"/>
    </row>
    <row r="999" ht="15" customHeight="1">
      <c r="A999" t="inlineStr">
        <is>
          <t>A 64592-2023</t>
        </is>
      </c>
      <c r="B999" s="1" t="n">
        <v>45281</v>
      </c>
      <c r="C999" s="1" t="n">
        <v>45508</v>
      </c>
      <c r="D999" t="inlineStr">
        <is>
          <t>VÄSTERBOTTENS LÄN</t>
        </is>
      </c>
      <c r="E999" t="inlineStr">
        <is>
          <t>VILHELMINA</t>
        </is>
      </c>
      <c r="F999" t="inlineStr">
        <is>
          <t>Kommuner</t>
        </is>
      </c>
      <c r="G999" t="n">
        <v>12.8</v>
      </c>
      <c r="H999" t="n">
        <v>0</v>
      </c>
      <c r="I999" t="n">
        <v>0</v>
      </c>
      <c r="J999" t="n">
        <v>0</v>
      </c>
      <c r="K999" t="n">
        <v>0</v>
      </c>
      <c r="L999" t="n">
        <v>0</v>
      </c>
      <c r="M999" t="n">
        <v>0</v>
      </c>
      <c r="N999" t="n">
        <v>0</v>
      </c>
      <c r="O999" t="n">
        <v>0</v>
      </c>
      <c r="P999" t="n">
        <v>0</v>
      </c>
      <c r="Q999" t="n">
        <v>0</v>
      </c>
      <c r="R999" s="2" t="inlineStr"/>
    </row>
    <row r="1000" ht="15" customHeight="1">
      <c r="A1000" t="inlineStr">
        <is>
          <t>A 65042-2023</t>
        </is>
      </c>
      <c r="B1000" s="1" t="n">
        <v>45282</v>
      </c>
      <c r="C1000" s="1" t="n">
        <v>45508</v>
      </c>
      <c r="D1000" t="inlineStr">
        <is>
          <t>VÄSTERBOTTENS LÄN</t>
        </is>
      </c>
      <c r="E1000" t="inlineStr">
        <is>
          <t>VILHELMINA</t>
        </is>
      </c>
      <c r="F1000" t="inlineStr">
        <is>
          <t>Övriga Aktiebolag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367-2024</t>
        </is>
      </c>
      <c r="B1001" s="1" t="n">
        <v>45295</v>
      </c>
      <c r="C1001" s="1" t="n">
        <v>45508</v>
      </c>
      <c r="D1001" t="inlineStr">
        <is>
          <t>VÄSTERBOTTENS LÄN</t>
        </is>
      </c>
      <c r="E1001" t="inlineStr">
        <is>
          <t>VILHELMINA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370-2024</t>
        </is>
      </c>
      <c r="B1002" s="1" t="n">
        <v>45296</v>
      </c>
      <c r="C1002" s="1" t="n">
        <v>45508</v>
      </c>
      <c r="D1002" t="inlineStr">
        <is>
          <t>VÄSTERBOTTENS LÄN</t>
        </is>
      </c>
      <c r="E1002" t="inlineStr">
        <is>
          <t>VILHELMINA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475-2024</t>
        </is>
      </c>
      <c r="B1003" s="1" t="n">
        <v>45297</v>
      </c>
      <c r="C1003" s="1" t="n">
        <v>45508</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468-2024</t>
        </is>
      </c>
      <c r="B1004" s="1" t="n">
        <v>45297</v>
      </c>
      <c r="C1004" s="1" t="n">
        <v>45508</v>
      </c>
      <c r="D1004" t="inlineStr">
        <is>
          <t>VÄSTERBOTTENS LÄN</t>
        </is>
      </c>
      <c r="E1004" t="inlineStr">
        <is>
          <t>VILHELMINA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706-2024</t>
        </is>
      </c>
      <c r="B1005" s="1" t="n">
        <v>45300</v>
      </c>
      <c r="C1005" s="1" t="n">
        <v>45508</v>
      </c>
      <c r="D1005" t="inlineStr">
        <is>
          <t>VÄSTERBOTTENS LÄN</t>
        </is>
      </c>
      <c r="E1005" t="inlineStr">
        <is>
          <t>VILHELMINA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1780-2024</t>
        </is>
      </c>
      <c r="B1006" s="1" t="n">
        <v>45307</v>
      </c>
      <c r="C1006" s="1" t="n">
        <v>45508</v>
      </c>
      <c r="D1006" t="inlineStr">
        <is>
          <t>VÄSTERBOTTENS LÄN</t>
        </is>
      </c>
      <c r="E1006" t="inlineStr">
        <is>
          <t>VILHELMINA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1854-2024</t>
        </is>
      </c>
      <c r="B1007" s="1" t="n">
        <v>45307</v>
      </c>
      <c r="C1007" s="1" t="n">
        <v>45508</v>
      </c>
      <c r="D1007" t="inlineStr">
        <is>
          <t>VÄSTERBOTTENS LÄN</t>
        </is>
      </c>
      <c r="E1007" t="inlineStr">
        <is>
          <t>VILHELMINA</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1940-2024</t>
        </is>
      </c>
      <c r="B1008" s="1" t="n">
        <v>45308</v>
      </c>
      <c r="C1008" s="1" t="n">
        <v>45508</v>
      </c>
      <c r="D1008" t="inlineStr">
        <is>
          <t>VÄSTERBOTTENS LÄN</t>
        </is>
      </c>
      <c r="E1008" t="inlineStr">
        <is>
          <t>VILHELMINA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2022-2024</t>
        </is>
      </c>
      <c r="B1009" s="1" t="n">
        <v>45308</v>
      </c>
      <c r="C1009" s="1" t="n">
        <v>45508</v>
      </c>
      <c r="D1009" t="inlineStr">
        <is>
          <t>VÄSTERBOTTENS LÄN</t>
        </is>
      </c>
      <c r="E1009" t="inlineStr">
        <is>
          <t>VILHELMINA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2023-2024</t>
        </is>
      </c>
      <c r="B1010" s="1" t="n">
        <v>45308</v>
      </c>
      <c r="C1010" s="1" t="n">
        <v>45508</v>
      </c>
      <c r="D1010" t="inlineStr">
        <is>
          <t>VÄSTERBOTTENS LÄN</t>
        </is>
      </c>
      <c r="E1010" t="inlineStr">
        <is>
          <t>VILHELMINA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3237-2024</t>
        </is>
      </c>
      <c r="B1011" s="1" t="n">
        <v>45316</v>
      </c>
      <c r="C1011" s="1" t="n">
        <v>45508</v>
      </c>
      <c r="D1011" t="inlineStr">
        <is>
          <t>VÄSTERBOTTENS LÄN</t>
        </is>
      </c>
      <c r="E1011" t="inlineStr">
        <is>
          <t>VILHELMINA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3620-2024</t>
        </is>
      </c>
      <c r="B1012" s="1" t="n">
        <v>45320</v>
      </c>
      <c r="C1012" s="1" t="n">
        <v>45508</v>
      </c>
      <c r="D1012" t="inlineStr">
        <is>
          <t>VÄSTERBOTTENS LÄN</t>
        </is>
      </c>
      <c r="E1012" t="inlineStr">
        <is>
          <t>VILHELMINA</t>
        </is>
      </c>
      <c r="F1012" t="inlineStr">
        <is>
          <t>SCA</t>
        </is>
      </c>
      <c r="G1012" t="n">
        <v>15.6</v>
      </c>
      <c r="H1012" t="n">
        <v>0</v>
      </c>
      <c r="I1012" t="n">
        <v>0</v>
      </c>
      <c r="J1012" t="n">
        <v>0</v>
      </c>
      <c r="K1012" t="n">
        <v>0</v>
      </c>
      <c r="L1012" t="n">
        <v>0</v>
      </c>
      <c r="M1012" t="n">
        <v>0</v>
      </c>
      <c r="N1012" t="n">
        <v>0</v>
      </c>
      <c r="O1012" t="n">
        <v>0</v>
      </c>
      <c r="P1012" t="n">
        <v>0</v>
      </c>
      <c r="Q1012" t="n">
        <v>0</v>
      </c>
      <c r="R1012" s="2" t="inlineStr"/>
    </row>
    <row r="1013" ht="15" customHeight="1">
      <c r="A1013" t="inlineStr">
        <is>
          <t>A 4291-2024</t>
        </is>
      </c>
      <c r="B1013" s="1" t="n">
        <v>45324</v>
      </c>
      <c r="C1013" s="1" t="n">
        <v>45508</v>
      </c>
      <c r="D1013" t="inlineStr">
        <is>
          <t>VÄSTERBOTTENS LÄN</t>
        </is>
      </c>
      <c r="E1013" t="inlineStr">
        <is>
          <t>VILHELMINA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5435-2024</t>
        </is>
      </c>
      <c r="B1014" s="1" t="n">
        <v>45331</v>
      </c>
      <c r="C1014" s="1" t="n">
        <v>45508</v>
      </c>
      <c r="D1014" t="inlineStr">
        <is>
          <t>VÄSTERBOTTENS LÄN</t>
        </is>
      </c>
      <c r="E1014" t="inlineStr">
        <is>
          <t>VILHELMINA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5434-2024</t>
        </is>
      </c>
      <c r="B1015" s="1" t="n">
        <v>45331</v>
      </c>
      <c r="C1015" s="1" t="n">
        <v>45508</v>
      </c>
      <c r="D1015" t="inlineStr">
        <is>
          <t>VÄSTERBOTTENS LÄN</t>
        </is>
      </c>
      <c r="E1015" t="inlineStr">
        <is>
          <t>VILHELMINA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5432-2024</t>
        </is>
      </c>
      <c r="B1016" s="1" t="n">
        <v>45331</v>
      </c>
      <c r="C1016" s="1" t="n">
        <v>45508</v>
      </c>
      <c r="D1016" t="inlineStr">
        <is>
          <t>VÄSTERBOTTENS LÄN</t>
        </is>
      </c>
      <c r="E1016" t="inlineStr">
        <is>
          <t>VILHELMINA</t>
        </is>
      </c>
      <c r="G1016" t="n">
        <v>19.6</v>
      </c>
      <c r="H1016" t="n">
        <v>0</v>
      </c>
      <c r="I1016" t="n">
        <v>0</v>
      </c>
      <c r="J1016" t="n">
        <v>0</v>
      </c>
      <c r="K1016" t="n">
        <v>0</v>
      </c>
      <c r="L1016" t="n">
        <v>0</v>
      </c>
      <c r="M1016" t="n">
        <v>0</v>
      </c>
      <c r="N1016" t="n">
        <v>0</v>
      </c>
      <c r="O1016" t="n">
        <v>0</v>
      </c>
      <c r="P1016" t="n">
        <v>0</v>
      </c>
      <c r="Q1016" t="n">
        <v>0</v>
      </c>
      <c r="R1016" s="2" t="inlineStr"/>
    </row>
    <row r="1017" ht="15" customHeight="1">
      <c r="A1017" t="inlineStr">
        <is>
          <t>A 5549-2024</t>
        </is>
      </c>
      <c r="B1017" s="1" t="n">
        <v>45332</v>
      </c>
      <c r="C1017" s="1" t="n">
        <v>45508</v>
      </c>
      <c r="D1017" t="inlineStr">
        <is>
          <t>VÄSTERBOTTENS LÄN</t>
        </is>
      </c>
      <c r="E1017" t="inlineStr">
        <is>
          <t>VILHELMINA</t>
        </is>
      </c>
      <c r="G1017" t="n">
        <v>25.8</v>
      </c>
      <c r="H1017" t="n">
        <v>0</v>
      </c>
      <c r="I1017" t="n">
        <v>0</v>
      </c>
      <c r="J1017" t="n">
        <v>0</v>
      </c>
      <c r="K1017" t="n">
        <v>0</v>
      </c>
      <c r="L1017" t="n">
        <v>0</v>
      </c>
      <c r="M1017" t="n">
        <v>0</v>
      </c>
      <c r="N1017" t="n">
        <v>0</v>
      </c>
      <c r="O1017" t="n">
        <v>0</v>
      </c>
      <c r="P1017" t="n">
        <v>0</v>
      </c>
      <c r="Q1017" t="n">
        <v>0</v>
      </c>
      <c r="R1017" s="2" t="inlineStr"/>
    </row>
    <row r="1018" ht="15" customHeight="1">
      <c r="A1018" t="inlineStr">
        <is>
          <t>A 5552-2024</t>
        </is>
      </c>
      <c r="B1018" s="1" t="n">
        <v>45332</v>
      </c>
      <c r="C1018" s="1" t="n">
        <v>45508</v>
      </c>
      <c r="D1018" t="inlineStr">
        <is>
          <t>VÄSTERBOTTENS LÄN</t>
        </is>
      </c>
      <c r="E1018" t="inlineStr">
        <is>
          <t>VILHELMINA</t>
        </is>
      </c>
      <c r="G1018" t="n">
        <v>18.2</v>
      </c>
      <c r="H1018" t="n">
        <v>0</v>
      </c>
      <c r="I1018" t="n">
        <v>0</v>
      </c>
      <c r="J1018" t="n">
        <v>0</v>
      </c>
      <c r="K1018" t="n">
        <v>0</v>
      </c>
      <c r="L1018" t="n">
        <v>0</v>
      </c>
      <c r="M1018" t="n">
        <v>0</v>
      </c>
      <c r="N1018" t="n">
        <v>0</v>
      </c>
      <c r="O1018" t="n">
        <v>0</v>
      </c>
      <c r="P1018" t="n">
        <v>0</v>
      </c>
      <c r="Q1018" t="n">
        <v>0</v>
      </c>
      <c r="R1018" s="2" t="inlineStr"/>
    </row>
    <row r="1019" ht="15" customHeight="1">
      <c r="A1019" t="inlineStr">
        <is>
          <t>A 5482-2024</t>
        </is>
      </c>
      <c r="B1019" s="1" t="n">
        <v>45333</v>
      </c>
      <c r="C1019" s="1" t="n">
        <v>45508</v>
      </c>
      <c r="D1019" t="inlineStr">
        <is>
          <t>VÄSTERBOTTENS LÄN</t>
        </is>
      </c>
      <c r="E1019" t="inlineStr">
        <is>
          <t>VILHELMINA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5497-2024</t>
        </is>
      </c>
      <c r="B1020" s="1" t="n">
        <v>45334</v>
      </c>
      <c r="C1020" s="1" t="n">
        <v>45508</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6281-2024</t>
        </is>
      </c>
      <c r="B1021" s="1" t="n">
        <v>45337</v>
      </c>
      <c r="C1021" s="1" t="n">
        <v>45508</v>
      </c>
      <c r="D1021" t="inlineStr">
        <is>
          <t>VÄSTERBOTTENS LÄN</t>
        </is>
      </c>
      <c r="E1021" t="inlineStr">
        <is>
          <t>VILHELMINA</t>
        </is>
      </c>
      <c r="F1021" t="inlineStr">
        <is>
          <t>SCA</t>
        </is>
      </c>
      <c r="G1021" t="n">
        <v>17.6</v>
      </c>
      <c r="H1021" t="n">
        <v>0</v>
      </c>
      <c r="I1021" t="n">
        <v>0</v>
      </c>
      <c r="J1021" t="n">
        <v>0</v>
      </c>
      <c r="K1021" t="n">
        <v>0</v>
      </c>
      <c r="L1021" t="n">
        <v>0</v>
      </c>
      <c r="M1021" t="n">
        <v>0</v>
      </c>
      <c r="N1021" t="n">
        <v>0</v>
      </c>
      <c r="O1021" t="n">
        <v>0</v>
      </c>
      <c r="P1021" t="n">
        <v>0</v>
      </c>
      <c r="Q1021" t="n">
        <v>0</v>
      </c>
      <c r="R1021" s="2" t="inlineStr"/>
    </row>
    <row r="1022" ht="15" customHeight="1">
      <c r="A1022" t="inlineStr">
        <is>
          <t>A 6280-2024</t>
        </is>
      </c>
      <c r="B1022" s="1" t="n">
        <v>45337</v>
      </c>
      <c r="C1022" s="1" t="n">
        <v>45508</v>
      </c>
      <c r="D1022" t="inlineStr">
        <is>
          <t>VÄSTERBOTTENS LÄN</t>
        </is>
      </c>
      <c r="E1022" t="inlineStr">
        <is>
          <t>VILHELMINA</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6369-2024</t>
        </is>
      </c>
      <c r="B1023" s="1" t="n">
        <v>45338</v>
      </c>
      <c r="C1023" s="1" t="n">
        <v>45508</v>
      </c>
      <c r="D1023" t="inlineStr">
        <is>
          <t>VÄSTERBOTTENS LÄN</t>
        </is>
      </c>
      <c r="E1023" t="inlineStr">
        <is>
          <t>VILHELMINA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6358-2024</t>
        </is>
      </c>
      <c r="B1024" s="1" t="n">
        <v>45338</v>
      </c>
      <c r="C1024" s="1" t="n">
        <v>45508</v>
      </c>
      <c r="D1024" t="inlineStr">
        <is>
          <t>VÄSTERBOTTENS LÄN</t>
        </is>
      </c>
      <c r="E1024" t="inlineStr">
        <is>
          <t>VILHELMINA</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7102-2024</t>
        </is>
      </c>
      <c r="B1025" s="1" t="n">
        <v>45343</v>
      </c>
      <c r="C1025" s="1" t="n">
        <v>45508</v>
      </c>
      <c r="D1025" t="inlineStr">
        <is>
          <t>VÄSTERBOTTENS LÄN</t>
        </is>
      </c>
      <c r="E1025" t="inlineStr">
        <is>
          <t>VILHELMINA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7259-2024</t>
        </is>
      </c>
      <c r="B1026" s="1" t="n">
        <v>45344</v>
      </c>
      <c r="C1026" s="1" t="n">
        <v>45508</v>
      </c>
      <c r="D1026" t="inlineStr">
        <is>
          <t>VÄSTERBOTTENS LÄN</t>
        </is>
      </c>
      <c r="E1026" t="inlineStr">
        <is>
          <t>VILHELMINA</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7777-2024</t>
        </is>
      </c>
      <c r="B1027" s="1" t="n">
        <v>45349</v>
      </c>
      <c r="C1027" s="1" t="n">
        <v>45508</v>
      </c>
      <c r="D1027" t="inlineStr">
        <is>
          <t>VÄSTERBOTTENS LÄN</t>
        </is>
      </c>
      <c r="E1027" t="inlineStr">
        <is>
          <t>VILHELMINA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8544-2024</t>
        </is>
      </c>
      <c r="B1028" s="1" t="n">
        <v>45351</v>
      </c>
      <c r="C1028" s="1" t="n">
        <v>45508</v>
      </c>
      <c r="D1028" t="inlineStr">
        <is>
          <t>VÄSTERBOTTENS LÄN</t>
        </is>
      </c>
      <c r="E1028" t="inlineStr">
        <is>
          <t>VILHELMINA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8664-2024</t>
        </is>
      </c>
      <c r="B1029" s="1" t="n">
        <v>45356</v>
      </c>
      <c r="C1029" s="1" t="n">
        <v>45508</v>
      </c>
      <c r="D1029" t="inlineStr">
        <is>
          <t>VÄSTERBOTTENS LÄN</t>
        </is>
      </c>
      <c r="E1029" t="inlineStr">
        <is>
          <t>VILHELMINA</t>
        </is>
      </c>
      <c r="F1029" t="inlineStr">
        <is>
          <t>SCA</t>
        </is>
      </c>
      <c r="G1029" t="n">
        <v>15.8</v>
      </c>
      <c r="H1029" t="n">
        <v>0</v>
      </c>
      <c r="I1029" t="n">
        <v>0</v>
      </c>
      <c r="J1029" t="n">
        <v>0</v>
      </c>
      <c r="K1029" t="n">
        <v>0</v>
      </c>
      <c r="L1029" t="n">
        <v>0</v>
      </c>
      <c r="M1029" t="n">
        <v>0</v>
      </c>
      <c r="N1029" t="n">
        <v>0</v>
      </c>
      <c r="O1029" t="n">
        <v>0</v>
      </c>
      <c r="P1029" t="n">
        <v>0</v>
      </c>
      <c r="Q1029" t="n">
        <v>0</v>
      </c>
      <c r="R1029" s="2" t="inlineStr"/>
    </row>
    <row r="1030" ht="15" customHeight="1">
      <c r="A1030" t="inlineStr">
        <is>
          <t>A 9815-2024</t>
        </is>
      </c>
      <c r="B1030" s="1" t="n">
        <v>45363</v>
      </c>
      <c r="C1030" s="1" t="n">
        <v>45508</v>
      </c>
      <c r="D1030" t="inlineStr">
        <is>
          <t>VÄSTERBOTTENS LÄN</t>
        </is>
      </c>
      <c r="E1030" t="inlineStr">
        <is>
          <t>VILHELMINA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10617-2024</t>
        </is>
      </c>
      <c r="B1031" s="1" t="n">
        <v>45367</v>
      </c>
      <c r="C1031" s="1" t="n">
        <v>45508</v>
      </c>
      <c r="D1031" t="inlineStr">
        <is>
          <t>VÄSTERBOTTENS LÄN</t>
        </is>
      </c>
      <c r="E1031" t="inlineStr">
        <is>
          <t>VILHELMINA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11538-2024</t>
        </is>
      </c>
      <c r="B1032" s="1" t="n">
        <v>45372</v>
      </c>
      <c r="C1032" s="1" t="n">
        <v>45508</v>
      </c>
      <c r="D1032" t="inlineStr">
        <is>
          <t>VÄSTERBOTTENS LÄN</t>
        </is>
      </c>
      <c r="E1032" t="inlineStr">
        <is>
          <t>VILHELMINA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11806-2024</t>
        </is>
      </c>
      <c r="B1033" s="1" t="n">
        <v>45375</v>
      </c>
      <c r="C1033" s="1" t="n">
        <v>45508</v>
      </c>
      <c r="D1033" t="inlineStr">
        <is>
          <t>VÄSTERBOTTENS LÄN</t>
        </is>
      </c>
      <c r="E1033" t="inlineStr">
        <is>
          <t>VILHELMINA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12118-2024</t>
        </is>
      </c>
      <c r="B1034" s="1" t="n">
        <v>45376</v>
      </c>
      <c r="C1034" s="1" t="n">
        <v>45508</v>
      </c>
      <c r="D1034" t="inlineStr">
        <is>
          <t>VÄSTERBOTTENS LÄN</t>
        </is>
      </c>
      <c r="E1034" t="inlineStr">
        <is>
          <t>VILHELMINA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12189-2024</t>
        </is>
      </c>
      <c r="B1035" s="1" t="n">
        <v>45377</v>
      </c>
      <c r="C1035" s="1" t="n">
        <v>45508</v>
      </c>
      <c r="D1035" t="inlineStr">
        <is>
          <t>VÄSTERBOTTENS LÄN</t>
        </is>
      </c>
      <c r="E1035" t="inlineStr">
        <is>
          <t>VILHELMINA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12192-2024</t>
        </is>
      </c>
      <c r="B1036" s="1" t="n">
        <v>45377</v>
      </c>
      <c r="C1036" s="1" t="n">
        <v>45508</v>
      </c>
      <c r="D1036" t="inlineStr">
        <is>
          <t>VÄSTERBOTTENS LÄN</t>
        </is>
      </c>
      <c r="E1036" t="inlineStr">
        <is>
          <t>VILHELMINA</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12190-2024</t>
        </is>
      </c>
      <c r="B1037" s="1" t="n">
        <v>45377</v>
      </c>
      <c r="C1037" s="1" t="n">
        <v>45508</v>
      </c>
      <c r="D1037" t="inlineStr">
        <is>
          <t>VÄSTERBOTTENS LÄN</t>
        </is>
      </c>
      <c r="E1037" t="inlineStr">
        <is>
          <t>VILHELMINA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12191-2024</t>
        </is>
      </c>
      <c r="B1038" s="1" t="n">
        <v>45377</v>
      </c>
      <c r="C1038" s="1" t="n">
        <v>45508</v>
      </c>
      <c r="D1038" t="inlineStr">
        <is>
          <t>VÄSTERBOTTENS LÄN</t>
        </is>
      </c>
      <c r="E1038" t="inlineStr">
        <is>
          <t>VILHELMINA</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12373-2024</t>
        </is>
      </c>
      <c r="B1039" s="1" t="n">
        <v>45378</v>
      </c>
      <c r="C1039" s="1" t="n">
        <v>45508</v>
      </c>
      <c r="D1039" t="inlineStr">
        <is>
          <t>VÄSTERBOTTENS LÄN</t>
        </is>
      </c>
      <c r="E1039" t="inlineStr">
        <is>
          <t>VILHELMINA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12583-2024</t>
        </is>
      </c>
      <c r="B1040" s="1" t="n">
        <v>45379</v>
      </c>
      <c r="C1040" s="1" t="n">
        <v>45508</v>
      </c>
      <c r="D1040" t="inlineStr">
        <is>
          <t>VÄSTERBOTTENS LÄN</t>
        </is>
      </c>
      <c r="E1040" t="inlineStr">
        <is>
          <t>VILHELMINA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13557-2024</t>
        </is>
      </c>
      <c r="B1041" s="1" t="n">
        <v>45388</v>
      </c>
      <c r="C1041" s="1" t="n">
        <v>45508</v>
      </c>
      <c r="D1041" t="inlineStr">
        <is>
          <t>VÄSTERBOTTENS LÄN</t>
        </is>
      </c>
      <c r="E1041" t="inlineStr">
        <is>
          <t>VILHELMINA</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13768-2024</t>
        </is>
      </c>
      <c r="B1042" s="1" t="n">
        <v>45391</v>
      </c>
      <c r="C1042" s="1" t="n">
        <v>45508</v>
      </c>
      <c r="D1042" t="inlineStr">
        <is>
          <t>VÄSTERBOTTENS LÄN</t>
        </is>
      </c>
      <c r="E1042" t="inlineStr">
        <is>
          <t>VILHELMINA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14366-2024</t>
        </is>
      </c>
      <c r="B1043" s="1" t="n">
        <v>45394</v>
      </c>
      <c r="C1043" s="1" t="n">
        <v>45508</v>
      </c>
      <c r="D1043" t="inlineStr">
        <is>
          <t>VÄSTERBOTTENS LÄN</t>
        </is>
      </c>
      <c r="E1043" t="inlineStr">
        <is>
          <t>VILHELMINA</t>
        </is>
      </c>
      <c r="F1043" t="inlineStr">
        <is>
          <t>SCA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14816-2024</t>
        </is>
      </c>
      <c r="B1044" s="1" t="n">
        <v>45397</v>
      </c>
      <c r="C1044" s="1" t="n">
        <v>45508</v>
      </c>
      <c r="D1044" t="inlineStr">
        <is>
          <t>VÄSTERBOTTENS LÄN</t>
        </is>
      </c>
      <c r="E1044" t="inlineStr">
        <is>
          <t>VILHELMINA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14817-2024</t>
        </is>
      </c>
      <c r="B1045" s="1" t="n">
        <v>45398</v>
      </c>
      <c r="C1045" s="1" t="n">
        <v>45508</v>
      </c>
      <c r="D1045" t="inlineStr">
        <is>
          <t>VÄSTERBOTTENS LÄN</t>
        </is>
      </c>
      <c r="E1045" t="inlineStr">
        <is>
          <t>VILHELMINA</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15059-2024</t>
        </is>
      </c>
      <c r="B1046" s="1" t="n">
        <v>45399</v>
      </c>
      <c r="C1046" s="1" t="n">
        <v>45508</v>
      </c>
      <c r="D1046" t="inlineStr">
        <is>
          <t>VÄSTERBOTTENS LÄN</t>
        </is>
      </c>
      <c r="E1046" t="inlineStr">
        <is>
          <t>VILHELMINA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15050-2024</t>
        </is>
      </c>
      <c r="B1047" s="1" t="n">
        <v>45399</v>
      </c>
      <c r="C1047" s="1" t="n">
        <v>45508</v>
      </c>
      <c r="D1047" t="inlineStr">
        <is>
          <t>VÄSTERBOTTENS LÄN</t>
        </is>
      </c>
      <c r="E1047" t="inlineStr">
        <is>
          <t>VILHELMINA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15062-2024</t>
        </is>
      </c>
      <c r="B1048" s="1" t="n">
        <v>45399</v>
      </c>
      <c r="C1048" s="1" t="n">
        <v>45508</v>
      </c>
      <c r="D1048" t="inlineStr">
        <is>
          <t>VÄSTERBOTTENS LÄN</t>
        </is>
      </c>
      <c r="E1048" t="inlineStr">
        <is>
          <t>VILHELMINA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15066-2024</t>
        </is>
      </c>
      <c r="B1049" s="1" t="n">
        <v>45399</v>
      </c>
      <c r="C1049" s="1" t="n">
        <v>45508</v>
      </c>
      <c r="D1049" t="inlineStr">
        <is>
          <t>VÄSTERBOTTENS LÄN</t>
        </is>
      </c>
      <c r="E1049" t="inlineStr">
        <is>
          <t>VILHELMINA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15326-2024</t>
        </is>
      </c>
      <c r="B1050" s="1" t="n">
        <v>45400</v>
      </c>
      <c r="C1050" s="1" t="n">
        <v>45508</v>
      </c>
      <c r="D1050" t="inlineStr">
        <is>
          <t>VÄSTERBOTTENS LÄN</t>
        </is>
      </c>
      <c r="E1050" t="inlineStr">
        <is>
          <t>VILHELMINA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15615-2024</t>
        </is>
      </c>
      <c r="B1051" s="1" t="n">
        <v>45402</v>
      </c>
      <c r="C1051" s="1" t="n">
        <v>45508</v>
      </c>
      <c r="D1051" t="inlineStr">
        <is>
          <t>VÄSTERBOTTENS LÄN</t>
        </is>
      </c>
      <c r="E1051" t="inlineStr">
        <is>
          <t>VILHELMINA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15617-2024</t>
        </is>
      </c>
      <c r="B1052" s="1" t="n">
        <v>45402</v>
      </c>
      <c r="C1052" s="1" t="n">
        <v>45508</v>
      </c>
      <c r="D1052" t="inlineStr">
        <is>
          <t>VÄSTERBOTTENS LÄN</t>
        </is>
      </c>
      <c r="E1052" t="inlineStr">
        <is>
          <t>VILHELMINA</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15639-2024</t>
        </is>
      </c>
      <c r="B1053" s="1" t="n">
        <v>45403</v>
      </c>
      <c r="C1053" s="1" t="n">
        <v>45508</v>
      </c>
      <c r="D1053" t="inlineStr">
        <is>
          <t>VÄSTERBOTTENS LÄN</t>
        </is>
      </c>
      <c r="E1053" t="inlineStr">
        <is>
          <t>VILHELMINA</t>
        </is>
      </c>
      <c r="G1053" t="n">
        <v>81.90000000000001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15969-2024</t>
        </is>
      </c>
      <c r="B1054" s="1" t="n">
        <v>45405</v>
      </c>
      <c r="C1054" s="1" t="n">
        <v>45508</v>
      </c>
      <c r="D1054" t="inlineStr">
        <is>
          <t>VÄSTERBOTTENS LÄN</t>
        </is>
      </c>
      <c r="E1054" t="inlineStr">
        <is>
          <t>VILHELMINA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16608-2024</t>
        </is>
      </c>
      <c r="B1055" s="1" t="n">
        <v>45408</v>
      </c>
      <c r="C1055" s="1" t="n">
        <v>45508</v>
      </c>
      <c r="D1055" t="inlineStr">
        <is>
          <t>VÄSTERBOTTENS LÄN</t>
        </is>
      </c>
      <c r="E1055" t="inlineStr">
        <is>
          <t>VILHELMINA</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16626-2024</t>
        </is>
      </c>
      <c r="B1056" s="1" t="n">
        <v>45408</v>
      </c>
      <c r="C1056" s="1" t="n">
        <v>45508</v>
      </c>
      <c r="D1056" t="inlineStr">
        <is>
          <t>VÄSTERBOTTENS LÄN</t>
        </is>
      </c>
      <c r="E1056" t="inlineStr">
        <is>
          <t>VILHELMINA</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16712-2024</t>
        </is>
      </c>
      <c r="B1057" s="1" t="n">
        <v>45409</v>
      </c>
      <c r="C1057" s="1" t="n">
        <v>45508</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16713-2024</t>
        </is>
      </c>
      <c r="B1058" s="1" t="n">
        <v>45409</v>
      </c>
      <c r="C1058" s="1" t="n">
        <v>45508</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17002-2024</t>
        </is>
      </c>
      <c r="B1059" s="1" t="n">
        <v>45411</v>
      </c>
      <c r="C1059" s="1" t="n">
        <v>45508</v>
      </c>
      <c r="D1059" t="inlineStr">
        <is>
          <t>VÄSTERBOTTENS LÄN</t>
        </is>
      </c>
      <c r="E1059" t="inlineStr">
        <is>
          <t>VILHELMINA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16979-2024</t>
        </is>
      </c>
      <c r="B1060" s="1" t="n">
        <v>45412</v>
      </c>
      <c r="C1060" s="1" t="n">
        <v>45508</v>
      </c>
      <c r="D1060" t="inlineStr">
        <is>
          <t>VÄSTERBOTTENS LÄN</t>
        </is>
      </c>
      <c r="E1060" t="inlineStr">
        <is>
          <t>VILHELMINA</t>
        </is>
      </c>
      <c r="F1060" t="inlineStr">
        <is>
          <t>SCA</t>
        </is>
      </c>
      <c r="G1060" t="n">
        <v>34.1</v>
      </c>
      <c r="H1060" t="n">
        <v>0</v>
      </c>
      <c r="I1060" t="n">
        <v>0</v>
      </c>
      <c r="J1060" t="n">
        <v>0</v>
      </c>
      <c r="K1060" t="n">
        <v>0</v>
      </c>
      <c r="L1060" t="n">
        <v>0</v>
      </c>
      <c r="M1060" t="n">
        <v>0</v>
      </c>
      <c r="N1060" t="n">
        <v>0</v>
      </c>
      <c r="O1060" t="n">
        <v>0</v>
      </c>
      <c r="P1060" t="n">
        <v>0</v>
      </c>
      <c r="Q1060" t="n">
        <v>0</v>
      </c>
      <c r="R1060" s="2" t="inlineStr"/>
    </row>
    <row r="1061" ht="15" customHeight="1">
      <c r="A1061" t="inlineStr">
        <is>
          <t>A 17586-2024</t>
        </is>
      </c>
      <c r="B1061" s="1" t="n">
        <v>45415</v>
      </c>
      <c r="C1061" s="1" t="n">
        <v>45508</v>
      </c>
      <c r="D1061" t="inlineStr">
        <is>
          <t>VÄSTERBOTTENS LÄN</t>
        </is>
      </c>
      <c r="E1061" t="inlineStr">
        <is>
          <t>VILHELMINA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17587-2024</t>
        </is>
      </c>
      <c r="B1062" s="1" t="n">
        <v>45416</v>
      </c>
      <c r="C1062" s="1" t="n">
        <v>45508</v>
      </c>
      <c r="D1062" t="inlineStr">
        <is>
          <t>VÄSTERBOTTENS LÄN</t>
        </is>
      </c>
      <c r="E1062" t="inlineStr">
        <is>
          <t>VILHELMINA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17723-2024</t>
        </is>
      </c>
      <c r="B1063" s="1" t="n">
        <v>45415</v>
      </c>
      <c r="C1063" s="1" t="n">
        <v>45508</v>
      </c>
      <c r="D1063" t="inlineStr">
        <is>
          <t>VÄSTERBOTTENS LÄN</t>
        </is>
      </c>
      <c r="E1063" t="inlineStr">
        <is>
          <t>VILHELMINA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17732-2024</t>
        </is>
      </c>
      <c r="B1064" s="1" t="n">
        <v>45415</v>
      </c>
      <c r="C1064" s="1" t="n">
        <v>45508</v>
      </c>
      <c r="D1064" t="inlineStr">
        <is>
          <t>VÄSTERBOTTENS LÄN</t>
        </is>
      </c>
      <c r="E1064" t="inlineStr">
        <is>
          <t>VILHELMINA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17722-2024</t>
        </is>
      </c>
      <c r="B1065" s="1" t="n">
        <v>45415</v>
      </c>
      <c r="C1065" s="1" t="n">
        <v>45508</v>
      </c>
      <c r="D1065" t="inlineStr">
        <is>
          <t>VÄSTERBOTTENS LÄN</t>
        </is>
      </c>
      <c r="E1065" t="inlineStr">
        <is>
          <t>VILHELMINA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17823-2024</t>
        </is>
      </c>
      <c r="B1066" s="1" t="n">
        <v>45419</v>
      </c>
      <c r="C1066" s="1" t="n">
        <v>45508</v>
      </c>
      <c r="D1066" t="inlineStr">
        <is>
          <t>VÄSTERBOTTENS LÄN</t>
        </is>
      </c>
      <c r="E1066" t="inlineStr">
        <is>
          <t>VILHELMINA</t>
        </is>
      </c>
      <c r="F1066" t="inlineStr">
        <is>
          <t>SCA</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17996-2024</t>
        </is>
      </c>
      <c r="B1067" s="1" t="n">
        <v>45419</v>
      </c>
      <c r="C1067" s="1" t="n">
        <v>45508</v>
      </c>
      <c r="D1067" t="inlineStr">
        <is>
          <t>VÄSTERBOTTENS LÄN</t>
        </is>
      </c>
      <c r="E1067" t="inlineStr">
        <is>
          <t>VILHELMINA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19088-2024</t>
        </is>
      </c>
      <c r="B1068" s="1" t="n">
        <v>45428</v>
      </c>
      <c r="C1068" s="1" t="n">
        <v>45508</v>
      </c>
      <c r="D1068" t="inlineStr">
        <is>
          <t>VÄSTERBOTTENS LÄN</t>
        </is>
      </c>
      <c r="E1068" t="inlineStr">
        <is>
          <t>VILHELMINA</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19083-2024</t>
        </is>
      </c>
      <c r="B1069" s="1" t="n">
        <v>45428</v>
      </c>
      <c r="C1069" s="1" t="n">
        <v>45508</v>
      </c>
      <c r="D1069" t="inlineStr">
        <is>
          <t>VÄSTERBOTTENS LÄN</t>
        </is>
      </c>
      <c r="E1069" t="inlineStr">
        <is>
          <t>VILHELMINA</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19349-2024</t>
        </is>
      </c>
      <c r="B1070" s="1" t="n">
        <v>45429</v>
      </c>
      <c r="C1070" s="1" t="n">
        <v>45508</v>
      </c>
      <c r="D1070" t="inlineStr">
        <is>
          <t>VÄSTERBOTTENS LÄN</t>
        </is>
      </c>
      <c r="E1070" t="inlineStr">
        <is>
          <t>VILHELMINA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19585-2024</t>
        </is>
      </c>
      <c r="B1071" s="1" t="n">
        <v>45429</v>
      </c>
      <c r="C1071" s="1" t="n">
        <v>45508</v>
      </c>
      <c r="D1071" t="inlineStr">
        <is>
          <t>VÄSTERBOTTENS LÄN</t>
        </is>
      </c>
      <c r="E1071" t="inlineStr">
        <is>
          <t>VILHELMINA</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19873-2024</t>
        </is>
      </c>
      <c r="B1072" s="1" t="n">
        <v>45433</v>
      </c>
      <c r="C1072" s="1" t="n">
        <v>45508</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20259-2024</t>
        </is>
      </c>
      <c r="B1073" s="1" t="n">
        <v>45435</v>
      </c>
      <c r="C1073" s="1" t="n">
        <v>45508</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20521-2024</t>
        </is>
      </c>
      <c r="B1074" s="1" t="n">
        <v>45436</v>
      </c>
      <c r="C1074" s="1" t="n">
        <v>45508</v>
      </c>
      <c r="D1074" t="inlineStr">
        <is>
          <t>VÄSTERBOTTENS LÄN</t>
        </is>
      </c>
      <c r="E1074" t="inlineStr">
        <is>
          <t>VILHELMINA</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20511-2024</t>
        </is>
      </c>
      <c r="B1075" s="1" t="n">
        <v>45435</v>
      </c>
      <c r="C1075" s="1" t="n">
        <v>45508</v>
      </c>
      <c r="D1075" t="inlineStr">
        <is>
          <t>VÄSTERBOTTENS LÄN</t>
        </is>
      </c>
      <c r="E1075" t="inlineStr">
        <is>
          <t>VILHELMINA</t>
        </is>
      </c>
      <c r="F1075" t="inlineStr">
        <is>
          <t>SCA</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20523-2024</t>
        </is>
      </c>
      <c r="B1076" s="1" t="n">
        <v>45436</v>
      </c>
      <c r="C1076" s="1" t="n">
        <v>45508</v>
      </c>
      <c r="D1076" t="inlineStr">
        <is>
          <t>VÄSTERBOTTENS LÄN</t>
        </is>
      </c>
      <c r="E1076" t="inlineStr">
        <is>
          <t>VILHELMINA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20510-2024</t>
        </is>
      </c>
      <c r="B1077" s="1" t="n">
        <v>45436</v>
      </c>
      <c r="C1077" s="1" t="n">
        <v>45508</v>
      </c>
      <c r="D1077" t="inlineStr">
        <is>
          <t>VÄSTERBOTTENS LÄN</t>
        </is>
      </c>
      <c r="E1077" t="inlineStr">
        <is>
          <t>VILHELMINA</t>
        </is>
      </c>
      <c r="F1077" t="inlineStr">
        <is>
          <t>SCA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20522-2024</t>
        </is>
      </c>
      <c r="B1078" s="1" t="n">
        <v>45435</v>
      </c>
      <c r="C1078" s="1" t="n">
        <v>45508</v>
      </c>
      <c r="D1078" t="inlineStr">
        <is>
          <t>VÄSTERBOTTENS LÄN</t>
        </is>
      </c>
      <c r="E1078" t="inlineStr">
        <is>
          <t>VILHELMINA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20524-2024</t>
        </is>
      </c>
      <c r="B1079" s="1" t="n">
        <v>45436</v>
      </c>
      <c r="C1079" s="1" t="n">
        <v>45508</v>
      </c>
      <c r="D1079" t="inlineStr">
        <is>
          <t>VÄSTERBOTTENS LÄN</t>
        </is>
      </c>
      <c r="E1079" t="inlineStr">
        <is>
          <t>VILHELMINA</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20769-2024</t>
        </is>
      </c>
      <c r="B1080" s="1" t="n">
        <v>45437</v>
      </c>
      <c r="C1080" s="1" t="n">
        <v>45508</v>
      </c>
      <c r="D1080" t="inlineStr">
        <is>
          <t>VÄSTERBOTTENS LÄN</t>
        </is>
      </c>
      <c r="E1080" t="inlineStr">
        <is>
          <t>VILHELMINA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20796-2024</t>
        </is>
      </c>
      <c r="B1081" s="1" t="n">
        <v>45439</v>
      </c>
      <c r="C1081" s="1" t="n">
        <v>45508</v>
      </c>
      <c r="D1081" t="inlineStr">
        <is>
          <t>VÄSTERBOTTENS LÄN</t>
        </is>
      </c>
      <c r="E1081" t="inlineStr">
        <is>
          <t>VILHELMINA</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20797-2024</t>
        </is>
      </c>
      <c r="B1082" s="1" t="n">
        <v>45438</v>
      </c>
      <c r="C1082" s="1" t="n">
        <v>45508</v>
      </c>
      <c r="D1082" t="inlineStr">
        <is>
          <t>VÄSTERBOTTENS LÄN</t>
        </is>
      </c>
      <c r="E1082" t="inlineStr">
        <is>
          <t>VILHELMINA</t>
        </is>
      </c>
      <c r="F1082" t="inlineStr">
        <is>
          <t>SCA</t>
        </is>
      </c>
      <c r="G1082" t="n">
        <v>26.9</v>
      </c>
      <c r="H1082" t="n">
        <v>0</v>
      </c>
      <c r="I1082" t="n">
        <v>0</v>
      </c>
      <c r="J1082" t="n">
        <v>0</v>
      </c>
      <c r="K1082" t="n">
        <v>0</v>
      </c>
      <c r="L1082" t="n">
        <v>0</v>
      </c>
      <c r="M1082" t="n">
        <v>0</v>
      </c>
      <c r="N1082" t="n">
        <v>0</v>
      </c>
      <c r="O1082" t="n">
        <v>0</v>
      </c>
      <c r="P1082" t="n">
        <v>0</v>
      </c>
      <c r="Q1082" t="n">
        <v>0</v>
      </c>
      <c r="R1082" s="2" t="inlineStr"/>
    </row>
    <row r="1083" ht="15" customHeight="1">
      <c r="A1083" t="inlineStr">
        <is>
          <t>A 21370-2024</t>
        </is>
      </c>
      <c r="B1083" s="1" t="n">
        <v>45441</v>
      </c>
      <c r="C1083" s="1" t="n">
        <v>45508</v>
      </c>
      <c r="D1083" t="inlineStr">
        <is>
          <t>VÄSTERBOTTENS LÄN</t>
        </is>
      </c>
      <c r="E1083" t="inlineStr">
        <is>
          <t>VILHELMINA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21348-2024</t>
        </is>
      </c>
      <c r="B1084" s="1" t="n">
        <v>45440</v>
      </c>
      <c r="C1084" s="1" t="n">
        <v>45508</v>
      </c>
      <c r="D1084" t="inlineStr">
        <is>
          <t>VÄSTERBOTTENS LÄN</t>
        </is>
      </c>
      <c r="E1084" t="inlineStr">
        <is>
          <t>VILHELMINA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21368-2024</t>
        </is>
      </c>
      <c r="B1085" s="1" t="n">
        <v>45441</v>
      </c>
      <c r="C1085" s="1" t="n">
        <v>45508</v>
      </c>
      <c r="D1085" t="inlineStr">
        <is>
          <t>VÄSTERBOTTENS LÄN</t>
        </is>
      </c>
      <c r="E1085" t="inlineStr">
        <is>
          <t>VILHELMINA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21345-2024</t>
        </is>
      </c>
      <c r="B1086" s="1" t="n">
        <v>45441</v>
      </c>
      <c r="C1086" s="1" t="n">
        <v>45508</v>
      </c>
      <c r="D1086" t="inlineStr">
        <is>
          <t>VÄSTERBOTTENS LÄN</t>
        </is>
      </c>
      <c r="E1086" t="inlineStr">
        <is>
          <t>VILHELMINA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21349-2024</t>
        </is>
      </c>
      <c r="B1087" s="1" t="n">
        <v>45440</v>
      </c>
      <c r="C1087" s="1" t="n">
        <v>45508</v>
      </c>
      <c r="D1087" t="inlineStr">
        <is>
          <t>VÄSTERBOTTENS LÄN</t>
        </is>
      </c>
      <c r="E1087" t="inlineStr">
        <is>
          <t>VILHELMINA</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21369-2024</t>
        </is>
      </c>
      <c r="B1088" s="1" t="n">
        <v>45441</v>
      </c>
      <c r="C1088" s="1" t="n">
        <v>45508</v>
      </c>
      <c r="D1088" t="inlineStr">
        <is>
          <t>VÄSTERBOTTENS LÄN</t>
        </is>
      </c>
      <c r="E1088" t="inlineStr">
        <is>
          <t>VILHELMINA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21367-2024</t>
        </is>
      </c>
      <c r="B1089" s="1" t="n">
        <v>45441</v>
      </c>
      <c r="C1089" s="1" t="n">
        <v>45508</v>
      </c>
      <c r="D1089" t="inlineStr">
        <is>
          <t>VÄSTERBOTTENS LÄN</t>
        </is>
      </c>
      <c r="E1089" t="inlineStr">
        <is>
          <t>VILHELMINA</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21371-2024</t>
        </is>
      </c>
      <c r="B1090" s="1" t="n">
        <v>45441</v>
      </c>
      <c r="C1090" s="1" t="n">
        <v>45508</v>
      </c>
      <c r="D1090" t="inlineStr">
        <is>
          <t>VÄSTERBOTTENS LÄN</t>
        </is>
      </c>
      <c r="E1090" t="inlineStr">
        <is>
          <t>VILHELMINA</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21841-2024</t>
        </is>
      </c>
      <c r="B1091" s="1" t="n">
        <v>45443</v>
      </c>
      <c r="C1091" s="1" t="n">
        <v>45508</v>
      </c>
      <c r="D1091" t="inlineStr">
        <is>
          <t>VÄSTERBOTTENS LÄN</t>
        </is>
      </c>
      <c r="E1091" t="inlineStr">
        <is>
          <t>VILHELMINA</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21844-2024</t>
        </is>
      </c>
      <c r="B1092" s="1" t="n">
        <v>45442</v>
      </c>
      <c r="C1092" s="1" t="n">
        <v>45508</v>
      </c>
      <c r="D1092" t="inlineStr">
        <is>
          <t>VÄSTERBOTTENS LÄN</t>
        </is>
      </c>
      <c r="E1092" t="inlineStr">
        <is>
          <t>VILHELMINA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21842-2024</t>
        </is>
      </c>
      <c r="B1093" s="1" t="n">
        <v>45443</v>
      </c>
      <c r="C1093" s="1" t="n">
        <v>45508</v>
      </c>
      <c r="D1093" t="inlineStr">
        <is>
          <t>VÄSTERBOTTENS LÄN</t>
        </is>
      </c>
      <c r="E1093" t="inlineStr">
        <is>
          <t>VILHELMINA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21843-2024</t>
        </is>
      </c>
      <c r="B1094" s="1" t="n">
        <v>45443</v>
      </c>
      <c r="C1094" s="1" t="n">
        <v>45508</v>
      </c>
      <c r="D1094" t="inlineStr">
        <is>
          <t>VÄSTERBOTTENS LÄN</t>
        </is>
      </c>
      <c r="E1094" t="inlineStr">
        <is>
          <t>VILHELMINA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22104-2024</t>
        </is>
      </c>
      <c r="B1095" s="1" t="n">
        <v>45443</v>
      </c>
      <c r="C1095" s="1" t="n">
        <v>45508</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22108-2024</t>
        </is>
      </c>
      <c r="B1096" s="1" t="n">
        <v>45443</v>
      </c>
      <c r="C1096" s="1" t="n">
        <v>45508</v>
      </c>
      <c r="D1096" t="inlineStr">
        <is>
          <t>VÄSTERBOTTENS LÄN</t>
        </is>
      </c>
      <c r="E1096" t="inlineStr">
        <is>
          <t>VILHELMINA</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22105-2024</t>
        </is>
      </c>
      <c r="B1097" s="1" t="n">
        <v>45443</v>
      </c>
      <c r="C1097" s="1" t="n">
        <v>45508</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22109-2024</t>
        </is>
      </c>
      <c r="B1098" s="1" t="n">
        <v>45443</v>
      </c>
      <c r="C1098" s="1" t="n">
        <v>45508</v>
      </c>
      <c r="D1098" t="inlineStr">
        <is>
          <t>VÄSTERBOTTENS LÄN</t>
        </is>
      </c>
      <c r="E1098" t="inlineStr">
        <is>
          <t>VILHELMINA</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22107-2024</t>
        </is>
      </c>
      <c r="B1099" s="1" t="n">
        <v>45443</v>
      </c>
      <c r="C1099" s="1" t="n">
        <v>45508</v>
      </c>
      <c r="D1099" t="inlineStr">
        <is>
          <t>VÄSTERBOTTENS LÄN</t>
        </is>
      </c>
      <c r="E1099" t="inlineStr">
        <is>
          <t>VILHELMINA</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22106-2024</t>
        </is>
      </c>
      <c r="B1100" s="1" t="n">
        <v>45444</v>
      </c>
      <c r="C1100" s="1" t="n">
        <v>45508</v>
      </c>
      <c r="D1100" t="inlineStr">
        <is>
          <t>VÄSTERBOTTENS LÄN</t>
        </is>
      </c>
      <c r="E1100" t="inlineStr">
        <is>
          <t>VILHELMINA</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22751-2024</t>
        </is>
      </c>
      <c r="B1101" s="1" t="n">
        <v>45448</v>
      </c>
      <c r="C1101" s="1" t="n">
        <v>45508</v>
      </c>
      <c r="D1101" t="inlineStr">
        <is>
          <t>VÄSTERBOTTENS LÄN</t>
        </is>
      </c>
      <c r="E1101" t="inlineStr">
        <is>
          <t>VILHELMINA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23176-2024</t>
        </is>
      </c>
      <c r="B1102" s="1" t="n">
        <v>45451</v>
      </c>
      <c r="C1102" s="1" t="n">
        <v>45508</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23180-2024</t>
        </is>
      </c>
      <c r="B1103" s="1" t="n">
        <v>45451</v>
      </c>
      <c r="C1103" s="1" t="n">
        <v>45508</v>
      </c>
      <c r="D1103" t="inlineStr">
        <is>
          <t>VÄSTERBOTTENS LÄN</t>
        </is>
      </c>
      <c r="E1103" t="inlineStr">
        <is>
          <t>VILHELMINA</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23550-2024</t>
        </is>
      </c>
      <c r="B1104" s="1" t="n">
        <v>45454</v>
      </c>
      <c r="C1104" s="1" t="n">
        <v>45508</v>
      </c>
      <c r="D1104" t="inlineStr">
        <is>
          <t>VÄSTERBOTTENS LÄN</t>
        </is>
      </c>
      <c r="E1104" t="inlineStr">
        <is>
          <t>VILHELMINA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23538-2024</t>
        </is>
      </c>
      <c r="B1105" s="1" t="n">
        <v>45453</v>
      </c>
      <c r="C1105" s="1" t="n">
        <v>45508</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23548-2024</t>
        </is>
      </c>
      <c r="B1106" s="1" t="n">
        <v>45454</v>
      </c>
      <c r="C1106" s="1" t="n">
        <v>45508</v>
      </c>
      <c r="D1106" t="inlineStr">
        <is>
          <t>VÄSTERBOTTENS LÄN</t>
        </is>
      </c>
      <c r="E1106" t="inlineStr">
        <is>
          <t>VILHELMINA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23544-2024</t>
        </is>
      </c>
      <c r="B1107" s="1" t="n">
        <v>45454</v>
      </c>
      <c r="C1107" s="1" t="n">
        <v>45508</v>
      </c>
      <c r="D1107" t="inlineStr">
        <is>
          <t>VÄSTERBOTTENS LÄN</t>
        </is>
      </c>
      <c r="E1107" t="inlineStr">
        <is>
          <t>VILHELMINA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23536-2024</t>
        </is>
      </c>
      <c r="B1108" s="1" t="n">
        <v>45454</v>
      </c>
      <c r="C1108" s="1" t="n">
        <v>45508</v>
      </c>
      <c r="D1108" t="inlineStr">
        <is>
          <t>VÄSTERBOTTENS LÄN</t>
        </is>
      </c>
      <c r="E1108" t="inlineStr">
        <is>
          <t>VILHELMINA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23543-2024</t>
        </is>
      </c>
      <c r="B1109" s="1" t="n">
        <v>45453</v>
      </c>
      <c r="C1109" s="1" t="n">
        <v>45508</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23545-2024</t>
        </is>
      </c>
      <c r="B1110" s="1" t="n">
        <v>45454</v>
      </c>
      <c r="C1110" s="1" t="n">
        <v>45508</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23549-2024</t>
        </is>
      </c>
      <c r="B1111" s="1" t="n">
        <v>45454</v>
      </c>
      <c r="C1111" s="1" t="n">
        <v>45508</v>
      </c>
      <c r="D1111" t="inlineStr">
        <is>
          <t>VÄSTERBOTTENS LÄN</t>
        </is>
      </c>
      <c r="E1111" t="inlineStr">
        <is>
          <t>VILHELMINA</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23657-2024</t>
        </is>
      </c>
      <c r="B1112" s="1" t="n">
        <v>45454</v>
      </c>
      <c r="C1112" s="1" t="n">
        <v>45508</v>
      </c>
      <c r="D1112" t="inlineStr">
        <is>
          <t>VÄSTERBOTTENS LÄN</t>
        </is>
      </c>
      <c r="E1112" t="inlineStr">
        <is>
          <t>VILHELMINA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24428-2024</t>
        </is>
      </c>
      <c r="B1113" s="1" t="n">
        <v>45458</v>
      </c>
      <c r="C1113" s="1" t="n">
        <v>45508</v>
      </c>
      <c r="D1113" t="inlineStr">
        <is>
          <t>VÄSTERBOTTENS LÄN</t>
        </is>
      </c>
      <c r="E1113" t="inlineStr">
        <is>
          <t>VILHELMINA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24454-2024</t>
        </is>
      </c>
      <c r="B1114" s="1" t="n">
        <v>45458</v>
      </c>
      <c r="C1114" s="1" t="n">
        <v>45508</v>
      </c>
      <c r="D1114" t="inlineStr">
        <is>
          <t>VÄSTERBOTTENS LÄN</t>
        </is>
      </c>
      <c r="E1114" t="inlineStr">
        <is>
          <t>VILHELMINA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24427-2024</t>
        </is>
      </c>
      <c r="B1115" s="1" t="n">
        <v>45457</v>
      </c>
      <c r="C1115" s="1" t="n">
        <v>45508</v>
      </c>
      <c r="D1115" t="inlineStr">
        <is>
          <t>VÄSTERBOTTENS LÄN</t>
        </is>
      </c>
      <c r="E1115" t="inlineStr">
        <is>
          <t>VILHELMINA</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24457-2024</t>
        </is>
      </c>
      <c r="B1116" s="1" t="n">
        <v>45458</v>
      </c>
      <c r="C1116" s="1" t="n">
        <v>45508</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24426-2024</t>
        </is>
      </c>
      <c r="B1117" s="1" t="n">
        <v>45457</v>
      </c>
      <c r="C1117" s="1" t="n">
        <v>45508</v>
      </c>
      <c r="D1117" t="inlineStr">
        <is>
          <t>VÄSTERBOTTENS LÄN</t>
        </is>
      </c>
      <c r="E1117" t="inlineStr">
        <is>
          <t>VILHELMINA</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24455-2024</t>
        </is>
      </c>
      <c r="B1118" s="1" t="n">
        <v>45458</v>
      </c>
      <c r="C1118" s="1" t="n">
        <v>45508</v>
      </c>
      <c r="D1118" t="inlineStr">
        <is>
          <t>VÄSTERBOTTENS LÄN</t>
        </is>
      </c>
      <c r="E1118" t="inlineStr">
        <is>
          <t>VILHELMINA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25036-2024</t>
        </is>
      </c>
      <c r="B1119" s="1" t="n">
        <v>45461</v>
      </c>
      <c r="C1119" s="1" t="n">
        <v>45508</v>
      </c>
      <c r="D1119" t="inlineStr">
        <is>
          <t>VÄSTERBOTTENS LÄN</t>
        </is>
      </c>
      <c r="E1119" t="inlineStr">
        <is>
          <t>VILHELMINA</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25037-2024</t>
        </is>
      </c>
      <c r="B1120" s="1" t="n">
        <v>45461</v>
      </c>
      <c r="C1120" s="1" t="n">
        <v>45508</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25374-2024</t>
        </is>
      </c>
      <c r="B1121" s="1" t="n">
        <v>45463</v>
      </c>
      <c r="C1121" s="1" t="n">
        <v>45508</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25078-2024</t>
        </is>
      </c>
      <c r="B1122" s="1" t="n">
        <v>45462</v>
      </c>
      <c r="C1122" s="1" t="n">
        <v>45508</v>
      </c>
      <c r="D1122" t="inlineStr">
        <is>
          <t>VÄSTERBOTTENS LÄN</t>
        </is>
      </c>
      <c r="E1122" t="inlineStr">
        <is>
          <t>VILHELMINA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25551-2024</t>
        </is>
      </c>
      <c r="B1123" s="1" t="n">
        <v>45463</v>
      </c>
      <c r="C1123" s="1" t="n">
        <v>45508</v>
      </c>
      <c r="D1123" t="inlineStr">
        <is>
          <t>VÄSTERBOTTENS LÄN</t>
        </is>
      </c>
      <c r="E1123" t="inlineStr">
        <is>
          <t>VILHELMINA</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25701-2024</t>
        </is>
      </c>
      <c r="B1124" s="1" t="n">
        <v>45464</v>
      </c>
      <c r="C1124" s="1" t="n">
        <v>45508</v>
      </c>
      <c r="D1124" t="inlineStr">
        <is>
          <t>VÄSTERBOTTENS LÄN</t>
        </is>
      </c>
      <c r="E1124" t="inlineStr">
        <is>
          <t>VILHELMINA</t>
        </is>
      </c>
      <c r="F1124" t="inlineStr">
        <is>
          <t>SCA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25819-2024</t>
        </is>
      </c>
      <c r="B1125" s="1" t="n">
        <v>45467</v>
      </c>
      <c r="C1125" s="1" t="n">
        <v>45508</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25810-2024</t>
        </is>
      </c>
      <c r="B1126" s="1" t="n">
        <v>45467</v>
      </c>
      <c r="C1126" s="1" t="n">
        <v>45508</v>
      </c>
      <c r="D1126" t="inlineStr">
        <is>
          <t>VÄSTERBOTTENS LÄN</t>
        </is>
      </c>
      <c r="E1126" t="inlineStr">
        <is>
          <t>VILHELMINA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25814-2024</t>
        </is>
      </c>
      <c r="B1127" s="1" t="n">
        <v>45467</v>
      </c>
      <c r="C1127" s="1" t="n">
        <v>45508</v>
      </c>
      <c r="D1127" t="inlineStr">
        <is>
          <t>VÄSTERBOTTENS LÄN</t>
        </is>
      </c>
      <c r="E1127" t="inlineStr">
        <is>
          <t>VILHELMINA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45508</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26137-2024</t>
        </is>
      </c>
      <c r="B1129" s="1" t="n">
        <v>45468</v>
      </c>
      <c r="C1129" s="1" t="n">
        <v>45508</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45508</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45508</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45508</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26947-2024</t>
        </is>
      </c>
      <c r="B1133" s="1" t="n">
        <v>45471</v>
      </c>
      <c r="C1133" s="1" t="n">
        <v>45508</v>
      </c>
      <c r="D1133" t="inlineStr">
        <is>
          <t>VÄSTERBOTTENS LÄN</t>
        </is>
      </c>
      <c r="E1133" t="inlineStr">
        <is>
          <t>VILHELMINA</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26748-2024</t>
        </is>
      </c>
      <c r="B1134" s="1" t="n">
        <v>45470</v>
      </c>
      <c r="C1134" s="1" t="n">
        <v>45508</v>
      </c>
      <c r="D1134" t="inlineStr">
        <is>
          <t>VÄSTERBOTTENS LÄN</t>
        </is>
      </c>
      <c r="E1134" t="inlineStr">
        <is>
          <t>VILHELMINA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27194-2024</t>
        </is>
      </c>
      <c r="B1135" s="1" t="n">
        <v>45471</v>
      </c>
      <c r="C1135" s="1" t="n">
        <v>45508</v>
      </c>
      <c r="D1135" t="inlineStr">
        <is>
          <t>VÄSTERBOTTENS LÄN</t>
        </is>
      </c>
      <c r="E1135" t="inlineStr">
        <is>
          <t>VILHELMINA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27271-2024</t>
        </is>
      </c>
      <c r="B1136" s="1" t="n">
        <v>45471</v>
      </c>
      <c r="C1136" s="1" t="n">
        <v>45508</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27917-2024</t>
        </is>
      </c>
      <c r="B1137" s="1" t="n">
        <v>45476</v>
      </c>
      <c r="C1137" s="1" t="n">
        <v>45508</v>
      </c>
      <c r="D1137" t="inlineStr">
        <is>
          <t>VÄSTERBOTTENS LÄN</t>
        </is>
      </c>
      <c r="E1137" t="inlineStr">
        <is>
          <t>VILHELMINA</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28687-2024</t>
        </is>
      </c>
      <c r="B1138" s="1" t="n">
        <v>45478</v>
      </c>
      <c r="C1138" s="1" t="n">
        <v>45508</v>
      </c>
      <c r="D1138" t="inlineStr">
        <is>
          <t>VÄSTERBOTTENS LÄN</t>
        </is>
      </c>
      <c r="E1138" t="inlineStr">
        <is>
          <t>VILHELMINA</t>
        </is>
      </c>
      <c r="F1138" t="inlineStr">
        <is>
          <t>Allmännings- och besparingsskogar</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28695-2024</t>
        </is>
      </c>
      <c r="B1139" s="1" t="n">
        <v>45478</v>
      </c>
      <c r="C1139" s="1" t="n">
        <v>45508</v>
      </c>
      <c r="D1139" t="inlineStr">
        <is>
          <t>VÄSTERBOTTENS LÄN</t>
        </is>
      </c>
      <c r="E1139" t="inlineStr">
        <is>
          <t>VILHELMINA</t>
        </is>
      </c>
      <c r="F1139" t="inlineStr">
        <is>
          <t>Allmännings- och besparingsskogar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28796-2024</t>
        </is>
      </c>
      <c r="B1140" s="1" t="n">
        <v>45478</v>
      </c>
      <c r="C1140" s="1" t="n">
        <v>45508</v>
      </c>
      <c r="D1140" t="inlineStr">
        <is>
          <t>VÄSTERBOTTENS LÄN</t>
        </is>
      </c>
      <c r="E1140" t="inlineStr">
        <is>
          <t>VILHELMINA</t>
        </is>
      </c>
      <c r="G1140" t="n">
        <v>20.1</v>
      </c>
      <c r="H1140" t="n">
        <v>0</v>
      </c>
      <c r="I1140" t="n">
        <v>0</v>
      </c>
      <c r="J1140" t="n">
        <v>0</v>
      </c>
      <c r="K1140" t="n">
        <v>0</v>
      </c>
      <c r="L1140" t="n">
        <v>0</v>
      </c>
      <c r="M1140" t="n">
        <v>0</v>
      </c>
      <c r="N1140" t="n">
        <v>0</v>
      </c>
      <c r="O1140" t="n">
        <v>0</v>
      </c>
      <c r="P1140" t="n">
        <v>0</v>
      </c>
      <c r="Q1140" t="n">
        <v>0</v>
      </c>
      <c r="R1140" s="2" t="inlineStr"/>
    </row>
    <row r="1141" ht="15" customHeight="1">
      <c r="A1141" t="inlineStr">
        <is>
          <t>A 28869-2024</t>
        </is>
      </c>
      <c r="B1141" s="1" t="n">
        <v>45479</v>
      </c>
      <c r="C1141" s="1" t="n">
        <v>45508</v>
      </c>
      <c r="D1141" t="inlineStr">
        <is>
          <t>VÄSTERBOTTENS LÄN</t>
        </is>
      </c>
      <c r="E1141" t="inlineStr">
        <is>
          <t>VILHELMINA</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28705-2024</t>
        </is>
      </c>
      <c r="B1142" s="1" t="n">
        <v>45478</v>
      </c>
      <c r="C1142" s="1" t="n">
        <v>45508</v>
      </c>
      <c r="D1142" t="inlineStr">
        <is>
          <t>VÄSTERBOTTENS LÄN</t>
        </is>
      </c>
      <c r="E1142" t="inlineStr">
        <is>
          <t>VILHELMINA</t>
        </is>
      </c>
      <c r="F1142" t="inlineStr">
        <is>
          <t>Allmännings- och besparingsskogar</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28729-2024</t>
        </is>
      </c>
      <c r="B1143" s="1" t="n">
        <v>45478</v>
      </c>
      <c r="C1143" s="1" t="n">
        <v>45508</v>
      </c>
      <c r="D1143" t="inlineStr">
        <is>
          <t>VÄSTERBOTTENS LÄN</t>
        </is>
      </c>
      <c r="E1143" t="inlineStr">
        <is>
          <t>VILHELMINA</t>
        </is>
      </c>
      <c r="F1143" t="inlineStr">
        <is>
          <t>Allmännings- och besparingsskogar</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28870-2024</t>
        </is>
      </c>
      <c r="B1144" s="1" t="n">
        <v>45479</v>
      </c>
      <c r="C1144" s="1" t="n">
        <v>45508</v>
      </c>
      <c r="D1144" t="inlineStr">
        <is>
          <t>VÄSTERBOTTENS LÄN</t>
        </is>
      </c>
      <c r="E1144" t="inlineStr">
        <is>
          <t>VILHELMINA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28656-2024</t>
        </is>
      </c>
      <c r="B1145" s="1" t="n">
        <v>45478</v>
      </c>
      <c r="C1145" s="1" t="n">
        <v>45508</v>
      </c>
      <c r="D1145" t="inlineStr">
        <is>
          <t>VÄSTERBOTTENS LÄN</t>
        </is>
      </c>
      <c r="E1145" t="inlineStr">
        <is>
          <t>VILHELMINA</t>
        </is>
      </c>
      <c r="F1145" t="inlineStr">
        <is>
          <t>Allmännings- och besparingsskogar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28669-2024</t>
        </is>
      </c>
      <c r="B1146" s="1" t="n">
        <v>45478</v>
      </c>
      <c r="C1146" s="1" t="n">
        <v>45508</v>
      </c>
      <c r="D1146" t="inlineStr">
        <is>
          <t>VÄSTERBOTTENS LÄN</t>
        </is>
      </c>
      <c r="E1146" t="inlineStr">
        <is>
          <t>VILHELMINA</t>
        </is>
      </c>
      <c r="F1146" t="inlineStr">
        <is>
          <t>Allmännings- och besparingsskogar</t>
        </is>
      </c>
      <c r="G1146" t="n">
        <v>16.6</v>
      </c>
      <c r="H1146" t="n">
        <v>0</v>
      </c>
      <c r="I1146" t="n">
        <v>0</v>
      </c>
      <c r="J1146" t="n">
        <v>0</v>
      </c>
      <c r="K1146" t="n">
        <v>0</v>
      </c>
      <c r="L1146" t="n">
        <v>0</v>
      </c>
      <c r="M1146" t="n">
        <v>0</v>
      </c>
      <c r="N1146" t="n">
        <v>0</v>
      </c>
      <c r="O1146" t="n">
        <v>0</v>
      </c>
      <c r="P1146" t="n">
        <v>0</v>
      </c>
      <c r="Q1146" t="n">
        <v>0</v>
      </c>
      <c r="R1146" s="2" t="inlineStr"/>
    </row>
    <row r="1147" ht="15" customHeight="1">
      <c r="A1147" t="inlineStr">
        <is>
          <t>A 28726-2024</t>
        </is>
      </c>
      <c r="B1147" s="1" t="n">
        <v>45478</v>
      </c>
      <c r="C1147" s="1" t="n">
        <v>45508</v>
      </c>
      <c r="D1147" t="inlineStr">
        <is>
          <t>VÄSTERBOTTENS LÄN</t>
        </is>
      </c>
      <c r="E1147" t="inlineStr">
        <is>
          <t>VILHELMINA</t>
        </is>
      </c>
      <c r="F1147" t="inlineStr">
        <is>
          <t>Allmännings- och besparingsskogar</t>
        </is>
      </c>
      <c r="G1147" t="n">
        <v>15.7</v>
      </c>
      <c r="H1147" t="n">
        <v>0</v>
      </c>
      <c r="I1147" t="n">
        <v>0</v>
      </c>
      <c r="J1147" t="n">
        <v>0</v>
      </c>
      <c r="K1147" t="n">
        <v>0</v>
      </c>
      <c r="L1147" t="n">
        <v>0</v>
      </c>
      <c r="M1147" t="n">
        <v>0</v>
      </c>
      <c r="N1147" t="n">
        <v>0</v>
      </c>
      <c r="O1147" t="n">
        <v>0</v>
      </c>
      <c r="P1147" t="n">
        <v>0</v>
      </c>
      <c r="Q1147" t="n">
        <v>0</v>
      </c>
      <c r="R1147" s="2" t="inlineStr"/>
    </row>
    <row r="1148" ht="15" customHeight="1">
      <c r="A1148" t="inlineStr">
        <is>
          <t>A 28734-2024</t>
        </is>
      </c>
      <c r="B1148" s="1" t="n">
        <v>45478</v>
      </c>
      <c r="C1148" s="1" t="n">
        <v>45508</v>
      </c>
      <c r="D1148" t="inlineStr">
        <is>
          <t>VÄSTERBOTTENS LÄN</t>
        </is>
      </c>
      <c r="E1148" t="inlineStr">
        <is>
          <t>VILHELMINA</t>
        </is>
      </c>
      <c r="F1148" t="inlineStr">
        <is>
          <t>Allmännings- och besparingsskogar</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28863-2024</t>
        </is>
      </c>
      <c r="B1149" s="1" t="n">
        <v>45479</v>
      </c>
      <c r="C1149" s="1" t="n">
        <v>45508</v>
      </c>
      <c r="D1149" t="inlineStr">
        <is>
          <t>VÄSTERBOTTENS LÄN</t>
        </is>
      </c>
      <c r="E1149" t="inlineStr">
        <is>
          <t>VILHELMINA</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28867-2024</t>
        </is>
      </c>
      <c r="B1150" s="1" t="n">
        <v>45479</v>
      </c>
      <c r="C1150" s="1" t="n">
        <v>45508</v>
      </c>
      <c r="D1150" t="inlineStr">
        <is>
          <t>VÄSTERBOTTENS LÄN</t>
        </is>
      </c>
      <c r="E1150" t="inlineStr">
        <is>
          <t>VILHELMINA</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28871-2024</t>
        </is>
      </c>
      <c r="B1151" s="1" t="n">
        <v>45479</v>
      </c>
      <c r="C1151" s="1" t="n">
        <v>45508</v>
      </c>
      <c r="D1151" t="inlineStr">
        <is>
          <t>VÄSTERBOTTENS LÄN</t>
        </is>
      </c>
      <c r="E1151" t="inlineStr">
        <is>
          <t>VILHELMINA</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28662-2024</t>
        </is>
      </c>
      <c r="B1152" s="1" t="n">
        <v>45478</v>
      </c>
      <c r="C1152" s="1" t="n">
        <v>45508</v>
      </c>
      <c r="D1152" t="inlineStr">
        <is>
          <t>VÄSTERBOTTENS LÄN</t>
        </is>
      </c>
      <c r="E1152" t="inlineStr">
        <is>
          <t>VILHELMINA</t>
        </is>
      </c>
      <c r="F1152" t="inlineStr">
        <is>
          <t>Allmännings- och besparingsskogar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28799-2024</t>
        </is>
      </c>
      <c r="B1153" s="1" t="n">
        <v>45478</v>
      </c>
      <c r="C1153" s="1" t="n">
        <v>45508</v>
      </c>
      <c r="D1153" t="inlineStr">
        <is>
          <t>VÄSTERBOTTENS LÄN</t>
        </is>
      </c>
      <c r="E1153" t="inlineStr">
        <is>
          <t>VILHELMINA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28868-2024</t>
        </is>
      </c>
      <c r="B1154" s="1" t="n">
        <v>45479</v>
      </c>
      <c r="C1154" s="1" t="n">
        <v>45508</v>
      </c>
      <c r="D1154" t="inlineStr">
        <is>
          <t>VÄSTERBOTTENS LÄN</t>
        </is>
      </c>
      <c r="E1154" t="inlineStr">
        <is>
          <t>VILHELMINA</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28949-2024</t>
        </is>
      </c>
      <c r="B1155" s="1" t="n">
        <v>45481</v>
      </c>
      <c r="C1155" s="1" t="n">
        <v>45508</v>
      </c>
      <c r="D1155" t="inlineStr">
        <is>
          <t>VÄSTERBOTTENS LÄN</t>
        </is>
      </c>
      <c r="E1155" t="inlineStr">
        <is>
          <t>VILHELMINA</t>
        </is>
      </c>
      <c r="F1155" t="inlineStr">
        <is>
          <t>Sveaskog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29104-2024</t>
        </is>
      </c>
      <c r="B1156" s="1" t="n">
        <v>45482</v>
      </c>
      <c r="C1156" s="1" t="n">
        <v>45508</v>
      </c>
      <c r="D1156" t="inlineStr">
        <is>
          <t>VÄSTERBOTTENS LÄN</t>
        </is>
      </c>
      <c r="E1156" t="inlineStr">
        <is>
          <t>VILHELMINA</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29105-2024</t>
        </is>
      </c>
      <c r="B1157" s="1" t="n">
        <v>45482</v>
      </c>
      <c r="C1157" s="1" t="n">
        <v>45508</v>
      </c>
      <c r="D1157" t="inlineStr">
        <is>
          <t>VÄSTERBOTTENS LÄN</t>
        </is>
      </c>
      <c r="E1157" t="inlineStr">
        <is>
          <t>VILHELMINA</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29472-2024</t>
        </is>
      </c>
      <c r="B1158" s="1" t="n">
        <v>45484</v>
      </c>
      <c r="C1158" s="1" t="n">
        <v>45508</v>
      </c>
      <c r="D1158" t="inlineStr">
        <is>
          <t>VÄSTERBOTTENS LÄN</t>
        </is>
      </c>
      <c r="E1158" t="inlineStr">
        <is>
          <t>VILHELMINA</t>
        </is>
      </c>
      <c r="F1158" t="inlineStr">
        <is>
          <t>SCA</t>
        </is>
      </c>
      <c r="G1158" t="n">
        <v>23.6</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45508</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29503-2024</t>
        </is>
      </c>
      <c r="B1160" s="1" t="n">
        <v>45484</v>
      </c>
      <c r="C1160" s="1" t="n">
        <v>45508</v>
      </c>
      <c r="D1160" t="inlineStr">
        <is>
          <t>VÄSTERBOTTENS LÄN</t>
        </is>
      </c>
      <c r="E1160" t="inlineStr">
        <is>
          <t>VILHELMINA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29732-2024</t>
        </is>
      </c>
      <c r="B1161" s="1" t="n">
        <v>45485</v>
      </c>
      <c r="C1161" s="1" t="n">
        <v>45508</v>
      </c>
      <c r="D1161" t="inlineStr">
        <is>
          <t>VÄSTERBOTTENS LÄN</t>
        </is>
      </c>
      <c r="E1161" t="inlineStr">
        <is>
          <t>VILHELMINA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29722-2024</t>
        </is>
      </c>
      <c r="B1162" s="1" t="n">
        <v>45485</v>
      </c>
      <c r="C1162" s="1" t="n">
        <v>45508</v>
      </c>
      <c r="D1162" t="inlineStr">
        <is>
          <t>VÄSTERBOTTENS LÄN</t>
        </is>
      </c>
      <c r="E1162" t="inlineStr">
        <is>
          <t>VILHELMINA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29922-2024</t>
        </is>
      </c>
      <c r="B1163" s="1" t="n">
        <v>45488</v>
      </c>
      <c r="C1163" s="1" t="n">
        <v>45508</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30331-2024</t>
        </is>
      </c>
      <c r="B1164" s="1" t="n">
        <v>45491</v>
      </c>
      <c r="C1164" s="1" t="n">
        <v>45508</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30341-2024</t>
        </is>
      </c>
      <c r="B1165" s="1" t="n">
        <v>45491</v>
      </c>
      <c r="C1165" s="1" t="n">
        <v>45508</v>
      </c>
      <c r="D1165" t="inlineStr">
        <is>
          <t>VÄSTERBOTTENS LÄN</t>
        </is>
      </c>
      <c r="E1165" t="inlineStr">
        <is>
          <t>VILHELMINA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30340-2024</t>
        </is>
      </c>
      <c r="B1166" s="1" t="n">
        <v>45491</v>
      </c>
      <c r="C1166" s="1" t="n">
        <v>45508</v>
      </c>
      <c r="D1166" t="inlineStr">
        <is>
          <t>VÄSTERBOTTENS LÄN</t>
        </is>
      </c>
      <c r="E1166" t="inlineStr">
        <is>
          <t>VILHELMINA</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30577-2024</t>
        </is>
      </c>
      <c r="B1167" s="1" t="n">
        <v>45493</v>
      </c>
      <c r="C1167" s="1" t="n">
        <v>45508</v>
      </c>
      <c r="D1167" t="inlineStr">
        <is>
          <t>VÄSTERBOTTENS LÄN</t>
        </is>
      </c>
      <c r="E1167" t="inlineStr">
        <is>
          <t>VILHELMINA</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30572-2024</t>
        </is>
      </c>
      <c r="B1168" s="1" t="n">
        <v>45493</v>
      </c>
      <c r="C1168" s="1" t="n">
        <v>45508</v>
      </c>
      <c r="D1168" t="inlineStr">
        <is>
          <t>VÄSTERBOTTENS LÄN</t>
        </is>
      </c>
      <c r="E1168" t="inlineStr">
        <is>
          <t>VILHELMINA</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30576-2024</t>
        </is>
      </c>
      <c r="B1169" s="1" t="n">
        <v>45493</v>
      </c>
      <c r="C1169" s="1" t="n">
        <v>45508</v>
      </c>
      <c r="D1169" t="inlineStr">
        <is>
          <t>VÄSTERBOTTENS LÄN</t>
        </is>
      </c>
      <c r="E1169" t="inlineStr">
        <is>
          <t>VILHELMINA</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30574-2024</t>
        </is>
      </c>
      <c r="B1170" s="1" t="n">
        <v>45493</v>
      </c>
      <c r="C1170" s="1" t="n">
        <v>45508</v>
      </c>
      <c r="D1170" t="inlineStr">
        <is>
          <t>VÄSTERBOTTENS LÄN</t>
        </is>
      </c>
      <c r="E1170" t="inlineStr">
        <is>
          <t>VILHELMINA</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30578-2024</t>
        </is>
      </c>
      <c r="B1171" s="1" t="n">
        <v>45493</v>
      </c>
      <c r="C1171" s="1" t="n">
        <v>45508</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30582-2024</t>
        </is>
      </c>
      <c r="B1172" s="1" t="n">
        <v>45493</v>
      </c>
      <c r="C1172" s="1" t="n">
        <v>45508</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30575-2024</t>
        </is>
      </c>
      <c r="B1173" s="1" t="n">
        <v>45493</v>
      </c>
      <c r="C1173" s="1" t="n">
        <v>45508</v>
      </c>
      <c r="D1173" t="inlineStr">
        <is>
          <t>VÄSTERBOTTENS LÄN</t>
        </is>
      </c>
      <c r="E1173" t="inlineStr">
        <is>
          <t>VILHELMINA</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30583-2024</t>
        </is>
      </c>
      <c r="B1174" s="1" t="n">
        <v>45493</v>
      </c>
      <c r="C1174" s="1" t="n">
        <v>45508</v>
      </c>
      <c r="D1174" t="inlineStr">
        <is>
          <t>VÄSTERBOTTENS LÄN</t>
        </is>
      </c>
      <c r="E1174" t="inlineStr">
        <is>
          <t>VILHELMINA</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30580-2024</t>
        </is>
      </c>
      <c r="B1175" s="1" t="n">
        <v>45493</v>
      </c>
      <c r="C1175" s="1" t="n">
        <v>45508</v>
      </c>
      <c r="D1175" t="inlineStr">
        <is>
          <t>VÄSTERBOTTENS LÄN</t>
        </is>
      </c>
      <c r="E1175" t="inlineStr">
        <is>
          <t>VILHELMINA</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30681-2024</t>
        </is>
      </c>
      <c r="B1176" s="1" t="n">
        <v>45496</v>
      </c>
      <c r="C1176" s="1" t="n">
        <v>45508</v>
      </c>
      <c r="D1176" t="inlineStr">
        <is>
          <t>VÄSTERBOTTENS LÄN</t>
        </is>
      </c>
      <c r="E1176" t="inlineStr">
        <is>
          <t>VILHELMINA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30810-2024</t>
        </is>
      </c>
      <c r="B1177" s="1" t="n">
        <v>45497</v>
      </c>
      <c r="C1177" s="1" t="n">
        <v>45508</v>
      </c>
      <c r="D1177" t="inlineStr">
        <is>
          <t>VÄSTERBOTTENS LÄN</t>
        </is>
      </c>
      <c r="E1177" t="inlineStr">
        <is>
          <t>VILHELMINA</t>
        </is>
      </c>
      <c r="G1177" t="n">
        <v>24.7</v>
      </c>
      <c r="H1177" t="n">
        <v>0</v>
      </c>
      <c r="I1177" t="n">
        <v>0</v>
      </c>
      <c r="J1177" t="n">
        <v>0</v>
      </c>
      <c r="K1177" t="n">
        <v>0</v>
      </c>
      <c r="L1177" t="n">
        <v>0</v>
      </c>
      <c r="M1177" t="n">
        <v>0</v>
      </c>
      <c r="N1177" t="n">
        <v>0</v>
      </c>
      <c r="O1177" t="n">
        <v>0</v>
      </c>
      <c r="P1177" t="n">
        <v>0</v>
      </c>
      <c r="Q1177" t="n">
        <v>0</v>
      </c>
      <c r="R1177" s="2" t="inlineStr"/>
    </row>
    <row r="1178" ht="15" customHeight="1">
      <c r="A1178" t="inlineStr">
        <is>
          <t>A 30817-2024</t>
        </is>
      </c>
      <c r="B1178" s="1" t="n">
        <v>45497</v>
      </c>
      <c r="C1178" s="1" t="n">
        <v>45508</v>
      </c>
      <c r="D1178" t="inlineStr">
        <is>
          <t>VÄSTERBOTTENS LÄN</t>
        </is>
      </c>
      <c r="E1178" t="inlineStr">
        <is>
          <t>VILHELMINA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31095-2024</t>
        </is>
      </c>
      <c r="B1179" s="1" t="n">
        <v>45502</v>
      </c>
      <c r="C1179" s="1" t="n">
        <v>45508</v>
      </c>
      <c r="D1179" t="inlineStr">
        <is>
          <t>VÄSTERBOTTENS LÄN</t>
        </is>
      </c>
      <c r="E1179" t="inlineStr">
        <is>
          <t>VILHELMINA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31449-2024</t>
        </is>
      </c>
      <c r="B1180" s="1" t="n">
        <v>45506</v>
      </c>
      <c r="C1180" s="1" t="n">
        <v>45508</v>
      </c>
      <c r="D1180" t="inlineStr">
        <is>
          <t>VÄSTERBOTTENS LÄN</t>
        </is>
      </c>
      <c r="E1180" t="inlineStr">
        <is>
          <t>VILHELMINA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31458-2024</t>
        </is>
      </c>
      <c r="B1181" s="1" t="n">
        <v>45506</v>
      </c>
      <c r="C1181" s="1" t="n">
        <v>45508</v>
      </c>
      <c r="D1181" t="inlineStr">
        <is>
          <t>VÄSTERBOTTENS LÄN</t>
        </is>
      </c>
      <c r="E1181" t="inlineStr">
        <is>
          <t>VILHELMINA</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31455-2024</t>
        </is>
      </c>
      <c r="B1182" s="1" t="n">
        <v>45506</v>
      </c>
      <c r="C1182" s="1" t="n">
        <v>45508</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c r="A1183" t="inlineStr">
        <is>
          <t>A 31461-2024</t>
        </is>
      </c>
      <c r="B1183" s="1" t="n">
        <v>45506</v>
      </c>
      <c r="C1183" s="1" t="n">
        <v>45508</v>
      </c>
      <c r="D1183" t="inlineStr">
        <is>
          <t>VÄSTERBOTTENS LÄN</t>
        </is>
      </c>
      <c r="E1183" t="inlineStr">
        <is>
          <t>VILHELMINA</t>
        </is>
      </c>
      <c r="F1183" t="inlineStr">
        <is>
          <t>SCA</t>
        </is>
      </c>
      <c r="G1183" t="n">
        <v>4.3</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2024-08-04T11:19:56Z</dcterms:created>
  <dcterms:modified xmlns:dcterms="http://purl.org/dc/terms/" xmlns:xsi="http://www.w3.org/2001/XMLSchema-instance" xsi:type="dcterms:W3CDTF">2024-08-04T11:19:57Z</dcterms:modified>
</cp:coreProperties>
</file>