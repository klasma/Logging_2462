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45362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45362</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45362</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45362</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45362</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45362</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45362</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45362</v>
      </c>
      <c r="D9" t="inlineStr">
        <is>
          <t>VÄSTERBOTTENS LÄN</t>
        </is>
      </c>
      <c r="E9" t="inlineStr">
        <is>
          <t>VILHELMINA</t>
        </is>
      </c>
      <c r="F9" t="inlineStr">
        <is>
          <t>Allmännings- och besparingsskogar</t>
        </is>
      </c>
      <c r="G9" t="n">
        <v>20.1</v>
      </c>
      <c r="H9" t="n">
        <v>3</v>
      </c>
      <c r="I9" t="n">
        <v>6</v>
      </c>
      <c r="J9" t="n">
        <v>16</v>
      </c>
      <c r="K9" t="n">
        <v>6</v>
      </c>
      <c r="L9" t="n">
        <v>0</v>
      </c>
      <c r="M9" t="n">
        <v>0</v>
      </c>
      <c r="N9" t="n">
        <v>0</v>
      </c>
      <c r="O9" t="n">
        <v>22</v>
      </c>
      <c r="P9" t="n">
        <v>6</v>
      </c>
      <c r="Q9" t="n">
        <v>28</v>
      </c>
      <c r="R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45362</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45362</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45362</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45362</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45362</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45362</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45362</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45362</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45362</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45362</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45362</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45362</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45362</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45362</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45362</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45362</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45362</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45362</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45362</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45362</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45362</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45362</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45362</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45362</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45362</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48248-2023</t>
        </is>
      </c>
      <c r="B35" s="1" t="n">
        <v>45201</v>
      </c>
      <c r="C35" s="1" t="n">
        <v>45362</v>
      </c>
      <c r="D35" t="inlineStr">
        <is>
          <t>VÄSTERBOTTENS LÄN</t>
        </is>
      </c>
      <c r="E35" t="inlineStr">
        <is>
          <t>VILHELMINA</t>
        </is>
      </c>
      <c r="F35" t="inlineStr">
        <is>
          <t>Allmännings- och besparingsskogar</t>
        </is>
      </c>
      <c r="G35" t="n">
        <v>34.2</v>
      </c>
      <c r="H35" t="n">
        <v>5</v>
      </c>
      <c r="I35" t="n">
        <v>3</v>
      </c>
      <c r="J35" t="n">
        <v>11</v>
      </c>
      <c r="K35" t="n">
        <v>0</v>
      </c>
      <c r="L35" t="n">
        <v>0</v>
      </c>
      <c r="M35" t="n">
        <v>0</v>
      </c>
      <c r="N35" t="n">
        <v>0</v>
      </c>
      <c r="O35" t="n">
        <v>11</v>
      </c>
      <c r="P35" t="n">
        <v>0</v>
      </c>
      <c r="Q35" t="n">
        <v>16</v>
      </c>
      <c r="R35" s="2" t="inlineStr">
        <is>
          <t>Garnlav
Granticka
Järpe
Liten svartspik
Lunglav
Rödbrun blekspik
Skrovellav
Talltita
Tretåig hackspett
Vitgrynig nållav
Vitskaftad svartspik
Bårdlav
Gulnål
Stuplav
Lavskrika
Tjäder</t>
        </is>
      </c>
      <c r="S35">
        <f>HYPERLINK("https://klasma.github.io/Logging_2462/artfynd/A 48248-2023 artfynd.xlsx", "A 48248-2023")</f>
        <v/>
      </c>
      <c r="T35">
        <f>HYPERLINK("https://klasma.github.io/Logging_2462/kartor/A 48248-2023 karta.png", "A 48248-2023")</f>
        <v/>
      </c>
      <c r="V35">
        <f>HYPERLINK("https://klasma.github.io/Logging_2462/klagomål/A 48248-2023 FSC-klagomål.docx", "A 48248-2023")</f>
        <v/>
      </c>
      <c r="W35">
        <f>HYPERLINK("https://klasma.github.io/Logging_2462/klagomålsmail/A 48248-2023 FSC-klagomål mail.docx", "A 48248-2023")</f>
        <v/>
      </c>
      <c r="X35">
        <f>HYPERLINK("https://klasma.github.io/Logging_2462/tillsyn/A 48248-2023 tillsynsbegäran.docx", "A 48248-2023")</f>
        <v/>
      </c>
      <c r="Y35">
        <f>HYPERLINK("https://klasma.github.io/Logging_2462/tillsynsmail/A 48248-2023 tillsynsbegäran mail.docx", "A 48248-2023")</f>
        <v/>
      </c>
      <c r="Z35">
        <f>HYPERLINK("https://klasma.github.io/Logging_2462/fåglar/A 48248-2023 prioriterade fågelarter.docx", "A 48248-2023")</f>
        <v/>
      </c>
    </row>
    <row r="36" ht="15" customHeight="1">
      <c r="A36" t="inlineStr">
        <is>
          <t>A 66026-2019</t>
        </is>
      </c>
      <c r="B36" s="1" t="n">
        <v>43805</v>
      </c>
      <c r="C36" s="1" t="n">
        <v>45362</v>
      </c>
      <c r="D36" t="inlineStr">
        <is>
          <t>VÄSTERBOTTENS LÄN</t>
        </is>
      </c>
      <c r="E36" t="inlineStr">
        <is>
          <t>VILHELMINA</t>
        </is>
      </c>
      <c r="F36" t="inlineStr">
        <is>
          <t>Kommuner</t>
        </is>
      </c>
      <c r="G36" t="n">
        <v>7.2</v>
      </c>
      <c r="H36" t="n">
        <v>1</v>
      </c>
      <c r="I36" t="n">
        <v>3</v>
      </c>
      <c r="J36" t="n">
        <v>11</v>
      </c>
      <c r="K36" t="n">
        <v>1</v>
      </c>
      <c r="L36" t="n">
        <v>0</v>
      </c>
      <c r="M36" t="n">
        <v>0</v>
      </c>
      <c r="N36" t="n">
        <v>0</v>
      </c>
      <c r="O36" t="n">
        <v>12</v>
      </c>
      <c r="P36" t="n">
        <v>1</v>
      </c>
      <c r="Q36" t="n">
        <v>15</v>
      </c>
      <c r="R36" s="2" t="inlineStr">
        <is>
          <t>Liten sotlav
Doftskinn
Gammelgransskål
Garnlav
Granticka
Gränsticka
Knottrig blåslav
Rödbrun blekspik
Skrovellav
Tretåig hackspett
Ullticka
Vitgrynig nållav
Gulnål
Stuplav
Vedticka</t>
        </is>
      </c>
      <c r="S36">
        <f>HYPERLINK("https://klasma.github.io/Logging_2462/artfynd/A 66026-2019 artfynd.xlsx", "A 66026-2019")</f>
        <v/>
      </c>
      <c r="T36">
        <f>HYPERLINK("https://klasma.github.io/Logging_2462/kartor/A 66026-2019 karta.png", "A 66026-2019")</f>
        <v/>
      </c>
      <c r="V36">
        <f>HYPERLINK("https://klasma.github.io/Logging_2462/klagomål/A 66026-2019 FSC-klagomål.docx", "A 66026-2019")</f>
        <v/>
      </c>
      <c r="W36">
        <f>HYPERLINK("https://klasma.github.io/Logging_2462/klagomålsmail/A 66026-2019 FSC-klagomål mail.docx", "A 66026-2019")</f>
        <v/>
      </c>
      <c r="X36">
        <f>HYPERLINK("https://klasma.github.io/Logging_2462/tillsyn/A 66026-2019 tillsynsbegäran.docx", "A 66026-2019")</f>
        <v/>
      </c>
      <c r="Y36">
        <f>HYPERLINK("https://klasma.github.io/Logging_2462/tillsynsmail/A 66026-2019 tillsynsbegäran mail.docx", "A 66026-2019")</f>
        <v/>
      </c>
      <c r="Z36">
        <f>HYPERLINK("https://klasma.github.io/Logging_2462/fåglar/A 66026-2019 prioriterade fågelarter.docx", "A 66026-2019")</f>
        <v/>
      </c>
    </row>
    <row r="37" ht="15" customHeight="1">
      <c r="A37" t="inlineStr">
        <is>
          <t>A 47881-2020</t>
        </is>
      </c>
      <c r="B37" s="1" t="n">
        <v>44095</v>
      </c>
      <c r="C37" s="1" t="n">
        <v>45362</v>
      </c>
      <c r="D37" t="inlineStr">
        <is>
          <t>VÄSTERBOTTENS LÄN</t>
        </is>
      </c>
      <c r="E37" t="inlineStr">
        <is>
          <t>VILHELMINA</t>
        </is>
      </c>
      <c r="F37" t="inlineStr">
        <is>
          <t>Allmännings- och besparingsskogar</t>
        </is>
      </c>
      <c r="G37" t="n">
        <v>19.8</v>
      </c>
      <c r="H37" t="n">
        <v>2</v>
      </c>
      <c r="I37" t="n">
        <v>5</v>
      </c>
      <c r="J37" t="n">
        <v>8</v>
      </c>
      <c r="K37" t="n">
        <v>2</v>
      </c>
      <c r="L37" t="n">
        <v>0</v>
      </c>
      <c r="M37" t="n">
        <v>0</v>
      </c>
      <c r="N37" t="n">
        <v>0</v>
      </c>
      <c r="O37" t="n">
        <v>10</v>
      </c>
      <c r="P37" t="n">
        <v>2</v>
      </c>
      <c r="Q37" t="n">
        <v>15</v>
      </c>
      <c r="R37" s="2" t="inlineStr">
        <is>
          <t>Rynkskinn
Tajgaskinn
Doftskinn
Granticka
Gränsticka
Harticka
Knottrig blåslav
Skrovellav
Tretåig hackspett
Ullticka
Bårdlav
Luddlav
Spindelblomster
Stuplav
Vedticka</t>
        </is>
      </c>
      <c r="S37">
        <f>HYPERLINK("https://klasma.github.io/Logging_2462/artfynd/A 47881-2020 artfynd.xlsx", "A 47881-2020")</f>
        <v/>
      </c>
      <c r="T37">
        <f>HYPERLINK("https://klasma.github.io/Logging_2462/kartor/A 47881-2020 karta.png", "A 47881-2020")</f>
        <v/>
      </c>
      <c r="V37">
        <f>HYPERLINK("https://klasma.github.io/Logging_2462/klagomål/A 47881-2020 FSC-klagomål.docx", "A 47881-2020")</f>
        <v/>
      </c>
      <c r="W37">
        <f>HYPERLINK("https://klasma.github.io/Logging_2462/klagomålsmail/A 47881-2020 FSC-klagomål mail.docx", "A 47881-2020")</f>
        <v/>
      </c>
      <c r="X37">
        <f>HYPERLINK("https://klasma.github.io/Logging_2462/tillsyn/A 47881-2020 tillsynsbegäran.docx", "A 47881-2020")</f>
        <v/>
      </c>
      <c r="Y37">
        <f>HYPERLINK("https://klasma.github.io/Logging_2462/tillsynsmail/A 47881-2020 tillsynsbegäran mail.docx", "A 47881-2020")</f>
        <v/>
      </c>
      <c r="Z37">
        <f>HYPERLINK("https://klasma.github.io/Logging_2462/fåglar/A 47881-2020 prioriterade fågelarter.docx", "A 47881-2020")</f>
        <v/>
      </c>
    </row>
    <row r="38" ht="15" customHeight="1">
      <c r="A38" t="inlineStr">
        <is>
          <t>A 54843-2021</t>
        </is>
      </c>
      <c r="B38" s="1" t="n">
        <v>44474</v>
      </c>
      <c r="C38" s="1" t="n">
        <v>45362</v>
      </c>
      <c r="D38" t="inlineStr">
        <is>
          <t>VÄSTERBOTTENS LÄN</t>
        </is>
      </c>
      <c r="E38" t="inlineStr">
        <is>
          <t>VILHELMINA</t>
        </is>
      </c>
      <c r="F38" t="inlineStr">
        <is>
          <t>Sveaskog</t>
        </is>
      </c>
      <c r="G38" t="n">
        <v>11.3</v>
      </c>
      <c r="H38" t="n">
        <v>4</v>
      </c>
      <c r="I38" t="n">
        <v>2</v>
      </c>
      <c r="J38" t="n">
        <v>9</v>
      </c>
      <c r="K38" t="n">
        <v>3</v>
      </c>
      <c r="L38" t="n">
        <v>0</v>
      </c>
      <c r="M38" t="n">
        <v>0</v>
      </c>
      <c r="N38" t="n">
        <v>0</v>
      </c>
      <c r="O38" t="n">
        <v>12</v>
      </c>
      <c r="P38" t="n">
        <v>3</v>
      </c>
      <c r="Q38" t="n">
        <v>15</v>
      </c>
      <c r="R38" s="2" t="inlineStr">
        <is>
          <t>Grantickeporing
Ostticka
Ulltickeporing
Gammelgransskål
Garnlav
Granticka
Rosenticka
Spillkråka
Talltita
Tretåig hackspett
Ullticka
Vitgrynig nållav
Skinnlav
Trådticka
Revlummer</t>
        </is>
      </c>
      <c r="S38">
        <f>HYPERLINK("https://klasma.github.io/Logging_2462/artfynd/A 54843-2021 artfynd.xlsx", "A 54843-2021")</f>
        <v/>
      </c>
      <c r="T38">
        <f>HYPERLINK("https://klasma.github.io/Logging_2462/kartor/A 54843-2021 karta.png", "A 54843-2021")</f>
        <v/>
      </c>
      <c r="V38">
        <f>HYPERLINK("https://klasma.github.io/Logging_2462/klagomål/A 54843-2021 FSC-klagomål.docx", "A 54843-2021")</f>
        <v/>
      </c>
      <c r="W38">
        <f>HYPERLINK("https://klasma.github.io/Logging_2462/klagomålsmail/A 54843-2021 FSC-klagomål mail.docx", "A 54843-2021")</f>
        <v/>
      </c>
      <c r="X38">
        <f>HYPERLINK("https://klasma.github.io/Logging_2462/tillsyn/A 54843-2021 tillsynsbegäran.docx", "A 54843-2021")</f>
        <v/>
      </c>
      <c r="Y38">
        <f>HYPERLINK("https://klasma.github.io/Logging_2462/tillsynsmail/A 54843-2021 tillsynsbegäran mail.docx", "A 54843-2021")</f>
        <v/>
      </c>
      <c r="Z38">
        <f>HYPERLINK("https://klasma.github.io/Logging_2462/fåglar/A 54843-2021 prioriterade fågelarter.docx", "A 54843-2021")</f>
        <v/>
      </c>
    </row>
    <row r="39" ht="15" customHeight="1">
      <c r="A39" t="inlineStr">
        <is>
          <t>A 45775-2022</t>
        </is>
      </c>
      <c r="B39" s="1" t="n">
        <v>44838</v>
      </c>
      <c r="C39" s="1" t="n">
        <v>45362</v>
      </c>
      <c r="D39" t="inlineStr">
        <is>
          <t>VÄSTERBOTTENS LÄN</t>
        </is>
      </c>
      <c r="E39" t="inlineStr">
        <is>
          <t>VILHELMINA</t>
        </is>
      </c>
      <c r="F39" t="inlineStr">
        <is>
          <t>Allmännings- och besparingsskogar</t>
        </is>
      </c>
      <c r="G39" t="n">
        <v>22.9</v>
      </c>
      <c r="H39" t="n">
        <v>2</v>
      </c>
      <c r="I39" t="n">
        <v>6</v>
      </c>
      <c r="J39" t="n">
        <v>8</v>
      </c>
      <c r="K39" t="n">
        <v>0</v>
      </c>
      <c r="L39" t="n">
        <v>0</v>
      </c>
      <c r="M39" t="n">
        <v>0</v>
      </c>
      <c r="N39" t="n">
        <v>0</v>
      </c>
      <c r="O39" t="n">
        <v>8</v>
      </c>
      <c r="P39" t="n">
        <v>0</v>
      </c>
      <c r="Q39" t="n">
        <v>14</v>
      </c>
      <c r="R39" s="2" t="inlineStr">
        <is>
          <t>Brunpudrad nållav
Garnlav
Järpe
Knottrig blåslav
Skrovellav
Talltita
Ullticka
Vitgrynig nållav
Bårdlav
Korallblylav
Luddlav
Skinnlav
Stuplav
Vedticka</t>
        </is>
      </c>
      <c r="S39">
        <f>HYPERLINK("https://klasma.github.io/Logging_2462/artfynd/A 45775-2022 artfynd.xlsx", "A 45775-2022")</f>
        <v/>
      </c>
      <c r="T39">
        <f>HYPERLINK("https://klasma.github.io/Logging_2462/kartor/A 45775-2022 karta.png", "A 45775-2022")</f>
        <v/>
      </c>
      <c r="V39">
        <f>HYPERLINK("https://klasma.github.io/Logging_2462/klagomål/A 45775-2022 FSC-klagomål.docx", "A 45775-2022")</f>
        <v/>
      </c>
      <c r="W39">
        <f>HYPERLINK("https://klasma.github.io/Logging_2462/klagomålsmail/A 45775-2022 FSC-klagomål mail.docx", "A 45775-2022")</f>
        <v/>
      </c>
      <c r="X39">
        <f>HYPERLINK("https://klasma.github.io/Logging_2462/tillsyn/A 45775-2022 tillsynsbegäran.docx", "A 45775-2022")</f>
        <v/>
      </c>
      <c r="Y39">
        <f>HYPERLINK("https://klasma.github.io/Logging_2462/tillsynsmail/A 45775-2022 tillsynsbegäran mail.docx", "A 45775-2022")</f>
        <v/>
      </c>
      <c r="Z39">
        <f>HYPERLINK("https://klasma.github.io/Logging_2462/fåglar/A 45775-2022 prioriterade fågelarter.docx", "A 45775-2022")</f>
        <v/>
      </c>
    </row>
    <row r="40" ht="15" customHeight="1">
      <c r="A40" t="inlineStr">
        <is>
          <t>A 3140-2023</t>
        </is>
      </c>
      <c r="B40" s="1" t="n">
        <v>44945</v>
      </c>
      <c r="C40" s="1" t="n">
        <v>45362</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37775-2023</t>
        </is>
      </c>
      <c r="B41" s="1" t="n">
        <v>45156</v>
      </c>
      <c r="C41" s="1" t="n">
        <v>45362</v>
      </c>
      <c r="D41" t="inlineStr">
        <is>
          <t>VÄSTERBOTTENS LÄN</t>
        </is>
      </c>
      <c r="E41" t="inlineStr">
        <is>
          <t>VILHELMINA</t>
        </is>
      </c>
      <c r="G41" t="n">
        <v>39.4</v>
      </c>
      <c r="H41" t="n">
        <v>3</v>
      </c>
      <c r="I41" t="n">
        <v>3</v>
      </c>
      <c r="J41" t="n">
        <v>11</v>
      </c>
      <c r="K41" t="n">
        <v>0</v>
      </c>
      <c r="L41" t="n">
        <v>0</v>
      </c>
      <c r="M41" t="n">
        <v>0</v>
      </c>
      <c r="N41" t="n">
        <v>0</v>
      </c>
      <c r="O41" t="n">
        <v>11</v>
      </c>
      <c r="P41" t="n">
        <v>0</v>
      </c>
      <c r="Q41" t="n">
        <v>14</v>
      </c>
      <c r="R41" s="2" t="inlineStr">
        <is>
          <t>Brunpudrad nållav
Gammelgransskål
Garnlav
Granticka
Harticka
Rosenticka
Rödbrun blekspik
Talltita
Tretåig hackspett
Ullticka
Vitgrynig nållav
Gulnål
Plattlummer
Vedticka</t>
        </is>
      </c>
      <c r="S41">
        <f>HYPERLINK("https://klasma.github.io/Logging_2462/artfynd/A 37775-2023 artfynd.xlsx", "A 37775-2023")</f>
        <v/>
      </c>
      <c r="T41">
        <f>HYPERLINK("https://klasma.github.io/Logging_2462/kartor/A 37775-2023 karta.png", "A 37775-2023")</f>
        <v/>
      </c>
      <c r="V41">
        <f>HYPERLINK("https://klasma.github.io/Logging_2462/klagomål/A 37775-2023 FSC-klagomål.docx", "A 37775-2023")</f>
        <v/>
      </c>
      <c r="W41">
        <f>HYPERLINK("https://klasma.github.io/Logging_2462/klagomålsmail/A 37775-2023 FSC-klagomål mail.docx", "A 37775-2023")</f>
        <v/>
      </c>
      <c r="X41">
        <f>HYPERLINK("https://klasma.github.io/Logging_2462/tillsyn/A 37775-2023 tillsynsbegäran.docx", "A 37775-2023")</f>
        <v/>
      </c>
      <c r="Y41">
        <f>HYPERLINK("https://klasma.github.io/Logging_2462/tillsynsmail/A 37775-2023 tillsynsbegäran mail.docx", "A 37775-2023")</f>
        <v/>
      </c>
      <c r="Z41">
        <f>HYPERLINK("https://klasma.github.io/Logging_2462/fåglar/A 37775-2023 prioriterade fågelarter.docx", "A 37775-2023")</f>
        <v/>
      </c>
    </row>
    <row r="42" ht="15" customHeight="1">
      <c r="A42" t="inlineStr">
        <is>
          <t>A 48227-2023</t>
        </is>
      </c>
      <c r="B42" s="1" t="n">
        <v>45201</v>
      </c>
      <c r="C42" s="1" t="n">
        <v>45362</v>
      </c>
      <c r="D42" t="inlineStr">
        <is>
          <t>VÄSTERBOTTENS LÄN</t>
        </is>
      </c>
      <c r="E42" t="inlineStr">
        <is>
          <t>VILHELMINA</t>
        </is>
      </c>
      <c r="F42" t="inlineStr">
        <is>
          <t>Allmännings- och besparingsskogar</t>
        </is>
      </c>
      <c r="G42" t="n">
        <v>7.9</v>
      </c>
      <c r="H42" t="n">
        <v>4</v>
      </c>
      <c r="I42" t="n">
        <v>1</v>
      </c>
      <c r="J42" t="n">
        <v>11</v>
      </c>
      <c r="K42" t="n">
        <v>1</v>
      </c>
      <c r="L42" t="n">
        <v>0</v>
      </c>
      <c r="M42" t="n">
        <v>0</v>
      </c>
      <c r="N42" t="n">
        <v>0</v>
      </c>
      <c r="O42" t="n">
        <v>12</v>
      </c>
      <c r="P42" t="n">
        <v>1</v>
      </c>
      <c r="Q42" t="n">
        <v>14</v>
      </c>
      <c r="R42" s="2" t="inlineStr">
        <is>
          <t>Liten sotlav
Gammelgransskål
Garnlav
Gränsticka
Knottrig blåslav
Liten svartspik
Rosenticka
Rödbrun blekspik
Spillkråka
Talltita
Tretåig hackspett
Vitgrynig nållav
Trådticka
Lavskrika</t>
        </is>
      </c>
      <c r="S42">
        <f>HYPERLINK("https://klasma.github.io/Logging_2462/artfynd/A 48227-2023 artfynd.xlsx", "A 48227-2023")</f>
        <v/>
      </c>
      <c r="T42">
        <f>HYPERLINK("https://klasma.github.io/Logging_2462/kartor/A 48227-2023 karta.png", "A 48227-2023")</f>
        <v/>
      </c>
      <c r="V42">
        <f>HYPERLINK("https://klasma.github.io/Logging_2462/klagomål/A 48227-2023 FSC-klagomål.docx", "A 48227-2023")</f>
        <v/>
      </c>
      <c r="W42">
        <f>HYPERLINK("https://klasma.github.io/Logging_2462/klagomålsmail/A 48227-2023 FSC-klagomål mail.docx", "A 48227-2023")</f>
        <v/>
      </c>
      <c r="X42">
        <f>HYPERLINK("https://klasma.github.io/Logging_2462/tillsyn/A 48227-2023 tillsynsbegäran.docx", "A 48227-2023")</f>
        <v/>
      </c>
      <c r="Y42">
        <f>HYPERLINK("https://klasma.github.io/Logging_2462/tillsynsmail/A 48227-2023 tillsynsbegäran mail.docx", "A 48227-2023")</f>
        <v/>
      </c>
      <c r="Z42">
        <f>HYPERLINK("https://klasma.github.io/Logging_2462/fåglar/A 48227-2023 prioriterade fågelarter.docx", "A 48227-2023")</f>
        <v/>
      </c>
    </row>
    <row r="43" ht="15" customHeight="1">
      <c r="A43" t="inlineStr">
        <is>
          <t>A 45782-2022</t>
        </is>
      </c>
      <c r="B43" s="1" t="n">
        <v>44838</v>
      </c>
      <c r="C43" s="1" t="n">
        <v>45362</v>
      </c>
      <c r="D43" t="inlineStr">
        <is>
          <t>VÄSTERBOTTENS LÄN</t>
        </is>
      </c>
      <c r="E43" t="inlineStr">
        <is>
          <t>VILHELMINA</t>
        </is>
      </c>
      <c r="F43" t="inlineStr">
        <is>
          <t>Allmännings- och besparingsskogar</t>
        </is>
      </c>
      <c r="G43" t="n">
        <v>16.2</v>
      </c>
      <c r="H43" t="n">
        <v>1</v>
      </c>
      <c r="I43" t="n">
        <v>1</v>
      </c>
      <c r="J43" t="n">
        <v>11</v>
      </c>
      <c r="K43" t="n">
        <v>1</v>
      </c>
      <c r="L43" t="n">
        <v>0</v>
      </c>
      <c r="M43" t="n">
        <v>0</v>
      </c>
      <c r="N43" t="n">
        <v>0</v>
      </c>
      <c r="O43" t="n">
        <v>12</v>
      </c>
      <c r="P43" t="n">
        <v>1</v>
      </c>
      <c r="Q43" t="n">
        <v>13</v>
      </c>
      <c r="R43" s="2" t="inlineStr">
        <is>
          <t>Tajgaskinn
Brunpudrad nållav
Doftskinn
Garnlav
Granticka
Gränsticka
Harticka
Knottrig blåslav
Rödbrun blekspik
Tretåig hackspett
Vitgrynig nållav
Vitskaftad svartspik
Kornig nållav</t>
        </is>
      </c>
      <c r="S43">
        <f>HYPERLINK("https://klasma.github.io/Logging_2462/artfynd/A 45782-2022 artfynd.xlsx", "A 45782-2022")</f>
        <v/>
      </c>
      <c r="T43">
        <f>HYPERLINK("https://klasma.github.io/Logging_2462/kartor/A 45782-2022 karta.png", "A 45782-2022")</f>
        <v/>
      </c>
      <c r="V43">
        <f>HYPERLINK("https://klasma.github.io/Logging_2462/klagomål/A 45782-2022 FSC-klagomål.docx", "A 45782-2022")</f>
        <v/>
      </c>
      <c r="W43">
        <f>HYPERLINK("https://klasma.github.io/Logging_2462/klagomålsmail/A 45782-2022 FSC-klagomål mail.docx", "A 45782-2022")</f>
        <v/>
      </c>
      <c r="X43">
        <f>HYPERLINK("https://klasma.github.io/Logging_2462/tillsyn/A 45782-2022 tillsynsbegäran.docx", "A 45782-2022")</f>
        <v/>
      </c>
      <c r="Y43">
        <f>HYPERLINK("https://klasma.github.io/Logging_2462/tillsynsmail/A 45782-2022 tillsynsbegäran mail.docx", "A 45782-2022")</f>
        <v/>
      </c>
      <c r="Z43">
        <f>HYPERLINK("https://klasma.github.io/Logging_2462/fåglar/A 45782-2022 prioriterade fågelarter.docx", "A 45782-2022")</f>
        <v/>
      </c>
    </row>
    <row r="44" ht="15" customHeight="1">
      <c r="A44" t="inlineStr">
        <is>
          <t>A 38412-2018</t>
        </is>
      </c>
      <c r="B44" s="1" t="n">
        <v>43336</v>
      </c>
      <c r="C44" s="1" t="n">
        <v>45362</v>
      </c>
      <c r="D44" t="inlineStr">
        <is>
          <t>VÄSTERBOTTENS LÄN</t>
        </is>
      </c>
      <c r="E44" t="inlineStr">
        <is>
          <t>VILHELMINA</t>
        </is>
      </c>
      <c r="G44" t="n">
        <v>12</v>
      </c>
      <c r="H44" t="n">
        <v>1</v>
      </c>
      <c r="I44" t="n">
        <v>2</v>
      </c>
      <c r="J44" t="n">
        <v>10</v>
      </c>
      <c r="K44" t="n">
        <v>0</v>
      </c>
      <c r="L44" t="n">
        <v>0</v>
      </c>
      <c r="M44" t="n">
        <v>0</v>
      </c>
      <c r="N44" t="n">
        <v>0</v>
      </c>
      <c r="O44" t="n">
        <v>10</v>
      </c>
      <c r="P44" t="n">
        <v>0</v>
      </c>
      <c r="Q44" t="n">
        <v>12</v>
      </c>
      <c r="R44" s="2" t="inlineStr">
        <is>
          <t>Garnlav
Granticka
Gränsticka
Harticka
Knottrig blåslav
Rödbrun blekspik
Skorpgelélav
Skrovellav
Tretåig hackspett
Vitskaftad svartspik
Bårdlav
Stuplav</t>
        </is>
      </c>
      <c r="S44">
        <f>HYPERLINK("https://klasma.github.io/Logging_2462/artfynd/A 38412-2018 artfynd.xlsx", "A 38412-2018")</f>
        <v/>
      </c>
      <c r="T44">
        <f>HYPERLINK("https://klasma.github.io/Logging_2462/kartor/A 38412-2018 karta.png", "A 38412-2018")</f>
        <v/>
      </c>
      <c r="V44">
        <f>HYPERLINK("https://klasma.github.io/Logging_2462/klagomål/A 38412-2018 FSC-klagomål.docx", "A 38412-2018")</f>
        <v/>
      </c>
      <c r="W44">
        <f>HYPERLINK("https://klasma.github.io/Logging_2462/klagomålsmail/A 38412-2018 FSC-klagomål mail.docx", "A 38412-2018")</f>
        <v/>
      </c>
      <c r="X44">
        <f>HYPERLINK("https://klasma.github.io/Logging_2462/tillsyn/A 38412-2018 tillsynsbegäran.docx", "A 38412-2018")</f>
        <v/>
      </c>
      <c r="Y44">
        <f>HYPERLINK("https://klasma.github.io/Logging_2462/tillsynsmail/A 38412-2018 tillsynsbegäran mail.docx", "A 38412-2018")</f>
        <v/>
      </c>
      <c r="Z44">
        <f>HYPERLINK("https://klasma.github.io/Logging_2462/fåglar/A 38412-2018 prioriterade fågelarter.docx", "A 38412-2018")</f>
        <v/>
      </c>
    </row>
    <row r="45" ht="15" customHeight="1">
      <c r="A45" t="inlineStr">
        <is>
          <t>A 48034-2020</t>
        </is>
      </c>
      <c r="B45" s="1" t="n">
        <v>44095</v>
      </c>
      <c r="C45" s="1" t="n">
        <v>45362</v>
      </c>
      <c r="D45" t="inlineStr">
        <is>
          <t>VÄSTERBOTTENS LÄN</t>
        </is>
      </c>
      <c r="E45" t="inlineStr">
        <is>
          <t>VILHELMINA</t>
        </is>
      </c>
      <c r="F45" t="inlineStr">
        <is>
          <t>Allmännings- och besparingsskogar</t>
        </is>
      </c>
      <c r="G45" t="n">
        <v>19.9</v>
      </c>
      <c r="H45" t="n">
        <v>1</v>
      </c>
      <c r="I45" t="n">
        <v>1</v>
      </c>
      <c r="J45" t="n">
        <v>9</v>
      </c>
      <c r="K45" t="n">
        <v>2</v>
      </c>
      <c r="L45" t="n">
        <v>0</v>
      </c>
      <c r="M45" t="n">
        <v>0</v>
      </c>
      <c r="N45" t="n">
        <v>0</v>
      </c>
      <c r="O45" t="n">
        <v>11</v>
      </c>
      <c r="P45" t="n">
        <v>2</v>
      </c>
      <c r="Q45" t="n">
        <v>12</v>
      </c>
      <c r="R45" s="2" t="inlineStr">
        <is>
          <t>Lappticka
Ostticka
Garnlav
Granticka
Gränsticka
Harticka
Knottrig blåslav
Rosenticka
Skrovellav
Tretåig hackspett
Ullticka
Stuplav</t>
        </is>
      </c>
      <c r="S45">
        <f>HYPERLINK("https://klasma.github.io/Logging_2462/artfynd/A 48034-2020 artfynd.xlsx", "A 48034-2020")</f>
        <v/>
      </c>
      <c r="T45">
        <f>HYPERLINK("https://klasma.github.io/Logging_2462/kartor/A 48034-2020 karta.png", "A 48034-2020")</f>
        <v/>
      </c>
      <c r="V45">
        <f>HYPERLINK("https://klasma.github.io/Logging_2462/klagomål/A 48034-2020 FSC-klagomål.docx", "A 48034-2020")</f>
        <v/>
      </c>
      <c r="W45">
        <f>HYPERLINK("https://klasma.github.io/Logging_2462/klagomålsmail/A 48034-2020 FSC-klagomål mail.docx", "A 48034-2020")</f>
        <v/>
      </c>
      <c r="X45">
        <f>HYPERLINK("https://klasma.github.io/Logging_2462/tillsyn/A 48034-2020 tillsynsbegäran.docx", "A 48034-2020")</f>
        <v/>
      </c>
      <c r="Y45">
        <f>HYPERLINK("https://klasma.github.io/Logging_2462/tillsynsmail/A 48034-2020 tillsynsbegäran mail.docx", "A 48034-2020")</f>
        <v/>
      </c>
      <c r="Z45">
        <f>HYPERLINK("https://klasma.github.io/Logging_2462/fåglar/A 48034-2020 prioriterade fågelarter.docx", "A 48034-2020")</f>
        <v/>
      </c>
    </row>
    <row r="46" ht="15" customHeight="1">
      <c r="A46" t="inlineStr">
        <is>
          <t>A 12014-2021</t>
        </is>
      </c>
      <c r="B46" s="1" t="n">
        <v>44266</v>
      </c>
      <c r="C46" s="1" t="n">
        <v>45362</v>
      </c>
      <c r="D46" t="inlineStr">
        <is>
          <t>VÄSTERBOTTENS LÄN</t>
        </is>
      </c>
      <c r="E46" t="inlineStr">
        <is>
          <t>VILHELMINA</t>
        </is>
      </c>
      <c r="G46" t="n">
        <v>14.1</v>
      </c>
      <c r="H46" t="n">
        <v>2</v>
      </c>
      <c r="I46" t="n">
        <v>6</v>
      </c>
      <c r="J46" t="n">
        <v>5</v>
      </c>
      <c r="K46" t="n">
        <v>1</v>
      </c>
      <c r="L46" t="n">
        <v>0</v>
      </c>
      <c r="M46" t="n">
        <v>0</v>
      </c>
      <c r="N46" t="n">
        <v>0</v>
      </c>
      <c r="O46" t="n">
        <v>6</v>
      </c>
      <c r="P46" t="n">
        <v>1</v>
      </c>
      <c r="Q46" t="n">
        <v>12</v>
      </c>
      <c r="R46" s="2" t="inlineStr">
        <is>
          <t>Rödskaftad svartspik
Garnlav
Lunglav
Skrovellav
Talltita
Tretåig hackspett
Bårdlav
Kornig nållav
Luddlav
Mörkhövdad spiklav
Skinnlav
Stuplav</t>
        </is>
      </c>
      <c r="S46">
        <f>HYPERLINK("https://klasma.github.io/Logging_2462/artfynd/A 12014-2021 artfynd.xlsx", "A 12014-2021")</f>
        <v/>
      </c>
      <c r="T46">
        <f>HYPERLINK("https://klasma.github.io/Logging_2462/kartor/A 12014-2021 karta.png", "A 12014-2021")</f>
        <v/>
      </c>
      <c r="V46">
        <f>HYPERLINK("https://klasma.github.io/Logging_2462/klagomål/A 12014-2021 FSC-klagomål.docx", "A 12014-2021")</f>
        <v/>
      </c>
      <c r="W46">
        <f>HYPERLINK("https://klasma.github.io/Logging_2462/klagomålsmail/A 12014-2021 FSC-klagomål mail.docx", "A 12014-2021")</f>
        <v/>
      </c>
      <c r="X46">
        <f>HYPERLINK("https://klasma.github.io/Logging_2462/tillsyn/A 12014-2021 tillsynsbegäran.docx", "A 12014-2021")</f>
        <v/>
      </c>
      <c r="Y46">
        <f>HYPERLINK("https://klasma.github.io/Logging_2462/tillsynsmail/A 12014-2021 tillsynsbegäran mail.docx", "A 12014-2021")</f>
        <v/>
      </c>
      <c r="Z46">
        <f>HYPERLINK("https://klasma.github.io/Logging_2462/fåglar/A 12014-2021 prioriterade fågelarter.docx", "A 12014-2021")</f>
        <v/>
      </c>
    </row>
    <row r="47" ht="15" customHeight="1">
      <c r="A47" t="inlineStr">
        <is>
          <t>A 45743-2022</t>
        </is>
      </c>
      <c r="B47" s="1" t="n">
        <v>44838</v>
      </c>
      <c r="C47" s="1" t="n">
        <v>45362</v>
      </c>
      <c r="D47" t="inlineStr">
        <is>
          <t>VÄSTERBOTTENS LÄN</t>
        </is>
      </c>
      <c r="E47" t="inlineStr">
        <is>
          <t>VILHELMINA</t>
        </is>
      </c>
      <c r="F47" t="inlineStr">
        <is>
          <t>Allmännings- och besparingsskogar</t>
        </is>
      </c>
      <c r="G47" t="n">
        <v>6.9</v>
      </c>
      <c r="H47" t="n">
        <v>1</v>
      </c>
      <c r="I47" t="n">
        <v>3</v>
      </c>
      <c r="J47" t="n">
        <v>9</v>
      </c>
      <c r="K47" t="n">
        <v>0</v>
      </c>
      <c r="L47" t="n">
        <v>0</v>
      </c>
      <c r="M47" t="n">
        <v>0</v>
      </c>
      <c r="N47" t="n">
        <v>0</v>
      </c>
      <c r="O47" t="n">
        <v>9</v>
      </c>
      <c r="P47" t="n">
        <v>0</v>
      </c>
      <c r="Q47" t="n">
        <v>12</v>
      </c>
      <c r="R47" s="2" t="inlineStr">
        <is>
          <t>Brunpudrad nållav
Garnlav
Gränsticka
Harticka
Lunglav
Rödbrun blekspik
Skrovellav
Tretåig hackspett
Vitgrynig nållav
Gytterlav
Luddlav
Stuplav</t>
        </is>
      </c>
      <c r="S47">
        <f>HYPERLINK("https://klasma.github.io/Logging_2462/artfynd/A 45743-2022 artfynd.xlsx", "A 45743-2022")</f>
        <v/>
      </c>
      <c r="T47">
        <f>HYPERLINK("https://klasma.github.io/Logging_2462/kartor/A 45743-2022 karta.png", "A 45743-2022")</f>
        <v/>
      </c>
      <c r="V47">
        <f>HYPERLINK("https://klasma.github.io/Logging_2462/klagomål/A 45743-2022 FSC-klagomål.docx", "A 45743-2022")</f>
        <v/>
      </c>
      <c r="W47">
        <f>HYPERLINK("https://klasma.github.io/Logging_2462/klagomålsmail/A 45743-2022 FSC-klagomål mail.docx", "A 45743-2022")</f>
        <v/>
      </c>
      <c r="X47">
        <f>HYPERLINK("https://klasma.github.io/Logging_2462/tillsyn/A 45743-2022 tillsynsbegäran.docx", "A 45743-2022")</f>
        <v/>
      </c>
      <c r="Y47">
        <f>HYPERLINK("https://klasma.github.io/Logging_2462/tillsynsmail/A 45743-2022 tillsynsbegäran mail.docx", "A 45743-2022")</f>
        <v/>
      </c>
      <c r="Z47">
        <f>HYPERLINK("https://klasma.github.io/Logging_2462/fåglar/A 45743-2022 prioriterade fågelarter.docx", "A 45743-2022")</f>
        <v/>
      </c>
    </row>
    <row r="48" ht="15" customHeight="1">
      <c r="A48" t="inlineStr">
        <is>
          <t>A 33664-2023</t>
        </is>
      </c>
      <c r="B48" s="1" t="n">
        <v>45119</v>
      </c>
      <c r="C48" s="1" t="n">
        <v>45362</v>
      </c>
      <c r="D48" t="inlineStr">
        <is>
          <t>VÄSTERBOTTENS LÄN</t>
        </is>
      </c>
      <c r="E48" t="inlineStr">
        <is>
          <t>VILHELMINA</t>
        </is>
      </c>
      <c r="F48" t="inlineStr">
        <is>
          <t>Allmännings- och besparingsskogar</t>
        </is>
      </c>
      <c r="G48" t="n">
        <v>1.7</v>
      </c>
      <c r="H48" t="n">
        <v>0</v>
      </c>
      <c r="I48" t="n">
        <v>4</v>
      </c>
      <c r="J48" t="n">
        <v>7</v>
      </c>
      <c r="K48" t="n">
        <v>1</v>
      </c>
      <c r="L48" t="n">
        <v>0</v>
      </c>
      <c r="M48" t="n">
        <v>0</v>
      </c>
      <c r="N48" t="n">
        <v>0</v>
      </c>
      <c r="O48" t="n">
        <v>8</v>
      </c>
      <c r="P48" t="n">
        <v>1</v>
      </c>
      <c r="Q48" t="n">
        <v>12</v>
      </c>
      <c r="R48" s="2" t="inlineStr">
        <is>
          <t>Aspfjädermossa
Garnlav
Granticka
Gränsticka
Skrovellav
Stjärntagging
Ullticka
Vitgrynig nållav
Bårdlav
Kransrams
Stuplav
Vedticka</t>
        </is>
      </c>
      <c r="S48">
        <f>HYPERLINK("https://klasma.github.io/Logging_2462/artfynd/A 33664-2023 artfynd.xlsx", "A 33664-2023")</f>
        <v/>
      </c>
      <c r="T48">
        <f>HYPERLINK("https://klasma.github.io/Logging_2462/kartor/A 33664-2023 karta.png", "A 33664-2023")</f>
        <v/>
      </c>
      <c r="V48">
        <f>HYPERLINK("https://klasma.github.io/Logging_2462/klagomål/A 33664-2023 FSC-klagomål.docx", "A 33664-2023")</f>
        <v/>
      </c>
      <c r="W48">
        <f>HYPERLINK("https://klasma.github.io/Logging_2462/klagomålsmail/A 33664-2023 FSC-klagomål mail.docx", "A 33664-2023")</f>
        <v/>
      </c>
      <c r="X48">
        <f>HYPERLINK("https://klasma.github.io/Logging_2462/tillsyn/A 33664-2023 tillsynsbegäran.docx", "A 33664-2023")</f>
        <v/>
      </c>
      <c r="Y48">
        <f>HYPERLINK("https://klasma.github.io/Logging_2462/tillsynsmail/A 33664-2023 tillsynsbegäran mail.docx", "A 33664-2023")</f>
        <v/>
      </c>
    </row>
    <row r="49" ht="15" customHeight="1">
      <c r="A49" t="inlineStr">
        <is>
          <t>A 48216-2023</t>
        </is>
      </c>
      <c r="B49" s="1" t="n">
        <v>45201</v>
      </c>
      <c r="C49" s="1" t="n">
        <v>45362</v>
      </c>
      <c r="D49" t="inlineStr">
        <is>
          <t>VÄSTERBOTTENS LÄN</t>
        </is>
      </c>
      <c r="E49" t="inlineStr">
        <is>
          <t>VILHELMINA</t>
        </is>
      </c>
      <c r="F49" t="inlineStr">
        <is>
          <t>Allmännings- och besparingsskogar</t>
        </is>
      </c>
      <c r="G49" t="n">
        <v>22.2</v>
      </c>
      <c r="H49" t="n">
        <v>3</v>
      </c>
      <c r="I49" t="n">
        <v>2</v>
      </c>
      <c r="J49" t="n">
        <v>8</v>
      </c>
      <c r="K49" t="n">
        <v>1</v>
      </c>
      <c r="L49" t="n">
        <v>0</v>
      </c>
      <c r="M49" t="n">
        <v>0</v>
      </c>
      <c r="N49" t="n">
        <v>0</v>
      </c>
      <c r="O49" t="n">
        <v>9</v>
      </c>
      <c r="P49" t="n">
        <v>1</v>
      </c>
      <c r="Q49" t="n">
        <v>12</v>
      </c>
      <c r="R49" s="2" t="inlineStr">
        <is>
          <t>Ostticka
Doftskinn
Garnlav
Granticka
Rosenticka
Talltita
Tretåig hackspett
Ullticka
Vitgrynig nållav
Trådticka
Vedticka
Lavskrika</t>
        </is>
      </c>
      <c r="S49">
        <f>HYPERLINK("https://klasma.github.io/Logging_2462/artfynd/A 48216-2023 artfynd.xlsx", "A 48216-2023")</f>
        <v/>
      </c>
      <c r="T49">
        <f>HYPERLINK("https://klasma.github.io/Logging_2462/kartor/A 48216-2023 karta.png", "A 48216-2023")</f>
        <v/>
      </c>
      <c r="V49">
        <f>HYPERLINK("https://klasma.github.io/Logging_2462/klagomål/A 48216-2023 FSC-klagomål.docx", "A 48216-2023")</f>
        <v/>
      </c>
      <c r="W49">
        <f>HYPERLINK("https://klasma.github.io/Logging_2462/klagomålsmail/A 48216-2023 FSC-klagomål mail.docx", "A 48216-2023")</f>
        <v/>
      </c>
      <c r="X49">
        <f>HYPERLINK("https://klasma.github.io/Logging_2462/tillsyn/A 48216-2023 tillsynsbegäran.docx", "A 48216-2023")</f>
        <v/>
      </c>
      <c r="Y49">
        <f>HYPERLINK("https://klasma.github.io/Logging_2462/tillsynsmail/A 48216-2023 tillsynsbegäran mail.docx", "A 48216-2023")</f>
        <v/>
      </c>
      <c r="Z49">
        <f>HYPERLINK("https://klasma.github.io/Logging_2462/fåglar/A 48216-2023 prioriterade fågelarter.docx", "A 48216-2023")</f>
        <v/>
      </c>
    </row>
    <row r="50" ht="15" customHeight="1">
      <c r="A50" t="inlineStr">
        <is>
          <t>A 60592-2019</t>
        </is>
      </c>
      <c r="B50" s="1" t="n">
        <v>43781</v>
      </c>
      <c r="C50" s="1" t="n">
        <v>45362</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45362</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45362</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45362</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45362</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45362</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45362</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45362</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45362</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45362</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45362</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45362</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172-2021</t>
        </is>
      </c>
      <c r="B62" s="1" t="n">
        <v>44199</v>
      </c>
      <c r="C62" s="1" t="n">
        <v>45362</v>
      </c>
      <c r="D62" t="inlineStr">
        <is>
          <t>VÄSTERBOTTENS LÄN</t>
        </is>
      </c>
      <c r="E62" t="inlineStr">
        <is>
          <t>VILHELMINA</t>
        </is>
      </c>
      <c r="G62" t="n">
        <v>16.6</v>
      </c>
      <c r="H62" t="n">
        <v>3</v>
      </c>
      <c r="I62" t="n">
        <v>0</v>
      </c>
      <c r="J62" t="n">
        <v>7</v>
      </c>
      <c r="K62" t="n">
        <v>0</v>
      </c>
      <c r="L62" t="n">
        <v>0</v>
      </c>
      <c r="M62" t="n">
        <v>0</v>
      </c>
      <c r="N62" t="n">
        <v>0</v>
      </c>
      <c r="O62" t="n">
        <v>7</v>
      </c>
      <c r="P62" t="n">
        <v>0</v>
      </c>
      <c r="Q62" t="n">
        <v>8</v>
      </c>
      <c r="R62" s="2" t="inlineStr">
        <is>
          <t>Gammelgransskål
Garnlav
Granticka
Talltita
Tretåig hackspett
Ullticka
Vitgrynig nållav
Orre</t>
        </is>
      </c>
      <c r="S62">
        <f>HYPERLINK("https://klasma.github.io/Logging_2462/artfynd/A 172-2021 artfynd.xlsx", "A 172-2021")</f>
        <v/>
      </c>
      <c r="T62">
        <f>HYPERLINK("https://klasma.github.io/Logging_2462/kartor/A 172-2021 karta.png", "A 172-2021")</f>
        <v/>
      </c>
      <c r="V62">
        <f>HYPERLINK("https://klasma.github.io/Logging_2462/klagomål/A 172-2021 FSC-klagomål.docx", "A 172-2021")</f>
        <v/>
      </c>
      <c r="W62">
        <f>HYPERLINK("https://klasma.github.io/Logging_2462/klagomålsmail/A 172-2021 FSC-klagomål mail.docx", "A 172-2021")</f>
        <v/>
      </c>
      <c r="X62">
        <f>HYPERLINK("https://klasma.github.io/Logging_2462/tillsyn/A 172-2021 tillsynsbegäran.docx", "A 172-2021")</f>
        <v/>
      </c>
      <c r="Y62">
        <f>HYPERLINK("https://klasma.github.io/Logging_2462/tillsynsmail/A 172-2021 tillsynsbegäran mail.docx", "A 172-2021")</f>
        <v/>
      </c>
      <c r="Z62">
        <f>HYPERLINK("https://klasma.github.io/Logging_2462/fåglar/A 172-2021 prioriterade fågelarter.docx", "A 172-2021")</f>
        <v/>
      </c>
    </row>
    <row r="63" ht="15" customHeight="1">
      <c r="A63" t="inlineStr">
        <is>
          <t>A 2196-2021</t>
        </is>
      </c>
      <c r="B63" s="1" t="n">
        <v>44211</v>
      </c>
      <c r="C63" s="1" t="n">
        <v>45362</v>
      </c>
      <c r="D63" t="inlineStr">
        <is>
          <t>VÄSTERBOTTENS LÄN</t>
        </is>
      </c>
      <c r="E63" t="inlineStr">
        <is>
          <t>VILHELMINA</t>
        </is>
      </c>
      <c r="F63" t="inlineStr">
        <is>
          <t>Allmännings- och besparingsskogar</t>
        </is>
      </c>
      <c r="G63" t="n">
        <v>20.3</v>
      </c>
      <c r="H63" t="n">
        <v>0</v>
      </c>
      <c r="I63" t="n">
        <v>0</v>
      </c>
      <c r="J63" t="n">
        <v>5</v>
      </c>
      <c r="K63" t="n">
        <v>3</v>
      </c>
      <c r="L63" t="n">
        <v>0</v>
      </c>
      <c r="M63" t="n">
        <v>0</v>
      </c>
      <c r="N63" t="n">
        <v>0</v>
      </c>
      <c r="O63" t="n">
        <v>8</v>
      </c>
      <c r="P63" t="n">
        <v>3</v>
      </c>
      <c r="Q63" t="n">
        <v>8</v>
      </c>
      <c r="R63" s="2" t="inlineStr">
        <is>
          <t>Lappticka
Rynkskinn
Tajgaskinn
Doftskinn
Gränsticka
Rosenticka
Skrovellav
Ullticka</t>
        </is>
      </c>
      <c r="S63">
        <f>HYPERLINK("https://klasma.github.io/Logging_2462/artfynd/A 2196-2021 artfynd.xlsx", "A 2196-2021")</f>
        <v/>
      </c>
      <c r="T63">
        <f>HYPERLINK("https://klasma.github.io/Logging_2462/kartor/A 2196-2021 karta.png", "A 2196-2021")</f>
        <v/>
      </c>
      <c r="V63">
        <f>HYPERLINK("https://klasma.github.io/Logging_2462/klagomål/A 2196-2021 FSC-klagomål.docx", "A 2196-2021")</f>
        <v/>
      </c>
      <c r="W63">
        <f>HYPERLINK("https://klasma.github.io/Logging_2462/klagomålsmail/A 2196-2021 FSC-klagomål mail.docx", "A 2196-2021")</f>
        <v/>
      </c>
      <c r="X63">
        <f>HYPERLINK("https://klasma.github.io/Logging_2462/tillsyn/A 2196-2021 tillsynsbegäran.docx", "A 2196-2021")</f>
        <v/>
      </c>
      <c r="Y63">
        <f>HYPERLINK("https://klasma.github.io/Logging_2462/tillsynsmail/A 2196-2021 tillsynsbegäran mail.docx", "A 2196-2021")</f>
        <v/>
      </c>
    </row>
    <row r="64" ht="15" customHeight="1">
      <c r="A64" t="inlineStr">
        <is>
          <t>A 36220-2023</t>
        </is>
      </c>
      <c r="B64" s="1" t="n">
        <v>45149</v>
      </c>
      <c r="C64" s="1" t="n">
        <v>45362</v>
      </c>
      <c r="D64" t="inlineStr">
        <is>
          <t>VÄSTERBOTTENS LÄN</t>
        </is>
      </c>
      <c r="E64" t="inlineStr">
        <is>
          <t>VILHELMINA</t>
        </is>
      </c>
      <c r="F64" t="inlineStr">
        <is>
          <t>SCA</t>
        </is>
      </c>
      <c r="G64" t="n">
        <v>3.8</v>
      </c>
      <c r="H64" t="n">
        <v>2</v>
      </c>
      <c r="I64" t="n">
        <v>2</v>
      </c>
      <c r="J64" t="n">
        <v>6</v>
      </c>
      <c r="K64" t="n">
        <v>0</v>
      </c>
      <c r="L64" t="n">
        <v>0</v>
      </c>
      <c r="M64" t="n">
        <v>0</v>
      </c>
      <c r="N64" t="n">
        <v>0</v>
      </c>
      <c r="O64" t="n">
        <v>6</v>
      </c>
      <c r="P64" t="n">
        <v>0</v>
      </c>
      <c r="Q64" t="n">
        <v>8</v>
      </c>
      <c r="R64" s="2" t="inlineStr">
        <is>
          <t>Garnlav
Lunglav
Rödbrun blekspik
Skrovellav
Talltita
Tretåig hackspett
Korallblylav
Stuplav</t>
        </is>
      </c>
      <c r="S64">
        <f>HYPERLINK("https://klasma.github.io/Logging_2462/artfynd/A 36220-2023 artfynd.xlsx", "A 36220-2023")</f>
        <v/>
      </c>
      <c r="T64">
        <f>HYPERLINK("https://klasma.github.io/Logging_2462/kartor/A 36220-2023 karta.png", "A 36220-2023")</f>
        <v/>
      </c>
      <c r="V64">
        <f>HYPERLINK("https://klasma.github.io/Logging_2462/klagomål/A 36220-2023 FSC-klagomål.docx", "A 36220-2023")</f>
        <v/>
      </c>
      <c r="W64">
        <f>HYPERLINK("https://klasma.github.io/Logging_2462/klagomålsmail/A 36220-2023 FSC-klagomål mail.docx", "A 36220-2023")</f>
        <v/>
      </c>
      <c r="X64">
        <f>HYPERLINK("https://klasma.github.io/Logging_2462/tillsyn/A 36220-2023 tillsynsbegäran.docx", "A 36220-2023")</f>
        <v/>
      </c>
      <c r="Y64">
        <f>HYPERLINK("https://klasma.github.io/Logging_2462/tillsynsmail/A 36220-2023 tillsynsbegäran mail.docx", "A 36220-2023")</f>
        <v/>
      </c>
      <c r="Z64">
        <f>HYPERLINK("https://klasma.github.io/Logging_2462/fåglar/A 36220-2023 prioriterade fågelarter.docx", "A 36220-2023")</f>
        <v/>
      </c>
    </row>
    <row r="65" ht="15" customHeight="1">
      <c r="A65" t="inlineStr">
        <is>
          <t>A 51814-2018</t>
        </is>
      </c>
      <c r="B65" s="1" t="n">
        <v>43381</v>
      </c>
      <c r="C65" s="1" t="n">
        <v>45362</v>
      </c>
      <c r="D65" t="inlineStr">
        <is>
          <t>VÄSTERBOTTENS LÄN</t>
        </is>
      </c>
      <c r="E65" t="inlineStr">
        <is>
          <t>VILHELMINA</t>
        </is>
      </c>
      <c r="F65" t="inlineStr">
        <is>
          <t>Allmännings- och besparingsskogar</t>
        </is>
      </c>
      <c r="G65" t="n">
        <v>11.8</v>
      </c>
      <c r="H65" t="n">
        <v>1</v>
      </c>
      <c r="I65" t="n">
        <v>2</v>
      </c>
      <c r="J65" t="n">
        <v>4</v>
      </c>
      <c r="K65" t="n">
        <v>1</v>
      </c>
      <c r="L65" t="n">
        <v>0</v>
      </c>
      <c r="M65" t="n">
        <v>0</v>
      </c>
      <c r="N65" t="n">
        <v>0</v>
      </c>
      <c r="O65" t="n">
        <v>5</v>
      </c>
      <c r="P65" t="n">
        <v>1</v>
      </c>
      <c r="Q65" t="n">
        <v>7</v>
      </c>
      <c r="R65" s="2" t="inlineStr">
        <is>
          <t>Tajgaskinn
Granticka
Gränsticka
Skrovellav
Tretåig hackspett
Bårdlav
Stuplav</t>
        </is>
      </c>
      <c r="S65">
        <f>HYPERLINK("https://klasma.github.io/Logging_2462/artfynd/A 51814-2018 artfynd.xlsx", "A 51814-2018")</f>
        <v/>
      </c>
      <c r="T65">
        <f>HYPERLINK("https://klasma.github.io/Logging_2462/kartor/A 51814-2018 karta.png", "A 51814-2018")</f>
        <v/>
      </c>
      <c r="V65">
        <f>HYPERLINK("https://klasma.github.io/Logging_2462/klagomål/A 51814-2018 FSC-klagomål.docx", "A 51814-2018")</f>
        <v/>
      </c>
      <c r="W65">
        <f>HYPERLINK("https://klasma.github.io/Logging_2462/klagomålsmail/A 51814-2018 FSC-klagomål mail.docx", "A 51814-2018")</f>
        <v/>
      </c>
      <c r="X65">
        <f>HYPERLINK("https://klasma.github.io/Logging_2462/tillsyn/A 51814-2018 tillsynsbegäran.docx", "A 51814-2018")</f>
        <v/>
      </c>
      <c r="Y65">
        <f>HYPERLINK("https://klasma.github.io/Logging_2462/tillsynsmail/A 51814-2018 tillsynsbegäran mail.docx", "A 51814-2018")</f>
        <v/>
      </c>
      <c r="Z65">
        <f>HYPERLINK("https://klasma.github.io/Logging_2462/fåglar/A 51814-2018 prioriterade fågelarter.docx", "A 51814-2018")</f>
        <v/>
      </c>
    </row>
    <row r="66" ht="15" customHeight="1">
      <c r="A66" t="inlineStr">
        <is>
          <t>A 37271-2019</t>
        </is>
      </c>
      <c r="B66" s="1" t="n">
        <v>43677</v>
      </c>
      <c r="C66" s="1" t="n">
        <v>45362</v>
      </c>
      <c r="D66" t="inlineStr">
        <is>
          <t>VÄSTERBOTTENS LÄN</t>
        </is>
      </c>
      <c r="E66" t="inlineStr">
        <is>
          <t>VILHELMINA</t>
        </is>
      </c>
      <c r="F66" t="inlineStr">
        <is>
          <t>Holmen skog AB</t>
        </is>
      </c>
      <c r="G66" t="n">
        <v>5</v>
      </c>
      <c r="H66" t="n">
        <v>1</v>
      </c>
      <c r="I66" t="n">
        <v>0</v>
      </c>
      <c r="J66" t="n">
        <v>7</v>
      </c>
      <c r="K66" t="n">
        <v>0</v>
      </c>
      <c r="L66" t="n">
        <v>0</v>
      </c>
      <c r="M66" t="n">
        <v>0</v>
      </c>
      <c r="N66" t="n">
        <v>0</v>
      </c>
      <c r="O66" t="n">
        <v>7</v>
      </c>
      <c r="P66" t="n">
        <v>0</v>
      </c>
      <c r="Q66" t="n">
        <v>7</v>
      </c>
      <c r="R66" s="2" t="inlineStr">
        <is>
          <t>Gammelgransskål
Garnlav
Granticka
Gränsticka
Harticka
Tretåig hackspett
Vitgrynig nållav</t>
        </is>
      </c>
      <c r="S66">
        <f>HYPERLINK("https://klasma.github.io/Logging_2462/artfynd/A 37271-2019 artfynd.xlsx", "A 37271-2019")</f>
        <v/>
      </c>
      <c r="T66">
        <f>HYPERLINK("https://klasma.github.io/Logging_2462/kartor/A 37271-2019 karta.png", "A 37271-2019")</f>
        <v/>
      </c>
      <c r="V66">
        <f>HYPERLINK("https://klasma.github.io/Logging_2462/klagomål/A 37271-2019 FSC-klagomål.docx", "A 37271-2019")</f>
        <v/>
      </c>
      <c r="W66">
        <f>HYPERLINK("https://klasma.github.io/Logging_2462/klagomålsmail/A 37271-2019 FSC-klagomål mail.docx", "A 37271-2019")</f>
        <v/>
      </c>
      <c r="X66">
        <f>HYPERLINK("https://klasma.github.io/Logging_2462/tillsyn/A 37271-2019 tillsynsbegäran.docx", "A 37271-2019")</f>
        <v/>
      </c>
      <c r="Y66">
        <f>HYPERLINK("https://klasma.github.io/Logging_2462/tillsynsmail/A 37271-2019 tillsynsbegäran mail.docx", "A 37271-2019")</f>
        <v/>
      </c>
      <c r="Z66">
        <f>HYPERLINK("https://klasma.github.io/Logging_2462/fåglar/A 37271-2019 prioriterade fågelarter.docx", "A 37271-2019")</f>
        <v/>
      </c>
    </row>
    <row r="67" ht="15" customHeight="1">
      <c r="A67" t="inlineStr">
        <is>
          <t>A 29245-2020</t>
        </is>
      </c>
      <c r="B67" s="1" t="n">
        <v>44000</v>
      </c>
      <c r="C67" s="1" t="n">
        <v>45362</v>
      </c>
      <c r="D67" t="inlineStr">
        <is>
          <t>VÄSTERBOTTENS LÄN</t>
        </is>
      </c>
      <c r="E67" t="inlineStr">
        <is>
          <t>VILHELMINA</t>
        </is>
      </c>
      <c r="G67" t="n">
        <v>53</v>
      </c>
      <c r="H67" t="n">
        <v>4</v>
      </c>
      <c r="I67" t="n">
        <v>0</v>
      </c>
      <c r="J67" t="n">
        <v>4</v>
      </c>
      <c r="K67" t="n">
        <v>2</v>
      </c>
      <c r="L67" t="n">
        <v>0</v>
      </c>
      <c r="M67" t="n">
        <v>0</v>
      </c>
      <c r="N67" t="n">
        <v>0</v>
      </c>
      <c r="O67" t="n">
        <v>6</v>
      </c>
      <c r="P67" t="n">
        <v>2</v>
      </c>
      <c r="Q67" t="n">
        <v>7</v>
      </c>
      <c r="R67" s="2" t="inlineStr">
        <is>
          <t>Hussvala
Knärot
Garnlav
Granticka
Knottrig blåslav
Tretåig hackspett
Fläcknycklar</t>
        </is>
      </c>
      <c r="S67">
        <f>HYPERLINK("https://klasma.github.io/Logging_2462/artfynd/A 29245-2020 artfynd.xlsx", "A 29245-2020")</f>
        <v/>
      </c>
      <c r="T67">
        <f>HYPERLINK("https://klasma.github.io/Logging_2462/kartor/A 29245-2020 karta.png", "A 29245-2020")</f>
        <v/>
      </c>
      <c r="U67">
        <f>HYPERLINK("https://klasma.github.io/Logging_2462/knärot/A 29245-2020 karta knärot.png", "A 29245-2020")</f>
        <v/>
      </c>
      <c r="V67">
        <f>HYPERLINK("https://klasma.github.io/Logging_2462/klagomål/A 29245-2020 FSC-klagomål.docx", "A 29245-2020")</f>
        <v/>
      </c>
      <c r="W67">
        <f>HYPERLINK("https://klasma.github.io/Logging_2462/klagomålsmail/A 29245-2020 FSC-klagomål mail.docx", "A 29245-2020")</f>
        <v/>
      </c>
      <c r="X67">
        <f>HYPERLINK("https://klasma.github.io/Logging_2462/tillsyn/A 29245-2020 tillsynsbegäran.docx", "A 29245-2020")</f>
        <v/>
      </c>
      <c r="Y67">
        <f>HYPERLINK("https://klasma.github.io/Logging_2462/tillsynsmail/A 29245-2020 tillsynsbegäran mail.docx", "A 29245-2020")</f>
        <v/>
      </c>
      <c r="Z67">
        <f>HYPERLINK("https://klasma.github.io/Logging_2462/fåglar/A 29245-2020 prioriterade fågelarter.docx", "A 29245-2020")</f>
        <v/>
      </c>
    </row>
    <row r="68" ht="15" customHeight="1">
      <c r="A68" t="inlineStr">
        <is>
          <t>A 15852-2022</t>
        </is>
      </c>
      <c r="B68" s="1" t="n">
        <v>44664</v>
      </c>
      <c r="C68" s="1" t="n">
        <v>45362</v>
      </c>
      <c r="D68" t="inlineStr">
        <is>
          <t>VÄSTERBOTTENS LÄN</t>
        </is>
      </c>
      <c r="E68" t="inlineStr">
        <is>
          <t>VILHELMINA</t>
        </is>
      </c>
      <c r="G68" t="n">
        <v>9.300000000000001</v>
      </c>
      <c r="H68" t="n">
        <v>1</v>
      </c>
      <c r="I68" t="n">
        <v>2</v>
      </c>
      <c r="J68" t="n">
        <v>5</v>
      </c>
      <c r="K68" t="n">
        <v>0</v>
      </c>
      <c r="L68" t="n">
        <v>0</v>
      </c>
      <c r="M68" t="n">
        <v>0</v>
      </c>
      <c r="N68" t="n">
        <v>0</v>
      </c>
      <c r="O68" t="n">
        <v>5</v>
      </c>
      <c r="P68" t="n">
        <v>0</v>
      </c>
      <c r="Q68" t="n">
        <v>7</v>
      </c>
      <c r="R68" s="2" t="inlineStr">
        <is>
          <t>Granticka
Harticka
Lunglav
Skrovellav
Ullticka
Spindelblomster
Stuplav</t>
        </is>
      </c>
      <c r="S68">
        <f>HYPERLINK("https://klasma.github.io/Logging_2462/artfynd/A 15852-2022 artfynd.xlsx", "A 15852-2022")</f>
        <v/>
      </c>
      <c r="T68">
        <f>HYPERLINK("https://klasma.github.io/Logging_2462/kartor/A 15852-2022 karta.png", "A 15852-2022")</f>
        <v/>
      </c>
      <c r="V68">
        <f>HYPERLINK("https://klasma.github.io/Logging_2462/klagomål/A 15852-2022 FSC-klagomål.docx", "A 15852-2022")</f>
        <v/>
      </c>
      <c r="W68">
        <f>HYPERLINK("https://klasma.github.io/Logging_2462/klagomålsmail/A 15852-2022 FSC-klagomål mail.docx", "A 15852-2022")</f>
        <v/>
      </c>
      <c r="X68">
        <f>HYPERLINK("https://klasma.github.io/Logging_2462/tillsyn/A 15852-2022 tillsynsbegäran.docx", "A 15852-2022")</f>
        <v/>
      </c>
      <c r="Y68">
        <f>HYPERLINK("https://klasma.github.io/Logging_2462/tillsynsmail/A 15852-2022 tillsynsbegäran mail.docx", "A 15852-2022")</f>
        <v/>
      </c>
    </row>
    <row r="69" ht="15" customHeight="1">
      <c r="A69" t="inlineStr">
        <is>
          <t>A 34091-2023</t>
        </is>
      </c>
      <c r="B69" s="1" t="n">
        <v>45125</v>
      </c>
      <c r="C69" s="1" t="n">
        <v>45362</v>
      </c>
      <c r="D69" t="inlineStr">
        <is>
          <t>VÄSTERBOTTENS LÄN</t>
        </is>
      </c>
      <c r="E69" t="inlineStr">
        <is>
          <t>VILHELMINA</t>
        </is>
      </c>
      <c r="G69" t="n">
        <v>18.4</v>
      </c>
      <c r="H69" t="n">
        <v>1</v>
      </c>
      <c r="I69" t="n">
        <v>1</v>
      </c>
      <c r="J69" t="n">
        <v>6</v>
      </c>
      <c r="K69" t="n">
        <v>0</v>
      </c>
      <c r="L69" t="n">
        <v>0</v>
      </c>
      <c r="M69" t="n">
        <v>0</v>
      </c>
      <c r="N69" t="n">
        <v>0</v>
      </c>
      <c r="O69" t="n">
        <v>6</v>
      </c>
      <c r="P69" t="n">
        <v>0</v>
      </c>
      <c r="Q69" t="n">
        <v>7</v>
      </c>
      <c r="R69" s="2" t="inlineStr">
        <is>
          <t>Doftskinn
Garnlav
Granticka
Gränsticka
Skrovellav
Tretåig hackspett
Trådticka</t>
        </is>
      </c>
      <c r="S69">
        <f>HYPERLINK("https://klasma.github.io/Logging_2462/artfynd/A 34091-2023 artfynd.xlsx", "A 34091-2023")</f>
        <v/>
      </c>
      <c r="T69">
        <f>HYPERLINK("https://klasma.github.io/Logging_2462/kartor/A 34091-2023 karta.png", "A 34091-2023")</f>
        <v/>
      </c>
      <c r="V69">
        <f>HYPERLINK("https://klasma.github.io/Logging_2462/klagomål/A 34091-2023 FSC-klagomål.docx", "A 34091-2023")</f>
        <v/>
      </c>
      <c r="W69">
        <f>HYPERLINK("https://klasma.github.io/Logging_2462/klagomålsmail/A 34091-2023 FSC-klagomål mail.docx", "A 34091-2023")</f>
        <v/>
      </c>
      <c r="X69">
        <f>HYPERLINK("https://klasma.github.io/Logging_2462/tillsyn/A 34091-2023 tillsynsbegäran.docx", "A 34091-2023")</f>
        <v/>
      </c>
      <c r="Y69">
        <f>HYPERLINK("https://klasma.github.io/Logging_2462/tillsynsmail/A 34091-2023 tillsynsbegäran mail.docx", "A 34091-2023")</f>
        <v/>
      </c>
      <c r="Z69">
        <f>HYPERLINK("https://klasma.github.io/Logging_2462/fåglar/A 34091-2023 prioriterade fågelarter.docx", "A 34091-2023")</f>
        <v/>
      </c>
    </row>
    <row r="70" ht="15" customHeight="1">
      <c r="A70" t="inlineStr">
        <is>
          <t>A 34418-2023</t>
        </is>
      </c>
      <c r="B70" s="1" t="n">
        <v>45132</v>
      </c>
      <c r="C70" s="1" t="n">
        <v>45362</v>
      </c>
      <c r="D70" t="inlineStr">
        <is>
          <t>VÄSTERBOTTENS LÄN</t>
        </is>
      </c>
      <c r="E70" t="inlineStr">
        <is>
          <t>VILHELMINA</t>
        </is>
      </c>
      <c r="F70" t="inlineStr">
        <is>
          <t>Allmännings- och besparingsskogar</t>
        </is>
      </c>
      <c r="G70" t="n">
        <v>18.3</v>
      </c>
      <c r="H70" t="n">
        <v>1</v>
      </c>
      <c r="I70" t="n">
        <v>0</v>
      </c>
      <c r="J70" t="n">
        <v>6</v>
      </c>
      <c r="K70" t="n">
        <v>1</v>
      </c>
      <c r="L70" t="n">
        <v>0</v>
      </c>
      <c r="M70" t="n">
        <v>0</v>
      </c>
      <c r="N70" t="n">
        <v>0</v>
      </c>
      <c r="O70" t="n">
        <v>7</v>
      </c>
      <c r="P70" t="n">
        <v>1</v>
      </c>
      <c r="Q70" t="n">
        <v>7</v>
      </c>
      <c r="R70" s="2" t="inlineStr">
        <is>
          <t>Ostticka
Gammelgransskål
Garnlav
Gränsticka
Knottrig blåslav
Rödbrun blekspik
Tretåig hackspett</t>
        </is>
      </c>
      <c r="S70">
        <f>HYPERLINK("https://klasma.github.io/Logging_2462/artfynd/A 34418-2023 artfynd.xlsx", "A 34418-2023")</f>
        <v/>
      </c>
      <c r="T70">
        <f>HYPERLINK("https://klasma.github.io/Logging_2462/kartor/A 34418-2023 karta.png", "A 34418-2023")</f>
        <v/>
      </c>
      <c r="V70">
        <f>HYPERLINK("https://klasma.github.io/Logging_2462/klagomål/A 34418-2023 FSC-klagomål.docx", "A 34418-2023")</f>
        <v/>
      </c>
      <c r="W70">
        <f>HYPERLINK("https://klasma.github.io/Logging_2462/klagomålsmail/A 34418-2023 FSC-klagomål mail.docx", "A 34418-2023")</f>
        <v/>
      </c>
      <c r="X70">
        <f>HYPERLINK("https://klasma.github.io/Logging_2462/tillsyn/A 34418-2023 tillsynsbegäran.docx", "A 34418-2023")</f>
        <v/>
      </c>
      <c r="Y70">
        <f>HYPERLINK("https://klasma.github.io/Logging_2462/tillsynsmail/A 34418-2023 tillsynsbegäran mail.docx", "A 34418-2023")</f>
        <v/>
      </c>
      <c r="Z70">
        <f>HYPERLINK("https://klasma.github.io/Logging_2462/fåglar/A 34418-2023 prioriterade fågelarter.docx", "A 34418-2023")</f>
        <v/>
      </c>
    </row>
    <row r="71" ht="15" customHeight="1">
      <c r="A71" t="inlineStr">
        <is>
          <t>A 49135-2023</t>
        </is>
      </c>
      <c r="B71" s="1" t="n">
        <v>45205</v>
      </c>
      <c r="C71" s="1" t="n">
        <v>45362</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45362</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45362</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45362</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45362</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45362</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45362</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45362</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45362</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45362</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45362</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45362</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45362</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45362</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45362</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45362</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45362</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45362</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45362</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45362</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45362</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45362</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45362</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45362</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45362</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45362</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45362</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45362</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45362</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45362</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45362</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45362</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45362</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45362</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45362</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45362</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45362</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45362</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45362</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45362</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45362</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45362</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45362</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45362</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45362</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45362</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45362</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45362</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45362</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45362</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45362</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45362</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45362</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45362</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45362</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45362</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45362</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45362</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45362</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45362</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45362</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45362</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45362</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45362</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45362</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45362</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45362</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45362</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45362</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45362</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45362</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45362</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45362</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45362</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45362</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45362</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45362</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45362</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45362</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45362</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45362</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45362</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45362</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45362</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45362</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45362</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45362</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45362</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45362</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45362</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45362</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45362</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45362</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45362</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45362</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45362</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45362</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45362</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45362</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45362</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45362</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45362</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45362</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45362</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45362</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45362</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45362</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45362</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45362</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45362</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45362</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45362</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45362</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45362</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45362</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45362</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45362</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45362</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45362</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45362</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45362</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45362</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45362</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45362</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45362</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45362</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45362</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45362</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45362</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45362</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45362</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45362</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45362</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45362</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45362</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45362</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45362</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45362</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45362</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45362</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45362</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45362</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45362</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45362</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45362</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45362</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45362</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45362</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45362</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45362</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45362</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45362</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45362</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45362</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45362</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45362</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45362</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45362</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45362</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45362</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45362</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45362</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45362</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45362</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45362</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45362</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45362</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45362</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45362</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45362</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45362</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45362</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45362</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45362</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45362</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45362</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45362</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45362</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45362</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45362</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45362</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45362</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45362</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45362</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45362</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45362</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45362</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45362</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45362</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45362</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45362</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45362</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45362</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45362</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45362</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45362</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45362</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45362</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45362</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45362</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45362</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45362</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45362</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45362</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45362</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45362</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45362</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45362</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45362</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45362</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45362</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45362</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45362</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45362</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45362</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45362</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45362</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45362</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45362</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45362</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45362</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45362</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45362</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45362</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45362</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45362</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45362</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45362</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45362</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45362</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45362</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45362</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45362</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45362</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45362</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45362</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45362</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45362</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45362</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45362</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45362</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45362</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45362</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45362</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45362</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45362</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45362</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45362</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45362</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45362</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45362</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45362</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45362</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45362</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45362</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45362</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45362</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45362</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45362</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45362</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45362</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45362</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45362</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45362</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45362</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45362</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45362</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45362</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45362</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45362</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45362</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45362</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45362</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45362</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45362</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45362</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45362</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45362</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45362</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45362</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45362</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45362</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45362</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45362</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45362</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45362</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45362</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45362</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45362</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45362</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45362</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45362</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45362</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45362</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45362</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45362</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45362</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45362</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45362</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45362</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45362</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45362</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45362</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45362</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45362</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45362</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45362</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45362</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45362</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45362</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45362</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45362</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45362</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45362</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45362</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45362</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45362</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45362</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45362</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45362</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45362</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45362</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45362</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45362</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45362</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45362</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45362</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45362</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45362</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45362</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45362</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45362</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45362</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45362</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45362</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45362</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45362</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45362</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45362</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45362</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45362</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45362</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45362</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45362</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45362</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45362</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45362</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45362</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45362</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45362</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45362</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45362</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45362</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45362</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45362</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45362</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45362</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45362</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45362</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45362</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45362</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45362</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45362</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45362</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45362</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45362</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45362</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45362</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45362</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45362</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45362</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45362</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45362</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45362</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45362</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45362</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45362</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45362</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45362</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45362</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45362</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45362</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45362</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45362</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45362</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45362</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45362</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45362</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45362</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45362</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45362</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45362</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45362</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45362</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45362</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45362</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45362</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45362</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45362</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45362</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45362</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45362</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45362</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45362</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45362</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45362</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45362</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45362</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45362</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45362</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45362</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45362</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45362</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45362</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45362</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45362</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45362</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45362</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45362</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45362</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45362</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45362</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45362</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45362</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45362</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45362</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45362</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45362</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45362</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45362</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45362</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45362</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45362</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45362</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45362</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45362</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45362</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45362</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45362</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45362</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45362</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45362</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45362</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45362</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45362</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45362</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45362</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45362</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45362</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45362</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45362</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45362</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45362</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45362</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45362</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45362</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45362</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45362</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45362</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45362</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45362</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45362</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45362</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45362</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45362</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45362</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45362</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45362</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45362</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45362</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45362</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45362</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45362</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45362</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45362</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45362</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45362</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45362</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45362</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45362</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45362</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45362</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45362</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45362</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45362</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45362</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45362</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45362</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45362</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45362</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45362</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45362</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45362</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45362</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45362</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45362</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45362</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45362</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45362</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45362</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45362</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45362</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45362</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45362</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45362</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45362</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45362</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45362</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45362</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45362</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45362</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45362</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45362</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45362</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45362</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45362</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45362</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45362</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45362</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45362</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45362</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45362</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45362</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45362</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45362</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45362</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45362</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45362</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45362</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45362</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45362</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45362</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45362</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45362</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45362</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45362</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45362</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45362</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45362</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45362</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45362</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45362</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45362</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45362</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45362</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45362</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45362</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45362</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45362</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45362</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45362</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45362</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45362</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45362</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45362</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45362</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45362</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45362</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45362</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45362</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45362</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45362</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45362</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45362</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45362</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45362</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45362</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45362</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45362</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45362</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45362</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45362</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45362</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45362</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45362</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45362</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45362</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45362</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45362</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45362</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45362</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45362</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45362</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45362</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45362</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45362</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45362</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45362</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45362</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45362</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45362</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45362</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45362</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45362</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45362</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45362</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45362</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45362</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45362</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45362</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45362</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45362</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45362</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45362</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45362</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45362</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45362</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45362</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45362</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45362</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45362</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45362</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45362</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45362</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45362</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45362</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45362</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45362</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45362</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45362</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45362</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45362</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45362</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45362</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45362</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45362</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45362</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45362</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45362</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45362</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45362</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45362</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45362</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45362</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45362</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45362</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45362</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45362</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45362</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45362</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45362</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45362</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45362</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45362</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45362</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45362</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45362</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45362</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45362</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45362</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45362</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45362</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45362</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45362</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45362</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45362</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45362</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45362</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45362</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45362</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45362</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45362</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45362</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45362</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45362</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45362</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45362</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45362</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45362</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45362</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45362</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45362</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45362</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45362</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45362</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45362</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45362</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45362</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45362</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45362</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45362</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45362</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45362</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45362</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45362</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45362</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45362</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45362</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45362</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45362</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45362</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45362</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45362</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45362</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45362</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45362</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45362</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45362</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45362</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45362</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45362</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45362</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45362</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45362</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45362</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45362</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45362</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45362</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45362</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45362</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45362</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45362</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45362</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45362</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45362</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45362</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45362</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45362</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45362</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45362</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45362</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45362</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45362</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45362</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45362</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45362</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45362</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45362</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45362</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45362</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45362</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45362</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45362</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45362</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45362</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45362</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45362</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45362</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45362</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45362</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45362</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45362</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45362</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45362</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45362</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45362</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45362</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45362</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45362</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45362</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45362</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45362</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45362</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45362</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45362</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45362</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45362</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45362</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45362</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45362</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45362</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45362</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45362</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45362</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45362</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45362</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45362</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45362</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45362</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45362</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45362</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45362</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45362</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45362</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45362</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45362</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45362</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45362</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45362</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45362</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45362</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45362</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45362</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45362</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45362</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45362</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45362</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45362</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45362</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45362</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45362</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45362</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45362</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45362</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45362</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45362</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45362</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45362</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45362</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45362</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45362</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45362</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45362</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45362</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45362</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45362</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45362</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45362</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45362</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45362</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45362</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45362</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45362</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45362</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45362</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45362</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45362</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45362</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45362</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45362</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45362</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45362</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45362</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45362</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45362</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45362</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45362</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45362</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45362</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45362</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45362</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45362</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45362</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45362</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45362</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45362</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45362</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45362</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45362</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45362</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45362</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45362</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45362</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45362</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45362</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45362</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45362</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45362</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45362</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45362</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45362</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45362</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45362</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45362</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45362</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45362</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45362</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45362</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45362</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45362</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45362</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45362</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45362</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45362</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45362</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45362</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45362</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45362</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45362</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45362</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45362</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45362</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45362</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45362</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45362</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45362</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45362</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45362</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45362</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45362</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45362</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45362</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45362</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45362</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45362</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45362</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45362</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45362</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45362</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45362</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45362</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45362</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45362</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45362</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45362</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45362</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45362</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45362</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45362</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45362</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45362</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45362</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45362</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45362</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45362</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45362</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45362</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45362</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45362</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45362</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45362</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45362</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45362</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45362</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45362</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45362</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45362</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45362</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45362</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45362</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45362</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45362</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45362</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45362</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45362</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45362</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45362</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45362</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45362</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45362</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45362</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45362</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45362</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45362</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45362</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45362</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45362</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45362</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45362</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45362</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45362</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45362</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45362</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45362</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45362</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45362</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45362</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45362</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45362</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45362</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45362</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45362</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45362</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45362</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45362</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45362</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45362</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45362</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45362</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45362</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45362</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45362</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45362</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45362</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45362</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45362</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45362</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45362</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45362</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45362</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45362</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45362</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45362</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45362</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45362</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45362</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45362</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45362</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45362</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45362</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45362</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45362</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45362</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45362</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45362</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45362</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45362</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45362</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45362</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45362</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45362</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45362</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45362</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45362</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45362</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45362</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2023-2024</t>
        </is>
      </c>
      <c r="B1067" s="1" t="n">
        <v>45308</v>
      </c>
      <c r="C1067" s="1" t="n">
        <v>45362</v>
      </c>
      <c r="D1067" t="inlineStr">
        <is>
          <t>VÄSTERBOTTENS LÄN</t>
        </is>
      </c>
      <c r="E1067" t="inlineStr">
        <is>
          <t>VILHELMINA</t>
        </is>
      </c>
      <c r="G1067" t="n">
        <v>9</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45362</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1940-2024</t>
        </is>
      </c>
      <c r="B1069" s="1" t="n">
        <v>45308</v>
      </c>
      <c r="C1069" s="1" t="n">
        <v>45362</v>
      </c>
      <c r="D1069" t="inlineStr">
        <is>
          <t>VÄSTERBOTTENS LÄN</t>
        </is>
      </c>
      <c r="E1069" t="inlineStr">
        <is>
          <t>VILHELMINA</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45362</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45362</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45362</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45362</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45362</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45362</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5549-2024</t>
        </is>
      </c>
      <c r="B1076" s="1" t="n">
        <v>45332</v>
      </c>
      <c r="C1076" s="1" t="n">
        <v>45362</v>
      </c>
      <c r="D1076" t="inlineStr">
        <is>
          <t>VÄSTERBOTTENS LÄN</t>
        </is>
      </c>
      <c r="E1076" t="inlineStr">
        <is>
          <t>VILHELMINA</t>
        </is>
      </c>
      <c r="G1076" t="n">
        <v>25.8</v>
      </c>
      <c r="H1076" t="n">
        <v>0</v>
      </c>
      <c r="I1076" t="n">
        <v>0</v>
      </c>
      <c r="J1076" t="n">
        <v>0</v>
      </c>
      <c r="K1076" t="n">
        <v>0</v>
      </c>
      <c r="L1076" t="n">
        <v>0</v>
      </c>
      <c r="M1076" t="n">
        <v>0</v>
      </c>
      <c r="N1076" t="n">
        <v>0</v>
      </c>
      <c r="O1076" t="n">
        <v>0</v>
      </c>
      <c r="P1076" t="n">
        <v>0</v>
      </c>
      <c r="Q1076" t="n">
        <v>0</v>
      </c>
      <c r="R1076" s="2" t="inlineStr"/>
    </row>
    <row r="1077" ht="15" customHeight="1">
      <c r="A1077" t="inlineStr">
        <is>
          <t>A 5552-2024</t>
        </is>
      </c>
      <c r="B1077" s="1" t="n">
        <v>45332</v>
      </c>
      <c r="C1077" s="1" t="n">
        <v>45362</v>
      </c>
      <c r="D1077" t="inlineStr">
        <is>
          <t>VÄSTERBOTTENS LÄN</t>
        </is>
      </c>
      <c r="E1077" t="inlineStr">
        <is>
          <t>VILHELMINA</t>
        </is>
      </c>
      <c r="G1077" t="n">
        <v>18.2</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45362</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5497-2024</t>
        </is>
      </c>
      <c r="B1079" s="1" t="n">
        <v>45334</v>
      </c>
      <c r="C1079" s="1" t="n">
        <v>45362</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6281-2024</t>
        </is>
      </c>
      <c r="B1080" s="1" t="n">
        <v>45337</v>
      </c>
      <c r="C1080" s="1" t="n">
        <v>45362</v>
      </c>
      <c r="D1080" t="inlineStr">
        <is>
          <t>VÄSTERBOTTENS LÄN</t>
        </is>
      </c>
      <c r="E1080" t="inlineStr">
        <is>
          <t>VILHELMINA</t>
        </is>
      </c>
      <c r="F1080" t="inlineStr">
        <is>
          <t>SCA</t>
        </is>
      </c>
      <c r="G1080" t="n">
        <v>17.6</v>
      </c>
      <c r="H1080" t="n">
        <v>0</v>
      </c>
      <c r="I1080" t="n">
        <v>0</v>
      </c>
      <c r="J1080" t="n">
        <v>0</v>
      </c>
      <c r="K1080" t="n">
        <v>0</v>
      </c>
      <c r="L1080" t="n">
        <v>0</v>
      </c>
      <c r="M1080" t="n">
        <v>0</v>
      </c>
      <c r="N1080" t="n">
        <v>0</v>
      </c>
      <c r="O1080" t="n">
        <v>0</v>
      </c>
      <c r="P1080" t="n">
        <v>0</v>
      </c>
      <c r="Q1080" t="n">
        <v>0</v>
      </c>
      <c r="R1080" s="2" t="inlineStr"/>
    </row>
    <row r="1081" ht="15" customHeight="1">
      <c r="A1081" t="inlineStr">
        <is>
          <t>A 6280-2024</t>
        </is>
      </c>
      <c r="B1081" s="1" t="n">
        <v>45337</v>
      </c>
      <c r="C1081" s="1" t="n">
        <v>45362</v>
      </c>
      <c r="D1081" t="inlineStr">
        <is>
          <t>VÄSTERBOTTENS LÄN</t>
        </is>
      </c>
      <c r="E1081" t="inlineStr">
        <is>
          <t>VILHELMINA</t>
        </is>
      </c>
      <c r="F1081" t="inlineStr">
        <is>
          <t>SCA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6369-2024</t>
        </is>
      </c>
      <c r="B1082" s="1" t="n">
        <v>45338</v>
      </c>
      <c r="C1082" s="1" t="n">
        <v>45362</v>
      </c>
      <c r="D1082" t="inlineStr">
        <is>
          <t>VÄSTERBOTTENS LÄN</t>
        </is>
      </c>
      <c r="E1082" t="inlineStr">
        <is>
          <t>VILHELMINA</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6358-2024</t>
        </is>
      </c>
      <c r="B1083" s="1" t="n">
        <v>45338</v>
      </c>
      <c r="C1083" s="1" t="n">
        <v>45362</v>
      </c>
      <c r="D1083" t="inlineStr">
        <is>
          <t>VÄSTERBOTTENS LÄN</t>
        </is>
      </c>
      <c r="E1083" t="inlineStr">
        <is>
          <t>VILHELMINA</t>
        </is>
      </c>
      <c r="G1083" t="n">
        <v>10</v>
      </c>
      <c r="H1083" t="n">
        <v>0</v>
      </c>
      <c r="I1083" t="n">
        <v>0</v>
      </c>
      <c r="J1083" t="n">
        <v>0</v>
      </c>
      <c r="K1083" t="n">
        <v>0</v>
      </c>
      <c r="L1083" t="n">
        <v>0</v>
      </c>
      <c r="M1083" t="n">
        <v>0</v>
      </c>
      <c r="N1083" t="n">
        <v>0</v>
      </c>
      <c r="O1083" t="n">
        <v>0</v>
      </c>
      <c r="P1083" t="n">
        <v>0</v>
      </c>
      <c r="Q1083" t="n">
        <v>0</v>
      </c>
      <c r="R1083" s="2" t="inlineStr"/>
    </row>
    <row r="1084" ht="15" customHeight="1">
      <c r="A1084" t="inlineStr">
        <is>
          <t>A 7102-2024</t>
        </is>
      </c>
      <c r="B1084" s="1" t="n">
        <v>45343</v>
      </c>
      <c r="C1084" s="1" t="n">
        <v>45362</v>
      </c>
      <c r="D1084" t="inlineStr">
        <is>
          <t>VÄSTERBOTTENS LÄN</t>
        </is>
      </c>
      <c r="E1084" t="inlineStr">
        <is>
          <t>VILHELMINA</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7259-2024</t>
        </is>
      </c>
      <c r="B1085" s="1" t="n">
        <v>45344</v>
      </c>
      <c r="C1085" s="1" t="n">
        <v>45362</v>
      </c>
      <c r="D1085" t="inlineStr">
        <is>
          <t>VÄSTERBOTTENS LÄN</t>
        </is>
      </c>
      <c r="E1085" t="inlineStr">
        <is>
          <t>VILHELMINA</t>
        </is>
      </c>
      <c r="G1085" t="n">
        <v>9.699999999999999</v>
      </c>
      <c r="H1085" t="n">
        <v>0</v>
      </c>
      <c r="I1085" t="n">
        <v>0</v>
      </c>
      <c r="J1085" t="n">
        <v>0</v>
      </c>
      <c r="K1085" t="n">
        <v>0</v>
      </c>
      <c r="L1085" t="n">
        <v>0</v>
      </c>
      <c r="M1085" t="n">
        <v>0</v>
      </c>
      <c r="N1085" t="n">
        <v>0</v>
      </c>
      <c r="O1085" t="n">
        <v>0</v>
      </c>
      <c r="P1085" t="n">
        <v>0</v>
      </c>
      <c r="Q1085" t="n">
        <v>0</v>
      </c>
      <c r="R1085" s="2" t="inlineStr"/>
    </row>
    <row r="1086" ht="15" customHeight="1">
      <c r="A1086" t="inlineStr">
        <is>
          <t>A 7762-2024</t>
        </is>
      </c>
      <c r="B1086" s="1" t="n">
        <v>45349</v>
      </c>
      <c r="C1086" s="1" t="n">
        <v>45362</v>
      </c>
      <c r="D1086" t="inlineStr">
        <is>
          <t>VÄSTERBOTTENS LÄN</t>
        </is>
      </c>
      <c r="E1086" t="inlineStr">
        <is>
          <t>VILHELMINA</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7777-2024</t>
        </is>
      </c>
      <c r="B1087" s="1" t="n">
        <v>45349</v>
      </c>
      <c r="C1087" s="1" t="n">
        <v>45362</v>
      </c>
      <c r="D1087" t="inlineStr">
        <is>
          <t>VÄSTERBOTTENS LÄN</t>
        </is>
      </c>
      <c r="E1087" t="inlineStr">
        <is>
          <t>VILHELMINA</t>
        </is>
      </c>
      <c r="G1087" t="n">
        <v>7</v>
      </c>
      <c r="H1087" t="n">
        <v>0</v>
      </c>
      <c r="I1087" t="n">
        <v>0</v>
      </c>
      <c r="J1087" t="n">
        <v>0</v>
      </c>
      <c r="K1087" t="n">
        <v>0</v>
      </c>
      <c r="L1087" t="n">
        <v>0</v>
      </c>
      <c r="M1087" t="n">
        <v>0</v>
      </c>
      <c r="N1087" t="n">
        <v>0</v>
      </c>
      <c r="O1087" t="n">
        <v>0</v>
      </c>
      <c r="P1087" t="n">
        <v>0</v>
      </c>
      <c r="Q1087" t="n">
        <v>0</v>
      </c>
      <c r="R1087" s="2" t="inlineStr"/>
    </row>
    <row r="1088" ht="15" customHeight="1">
      <c r="A1088" t="inlineStr">
        <is>
          <t>A 8544-2024</t>
        </is>
      </c>
      <c r="B1088" s="1" t="n">
        <v>45351</v>
      </c>
      <c r="C1088" s="1" t="n">
        <v>45362</v>
      </c>
      <c r="D1088" t="inlineStr">
        <is>
          <t>VÄSTERBOTTENS LÄN</t>
        </is>
      </c>
      <c r="E1088" t="inlineStr">
        <is>
          <t>VILHELMINA</t>
        </is>
      </c>
      <c r="G1088" t="n">
        <v>13.4</v>
      </c>
      <c r="H1088" t="n">
        <v>0</v>
      </c>
      <c r="I1088" t="n">
        <v>0</v>
      </c>
      <c r="J1088" t="n">
        <v>0</v>
      </c>
      <c r="K1088" t="n">
        <v>0</v>
      </c>
      <c r="L1088" t="n">
        <v>0</v>
      </c>
      <c r="M1088" t="n">
        <v>0</v>
      </c>
      <c r="N1088" t="n">
        <v>0</v>
      </c>
      <c r="O1088" t="n">
        <v>0</v>
      </c>
      <c r="P1088" t="n">
        <v>0</v>
      </c>
      <c r="Q1088" t="n">
        <v>0</v>
      </c>
      <c r="R1088" s="2" t="inlineStr"/>
    </row>
    <row r="1089">
      <c r="A1089" t="inlineStr">
        <is>
          <t>A 8664-2024</t>
        </is>
      </c>
      <c r="B1089" s="1" t="n">
        <v>45356</v>
      </c>
      <c r="C1089" s="1" t="n">
        <v>45362</v>
      </c>
      <c r="D1089" t="inlineStr">
        <is>
          <t>VÄSTERBOTTENS LÄN</t>
        </is>
      </c>
      <c r="E1089" t="inlineStr">
        <is>
          <t>VILHELMINA</t>
        </is>
      </c>
      <c r="F1089" t="inlineStr">
        <is>
          <t>SCA</t>
        </is>
      </c>
      <c r="G1089" t="n">
        <v>15.8</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2024-03-11T13:50:19Z</dcterms:created>
  <dcterms:modified xmlns:dcterms="http://purl.org/dc/terms/" xmlns:xsi="http://www.w3.org/2001/XMLSchema-instance" xsi:type="dcterms:W3CDTF">2024-03-11T13:50:19Z</dcterms:modified>
</cp:coreProperties>
</file>