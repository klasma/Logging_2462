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45839</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45839</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45839</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45839</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45839</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45839</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45839</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45839</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45839</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45839</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45839</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45839</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45839</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45839</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45839</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45839</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45839</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45839</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45839</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45839</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45839</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45839</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45839</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45839</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45839</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45839</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45839</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45839</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45839</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45839</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45839</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45839</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45839</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45839</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45839</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45839</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45839</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45839</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45839</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45839</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45839</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45839</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45839</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45839</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45839</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45839</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45839</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45839</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45839</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45839</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45839</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45839</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45839</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45839</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45839</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45839</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45839</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45839</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45839</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45839</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45839</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45839</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45839</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45839</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45839</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45839</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45839</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45839</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45839</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45839</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45839</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45839</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45839</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45839</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45839</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45839</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45839</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45839</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45839</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45839</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45839</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45839</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45839</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45839</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45839</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45839</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45839</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45839</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45839</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45839</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45839</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45839</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45839</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45839</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45839</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45839</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45839</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45839</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45839</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45839</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45839</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45839</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45839</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45839</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45839</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45839</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45839</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45839</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45839</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45839</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45839</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45839</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45839</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45839</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45839</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45839</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45839</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45839</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45839</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45839</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45839</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45839</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45839</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45839</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45839</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45839</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45839</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45839</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45839</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45839</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45839</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45839</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45839</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45839</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45839</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45839</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45839</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45839</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45839</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45839</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45839</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45839</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45839</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45839</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45839</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45839</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45839</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45839</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45839</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45839</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45839</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45839</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45839</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45839</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45839</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45839</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45839</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45839</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45839</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45839</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45839</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45839</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45839</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45839</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45839</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45839</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45839</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45839</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45839</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45839</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45839</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45839</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45839</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45839</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45839</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45839</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45839</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45839</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45839</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45839</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45839</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45839</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45839</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45839</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45839</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45839</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31735-2025</t>
        </is>
      </c>
      <c r="B210" s="1" t="n">
        <v>45834</v>
      </c>
      <c r="C210" s="1" t="n">
        <v>45839</v>
      </c>
      <c r="D210" t="inlineStr">
        <is>
          <t>VÄSTERBOTTENS LÄN</t>
        </is>
      </c>
      <c r="E210" t="inlineStr">
        <is>
          <t>VILHELMINA</t>
        </is>
      </c>
      <c r="F210" t="inlineStr">
        <is>
          <t>SCA</t>
        </is>
      </c>
      <c r="G210" t="n">
        <v>7.4</v>
      </c>
      <c r="H210" t="n">
        <v>0</v>
      </c>
      <c r="I210" t="n">
        <v>1</v>
      </c>
      <c r="J210" t="n">
        <v>1</v>
      </c>
      <c r="K210" t="n">
        <v>0</v>
      </c>
      <c r="L210" t="n">
        <v>0</v>
      </c>
      <c r="M210" t="n">
        <v>0</v>
      </c>
      <c r="N210" t="n">
        <v>0</v>
      </c>
      <c r="O210" t="n">
        <v>1</v>
      </c>
      <c r="P210" t="n">
        <v>0</v>
      </c>
      <c r="Q210" t="n">
        <v>2</v>
      </c>
      <c r="R210" s="2" t="inlineStr">
        <is>
          <t>Skrovellav
Stuplav</t>
        </is>
      </c>
      <c r="S210">
        <f>HYPERLINK("https://klasma.github.io/Logging_242462/artfynd/A 31735-2025 artfynd.xlsx", "A 31735-2025")</f>
        <v/>
      </c>
      <c r="T210">
        <f>HYPERLINK("https://klasma.github.io/Logging_242462/kartor/A 31735-2025 karta.png", "A 31735-2025")</f>
        <v/>
      </c>
      <c r="V210">
        <f>HYPERLINK("https://klasma.github.io/Logging_242462/klagomål/A 31735-2025 FSC-klagomål.docx", "A 31735-2025")</f>
        <v/>
      </c>
      <c r="W210">
        <f>HYPERLINK("https://klasma.github.io/Logging_242462/klagomålsmail/A 31735-2025 FSC-klagomål mail.docx", "A 31735-2025")</f>
        <v/>
      </c>
      <c r="X210">
        <f>HYPERLINK("https://klasma.github.io/Logging_242462/tillsyn/A 31735-2025 tillsynsbegäran.docx", "A 31735-2025")</f>
        <v/>
      </c>
      <c r="Y210">
        <f>HYPERLINK("https://klasma.github.io/Logging_242462/tillsynsmail/A 31735-2025 tillsynsbegäran mail.docx", "A 31735-2025")</f>
        <v/>
      </c>
    </row>
    <row r="211" ht="15" customHeight="1">
      <c r="A211" t="inlineStr">
        <is>
          <t>A 51774-2019</t>
        </is>
      </c>
      <c r="B211" s="1" t="n">
        <v>43741</v>
      </c>
      <c r="C211" s="1" t="n">
        <v>45839</v>
      </c>
      <c r="D211" t="inlineStr">
        <is>
          <t>VÄSTERBOTTENS LÄN</t>
        </is>
      </c>
      <c r="E211" t="inlineStr">
        <is>
          <t>VILHELMINA</t>
        </is>
      </c>
      <c r="F211" t="inlineStr">
        <is>
          <t>Allmännings- och besparingsskogar</t>
        </is>
      </c>
      <c r="G211" t="n">
        <v>19.9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51774-2019 artfynd.xlsx", "A 51774-2019")</f>
        <v/>
      </c>
      <c r="T211">
        <f>HYPERLINK("https://klasma.github.io/Logging_2462/kartor/A 51774-2019 karta.png", "A 51774-2019")</f>
        <v/>
      </c>
      <c r="V211">
        <f>HYPERLINK("https://klasma.github.io/Logging_2462/klagomål/A 51774-2019 FSC-klagomål.docx", "A 51774-2019")</f>
        <v/>
      </c>
      <c r="W211">
        <f>HYPERLINK("https://klasma.github.io/Logging_2462/klagomålsmail/A 51774-2019 FSC-klagomål mail.docx", "A 51774-2019")</f>
        <v/>
      </c>
      <c r="X211">
        <f>HYPERLINK("https://klasma.github.io/Logging_2462/tillsyn/A 51774-2019 tillsynsbegäran.docx", "A 51774-2019")</f>
        <v/>
      </c>
      <c r="Y211">
        <f>HYPERLINK("https://klasma.github.io/Logging_2462/tillsynsmail/A 51774-2019 tillsynsbegäran mail.docx", "A 51774-2019")</f>
        <v/>
      </c>
      <c r="Z211">
        <f>HYPERLINK("https://klasma.github.io/Logging_2462/fåglar/A 51774-2019 prioriterade fågelarter.docx", "A 51774-2019")</f>
        <v/>
      </c>
    </row>
    <row r="212" ht="15" customHeight="1">
      <c r="A212" t="inlineStr">
        <is>
          <t>A 59424-2019</t>
        </is>
      </c>
      <c r="B212" s="1" t="n">
        <v>43775</v>
      </c>
      <c r="C212" s="1" t="n">
        <v>45839</v>
      </c>
      <c r="D212" t="inlineStr">
        <is>
          <t>VÄSTERBOTTENS LÄN</t>
        </is>
      </c>
      <c r="E212" t="inlineStr">
        <is>
          <t>VILHELMINA</t>
        </is>
      </c>
      <c r="G212" t="n">
        <v>17.4</v>
      </c>
      <c r="H212" t="n">
        <v>0</v>
      </c>
      <c r="I212" t="n">
        <v>0</v>
      </c>
      <c r="J212" t="n">
        <v>1</v>
      </c>
      <c r="K212" t="n">
        <v>0</v>
      </c>
      <c r="L212" t="n">
        <v>0</v>
      </c>
      <c r="M212" t="n">
        <v>0</v>
      </c>
      <c r="N212" t="n">
        <v>0</v>
      </c>
      <c r="O212" t="n">
        <v>1</v>
      </c>
      <c r="P212" t="n">
        <v>0</v>
      </c>
      <c r="Q212" t="n">
        <v>1</v>
      </c>
      <c r="R212" s="2" t="inlineStr">
        <is>
          <t>Granticka</t>
        </is>
      </c>
      <c r="S212">
        <f>HYPERLINK("https://klasma.github.io/Logging_2462/artfynd/A 59424-2019 artfynd.xlsx", "A 59424-2019")</f>
        <v/>
      </c>
      <c r="T212">
        <f>HYPERLINK("https://klasma.github.io/Logging_2462/kartor/A 59424-2019 karta.png", "A 59424-2019")</f>
        <v/>
      </c>
      <c r="V212">
        <f>HYPERLINK("https://klasma.github.io/Logging_2462/klagomål/A 59424-2019 FSC-klagomål.docx", "A 59424-2019")</f>
        <v/>
      </c>
      <c r="W212">
        <f>HYPERLINK("https://klasma.github.io/Logging_2462/klagomålsmail/A 59424-2019 FSC-klagomål mail.docx", "A 59424-2019")</f>
        <v/>
      </c>
      <c r="X212">
        <f>HYPERLINK("https://klasma.github.io/Logging_2462/tillsyn/A 59424-2019 tillsynsbegäran.docx", "A 59424-2019")</f>
        <v/>
      </c>
      <c r="Y212">
        <f>HYPERLINK("https://klasma.github.io/Logging_2462/tillsynsmail/A 59424-2019 tillsynsbegäran mail.docx", "A 59424-2019")</f>
        <v/>
      </c>
    </row>
    <row r="213" ht="15" customHeight="1">
      <c r="A213" t="inlineStr">
        <is>
          <t>A 220-2020</t>
        </is>
      </c>
      <c r="B213" s="1" t="n">
        <v>43833</v>
      </c>
      <c r="C213" s="1" t="n">
        <v>45839</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Vedskivlav</t>
        </is>
      </c>
      <c r="S213">
        <f>HYPERLINK("https://klasma.github.io/Logging_2462/artfynd/A 220-2020 artfynd.xlsx", "A 220-2020")</f>
        <v/>
      </c>
      <c r="T213">
        <f>HYPERLINK("https://klasma.github.io/Logging_2462/kartor/A 220-2020 karta.png", "A 220-2020")</f>
        <v/>
      </c>
      <c r="V213">
        <f>HYPERLINK("https://klasma.github.io/Logging_2462/klagomål/A 220-2020 FSC-klagomål.docx", "A 220-2020")</f>
        <v/>
      </c>
      <c r="W213">
        <f>HYPERLINK("https://klasma.github.io/Logging_2462/klagomålsmail/A 220-2020 FSC-klagomål mail.docx", "A 220-2020")</f>
        <v/>
      </c>
      <c r="X213">
        <f>HYPERLINK("https://klasma.github.io/Logging_2462/tillsyn/A 220-2020 tillsynsbegäran.docx", "A 220-2020")</f>
        <v/>
      </c>
      <c r="Y213">
        <f>HYPERLINK("https://klasma.github.io/Logging_2462/tillsynsmail/A 220-2020 tillsynsbegäran mail.docx", "A 220-2020")</f>
        <v/>
      </c>
    </row>
    <row r="214" ht="15" customHeight="1">
      <c r="A214" t="inlineStr">
        <is>
          <t>A 546-2020</t>
        </is>
      </c>
      <c r="B214" s="1" t="n">
        <v>43837</v>
      </c>
      <c r="C214" s="1" t="n">
        <v>45839</v>
      </c>
      <c r="D214" t="inlineStr">
        <is>
          <t>VÄSTERBOTTENS LÄN</t>
        </is>
      </c>
      <c r="E214" t="inlineStr">
        <is>
          <t>VILHELMINA</t>
        </is>
      </c>
      <c r="F214" t="inlineStr">
        <is>
          <t>SCA</t>
        </is>
      </c>
      <c r="G214" t="n">
        <v>3.1</v>
      </c>
      <c r="H214" t="n">
        <v>0</v>
      </c>
      <c r="I214" t="n">
        <v>0</v>
      </c>
      <c r="J214" t="n">
        <v>1</v>
      </c>
      <c r="K214" t="n">
        <v>0</v>
      </c>
      <c r="L214" t="n">
        <v>0</v>
      </c>
      <c r="M214" t="n">
        <v>0</v>
      </c>
      <c r="N214" t="n">
        <v>0</v>
      </c>
      <c r="O214" t="n">
        <v>1</v>
      </c>
      <c r="P214" t="n">
        <v>0</v>
      </c>
      <c r="Q214" t="n">
        <v>1</v>
      </c>
      <c r="R214" s="2" t="inlineStr">
        <is>
          <t>Vedskivlav</t>
        </is>
      </c>
      <c r="S214">
        <f>HYPERLINK("https://klasma.github.io/Logging_2462/artfynd/A 546-2020 artfynd.xlsx", "A 546-2020")</f>
        <v/>
      </c>
      <c r="T214">
        <f>HYPERLINK("https://klasma.github.io/Logging_2462/kartor/A 546-2020 karta.png", "A 546-2020")</f>
        <v/>
      </c>
      <c r="V214">
        <f>HYPERLINK("https://klasma.github.io/Logging_2462/klagomål/A 546-2020 FSC-klagomål.docx", "A 546-2020")</f>
        <v/>
      </c>
      <c r="W214">
        <f>HYPERLINK("https://klasma.github.io/Logging_2462/klagomålsmail/A 546-2020 FSC-klagomål mail.docx", "A 546-2020")</f>
        <v/>
      </c>
      <c r="X214">
        <f>HYPERLINK("https://klasma.github.io/Logging_2462/tillsyn/A 546-2020 tillsynsbegäran.docx", "A 546-2020")</f>
        <v/>
      </c>
      <c r="Y214">
        <f>HYPERLINK("https://klasma.github.io/Logging_2462/tillsynsmail/A 546-2020 tillsynsbegäran mail.docx", "A 546-2020")</f>
        <v/>
      </c>
    </row>
    <row r="215" ht="15" customHeight="1">
      <c r="A215" t="inlineStr">
        <is>
          <t>A 29376-2021</t>
        </is>
      </c>
      <c r="B215" s="1" t="n">
        <v>44361</v>
      </c>
      <c r="C215" s="1" t="n">
        <v>45839</v>
      </c>
      <c r="D215" t="inlineStr">
        <is>
          <t>VÄSTERBOTTENS LÄN</t>
        </is>
      </c>
      <c r="E215" t="inlineStr">
        <is>
          <t>VILHELMINA</t>
        </is>
      </c>
      <c r="F215" t="inlineStr">
        <is>
          <t>Allmännings- och besparingsskogar</t>
        </is>
      </c>
      <c r="G215" t="n">
        <v>110.8</v>
      </c>
      <c r="H215" t="n">
        <v>1</v>
      </c>
      <c r="I215" t="n">
        <v>0</v>
      </c>
      <c r="J215" t="n">
        <v>0</v>
      </c>
      <c r="K215" t="n">
        <v>0</v>
      </c>
      <c r="L215" t="n">
        <v>0</v>
      </c>
      <c r="M215" t="n">
        <v>0</v>
      </c>
      <c r="N215" t="n">
        <v>0</v>
      </c>
      <c r="O215" t="n">
        <v>0</v>
      </c>
      <c r="P215" t="n">
        <v>0</v>
      </c>
      <c r="Q215" t="n">
        <v>1</v>
      </c>
      <c r="R215" s="2" t="inlineStr">
        <is>
          <t>Lavskrika</t>
        </is>
      </c>
      <c r="S215">
        <f>HYPERLINK("https://klasma.github.io/Logging_2462/artfynd/A 29376-2021 artfynd.xlsx", "A 29376-2021")</f>
        <v/>
      </c>
      <c r="T215">
        <f>HYPERLINK("https://klasma.github.io/Logging_2462/kartor/A 29376-2021 karta.png", "A 29376-2021")</f>
        <v/>
      </c>
      <c r="V215">
        <f>HYPERLINK("https://klasma.github.io/Logging_2462/klagomål/A 29376-2021 FSC-klagomål.docx", "A 29376-2021")</f>
        <v/>
      </c>
      <c r="W215">
        <f>HYPERLINK("https://klasma.github.io/Logging_2462/klagomålsmail/A 29376-2021 FSC-klagomål mail.docx", "A 29376-2021")</f>
        <v/>
      </c>
      <c r="X215">
        <f>HYPERLINK("https://klasma.github.io/Logging_2462/tillsyn/A 29376-2021 tillsynsbegäran.docx", "A 29376-2021")</f>
        <v/>
      </c>
      <c r="Y215">
        <f>HYPERLINK("https://klasma.github.io/Logging_2462/tillsynsmail/A 29376-2021 tillsynsbegäran mail.docx", "A 29376-2021")</f>
        <v/>
      </c>
      <c r="Z215">
        <f>HYPERLINK("https://klasma.github.io/Logging_2462/fåglar/A 29376-2021 prioriterade fågelarter.docx", "A 29376-2021")</f>
        <v/>
      </c>
    </row>
    <row r="216" ht="15" customHeight="1">
      <c r="A216" t="inlineStr">
        <is>
          <t>A 32677-2021</t>
        </is>
      </c>
      <c r="B216" s="1" t="n">
        <v>44371</v>
      </c>
      <c r="C216" s="1" t="n">
        <v>45839</v>
      </c>
      <c r="D216" t="inlineStr">
        <is>
          <t>VÄSTERBOTTENS LÄN</t>
        </is>
      </c>
      <c r="E216" t="inlineStr">
        <is>
          <t>VILHELMINA</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32677-2021 artfynd.xlsx", "A 32677-2021")</f>
        <v/>
      </c>
      <c r="T216">
        <f>HYPERLINK("https://klasma.github.io/Logging_2462/kartor/A 32677-2021 karta.png", "A 32677-2021")</f>
        <v/>
      </c>
      <c r="V216">
        <f>HYPERLINK("https://klasma.github.io/Logging_2462/klagomål/A 32677-2021 FSC-klagomål.docx", "A 32677-2021")</f>
        <v/>
      </c>
      <c r="W216">
        <f>HYPERLINK("https://klasma.github.io/Logging_2462/klagomålsmail/A 32677-2021 FSC-klagomål mail.docx", "A 32677-2021")</f>
        <v/>
      </c>
      <c r="X216">
        <f>HYPERLINK("https://klasma.github.io/Logging_2462/tillsyn/A 32677-2021 tillsynsbegäran.docx", "A 32677-2021")</f>
        <v/>
      </c>
      <c r="Y216">
        <f>HYPERLINK("https://klasma.github.io/Logging_2462/tillsynsmail/A 32677-2021 tillsynsbegäran mail.docx", "A 32677-2021")</f>
        <v/>
      </c>
      <c r="Z216">
        <f>HYPERLINK("https://klasma.github.io/Logging_2462/fåglar/A 32677-2021 prioriterade fågelarter.docx", "A 32677-2021")</f>
        <v/>
      </c>
    </row>
    <row r="217" ht="15" customHeight="1">
      <c r="A217" t="inlineStr">
        <is>
          <t>A 55739-2021</t>
        </is>
      </c>
      <c r="B217" s="1" t="n">
        <v>44476</v>
      </c>
      <c r="C217" s="1" t="n">
        <v>45839</v>
      </c>
      <c r="D217" t="inlineStr">
        <is>
          <t>VÄSTERBOTTENS LÄN</t>
        </is>
      </c>
      <c r="E217" t="inlineStr">
        <is>
          <t>VILHELMINA</t>
        </is>
      </c>
      <c r="G217" t="n">
        <v>5.5</v>
      </c>
      <c r="H217" t="n">
        <v>0</v>
      </c>
      <c r="I217" t="n">
        <v>0</v>
      </c>
      <c r="J217" t="n">
        <v>1</v>
      </c>
      <c r="K217" t="n">
        <v>0</v>
      </c>
      <c r="L217" t="n">
        <v>0</v>
      </c>
      <c r="M217" t="n">
        <v>0</v>
      </c>
      <c r="N217" t="n">
        <v>0</v>
      </c>
      <c r="O217" t="n">
        <v>1</v>
      </c>
      <c r="P217" t="n">
        <v>0</v>
      </c>
      <c r="Q217" t="n">
        <v>1</v>
      </c>
      <c r="R217" s="2" t="inlineStr">
        <is>
          <t>Garnlav</t>
        </is>
      </c>
      <c r="S217">
        <f>HYPERLINK("https://klasma.github.io/Logging_2462/artfynd/A 55739-2021 artfynd.xlsx", "A 55739-2021")</f>
        <v/>
      </c>
      <c r="T217">
        <f>HYPERLINK("https://klasma.github.io/Logging_2462/kartor/A 55739-2021 karta.png", "A 55739-2021")</f>
        <v/>
      </c>
      <c r="V217">
        <f>HYPERLINK("https://klasma.github.io/Logging_2462/klagomål/A 55739-2021 FSC-klagomål.docx", "A 55739-2021")</f>
        <v/>
      </c>
      <c r="W217">
        <f>HYPERLINK("https://klasma.github.io/Logging_2462/klagomålsmail/A 55739-2021 FSC-klagomål mail.docx", "A 55739-2021")</f>
        <v/>
      </c>
      <c r="X217">
        <f>HYPERLINK("https://klasma.github.io/Logging_2462/tillsyn/A 55739-2021 tillsynsbegäran.docx", "A 55739-2021")</f>
        <v/>
      </c>
      <c r="Y217">
        <f>HYPERLINK("https://klasma.github.io/Logging_2462/tillsynsmail/A 55739-2021 tillsynsbegäran mail.docx", "A 55739-2021")</f>
        <v/>
      </c>
    </row>
    <row r="218" ht="15" customHeight="1">
      <c r="A218" t="inlineStr">
        <is>
          <t>A 60369-2021</t>
        </is>
      </c>
      <c r="B218" s="1" t="n">
        <v>44494</v>
      </c>
      <c r="C218" s="1" t="n">
        <v>45839</v>
      </c>
      <c r="D218" t="inlineStr">
        <is>
          <t>VÄSTERBOTTENS LÄN</t>
        </is>
      </c>
      <c r="E218" t="inlineStr">
        <is>
          <t>VILHELMINA</t>
        </is>
      </c>
      <c r="G218" t="n">
        <v>0.6</v>
      </c>
      <c r="H218" t="n">
        <v>0</v>
      </c>
      <c r="I218" t="n">
        <v>1</v>
      </c>
      <c r="J218" t="n">
        <v>0</v>
      </c>
      <c r="K218" t="n">
        <v>0</v>
      </c>
      <c r="L218" t="n">
        <v>0</v>
      </c>
      <c r="M218" t="n">
        <v>0</v>
      </c>
      <c r="N218" t="n">
        <v>0</v>
      </c>
      <c r="O218" t="n">
        <v>0</v>
      </c>
      <c r="P218" t="n">
        <v>0</v>
      </c>
      <c r="Q218" t="n">
        <v>1</v>
      </c>
      <c r="R218" s="2" t="inlineStr">
        <is>
          <t>Stuplav</t>
        </is>
      </c>
      <c r="S218">
        <f>HYPERLINK("https://klasma.github.io/Logging_2462/artfynd/A 60369-2021 artfynd.xlsx", "A 60369-2021")</f>
        <v/>
      </c>
      <c r="T218">
        <f>HYPERLINK("https://klasma.github.io/Logging_2462/kartor/A 60369-2021 karta.png", "A 60369-2021")</f>
        <v/>
      </c>
      <c r="V218">
        <f>HYPERLINK("https://klasma.github.io/Logging_2462/klagomål/A 60369-2021 FSC-klagomål.docx", "A 60369-2021")</f>
        <v/>
      </c>
      <c r="W218">
        <f>HYPERLINK("https://klasma.github.io/Logging_2462/klagomålsmail/A 60369-2021 FSC-klagomål mail.docx", "A 60369-2021")</f>
        <v/>
      </c>
      <c r="X218">
        <f>HYPERLINK("https://klasma.github.io/Logging_2462/tillsyn/A 60369-2021 tillsynsbegäran.docx", "A 60369-2021")</f>
        <v/>
      </c>
      <c r="Y218">
        <f>HYPERLINK("https://klasma.github.io/Logging_2462/tillsynsmail/A 60369-2021 tillsynsbegäran mail.docx", "A 60369-2021")</f>
        <v/>
      </c>
    </row>
    <row r="219" ht="15" customHeight="1">
      <c r="A219" t="inlineStr">
        <is>
          <t>A 66924-2021</t>
        </is>
      </c>
      <c r="B219" s="1" t="n">
        <v>44522</v>
      </c>
      <c r="C219" s="1" t="n">
        <v>45839</v>
      </c>
      <c r="D219" t="inlineStr">
        <is>
          <t>VÄSTERBOTTENS LÄN</t>
        </is>
      </c>
      <c r="E219" t="inlineStr">
        <is>
          <t>VILHELMINA</t>
        </is>
      </c>
      <c r="F219" t="inlineStr">
        <is>
          <t>Allmännings- och besparingsskogar</t>
        </is>
      </c>
      <c r="G219" t="n">
        <v>335.4</v>
      </c>
      <c r="H219" t="n">
        <v>1</v>
      </c>
      <c r="I219" t="n">
        <v>0</v>
      </c>
      <c r="J219" t="n">
        <v>1</v>
      </c>
      <c r="K219" t="n">
        <v>0</v>
      </c>
      <c r="L219" t="n">
        <v>0</v>
      </c>
      <c r="M219" t="n">
        <v>0</v>
      </c>
      <c r="N219" t="n">
        <v>0</v>
      </c>
      <c r="O219" t="n">
        <v>1</v>
      </c>
      <c r="P219" t="n">
        <v>0</v>
      </c>
      <c r="Q219" t="n">
        <v>1</v>
      </c>
      <c r="R219" s="2" t="inlineStr">
        <is>
          <t>Utter</t>
        </is>
      </c>
      <c r="S219">
        <f>HYPERLINK("https://klasma.github.io/Logging_2462/artfynd/A 66924-2021 artfynd.xlsx", "A 66924-2021")</f>
        <v/>
      </c>
      <c r="T219">
        <f>HYPERLINK("https://klasma.github.io/Logging_2462/kartor/A 66924-2021 karta.png", "A 66924-2021")</f>
        <v/>
      </c>
      <c r="V219">
        <f>HYPERLINK("https://klasma.github.io/Logging_2462/klagomål/A 66924-2021 FSC-klagomål.docx", "A 66924-2021")</f>
        <v/>
      </c>
      <c r="W219">
        <f>HYPERLINK("https://klasma.github.io/Logging_2462/klagomålsmail/A 66924-2021 FSC-klagomål mail.docx", "A 66924-2021")</f>
        <v/>
      </c>
      <c r="X219">
        <f>HYPERLINK("https://klasma.github.io/Logging_2462/tillsyn/A 66924-2021 tillsynsbegäran.docx", "A 66924-2021")</f>
        <v/>
      </c>
      <c r="Y219">
        <f>HYPERLINK("https://klasma.github.io/Logging_2462/tillsynsmail/A 66924-2021 tillsynsbegäran mail.docx", "A 66924-2021")</f>
        <v/>
      </c>
    </row>
    <row r="220" ht="15" customHeight="1">
      <c r="A220" t="inlineStr">
        <is>
          <t>A 68783-2021</t>
        </is>
      </c>
      <c r="B220" s="1" t="n">
        <v>44529</v>
      </c>
      <c r="C220" s="1" t="n">
        <v>45839</v>
      </c>
      <c r="D220" t="inlineStr">
        <is>
          <t>VÄSTERBOTTENS LÄN</t>
        </is>
      </c>
      <c r="E220" t="inlineStr">
        <is>
          <t>VILHELMINA</t>
        </is>
      </c>
      <c r="F220" t="inlineStr">
        <is>
          <t>SCA</t>
        </is>
      </c>
      <c r="G220" t="n">
        <v>7.3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68783-2021 artfynd.xlsx", "A 68783-2021")</f>
        <v/>
      </c>
      <c r="T220">
        <f>HYPERLINK("https://klasma.github.io/Logging_2462/kartor/A 68783-2021 karta.png", "A 68783-2021")</f>
        <v/>
      </c>
      <c r="V220">
        <f>HYPERLINK("https://klasma.github.io/Logging_2462/klagomål/A 68783-2021 FSC-klagomål.docx", "A 68783-2021")</f>
        <v/>
      </c>
      <c r="W220">
        <f>HYPERLINK("https://klasma.github.io/Logging_2462/klagomålsmail/A 68783-2021 FSC-klagomål mail.docx", "A 68783-2021")</f>
        <v/>
      </c>
      <c r="X220">
        <f>HYPERLINK("https://klasma.github.io/Logging_2462/tillsyn/A 68783-2021 tillsynsbegäran.docx", "A 68783-2021")</f>
        <v/>
      </c>
      <c r="Y220">
        <f>HYPERLINK("https://klasma.github.io/Logging_2462/tillsynsmail/A 68783-2021 tillsynsbegäran mail.docx", "A 68783-2021")</f>
        <v/>
      </c>
      <c r="Z220">
        <f>HYPERLINK("https://klasma.github.io/Logging_2462/fåglar/A 68783-2021 prioriterade fågelarter.docx", "A 68783-2021")</f>
        <v/>
      </c>
    </row>
    <row r="221" ht="15" customHeight="1">
      <c r="A221" t="inlineStr">
        <is>
          <t>A 69545-2021</t>
        </is>
      </c>
      <c r="B221" s="1" t="n">
        <v>44531</v>
      </c>
      <c r="C221" s="1" t="n">
        <v>45839</v>
      </c>
      <c r="D221" t="inlineStr">
        <is>
          <t>VÄSTERBOTTENS LÄN</t>
        </is>
      </c>
      <c r="E221" t="inlineStr">
        <is>
          <t>VILHELMINA</t>
        </is>
      </c>
      <c r="F221" t="inlineStr">
        <is>
          <t>SCA</t>
        </is>
      </c>
      <c r="G221" t="n">
        <v>3.8</v>
      </c>
      <c r="H221" t="n">
        <v>0</v>
      </c>
      <c r="I221" t="n">
        <v>1</v>
      </c>
      <c r="J221" t="n">
        <v>0</v>
      </c>
      <c r="K221" t="n">
        <v>0</v>
      </c>
      <c r="L221" t="n">
        <v>0</v>
      </c>
      <c r="M221" t="n">
        <v>0</v>
      </c>
      <c r="N221" t="n">
        <v>0</v>
      </c>
      <c r="O221" t="n">
        <v>0</v>
      </c>
      <c r="P221" t="n">
        <v>0</v>
      </c>
      <c r="Q221" t="n">
        <v>1</v>
      </c>
      <c r="R221" s="2" t="inlineStr">
        <is>
          <t>Norrlandslav</t>
        </is>
      </c>
      <c r="S221">
        <f>HYPERLINK("https://klasma.github.io/Logging_2462/artfynd/A 69545-2021 artfynd.xlsx", "A 69545-2021")</f>
        <v/>
      </c>
      <c r="T221">
        <f>HYPERLINK("https://klasma.github.io/Logging_2462/kartor/A 69545-2021 karta.png", "A 69545-2021")</f>
        <v/>
      </c>
      <c r="V221">
        <f>HYPERLINK("https://klasma.github.io/Logging_2462/klagomål/A 69545-2021 FSC-klagomål.docx", "A 69545-2021")</f>
        <v/>
      </c>
      <c r="W221">
        <f>HYPERLINK("https://klasma.github.io/Logging_2462/klagomålsmail/A 69545-2021 FSC-klagomål mail.docx", "A 69545-2021")</f>
        <v/>
      </c>
      <c r="X221">
        <f>HYPERLINK("https://klasma.github.io/Logging_2462/tillsyn/A 69545-2021 tillsynsbegäran.docx", "A 69545-2021")</f>
        <v/>
      </c>
      <c r="Y221">
        <f>HYPERLINK("https://klasma.github.io/Logging_2462/tillsynsmail/A 69545-2021 tillsynsbegäran mail.docx", "A 69545-2021")</f>
        <v/>
      </c>
    </row>
    <row r="222" ht="15" customHeight="1">
      <c r="A222" t="inlineStr">
        <is>
          <t>A 69915-2021</t>
        </is>
      </c>
      <c r="B222" s="1" t="n">
        <v>44532</v>
      </c>
      <c r="C222" s="1" t="n">
        <v>45839</v>
      </c>
      <c r="D222" t="inlineStr">
        <is>
          <t>VÄSTERBOTTENS LÄN</t>
        </is>
      </c>
      <c r="E222" t="inlineStr">
        <is>
          <t>VILHELMINA</t>
        </is>
      </c>
      <c r="F222" t="inlineStr">
        <is>
          <t>SCA</t>
        </is>
      </c>
      <c r="G222" t="n">
        <v>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69915-2021 artfynd.xlsx", "A 69915-2021")</f>
        <v/>
      </c>
      <c r="T222">
        <f>HYPERLINK("https://klasma.github.io/Logging_2462/kartor/A 69915-2021 karta.png", "A 69915-2021")</f>
        <v/>
      </c>
      <c r="V222">
        <f>HYPERLINK("https://klasma.github.io/Logging_2462/klagomål/A 69915-2021 FSC-klagomål.docx", "A 69915-2021")</f>
        <v/>
      </c>
      <c r="W222">
        <f>HYPERLINK("https://klasma.github.io/Logging_2462/klagomålsmail/A 69915-2021 FSC-klagomål mail.docx", "A 69915-2021")</f>
        <v/>
      </c>
      <c r="X222">
        <f>HYPERLINK("https://klasma.github.io/Logging_2462/tillsyn/A 69915-2021 tillsynsbegäran.docx", "A 69915-2021")</f>
        <v/>
      </c>
      <c r="Y222">
        <f>HYPERLINK("https://klasma.github.io/Logging_2462/tillsynsmail/A 69915-2021 tillsynsbegäran mail.docx", "A 69915-2021")</f>
        <v/>
      </c>
      <c r="Z222">
        <f>HYPERLINK("https://klasma.github.io/Logging_2462/fåglar/A 69915-2021 prioriterade fågelarter.docx", "A 69915-2021")</f>
        <v/>
      </c>
    </row>
    <row r="223" ht="15" customHeight="1">
      <c r="A223" t="inlineStr">
        <is>
          <t>A 74395-2021</t>
        </is>
      </c>
      <c r="B223" s="1" t="n">
        <v>44560</v>
      </c>
      <c r="C223" s="1" t="n">
        <v>45839</v>
      </c>
      <c r="D223" t="inlineStr">
        <is>
          <t>VÄSTERBOTTENS LÄN</t>
        </is>
      </c>
      <c r="E223" t="inlineStr">
        <is>
          <t>VILHELMINA</t>
        </is>
      </c>
      <c r="G223" t="n">
        <v>37.6</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74395-2021 artfynd.xlsx", "A 74395-2021")</f>
        <v/>
      </c>
      <c r="T223">
        <f>HYPERLINK("https://klasma.github.io/Logging_2462/kartor/A 74395-2021 karta.png", "A 74395-2021")</f>
        <v/>
      </c>
      <c r="V223">
        <f>HYPERLINK("https://klasma.github.io/Logging_2462/klagomål/A 74395-2021 FSC-klagomål.docx", "A 74395-2021")</f>
        <v/>
      </c>
      <c r="W223">
        <f>HYPERLINK("https://klasma.github.io/Logging_2462/klagomålsmail/A 74395-2021 FSC-klagomål mail.docx", "A 74395-2021")</f>
        <v/>
      </c>
      <c r="X223">
        <f>HYPERLINK("https://klasma.github.io/Logging_2462/tillsyn/A 74395-2021 tillsynsbegäran.docx", "A 74395-2021")</f>
        <v/>
      </c>
      <c r="Y223">
        <f>HYPERLINK("https://klasma.github.io/Logging_2462/tillsynsmail/A 74395-2021 tillsynsbegäran mail.docx", "A 74395-2021")</f>
        <v/>
      </c>
      <c r="Z223">
        <f>HYPERLINK("https://klasma.github.io/Logging_2462/fåglar/A 74395-2021 prioriterade fågelarter.docx", "A 74395-2021")</f>
        <v/>
      </c>
    </row>
    <row r="224" ht="15" customHeight="1">
      <c r="A224" t="inlineStr">
        <is>
          <t>A 12486-2022</t>
        </is>
      </c>
      <c r="B224" s="1" t="n">
        <v>44638</v>
      </c>
      <c r="C224" s="1" t="n">
        <v>45839</v>
      </c>
      <c r="D224" t="inlineStr">
        <is>
          <t>VÄSTERBOTTENS LÄN</t>
        </is>
      </c>
      <c r="E224" t="inlineStr">
        <is>
          <t>VILHELMINA</t>
        </is>
      </c>
      <c r="G224" t="n">
        <v>19.3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12486-2022 artfynd.xlsx", "A 12486-2022")</f>
        <v/>
      </c>
      <c r="T224">
        <f>HYPERLINK("https://klasma.github.io/Logging_2462/kartor/A 12486-2022 karta.png", "A 12486-2022")</f>
        <v/>
      </c>
      <c r="V224">
        <f>HYPERLINK("https://klasma.github.io/Logging_2462/klagomål/A 12486-2022 FSC-klagomål.docx", "A 12486-2022")</f>
        <v/>
      </c>
      <c r="W224">
        <f>HYPERLINK("https://klasma.github.io/Logging_2462/klagomålsmail/A 12486-2022 FSC-klagomål mail.docx", "A 12486-2022")</f>
        <v/>
      </c>
      <c r="X224">
        <f>HYPERLINK("https://klasma.github.io/Logging_2462/tillsyn/A 12486-2022 tillsynsbegäran.docx", "A 12486-2022")</f>
        <v/>
      </c>
      <c r="Y224">
        <f>HYPERLINK("https://klasma.github.io/Logging_2462/tillsynsmail/A 12486-2022 tillsynsbegäran mail.docx", "A 12486-2022")</f>
        <v/>
      </c>
      <c r="Z224">
        <f>HYPERLINK("https://klasma.github.io/Logging_2462/fåglar/A 12486-2022 prioriterade fågelarter.docx", "A 12486-2022")</f>
        <v/>
      </c>
    </row>
    <row r="225" ht="15" customHeight="1">
      <c r="A225" t="inlineStr">
        <is>
          <t>A 38421-2022</t>
        </is>
      </c>
      <c r="B225" s="1" t="n">
        <v>44812</v>
      </c>
      <c r="C225" s="1" t="n">
        <v>45839</v>
      </c>
      <c r="D225" t="inlineStr">
        <is>
          <t>VÄSTERBOTTENS LÄN</t>
        </is>
      </c>
      <c r="E225" t="inlineStr">
        <is>
          <t>VILHELMINA</t>
        </is>
      </c>
      <c r="F225" t="inlineStr">
        <is>
          <t>SCA</t>
        </is>
      </c>
      <c r="G225" t="n">
        <v>3.2</v>
      </c>
      <c r="H225" t="n">
        <v>0</v>
      </c>
      <c r="I225" t="n">
        <v>0</v>
      </c>
      <c r="J225" t="n">
        <v>1</v>
      </c>
      <c r="K225" t="n">
        <v>0</v>
      </c>
      <c r="L225" t="n">
        <v>0</v>
      </c>
      <c r="M225" t="n">
        <v>0</v>
      </c>
      <c r="N225" t="n">
        <v>0</v>
      </c>
      <c r="O225" t="n">
        <v>1</v>
      </c>
      <c r="P225" t="n">
        <v>0</v>
      </c>
      <c r="Q225" t="n">
        <v>1</v>
      </c>
      <c r="R225" s="2" t="inlineStr">
        <is>
          <t>Ullticka</t>
        </is>
      </c>
      <c r="S225">
        <f>HYPERLINK("https://klasma.github.io/Logging_2462/artfynd/A 38421-2022 artfynd.xlsx", "A 38421-2022")</f>
        <v/>
      </c>
      <c r="T225">
        <f>HYPERLINK("https://klasma.github.io/Logging_2462/kartor/A 38421-2022 karta.png", "A 38421-2022")</f>
        <v/>
      </c>
      <c r="V225">
        <f>HYPERLINK("https://klasma.github.io/Logging_2462/klagomål/A 38421-2022 FSC-klagomål.docx", "A 38421-2022")</f>
        <v/>
      </c>
      <c r="W225">
        <f>HYPERLINK("https://klasma.github.io/Logging_2462/klagomålsmail/A 38421-2022 FSC-klagomål mail.docx", "A 38421-2022")</f>
        <v/>
      </c>
      <c r="X225">
        <f>HYPERLINK("https://klasma.github.io/Logging_2462/tillsyn/A 38421-2022 tillsynsbegäran.docx", "A 38421-2022")</f>
        <v/>
      </c>
      <c r="Y225">
        <f>HYPERLINK("https://klasma.github.io/Logging_2462/tillsynsmail/A 38421-2022 tillsynsbegäran mail.docx", "A 38421-2022")</f>
        <v/>
      </c>
    </row>
    <row r="226" ht="15" customHeight="1">
      <c r="A226" t="inlineStr">
        <is>
          <t>A 41483-2022</t>
        </is>
      </c>
      <c r="B226" s="1" t="n">
        <v>44827</v>
      </c>
      <c r="C226" s="1" t="n">
        <v>45839</v>
      </c>
      <c r="D226" t="inlineStr">
        <is>
          <t>VÄSTERBOTTENS LÄN</t>
        </is>
      </c>
      <c r="E226" t="inlineStr">
        <is>
          <t>VILHELMINA</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41483-2022 artfynd.xlsx", "A 41483-2022")</f>
        <v/>
      </c>
      <c r="T226">
        <f>HYPERLINK("https://klasma.github.io/Logging_2462/kartor/A 41483-2022 karta.png", "A 41483-2022")</f>
        <v/>
      </c>
      <c r="V226">
        <f>HYPERLINK("https://klasma.github.io/Logging_2462/klagomål/A 41483-2022 FSC-klagomål.docx", "A 41483-2022")</f>
        <v/>
      </c>
      <c r="W226">
        <f>HYPERLINK("https://klasma.github.io/Logging_2462/klagomålsmail/A 41483-2022 FSC-klagomål mail.docx", "A 41483-2022")</f>
        <v/>
      </c>
      <c r="X226">
        <f>HYPERLINK("https://klasma.github.io/Logging_2462/tillsyn/A 41483-2022 tillsynsbegäran.docx", "A 41483-2022")</f>
        <v/>
      </c>
      <c r="Y226">
        <f>HYPERLINK("https://klasma.github.io/Logging_2462/tillsynsmail/A 41483-2022 tillsynsbegäran mail.docx", "A 41483-2022")</f>
        <v/>
      </c>
      <c r="Z226">
        <f>HYPERLINK("https://klasma.github.io/Logging_2462/fåglar/A 41483-2022 prioriterade fågelarter.docx", "A 41483-2022")</f>
        <v/>
      </c>
    </row>
    <row r="227" ht="15" customHeight="1">
      <c r="A227" t="inlineStr">
        <is>
          <t>A 47251-2022</t>
        </is>
      </c>
      <c r="B227" s="1" t="n">
        <v>44852</v>
      </c>
      <c r="C227" s="1" t="n">
        <v>45839</v>
      </c>
      <c r="D227" t="inlineStr">
        <is>
          <t>VÄSTERBOTTENS LÄN</t>
        </is>
      </c>
      <c r="E227" t="inlineStr">
        <is>
          <t>VILHELMINA</t>
        </is>
      </c>
      <c r="F227" t="inlineStr">
        <is>
          <t>SCA</t>
        </is>
      </c>
      <c r="G227" t="n">
        <v>16.4</v>
      </c>
      <c r="H227" t="n">
        <v>0</v>
      </c>
      <c r="I227" t="n">
        <v>0</v>
      </c>
      <c r="J227" t="n">
        <v>1</v>
      </c>
      <c r="K227" t="n">
        <v>0</v>
      </c>
      <c r="L227" t="n">
        <v>0</v>
      </c>
      <c r="M227" t="n">
        <v>0</v>
      </c>
      <c r="N227" t="n">
        <v>0</v>
      </c>
      <c r="O227" t="n">
        <v>1</v>
      </c>
      <c r="P227" t="n">
        <v>0</v>
      </c>
      <c r="Q227" t="n">
        <v>1</v>
      </c>
      <c r="R227" s="2" t="inlineStr">
        <is>
          <t>Rosenticka</t>
        </is>
      </c>
      <c r="S227">
        <f>HYPERLINK("https://klasma.github.io/Logging_2462/artfynd/A 47251-2022 artfynd.xlsx", "A 47251-2022")</f>
        <v/>
      </c>
      <c r="T227">
        <f>HYPERLINK("https://klasma.github.io/Logging_2462/kartor/A 47251-2022 karta.png", "A 47251-2022")</f>
        <v/>
      </c>
      <c r="V227">
        <f>HYPERLINK("https://klasma.github.io/Logging_2462/klagomål/A 47251-2022 FSC-klagomål.docx", "A 47251-2022")</f>
        <v/>
      </c>
      <c r="W227">
        <f>HYPERLINK("https://klasma.github.io/Logging_2462/klagomålsmail/A 47251-2022 FSC-klagomål mail.docx", "A 47251-2022")</f>
        <v/>
      </c>
      <c r="X227">
        <f>HYPERLINK("https://klasma.github.io/Logging_2462/tillsyn/A 47251-2022 tillsynsbegäran.docx", "A 47251-2022")</f>
        <v/>
      </c>
      <c r="Y227">
        <f>HYPERLINK("https://klasma.github.io/Logging_2462/tillsynsmail/A 47251-2022 tillsynsbegäran mail.docx", "A 47251-2022")</f>
        <v/>
      </c>
    </row>
    <row r="228" ht="15" customHeight="1">
      <c r="A228" t="inlineStr">
        <is>
          <t>A 6604-2023</t>
        </is>
      </c>
      <c r="B228" s="1" t="n">
        <v>44960</v>
      </c>
      <c r="C228" s="1" t="n">
        <v>45839</v>
      </c>
      <c r="D228" t="inlineStr">
        <is>
          <t>VÄSTERBOTTENS LÄN</t>
        </is>
      </c>
      <c r="E228" t="inlineStr">
        <is>
          <t>VILHELMINA</t>
        </is>
      </c>
      <c r="G228" t="n">
        <v>13.4</v>
      </c>
      <c r="H228" t="n">
        <v>0</v>
      </c>
      <c r="I228" t="n">
        <v>1</v>
      </c>
      <c r="J228" t="n">
        <v>0</v>
      </c>
      <c r="K228" t="n">
        <v>0</v>
      </c>
      <c r="L228" t="n">
        <v>0</v>
      </c>
      <c r="M228" t="n">
        <v>0</v>
      </c>
      <c r="N228" t="n">
        <v>0</v>
      </c>
      <c r="O228" t="n">
        <v>0</v>
      </c>
      <c r="P228" t="n">
        <v>0</v>
      </c>
      <c r="Q228" t="n">
        <v>1</v>
      </c>
      <c r="R228" s="2" t="inlineStr">
        <is>
          <t>Luddlav</t>
        </is>
      </c>
      <c r="S228">
        <f>HYPERLINK("https://klasma.github.io/Logging_2462/artfynd/A 6604-2023 artfynd.xlsx", "A 6604-2023")</f>
        <v/>
      </c>
      <c r="T228">
        <f>HYPERLINK("https://klasma.github.io/Logging_2462/kartor/A 6604-2023 karta.png", "A 6604-2023")</f>
        <v/>
      </c>
      <c r="V228">
        <f>HYPERLINK("https://klasma.github.io/Logging_2462/klagomål/A 6604-2023 FSC-klagomål.docx", "A 6604-2023")</f>
        <v/>
      </c>
      <c r="W228">
        <f>HYPERLINK("https://klasma.github.io/Logging_2462/klagomålsmail/A 6604-2023 FSC-klagomål mail.docx", "A 6604-2023")</f>
        <v/>
      </c>
      <c r="X228">
        <f>HYPERLINK("https://klasma.github.io/Logging_2462/tillsyn/A 6604-2023 tillsynsbegäran.docx", "A 6604-2023")</f>
        <v/>
      </c>
      <c r="Y228">
        <f>HYPERLINK("https://klasma.github.io/Logging_2462/tillsynsmail/A 6604-2023 tillsynsbegäran mail.docx", "A 6604-2023")</f>
        <v/>
      </c>
    </row>
    <row r="229" ht="15" customHeight="1">
      <c r="A229" t="inlineStr">
        <is>
          <t>A 9249-2023</t>
        </is>
      </c>
      <c r="B229" s="1" t="n">
        <v>44972</v>
      </c>
      <c r="C229" s="1" t="n">
        <v>45839</v>
      </c>
      <c r="D229" t="inlineStr">
        <is>
          <t>VÄSTERBOTTENS LÄN</t>
        </is>
      </c>
      <c r="E229" t="inlineStr">
        <is>
          <t>VILHELMINA</t>
        </is>
      </c>
      <c r="F229" t="inlineStr">
        <is>
          <t>Allmännings- och besparingsskogar</t>
        </is>
      </c>
      <c r="G229" t="n">
        <v>18</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9249-2023 artfynd.xlsx", "A 9249-2023")</f>
        <v/>
      </c>
      <c r="T229">
        <f>HYPERLINK("https://klasma.github.io/Logging_2462/kartor/A 9249-2023 karta.png", "A 9249-2023")</f>
        <v/>
      </c>
      <c r="V229">
        <f>HYPERLINK("https://klasma.github.io/Logging_2462/klagomål/A 9249-2023 FSC-klagomål.docx", "A 9249-2023")</f>
        <v/>
      </c>
      <c r="W229">
        <f>HYPERLINK("https://klasma.github.io/Logging_2462/klagomålsmail/A 9249-2023 FSC-klagomål mail.docx", "A 9249-2023")</f>
        <v/>
      </c>
      <c r="X229">
        <f>HYPERLINK("https://klasma.github.io/Logging_2462/tillsyn/A 9249-2023 tillsynsbegäran.docx", "A 9249-2023")</f>
        <v/>
      </c>
      <c r="Y229">
        <f>HYPERLINK("https://klasma.github.io/Logging_2462/tillsynsmail/A 9249-2023 tillsynsbegäran mail.docx", "A 9249-2023")</f>
        <v/>
      </c>
      <c r="Z229">
        <f>HYPERLINK("https://klasma.github.io/Logging_2462/fåglar/A 9249-2023 prioriterade fågelarter.docx", "A 9249-2023")</f>
        <v/>
      </c>
    </row>
    <row r="230" ht="15" customHeight="1">
      <c r="A230" t="inlineStr">
        <is>
          <t>A 11832-2023</t>
        </is>
      </c>
      <c r="B230" s="1" t="n">
        <v>44994</v>
      </c>
      <c r="C230" s="1" t="n">
        <v>45839</v>
      </c>
      <c r="D230" t="inlineStr">
        <is>
          <t>VÄSTERBOTTENS LÄN</t>
        </is>
      </c>
      <c r="E230" t="inlineStr">
        <is>
          <t>VILHELMINA</t>
        </is>
      </c>
      <c r="F230" t="inlineStr">
        <is>
          <t>SCA</t>
        </is>
      </c>
      <c r="G230" t="n">
        <v>6.7</v>
      </c>
      <c r="H230" t="n">
        <v>0</v>
      </c>
      <c r="I230" t="n">
        <v>0</v>
      </c>
      <c r="J230" t="n">
        <v>1</v>
      </c>
      <c r="K230" t="n">
        <v>0</v>
      </c>
      <c r="L230" t="n">
        <v>0</v>
      </c>
      <c r="M230" t="n">
        <v>0</v>
      </c>
      <c r="N230" t="n">
        <v>0</v>
      </c>
      <c r="O230" t="n">
        <v>1</v>
      </c>
      <c r="P230" t="n">
        <v>0</v>
      </c>
      <c r="Q230" t="n">
        <v>1</v>
      </c>
      <c r="R230" s="2" t="inlineStr">
        <is>
          <t>Granticka</t>
        </is>
      </c>
      <c r="S230">
        <f>HYPERLINK("https://klasma.github.io/Logging_2462/artfynd/A 11832-2023 artfynd.xlsx", "A 11832-2023")</f>
        <v/>
      </c>
      <c r="T230">
        <f>HYPERLINK("https://klasma.github.io/Logging_2462/kartor/A 11832-2023 karta.png", "A 11832-2023")</f>
        <v/>
      </c>
      <c r="V230">
        <f>HYPERLINK("https://klasma.github.io/Logging_2462/klagomål/A 11832-2023 FSC-klagomål.docx", "A 11832-2023")</f>
        <v/>
      </c>
      <c r="W230">
        <f>HYPERLINK("https://klasma.github.io/Logging_2462/klagomålsmail/A 11832-2023 FSC-klagomål mail.docx", "A 11832-2023")</f>
        <v/>
      </c>
      <c r="X230">
        <f>HYPERLINK("https://klasma.github.io/Logging_2462/tillsyn/A 11832-2023 tillsynsbegäran.docx", "A 11832-2023")</f>
        <v/>
      </c>
      <c r="Y230">
        <f>HYPERLINK("https://klasma.github.io/Logging_2462/tillsynsmail/A 11832-2023 tillsynsbegäran mail.docx", "A 11832-2023")</f>
        <v/>
      </c>
    </row>
    <row r="231" ht="15" customHeight="1">
      <c r="A231" t="inlineStr">
        <is>
          <t>A 29317-2023</t>
        </is>
      </c>
      <c r="B231" s="1" t="n">
        <v>45105</v>
      </c>
      <c r="C231" s="1" t="n">
        <v>45839</v>
      </c>
      <c r="D231" t="inlineStr">
        <is>
          <t>VÄSTERBOTTENS LÄN</t>
        </is>
      </c>
      <c r="E231" t="inlineStr">
        <is>
          <t>VILHELMINA</t>
        </is>
      </c>
      <c r="F231" t="inlineStr">
        <is>
          <t>SCA</t>
        </is>
      </c>
      <c r="G231" t="n">
        <v>18.8</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29317-2023 artfynd.xlsx", "A 29317-2023")</f>
        <v/>
      </c>
      <c r="T231">
        <f>HYPERLINK("https://klasma.github.io/Logging_2462/kartor/A 29317-2023 karta.png", "A 29317-2023")</f>
        <v/>
      </c>
      <c r="V231">
        <f>HYPERLINK("https://klasma.github.io/Logging_2462/klagomål/A 29317-2023 FSC-klagomål.docx", "A 29317-2023")</f>
        <v/>
      </c>
      <c r="W231">
        <f>HYPERLINK("https://klasma.github.io/Logging_2462/klagomålsmail/A 29317-2023 FSC-klagomål mail.docx", "A 29317-2023")</f>
        <v/>
      </c>
      <c r="X231">
        <f>HYPERLINK("https://klasma.github.io/Logging_2462/tillsyn/A 29317-2023 tillsynsbegäran.docx", "A 29317-2023")</f>
        <v/>
      </c>
      <c r="Y231">
        <f>HYPERLINK("https://klasma.github.io/Logging_2462/tillsynsmail/A 29317-2023 tillsynsbegäran mail.docx", "A 29317-2023")</f>
        <v/>
      </c>
      <c r="Z231">
        <f>HYPERLINK("https://klasma.github.io/Logging_2462/fåglar/A 29317-2023 prioriterade fågelarter.docx", "A 29317-2023")</f>
        <v/>
      </c>
    </row>
    <row r="232" ht="15" customHeight="1">
      <c r="A232" t="inlineStr">
        <is>
          <t>A 39919-2023</t>
        </is>
      </c>
      <c r="B232" s="1" t="n">
        <v>45166</v>
      </c>
      <c r="C232" s="1" t="n">
        <v>45839</v>
      </c>
      <c r="D232" t="inlineStr">
        <is>
          <t>VÄSTERBOTTENS LÄN</t>
        </is>
      </c>
      <c r="E232" t="inlineStr">
        <is>
          <t>VILHELMINA</t>
        </is>
      </c>
      <c r="G232" t="n">
        <v>22.2</v>
      </c>
      <c r="H232" t="n">
        <v>1</v>
      </c>
      <c r="I232" t="n">
        <v>0</v>
      </c>
      <c r="J232" t="n">
        <v>1</v>
      </c>
      <c r="K232" t="n">
        <v>0</v>
      </c>
      <c r="L232" t="n">
        <v>0</v>
      </c>
      <c r="M232" t="n">
        <v>0</v>
      </c>
      <c r="N232" t="n">
        <v>0</v>
      </c>
      <c r="O232" t="n">
        <v>1</v>
      </c>
      <c r="P232" t="n">
        <v>0</v>
      </c>
      <c r="Q232" t="n">
        <v>1</v>
      </c>
      <c r="R232" s="2" t="inlineStr">
        <is>
          <t>Utter</t>
        </is>
      </c>
      <c r="S232">
        <f>HYPERLINK("https://klasma.github.io/Logging_2462/artfynd/A 39919-2023 artfynd.xlsx", "A 39919-2023")</f>
        <v/>
      </c>
      <c r="T232">
        <f>HYPERLINK("https://klasma.github.io/Logging_2462/kartor/A 39919-2023 karta.png", "A 39919-2023")</f>
        <v/>
      </c>
      <c r="V232">
        <f>HYPERLINK("https://klasma.github.io/Logging_2462/klagomål/A 39919-2023 FSC-klagomål.docx", "A 39919-2023")</f>
        <v/>
      </c>
      <c r="W232">
        <f>HYPERLINK("https://klasma.github.io/Logging_2462/klagomålsmail/A 39919-2023 FSC-klagomål mail.docx", "A 39919-2023")</f>
        <v/>
      </c>
      <c r="X232">
        <f>HYPERLINK("https://klasma.github.io/Logging_2462/tillsyn/A 39919-2023 tillsynsbegäran.docx", "A 39919-2023")</f>
        <v/>
      </c>
      <c r="Y232">
        <f>HYPERLINK("https://klasma.github.io/Logging_2462/tillsynsmail/A 39919-2023 tillsynsbegäran mail.docx", "A 39919-2023")</f>
        <v/>
      </c>
    </row>
    <row r="233" ht="15" customHeight="1">
      <c r="A233" t="inlineStr">
        <is>
          <t>A 56247-2023</t>
        </is>
      </c>
      <c r="B233" s="1" t="n">
        <v>45240</v>
      </c>
      <c r="C233" s="1" t="n">
        <v>45839</v>
      </c>
      <c r="D233" t="inlineStr">
        <is>
          <t>VÄSTERBOTTENS LÄN</t>
        </is>
      </c>
      <c r="E233" t="inlineStr">
        <is>
          <t>VILHELMINA</t>
        </is>
      </c>
      <c r="F233" t="inlineStr">
        <is>
          <t>SCA</t>
        </is>
      </c>
      <c r="G233" t="n">
        <v>1.3</v>
      </c>
      <c r="H233" t="n">
        <v>0</v>
      </c>
      <c r="I233" t="n">
        <v>0</v>
      </c>
      <c r="J233" t="n">
        <v>1</v>
      </c>
      <c r="K233" t="n">
        <v>0</v>
      </c>
      <c r="L233" t="n">
        <v>0</v>
      </c>
      <c r="M233" t="n">
        <v>0</v>
      </c>
      <c r="N233" t="n">
        <v>0</v>
      </c>
      <c r="O233" t="n">
        <v>1</v>
      </c>
      <c r="P233" t="n">
        <v>0</v>
      </c>
      <c r="Q233" t="n">
        <v>1</v>
      </c>
      <c r="R233" s="2" t="inlineStr">
        <is>
          <t>Harticka</t>
        </is>
      </c>
      <c r="S233">
        <f>HYPERLINK("https://klasma.github.io/Logging_2462/artfynd/A 56247-2023 artfynd.xlsx", "A 56247-2023")</f>
        <v/>
      </c>
      <c r="T233">
        <f>HYPERLINK("https://klasma.github.io/Logging_2462/kartor/A 56247-2023 karta.png", "A 56247-2023")</f>
        <v/>
      </c>
      <c r="V233">
        <f>HYPERLINK("https://klasma.github.io/Logging_2462/klagomål/A 56247-2023 FSC-klagomål.docx", "A 56247-2023")</f>
        <v/>
      </c>
      <c r="W233">
        <f>HYPERLINK("https://klasma.github.io/Logging_2462/klagomålsmail/A 56247-2023 FSC-klagomål mail.docx", "A 56247-2023")</f>
        <v/>
      </c>
      <c r="X233">
        <f>HYPERLINK("https://klasma.github.io/Logging_2462/tillsyn/A 56247-2023 tillsynsbegäran.docx", "A 56247-2023")</f>
        <v/>
      </c>
      <c r="Y233">
        <f>HYPERLINK("https://klasma.github.io/Logging_2462/tillsynsmail/A 56247-2023 tillsynsbegäran mail.docx", "A 56247-2023")</f>
        <v/>
      </c>
    </row>
    <row r="234" ht="15" customHeight="1">
      <c r="A234" t="inlineStr">
        <is>
          <t>A 59664-2023</t>
        </is>
      </c>
      <c r="B234" s="1" t="n">
        <v>45254</v>
      </c>
      <c r="C234" s="1" t="n">
        <v>45839</v>
      </c>
      <c r="D234" t="inlineStr">
        <is>
          <t>VÄSTERBOTTENS LÄN</t>
        </is>
      </c>
      <c r="E234" t="inlineStr">
        <is>
          <t>VILHELMINA</t>
        </is>
      </c>
      <c r="F234" t="inlineStr">
        <is>
          <t>SCA</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59664-2023 artfynd.xlsx", "A 59664-2023")</f>
        <v/>
      </c>
      <c r="T234">
        <f>HYPERLINK("https://klasma.github.io/Logging_2462/kartor/A 59664-2023 karta.png", "A 59664-2023")</f>
        <v/>
      </c>
      <c r="V234">
        <f>HYPERLINK("https://klasma.github.io/Logging_2462/klagomål/A 59664-2023 FSC-klagomål.docx", "A 59664-2023")</f>
        <v/>
      </c>
      <c r="W234">
        <f>HYPERLINK("https://klasma.github.io/Logging_2462/klagomålsmail/A 59664-2023 FSC-klagomål mail.docx", "A 59664-2023")</f>
        <v/>
      </c>
      <c r="X234">
        <f>HYPERLINK("https://klasma.github.io/Logging_2462/tillsyn/A 59664-2023 tillsynsbegäran.docx", "A 59664-2023")</f>
        <v/>
      </c>
      <c r="Y234">
        <f>HYPERLINK("https://klasma.github.io/Logging_2462/tillsynsmail/A 59664-2023 tillsynsbegäran mail.docx", "A 59664-2023")</f>
        <v/>
      </c>
      <c r="Z234">
        <f>HYPERLINK("https://klasma.github.io/Logging_2462/fåglar/A 59664-2023 prioriterade fågelarter.docx", "A 59664-2023")</f>
        <v/>
      </c>
    </row>
    <row r="235" ht="15" customHeight="1">
      <c r="A235" t="inlineStr">
        <is>
          <t>A 22467-2024</t>
        </is>
      </c>
      <c r="B235" s="1" t="n">
        <v>45447</v>
      </c>
      <c r="C235" s="1" t="n">
        <v>45839</v>
      </c>
      <c r="D235" t="inlineStr">
        <is>
          <t>VÄSTERBOTTENS LÄN</t>
        </is>
      </c>
      <c r="E235" t="inlineStr">
        <is>
          <t>VILHELMINA</t>
        </is>
      </c>
      <c r="F235" t="inlineStr">
        <is>
          <t>SCA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22467-2024 artfynd.xlsx", "A 22467-2024")</f>
        <v/>
      </c>
      <c r="T235">
        <f>HYPERLINK("https://klasma.github.io/Logging_2462/kartor/A 22467-2024 karta.png", "A 22467-2024")</f>
        <v/>
      </c>
      <c r="V235">
        <f>HYPERLINK("https://klasma.github.io/Logging_2462/klagomål/A 22467-2024 FSC-klagomål.docx", "A 22467-2024")</f>
        <v/>
      </c>
      <c r="W235">
        <f>HYPERLINK("https://klasma.github.io/Logging_2462/klagomålsmail/A 22467-2024 FSC-klagomål mail.docx", "A 22467-2024")</f>
        <v/>
      </c>
      <c r="X235">
        <f>HYPERLINK("https://klasma.github.io/Logging_2462/tillsyn/A 22467-2024 tillsynsbegäran.docx", "A 22467-2024")</f>
        <v/>
      </c>
      <c r="Y235">
        <f>HYPERLINK("https://klasma.github.io/Logging_2462/tillsynsmail/A 22467-2024 tillsynsbegäran mail.docx", "A 22467-2024")</f>
        <v/>
      </c>
      <c r="Z235">
        <f>HYPERLINK("https://klasma.github.io/Logging_2462/fåglar/A 22467-2024 prioriterade fågelarter.docx", "A 22467-2024")</f>
        <v/>
      </c>
    </row>
    <row r="236" ht="15" customHeight="1">
      <c r="A236" t="inlineStr">
        <is>
          <t>A 22466-2024</t>
        </is>
      </c>
      <c r="B236" s="1" t="n">
        <v>45446</v>
      </c>
      <c r="C236" s="1" t="n">
        <v>45839</v>
      </c>
      <c r="D236" t="inlineStr">
        <is>
          <t>VÄSTERBOTTENS LÄN</t>
        </is>
      </c>
      <c r="E236" t="inlineStr">
        <is>
          <t>VILHELMINA</t>
        </is>
      </c>
      <c r="F236" t="inlineStr">
        <is>
          <t>SCA</t>
        </is>
      </c>
      <c r="G236" t="n">
        <v>3.9</v>
      </c>
      <c r="H236" t="n">
        <v>0</v>
      </c>
      <c r="I236" t="n">
        <v>0</v>
      </c>
      <c r="J236" t="n">
        <v>1</v>
      </c>
      <c r="K236" t="n">
        <v>0</v>
      </c>
      <c r="L236" t="n">
        <v>0</v>
      </c>
      <c r="M236" t="n">
        <v>0</v>
      </c>
      <c r="N236" t="n">
        <v>0</v>
      </c>
      <c r="O236" t="n">
        <v>1</v>
      </c>
      <c r="P236" t="n">
        <v>0</v>
      </c>
      <c r="Q236" t="n">
        <v>1</v>
      </c>
      <c r="R236" s="2" t="inlineStr">
        <is>
          <t>Ullticka</t>
        </is>
      </c>
      <c r="S236">
        <f>HYPERLINK("https://klasma.github.io/Logging_2462/artfynd/A 22466-2024 artfynd.xlsx", "A 22466-2024")</f>
        <v/>
      </c>
      <c r="T236">
        <f>HYPERLINK("https://klasma.github.io/Logging_2462/kartor/A 22466-2024 karta.png", "A 22466-2024")</f>
        <v/>
      </c>
      <c r="V236">
        <f>HYPERLINK("https://klasma.github.io/Logging_2462/klagomål/A 22466-2024 FSC-klagomål.docx", "A 22466-2024")</f>
        <v/>
      </c>
      <c r="W236">
        <f>HYPERLINK("https://klasma.github.io/Logging_2462/klagomålsmail/A 22466-2024 FSC-klagomål mail.docx", "A 22466-2024")</f>
        <v/>
      </c>
      <c r="X236">
        <f>HYPERLINK("https://klasma.github.io/Logging_2462/tillsyn/A 22466-2024 tillsynsbegäran.docx", "A 22466-2024")</f>
        <v/>
      </c>
      <c r="Y236">
        <f>HYPERLINK("https://klasma.github.io/Logging_2462/tillsynsmail/A 22466-2024 tillsynsbegäran mail.docx", "A 22466-2024")</f>
        <v/>
      </c>
    </row>
    <row r="237" ht="15" customHeight="1">
      <c r="A237" t="inlineStr">
        <is>
          <t>A 25368-2024</t>
        </is>
      </c>
      <c r="B237" s="1" t="n">
        <v>45462</v>
      </c>
      <c r="C237" s="1" t="n">
        <v>45839</v>
      </c>
      <c r="D237" t="inlineStr">
        <is>
          <t>VÄSTERBOTTENS LÄN</t>
        </is>
      </c>
      <c r="E237" t="inlineStr">
        <is>
          <t>VILHELMINA</t>
        </is>
      </c>
      <c r="F237" t="inlineStr">
        <is>
          <t>SCA</t>
        </is>
      </c>
      <c r="G237" t="n">
        <v>2.5</v>
      </c>
      <c r="H237" t="n">
        <v>1</v>
      </c>
      <c r="I237" t="n">
        <v>0</v>
      </c>
      <c r="J237" t="n">
        <v>1</v>
      </c>
      <c r="K237" t="n">
        <v>0</v>
      </c>
      <c r="L237" t="n">
        <v>0</v>
      </c>
      <c r="M237" t="n">
        <v>0</v>
      </c>
      <c r="N237" t="n">
        <v>0</v>
      </c>
      <c r="O237" t="n">
        <v>1</v>
      </c>
      <c r="P237" t="n">
        <v>0</v>
      </c>
      <c r="Q237" t="n">
        <v>1</v>
      </c>
      <c r="R237" s="2" t="inlineStr">
        <is>
          <t>Utter</t>
        </is>
      </c>
      <c r="S237">
        <f>HYPERLINK("https://klasma.github.io/Logging_2462/artfynd/A 25368-2024 artfynd.xlsx", "A 25368-2024")</f>
        <v/>
      </c>
      <c r="T237">
        <f>HYPERLINK("https://klasma.github.io/Logging_2462/kartor/A 25368-2024 karta.png", "A 25368-2024")</f>
        <v/>
      </c>
      <c r="V237">
        <f>HYPERLINK("https://klasma.github.io/Logging_2462/klagomål/A 25368-2024 FSC-klagomål.docx", "A 25368-2024")</f>
        <v/>
      </c>
      <c r="W237">
        <f>HYPERLINK("https://klasma.github.io/Logging_2462/klagomålsmail/A 25368-2024 FSC-klagomål mail.docx", "A 25368-2024")</f>
        <v/>
      </c>
      <c r="X237">
        <f>HYPERLINK("https://klasma.github.io/Logging_2462/tillsyn/A 25368-2024 tillsynsbegäran.docx", "A 25368-2024")</f>
        <v/>
      </c>
      <c r="Y237">
        <f>HYPERLINK("https://klasma.github.io/Logging_2462/tillsynsmail/A 25368-2024 tillsynsbegäran mail.docx", "A 25368-2024")</f>
        <v/>
      </c>
    </row>
    <row r="238" ht="15" customHeight="1">
      <c r="A238" t="inlineStr">
        <is>
          <t>A 25374-2024</t>
        </is>
      </c>
      <c r="B238" s="1" t="n">
        <v>45463</v>
      </c>
      <c r="C238" s="1" t="n">
        <v>45839</v>
      </c>
      <c r="D238" t="inlineStr">
        <is>
          <t>VÄSTERBOTTENS LÄN</t>
        </is>
      </c>
      <c r="E238" t="inlineStr">
        <is>
          <t>VILHELMINA</t>
        </is>
      </c>
      <c r="F238" t="inlineStr">
        <is>
          <t>SCA</t>
        </is>
      </c>
      <c r="G238" t="n">
        <v>7.7</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25374-2024 artfynd.xlsx", "A 25374-2024")</f>
        <v/>
      </c>
      <c r="T238">
        <f>HYPERLINK("https://klasma.github.io/Logging_2462/kartor/A 25374-2024 karta.png", "A 25374-2024")</f>
        <v/>
      </c>
      <c r="V238">
        <f>HYPERLINK("https://klasma.github.io/Logging_2462/klagomål/A 25374-2024 FSC-klagomål.docx", "A 25374-2024")</f>
        <v/>
      </c>
      <c r="W238">
        <f>HYPERLINK("https://klasma.github.io/Logging_2462/klagomålsmail/A 25374-2024 FSC-klagomål mail.docx", "A 25374-2024")</f>
        <v/>
      </c>
      <c r="X238">
        <f>HYPERLINK("https://klasma.github.io/Logging_2462/tillsyn/A 25374-2024 tillsynsbegäran.docx", "A 25374-2024")</f>
        <v/>
      </c>
      <c r="Y238">
        <f>HYPERLINK("https://klasma.github.io/Logging_2462/tillsynsmail/A 25374-2024 tillsynsbegäran mail.docx", "A 25374-2024")</f>
        <v/>
      </c>
      <c r="Z238">
        <f>HYPERLINK("https://klasma.github.io/Logging_2462/fåglar/A 25374-2024 prioriterade fågelarter.docx", "A 25374-2024")</f>
        <v/>
      </c>
    </row>
    <row r="239" ht="15" customHeight="1">
      <c r="A239" t="inlineStr">
        <is>
          <t>A 33913-2024</t>
        </is>
      </c>
      <c r="B239" s="1" t="n">
        <v>45523</v>
      </c>
      <c r="C239" s="1" t="n">
        <v>45839</v>
      </c>
      <c r="D239" t="inlineStr">
        <is>
          <t>VÄSTERBOTTENS LÄN</t>
        </is>
      </c>
      <c r="E239" t="inlineStr">
        <is>
          <t>VILHELMINA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HYPERLINK("https://klasma.github.io/Logging_2462/artfynd/A 33913-2024 artfynd.xlsx", "A 33913-2024")</f>
        <v/>
      </c>
      <c r="T239">
        <f>HYPERLINK("https://klasma.github.io/Logging_2462/kartor/A 33913-2024 karta.png", "A 33913-2024")</f>
        <v/>
      </c>
      <c r="V239">
        <f>HYPERLINK("https://klasma.github.io/Logging_2462/klagomål/A 33913-2024 FSC-klagomål.docx", "A 33913-2024")</f>
        <v/>
      </c>
      <c r="W239">
        <f>HYPERLINK("https://klasma.github.io/Logging_2462/klagomålsmail/A 33913-2024 FSC-klagomål mail.docx", "A 33913-2024")</f>
        <v/>
      </c>
      <c r="X239">
        <f>HYPERLINK("https://klasma.github.io/Logging_2462/tillsyn/A 33913-2024 tillsynsbegäran.docx", "A 33913-2024")</f>
        <v/>
      </c>
      <c r="Y239">
        <f>HYPERLINK("https://klasma.github.io/Logging_2462/tillsynsmail/A 33913-2024 tillsynsbegäran mail.docx", "A 33913-2024")</f>
        <v/>
      </c>
    </row>
    <row r="240" ht="15" customHeight="1">
      <c r="A240" t="inlineStr">
        <is>
          <t>A 34730-2024</t>
        </is>
      </c>
      <c r="B240" s="1" t="n">
        <v>45526</v>
      </c>
      <c r="C240" s="1" t="n">
        <v>45839</v>
      </c>
      <c r="D240" t="inlineStr">
        <is>
          <t>VÄSTERBOTTENS LÄN</t>
        </is>
      </c>
      <c r="E240" t="inlineStr">
        <is>
          <t>VILHELMINA</t>
        </is>
      </c>
      <c r="G240" t="n">
        <v>19.2</v>
      </c>
      <c r="H240" t="n">
        <v>0</v>
      </c>
      <c r="I240" t="n">
        <v>0</v>
      </c>
      <c r="J240" t="n">
        <v>1</v>
      </c>
      <c r="K240" t="n">
        <v>0</v>
      </c>
      <c r="L240" t="n">
        <v>0</v>
      </c>
      <c r="M240" t="n">
        <v>0</v>
      </c>
      <c r="N240" t="n">
        <v>0</v>
      </c>
      <c r="O240" t="n">
        <v>1</v>
      </c>
      <c r="P240" t="n">
        <v>0</v>
      </c>
      <c r="Q240" t="n">
        <v>1</v>
      </c>
      <c r="R240" s="2" t="inlineStr">
        <is>
          <t>Ullticka</t>
        </is>
      </c>
      <c r="S240">
        <f>HYPERLINK("https://klasma.github.io/Logging_2462/artfynd/A 34730-2024 artfynd.xlsx", "A 34730-2024")</f>
        <v/>
      </c>
      <c r="T240">
        <f>HYPERLINK("https://klasma.github.io/Logging_2462/kartor/A 34730-2024 karta.png", "A 34730-2024")</f>
        <v/>
      </c>
      <c r="V240">
        <f>HYPERLINK("https://klasma.github.io/Logging_2462/klagomål/A 34730-2024 FSC-klagomål.docx", "A 34730-2024")</f>
        <v/>
      </c>
      <c r="W240">
        <f>HYPERLINK("https://klasma.github.io/Logging_2462/klagomålsmail/A 34730-2024 FSC-klagomål mail.docx", "A 34730-2024")</f>
        <v/>
      </c>
      <c r="X240">
        <f>HYPERLINK("https://klasma.github.io/Logging_2462/tillsyn/A 34730-2024 tillsynsbegäran.docx", "A 34730-2024")</f>
        <v/>
      </c>
      <c r="Y240">
        <f>HYPERLINK("https://klasma.github.io/Logging_2462/tillsynsmail/A 34730-2024 tillsynsbegäran mail.docx", "A 34730-2024")</f>
        <v/>
      </c>
    </row>
    <row r="241" ht="15" customHeight="1">
      <c r="A241" t="inlineStr">
        <is>
          <t>A 34769-2024</t>
        </is>
      </c>
      <c r="B241" s="1" t="n">
        <v>45526</v>
      </c>
      <c r="C241" s="1" t="n">
        <v>45839</v>
      </c>
      <c r="D241" t="inlineStr">
        <is>
          <t>VÄSTERBOTTENS LÄN</t>
        </is>
      </c>
      <c r="E241" t="inlineStr">
        <is>
          <t>VILHELMINA</t>
        </is>
      </c>
      <c r="F241" t="inlineStr">
        <is>
          <t>SCA</t>
        </is>
      </c>
      <c r="G241" t="n">
        <v>6.7</v>
      </c>
      <c r="H241" t="n">
        <v>0</v>
      </c>
      <c r="I241" t="n">
        <v>0</v>
      </c>
      <c r="J241" t="n">
        <v>0</v>
      </c>
      <c r="K241" t="n">
        <v>1</v>
      </c>
      <c r="L241" t="n">
        <v>0</v>
      </c>
      <c r="M241" t="n">
        <v>0</v>
      </c>
      <c r="N241" t="n">
        <v>0</v>
      </c>
      <c r="O241" t="n">
        <v>1</v>
      </c>
      <c r="P241" t="n">
        <v>1</v>
      </c>
      <c r="Q241" t="n">
        <v>1</v>
      </c>
      <c r="R241" s="2" t="inlineStr">
        <is>
          <t>Rynkskinn</t>
        </is>
      </c>
      <c r="S241">
        <f>HYPERLINK("https://klasma.github.io/Logging_2462/artfynd/A 34769-2024 artfynd.xlsx", "A 34769-2024")</f>
        <v/>
      </c>
      <c r="T241">
        <f>HYPERLINK("https://klasma.github.io/Logging_2462/kartor/A 34769-2024 karta.png", "A 34769-2024")</f>
        <v/>
      </c>
      <c r="V241">
        <f>HYPERLINK("https://klasma.github.io/Logging_2462/klagomål/A 34769-2024 FSC-klagomål.docx", "A 34769-2024")</f>
        <v/>
      </c>
      <c r="W241">
        <f>HYPERLINK("https://klasma.github.io/Logging_2462/klagomålsmail/A 34769-2024 FSC-klagomål mail.docx", "A 34769-2024")</f>
        <v/>
      </c>
      <c r="X241">
        <f>HYPERLINK("https://klasma.github.io/Logging_2462/tillsyn/A 34769-2024 tillsynsbegäran.docx", "A 34769-2024")</f>
        <v/>
      </c>
      <c r="Y241">
        <f>HYPERLINK("https://klasma.github.io/Logging_2462/tillsynsmail/A 34769-2024 tillsynsbegäran mail.docx", "A 34769-2024")</f>
        <v/>
      </c>
    </row>
    <row r="242" ht="15" customHeight="1">
      <c r="A242" t="inlineStr">
        <is>
          <t>A 38131-2024</t>
        </is>
      </c>
      <c r="B242" s="1" t="n">
        <v>45545</v>
      </c>
      <c r="C242" s="1" t="n">
        <v>45839</v>
      </c>
      <c r="D242" t="inlineStr">
        <is>
          <t>VÄSTERBOTTENS LÄN</t>
        </is>
      </c>
      <c r="E242" t="inlineStr">
        <is>
          <t>VILHELMINA</t>
        </is>
      </c>
      <c r="F242" t="inlineStr">
        <is>
          <t>SCA</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38131-2024 artfynd.xlsx", "A 38131-2024")</f>
        <v/>
      </c>
      <c r="T242">
        <f>HYPERLINK("https://klasma.github.io/Logging_2462/kartor/A 38131-2024 karta.png", "A 38131-2024")</f>
        <v/>
      </c>
      <c r="V242">
        <f>HYPERLINK("https://klasma.github.io/Logging_2462/klagomål/A 38131-2024 FSC-klagomål.docx", "A 38131-2024")</f>
        <v/>
      </c>
      <c r="W242">
        <f>HYPERLINK("https://klasma.github.io/Logging_2462/klagomålsmail/A 38131-2024 FSC-klagomål mail.docx", "A 38131-2024")</f>
        <v/>
      </c>
      <c r="X242">
        <f>HYPERLINK("https://klasma.github.io/Logging_2462/tillsyn/A 38131-2024 tillsynsbegäran.docx", "A 38131-2024")</f>
        <v/>
      </c>
      <c r="Y242">
        <f>HYPERLINK("https://klasma.github.io/Logging_2462/tillsynsmail/A 38131-2024 tillsynsbegäran mail.docx", "A 38131-2024")</f>
        <v/>
      </c>
      <c r="Z242">
        <f>HYPERLINK("https://klasma.github.io/Logging_2462/fåglar/A 38131-2024 prioriterade fågelarter.docx", "A 38131-2024")</f>
        <v/>
      </c>
    </row>
    <row r="243" ht="15" customHeight="1">
      <c r="A243" t="inlineStr">
        <is>
          <t>A 38282-2024</t>
        </is>
      </c>
      <c r="B243" s="1" t="n">
        <v>45545</v>
      </c>
      <c r="C243" s="1" t="n">
        <v>45839</v>
      </c>
      <c r="D243" t="inlineStr">
        <is>
          <t>VÄSTERBOTTENS LÄN</t>
        </is>
      </c>
      <c r="E243" t="inlineStr">
        <is>
          <t>VILHELMINA</t>
        </is>
      </c>
      <c r="F243" t="inlineStr">
        <is>
          <t>SCA</t>
        </is>
      </c>
      <c r="G243" t="n">
        <v>3.4</v>
      </c>
      <c r="H243" t="n">
        <v>0</v>
      </c>
      <c r="I243" t="n">
        <v>0</v>
      </c>
      <c r="J243" t="n">
        <v>1</v>
      </c>
      <c r="K243" t="n">
        <v>0</v>
      </c>
      <c r="L243" t="n">
        <v>0</v>
      </c>
      <c r="M243" t="n">
        <v>0</v>
      </c>
      <c r="N243" t="n">
        <v>0</v>
      </c>
      <c r="O243" t="n">
        <v>1</v>
      </c>
      <c r="P243" t="n">
        <v>0</v>
      </c>
      <c r="Q243" t="n">
        <v>1</v>
      </c>
      <c r="R243" s="2" t="inlineStr">
        <is>
          <t>Gränsticka</t>
        </is>
      </c>
      <c r="S243">
        <f>HYPERLINK("https://klasma.github.io/Logging_2462/artfynd/A 38282-2024 artfynd.xlsx", "A 38282-2024")</f>
        <v/>
      </c>
      <c r="T243">
        <f>HYPERLINK("https://klasma.github.io/Logging_2462/kartor/A 38282-2024 karta.png", "A 38282-2024")</f>
        <v/>
      </c>
      <c r="V243">
        <f>HYPERLINK("https://klasma.github.io/Logging_2462/klagomål/A 38282-2024 FSC-klagomål.docx", "A 38282-2024")</f>
        <v/>
      </c>
      <c r="W243">
        <f>HYPERLINK("https://klasma.github.io/Logging_2462/klagomålsmail/A 38282-2024 FSC-klagomål mail.docx", "A 38282-2024")</f>
        <v/>
      </c>
      <c r="X243">
        <f>HYPERLINK("https://klasma.github.io/Logging_2462/tillsyn/A 38282-2024 tillsynsbegäran.docx", "A 38282-2024")</f>
        <v/>
      </c>
      <c r="Y243">
        <f>HYPERLINK("https://klasma.github.io/Logging_2462/tillsynsmail/A 38282-2024 tillsynsbegäran mail.docx", "A 38282-2024")</f>
        <v/>
      </c>
    </row>
    <row r="244" ht="15" customHeight="1">
      <c r="A244" t="inlineStr">
        <is>
          <t>A 42489-2024</t>
        </is>
      </c>
      <c r="B244" s="1" t="n">
        <v>45565</v>
      </c>
      <c r="C244" s="1" t="n">
        <v>45839</v>
      </c>
      <c r="D244" t="inlineStr">
        <is>
          <t>VÄSTERBOTTENS LÄN</t>
        </is>
      </c>
      <c r="E244" t="inlineStr">
        <is>
          <t>VILHELMINA</t>
        </is>
      </c>
      <c r="F244" t="inlineStr">
        <is>
          <t>SCA</t>
        </is>
      </c>
      <c r="G244" t="n">
        <v>1.9</v>
      </c>
      <c r="H244" t="n">
        <v>0</v>
      </c>
      <c r="I244" t="n">
        <v>0</v>
      </c>
      <c r="J244" t="n">
        <v>1</v>
      </c>
      <c r="K244" t="n">
        <v>0</v>
      </c>
      <c r="L244" t="n">
        <v>0</v>
      </c>
      <c r="M244" t="n">
        <v>0</v>
      </c>
      <c r="N244" t="n">
        <v>0</v>
      </c>
      <c r="O244" t="n">
        <v>1</v>
      </c>
      <c r="P244" t="n">
        <v>0</v>
      </c>
      <c r="Q244" t="n">
        <v>1</v>
      </c>
      <c r="R244" s="2" t="inlineStr">
        <is>
          <t>Granticka</t>
        </is>
      </c>
      <c r="S244">
        <f>HYPERLINK("https://klasma.github.io/Logging_2462/artfynd/A 42489-2024 artfynd.xlsx", "A 42489-2024")</f>
        <v/>
      </c>
      <c r="T244">
        <f>HYPERLINK("https://klasma.github.io/Logging_2462/kartor/A 42489-2024 karta.png", "A 42489-2024")</f>
        <v/>
      </c>
      <c r="V244">
        <f>HYPERLINK("https://klasma.github.io/Logging_2462/klagomål/A 42489-2024 FSC-klagomål.docx", "A 42489-2024")</f>
        <v/>
      </c>
      <c r="W244">
        <f>HYPERLINK("https://klasma.github.io/Logging_2462/klagomålsmail/A 42489-2024 FSC-klagomål mail.docx", "A 42489-2024")</f>
        <v/>
      </c>
      <c r="X244">
        <f>HYPERLINK("https://klasma.github.io/Logging_2462/tillsyn/A 42489-2024 tillsynsbegäran.docx", "A 42489-2024")</f>
        <v/>
      </c>
      <c r="Y244">
        <f>HYPERLINK("https://klasma.github.io/Logging_2462/tillsynsmail/A 42489-2024 tillsynsbegäran mail.docx", "A 42489-2024")</f>
        <v/>
      </c>
    </row>
    <row r="245" ht="15" customHeight="1">
      <c r="A245" t="inlineStr">
        <is>
          <t>A 44286-2024</t>
        </is>
      </c>
      <c r="B245" s="1" t="n">
        <v>45573</v>
      </c>
      <c r="C245" s="1" t="n">
        <v>45839</v>
      </c>
      <c r="D245" t="inlineStr">
        <is>
          <t>VÄSTERBOTTENS LÄN</t>
        </is>
      </c>
      <c r="E245" t="inlineStr">
        <is>
          <t>VILHELMINA</t>
        </is>
      </c>
      <c r="G245" t="n">
        <v>29.2</v>
      </c>
      <c r="H245" t="n">
        <v>1</v>
      </c>
      <c r="I245" t="n">
        <v>0</v>
      </c>
      <c r="J245" t="n">
        <v>1</v>
      </c>
      <c r="K245" t="n">
        <v>0</v>
      </c>
      <c r="L245" t="n">
        <v>0</v>
      </c>
      <c r="M245" t="n">
        <v>0</v>
      </c>
      <c r="N245" t="n">
        <v>0</v>
      </c>
      <c r="O245" t="n">
        <v>1</v>
      </c>
      <c r="P245" t="n">
        <v>0</v>
      </c>
      <c r="Q245" t="n">
        <v>1</v>
      </c>
      <c r="R245" s="2" t="inlineStr">
        <is>
          <t>Videsparv</t>
        </is>
      </c>
      <c r="S245">
        <f>HYPERLINK("https://klasma.github.io/Logging_2462/artfynd/A 44286-2024 artfynd.xlsx", "A 44286-2024")</f>
        <v/>
      </c>
      <c r="T245">
        <f>HYPERLINK("https://klasma.github.io/Logging_2462/kartor/A 44286-2024 karta.png", "A 44286-2024")</f>
        <v/>
      </c>
      <c r="V245">
        <f>HYPERLINK("https://klasma.github.io/Logging_2462/klagomål/A 44286-2024 FSC-klagomål.docx", "A 44286-2024")</f>
        <v/>
      </c>
      <c r="W245">
        <f>HYPERLINK("https://klasma.github.io/Logging_2462/klagomålsmail/A 44286-2024 FSC-klagomål mail.docx", "A 44286-2024")</f>
        <v/>
      </c>
      <c r="X245">
        <f>HYPERLINK("https://klasma.github.io/Logging_2462/tillsyn/A 44286-2024 tillsynsbegäran.docx", "A 44286-2024")</f>
        <v/>
      </c>
      <c r="Y245">
        <f>HYPERLINK("https://klasma.github.io/Logging_2462/tillsynsmail/A 44286-2024 tillsynsbegäran mail.docx", "A 44286-2024")</f>
        <v/>
      </c>
      <c r="Z245">
        <f>HYPERLINK("https://klasma.github.io/Logging_2462/fåglar/A 44286-2024 prioriterade fågelarter.docx", "A 44286-2024")</f>
        <v/>
      </c>
    </row>
    <row r="246" ht="15" customHeight="1">
      <c r="A246" t="inlineStr">
        <is>
          <t>A 47248-2024</t>
        </is>
      </c>
      <c r="B246" s="1" t="n">
        <v>45586</v>
      </c>
      <c r="C246" s="1" t="n">
        <v>45839</v>
      </c>
      <c r="D246" t="inlineStr">
        <is>
          <t>VÄSTERBOTTENS LÄN</t>
        </is>
      </c>
      <c r="E246" t="inlineStr">
        <is>
          <t>VILHELMINA</t>
        </is>
      </c>
      <c r="F246" t="inlineStr">
        <is>
          <t>SCA</t>
        </is>
      </c>
      <c r="G246" t="n">
        <v>4</v>
      </c>
      <c r="H246" t="n">
        <v>0</v>
      </c>
      <c r="I246" t="n">
        <v>0</v>
      </c>
      <c r="J246" t="n">
        <v>1</v>
      </c>
      <c r="K246" t="n">
        <v>0</v>
      </c>
      <c r="L246" t="n">
        <v>0</v>
      </c>
      <c r="M246" t="n">
        <v>0</v>
      </c>
      <c r="N246" t="n">
        <v>0</v>
      </c>
      <c r="O246" t="n">
        <v>1</v>
      </c>
      <c r="P246" t="n">
        <v>0</v>
      </c>
      <c r="Q246" t="n">
        <v>1</v>
      </c>
      <c r="R246" s="2" t="inlineStr">
        <is>
          <t>Granticka</t>
        </is>
      </c>
      <c r="S246">
        <f>HYPERLINK("https://klasma.github.io/Logging_2462/artfynd/A 47248-2024 artfynd.xlsx", "A 47248-2024")</f>
        <v/>
      </c>
      <c r="T246">
        <f>HYPERLINK("https://klasma.github.io/Logging_2462/kartor/A 47248-2024 karta.png", "A 47248-2024")</f>
        <v/>
      </c>
      <c r="V246">
        <f>HYPERLINK("https://klasma.github.io/Logging_2462/klagomål/A 47248-2024 FSC-klagomål.docx", "A 47248-2024")</f>
        <v/>
      </c>
      <c r="W246">
        <f>HYPERLINK("https://klasma.github.io/Logging_2462/klagomålsmail/A 47248-2024 FSC-klagomål mail.docx", "A 47248-2024")</f>
        <v/>
      </c>
      <c r="X246">
        <f>HYPERLINK("https://klasma.github.io/Logging_2462/tillsyn/A 47248-2024 tillsynsbegäran.docx", "A 47248-2024")</f>
        <v/>
      </c>
      <c r="Y246">
        <f>HYPERLINK("https://klasma.github.io/Logging_2462/tillsynsmail/A 47248-2024 tillsynsbegäran mail.docx", "A 47248-2024")</f>
        <v/>
      </c>
    </row>
    <row r="247" ht="15" customHeight="1">
      <c r="A247" t="inlineStr">
        <is>
          <t>A 59001-2024</t>
        </is>
      </c>
      <c r="B247" s="1" t="n">
        <v>45636</v>
      </c>
      <c r="C247" s="1" t="n">
        <v>45839</v>
      </c>
      <c r="D247" t="inlineStr">
        <is>
          <t>VÄSTERBOTTENS LÄN</t>
        </is>
      </c>
      <c r="E247" t="inlineStr">
        <is>
          <t>VILHELMINA</t>
        </is>
      </c>
      <c r="F247" t="inlineStr">
        <is>
          <t>Allmännings- och besparingsskogar</t>
        </is>
      </c>
      <c r="G247" t="n">
        <v>32.5</v>
      </c>
      <c r="H247" t="n">
        <v>0</v>
      </c>
      <c r="I247" t="n">
        <v>0</v>
      </c>
      <c r="J247" t="n">
        <v>1</v>
      </c>
      <c r="K247" t="n">
        <v>0</v>
      </c>
      <c r="L247" t="n">
        <v>0</v>
      </c>
      <c r="M247" t="n">
        <v>0</v>
      </c>
      <c r="N247" t="n">
        <v>0</v>
      </c>
      <c r="O247" t="n">
        <v>1</v>
      </c>
      <c r="P247" t="n">
        <v>0</v>
      </c>
      <c r="Q247" t="n">
        <v>1</v>
      </c>
      <c r="R247" s="2" t="inlineStr">
        <is>
          <t>Gammelgransskål</t>
        </is>
      </c>
      <c r="S247">
        <f>HYPERLINK("https://klasma.github.io/Logging_2462/artfynd/A 59001-2024 artfynd.xlsx", "A 59001-2024")</f>
        <v/>
      </c>
      <c r="T247">
        <f>HYPERLINK("https://klasma.github.io/Logging_2462/kartor/A 59001-2024 karta.png", "A 59001-2024")</f>
        <v/>
      </c>
      <c r="V247">
        <f>HYPERLINK("https://klasma.github.io/Logging_2462/klagomål/A 59001-2024 FSC-klagomål.docx", "A 59001-2024")</f>
        <v/>
      </c>
      <c r="W247">
        <f>HYPERLINK("https://klasma.github.io/Logging_2462/klagomålsmail/A 59001-2024 FSC-klagomål mail.docx", "A 59001-2024")</f>
        <v/>
      </c>
      <c r="X247">
        <f>HYPERLINK("https://klasma.github.io/Logging_2462/tillsyn/A 59001-2024 tillsynsbegäran.docx", "A 59001-2024")</f>
        <v/>
      </c>
      <c r="Y247">
        <f>HYPERLINK("https://klasma.github.io/Logging_2462/tillsynsmail/A 59001-2024 tillsynsbegäran mail.docx", "A 59001-2024")</f>
        <v/>
      </c>
    </row>
    <row r="248" ht="15" customHeight="1">
      <c r="A248" t="inlineStr">
        <is>
          <t>A 1327-2025</t>
        </is>
      </c>
      <c r="B248" s="1" t="n">
        <v>45667</v>
      </c>
      <c r="C248" s="1" t="n">
        <v>45839</v>
      </c>
      <c r="D248" t="inlineStr">
        <is>
          <t>VÄSTERBOTTENS LÄN</t>
        </is>
      </c>
      <c r="E248" t="inlineStr">
        <is>
          <t>VILHELMINA</t>
        </is>
      </c>
      <c r="G248" t="n">
        <v>7.9</v>
      </c>
      <c r="H248" t="n">
        <v>0</v>
      </c>
      <c r="I248" t="n">
        <v>0</v>
      </c>
      <c r="J248" t="n">
        <v>0</v>
      </c>
      <c r="K248" t="n">
        <v>1</v>
      </c>
      <c r="L248" t="n">
        <v>0</v>
      </c>
      <c r="M248" t="n">
        <v>0</v>
      </c>
      <c r="N248" t="n">
        <v>0</v>
      </c>
      <c r="O248" t="n">
        <v>1</v>
      </c>
      <c r="P248" t="n">
        <v>1</v>
      </c>
      <c r="Q248" t="n">
        <v>1</v>
      </c>
      <c r="R248" s="2" t="inlineStr">
        <is>
          <t>Rynkskinn</t>
        </is>
      </c>
      <c r="S248">
        <f>HYPERLINK("https://klasma.github.io/Logging_2462/artfynd/A 1327-2025 artfynd.xlsx", "A 1327-2025")</f>
        <v/>
      </c>
      <c r="T248">
        <f>HYPERLINK("https://klasma.github.io/Logging_2462/kartor/A 1327-2025 karta.png", "A 1327-2025")</f>
        <v/>
      </c>
      <c r="V248">
        <f>HYPERLINK("https://klasma.github.io/Logging_2462/klagomål/A 1327-2025 FSC-klagomål.docx", "A 1327-2025")</f>
        <v/>
      </c>
      <c r="W248">
        <f>HYPERLINK("https://klasma.github.io/Logging_2462/klagomålsmail/A 1327-2025 FSC-klagomål mail.docx", "A 1327-2025")</f>
        <v/>
      </c>
      <c r="X248">
        <f>HYPERLINK("https://klasma.github.io/Logging_2462/tillsyn/A 1327-2025 tillsynsbegäran.docx", "A 1327-2025")</f>
        <v/>
      </c>
      <c r="Y248">
        <f>HYPERLINK("https://klasma.github.io/Logging_2462/tillsynsmail/A 1327-2025 tillsynsbegäran mail.docx", "A 1327-2025")</f>
        <v/>
      </c>
    </row>
    <row r="249" ht="15" customHeight="1">
      <c r="A249" t="inlineStr">
        <is>
          <t>A 13523-2025</t>
        </is>
      </c>
      <c r="B249" s="1" t="n">
        <v>45736</v>
      </c>
      <c r="C249" s="1" t="n">
        <v>45839</v>
      </c>
      <c r="D249" t="inlineStr">
        <is>
          <t>VÄSTERBOTTENS LÄN</t>
        </is>
      </c>
      <c r="E249" t="inlineStr">
        <is>
          <t>VILHELMINA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HYPERLINK("https://klasma.github.io/Logging_242462/artfynd/A 13523-2025 artfynd.xlsx", "A 13523-2025")</f>
        <v/>
      </c>
      <c r="T249">
        <f>HYPERLINK("https://klasma.github.io/Logging_242462/kartor/A 13523-2025 karta.png", "A 13523-2025")</f>
        <v/>
      </c>
      <c r="V249">
        <f>HYPERLINK("https://klasma.github.io/Logging_242462/klagomål/A 13523-2025 FSC-klagomål.docx", "A 13523-2025")</f>
        <v/>
      </c>
      <c r="W249">
        <f>HYPERLINK("https://klasma.github.io/Logging_242462/klagomålsmail/A 13523-2025 FSC-klagomål mail.docx", "A 13523-2025")</f>
        <v/>
      </c>
      <c r="X249">
        <f>HYPERLINK("https://klasma.github.io/Logging_242462/tillsyn/A 13523-2025 tillsynsbegäran.docx", "A 13523-2025")</f>
        <v/>
      </c>
      <c r="Y249">
        <f>HYPERLINK("https://klasma.github.io/Logging_242462/tillsynsmail/A 13523-2025 tillsynsbegäran mail.docx", "A 13523-2025")</f>
        <v/>
      </c>
    </row>
    <row r="250" ht="15" customHeight="1">
      <c r="A250" t="inlineStr">
        <is>
          <t>A 17253-2025</t>
        </is>
      </c>
      <c r="B250" s="1" t="n">
        <v>45756</v>
      </c>
      <c r="C250" s="1" t="n">
        <v>45839</v>
      </c>
      <c r="D250" t="inlineStr">
        <is>
          <t>VÄSTERBOTTENS LÄN</t>
        </is>
      </c>
      <c r="E250" t="inlineStr">
        <is>
          <t>VILHELMINA</t>
        </is>
      </c>
      <c r="F250" t="inlineStr">
        <is>
          <t>SCA</t>
        </is>
      </c>
      <c r="G250" t="n">
        <v>6.5</v>
      </c>
      <c r="H250" t="n">
        <v>0</v>
      </c>
      <c r="I250" t="n">
        <v>0</v>
      </c>
      <c r="J250" t="n">
        <v>1</v>
      </c>
      <c r="K250" t="n">
        <v>0</v>
      </c>
      <c r="L250" t="n">
        <v>0</v>
      </c>
      <c r="M250" t="n">
        <v>0</v>
      </c>
      <c r="N250" t="n">
        <v>0</v>
      </c>
      <c r="O250" t="n">
        <v>1</v>
      </c>
      <c r="P250" t="n">
        <v>0</v>
      </c>
      <c r="Q250" t="n">
        <v>1</v>
      </c>
      <c r="R250" s="2" t="inlineStr">
        <is>
          <t>Granticka</t>
        </is>
      </c>
      <c r="S250">
        <f>HYPERLINK("https://klasma.github.io/Logging_242462/artfynd/A 17253-2025 artfynd.xlsx", "A 17253-2025")</f>
        <v/>
      </c>
      <c r="T250">
        <f>HYPERLINK("https://klasma.github.io/Logging_242462/kartor/A 17253-2025 karta.png", "A 17253-2025")</f>
        <v/>
      </c>
      <c r="V250">
        <f>HYPERLINK("https://klasma.github.io/Logging_242462/klagomål/A 17253-2025 FSC-klagomål.docx", "A 17253-2025")</f>
        <v/>
      </c>
      <c r="W250">
        <f>HYPERLINK("https://klasma.github.io/Logging_242462/klagomålsmail/A 17253-2025 FSC-klagomål mail.docx", "A 17253-2025")</f>
        <v/>
      </c>
      <c r="X250">
        <f>HYPERLINK("https://klasma.github.io/Logging_242462/tillsyn/A 17253-2025 tillsynsbegäran.docx", "A 17253-2025")</f>
        <v/>
      </c>
      <c r="Y250">
        <f>HYPERLINK("https://klasma.github.io/Logging_242462/tillsynsmail/A 17253-2025 tillsynsbegäran mail.docx", "A 17253-2025")</f>
        <v/>
      </c>
    </row>
    <row r="251" ht="15" customHeight="1">
      <c r="A251" t="inlineStr">
        <is>
          <t>A 25977-2025</t>
        </is>
      </c>
      <c r="B251" s="1" t="n">
        <v>45804</v>
      </c>
      <c r="C251" s="1" t="n">
        <v>45839</v>
      </c>
      <c r="D251" t="inlineStr">
        <is>
          <t>VÄSTERBOTTENS LÄN</t>
        </is>
      </c>
      <c r="E251" t="inlineStr">
        <is>
          <t>VILHELMINA</t>
        </is>
      </c>
      <c r="F251" t="inlineStr">
        <is>
          <t>SCA</t>
        </is>
      </c>
      <c r="G251" t="n">
        <v>6.2</v>
      </c>
      <c r="H251" t="n">
        <v>0</v>
      </c>
      <c r="I251" t="n">
        <v>0</v>
      </c>
      <c r="J251" t="n">
        <v>1</v>
      </c>
      <c r="K251" t="n">
        <v>0</v>
      </c>
      <c r="L251" t="n">
        <v>0</v>
      </c>
      <c r="M251" t="n">
        <v>0</v>
      </c>
      <c r="N251" t="n">
        <v>0</v>
      </c>
      <c r="O251" t="n">
        <v>1</v>
      </c>
      <c r="P251" t="n">
        <v>0</v>
      </c>
      <c r="Q251" t="n">
        <v>1</v>
      </c>
      <c r="R251" s="2" t="inlineStr">
        <is>
          <t>Rosenticka</t>
        </is>
      </c>
      <c r="S251">
        <f>HYPERLINK("https://klasma.github.io/Logging_242462/artfynd/A 25977-2025 artfynd.xlsx", "A 25977-2025")</f>
        <v/>
      </c>
      <c r="T251">
        <f>HYPERLINK("https://klasma.github.io/Logging_242462/kartor/A 25977-2025 karta.png", "A 25977-2025")</f>
        <v/>
      </c>
      <c r="V251">
        <f>HYPERLINK("https://klasma.github.io/Logging_242462/klagomål/A 25977-2025 FSC-klagomål.docx", "A 25977-2025")</f>
        <v/>
      </c>
      <c r="W251">
        <f>HYPERLINK("https://klasma.github.io/Logging_242462/klagomålsmail/A 25977-2025 FSC-klagomål mail.docx", "A 25977-2025")</f>
        <v/>
      </c>
      <c r="X251">
        <f>HYPERLINK("https://klasma.github.io/Logging_242462/tillsyn/A 25977-2025 tillsynsbegäran.docx", "A 25977-2025")</f>
        <v/>
      </c>
      <c r="Y251">
        <f>HYPERLINK("https://klasma.github.io/Logging_242462/tillsynsmail/A 25977-2025 tillsynsbegäran mail.docx", "A 25977-2025")</f>
        <v/>
      </c>
    </row>
    <row r="252" ht="15" customHeight="1">
      <c r="A252" t="inlineStr">
        <is>
          <t>A 29121-2025</t>
        </is>
      </c>
      <c r="B252" s="1" t="n">
        <v>45821</v>
      </c>
      <c r="C252" s="1" t="n">
        <v>45839</v>
      </c>
      <c r="D252" t="inlineStr">
        <is>
          <t>VÄSTERBOTTENS LÄN</t>
        </is>
      </c>
      <c r="E252" t="inlineStr">
        <is>
          <t>VILHELMINA</t>
        </is>
      </c>
      <c r="F252" t="inlineStr">
        <is>
          <t>SCA</t>
        </is>
      </c>
      <c r="G252" t="n">
        <v>4.4</v>
      </c>
      <c r="H252" t="n">
        <v>0</v>
      </c>
      <c r="I252" t="n">
        <v>0</v>
      </c>
      <c r="J252" t="n">
        <v>1</v>
      </c>
      <c r="K252" t="n">
        <v>0</v>
      </c>
      <c r="L252" t="n">
        <v>0</v>
      </c>
      <c r="M252" t="n">
        <v>0</v>
      </c>
      <c r="N252" t="n">
        <v>0</v>
      </c>
      <c r="O252" t="n">
        <v>1</v>
      </c>
      <c r="P252" t="n">
        <v>0</v>
      </c>
      <c r="Q252" t="n">
        <v>1</v>
      </c>
      <c r="R252" s="2" t="inlineStr">
        <is>
          <t>Ullticka</t>
        </is>
      </c>
      <c r="S252">
        <f>HYPERLINK("https://klasma.github.io/Logging_242462/artfynd/A 29121-2025 artfynd.xlsx", "A 29121-2025")</f>
        <v/>
      </c>
      <c r="T252">
        <f>HYPERLINK("https://klasma.github.io/Logging_242462/kartor/A 29121-2025 karta.png", "A 29121-2025")</f>
        <v/>
      </c>
      <c r="V252">
        <f>HYPERLINK("https://klasma.github.io/Logging_242462/klagomål/A 29121-2025 FSC-klagomål.docx", "A 29121-2025")</f>
        <v/>
      </c>
      <c r="W252">
        <f>HYPERLINK("https://klasma.github.io/Logging_242462/klagomålsmail/A 29121-2025 FSC-klagomål mail.docx", "A 29121-2025")</f>
        <v/>
      </c>
      <c r="X252">
        <f>HYPERLINK("https://klasma.github.io/Logging_242462/tillsyn/A 29121-2025 tillsynsbegäran.docx", "A 29121-2025")</f>
        <v/>
      </c>
      <c r="Y252">
        <f>HYPERLINK("https://klasma.github.io/Logging_242462/tillsynsmail/A 29121-2025 tillsynsbegäran mail.docx", "A 29121-2025")</f>
        <v/>
      </c>
    </row>
    <row r="253" ht="15" customHeight="1">
      <c r="A253" t="inlineStr">
        <is>
          <t>A 29434-2025</t>
        </is>
      </c>
      <c r="B253" s="1" t="n">
        <v>45824</v>
      </c>
      <c r="C253" s="1" t="n">
        <v>45839</v>
      </c>
      <c r="D253" t="inlineStr">
        <is>
          <t>VÄSTERBOTTENS LÄN</t>
        </is>
      </c>
      <c r="E253" t="inlineStr">
        <is>
          <t>VILHELMINA</t>
        </is>
      </c>
      <c r="F253" t="inlineStr">
        <is>
          <t>SCA</t>
        </is>
      </c>
      <c r="G253" t="n">
        <v>5.9</v>
      </c>
      <c r="H253" t="n">
        <v>0</v>
      </c>
      <c r="I253" t="n">
        <v>1</v>
      </c>
      <c r="J253" t="n">
        <v>0</v>
      </c>
      <c r="K253" t="n">
        <v>0</v>
      </c>
      <c r="L253" t="n">
        <v>0</v>
      </c>
      <c r="M253" t="n">
        <v>0</v>
      </c>
      <c r="N253" t="n">
        <v>0</v>
      </c>
      <c r="O253" t="n">
        <v>0</v>
      </c>
      <c r="P253" t="n">
        <v>0</v>
      </c>
      <c r="Q253" t="n">
        <v>1</v>
      </c>
      <c r="R253" s="2" t="inlineStr">
        <is>
          <t>Tibast</t>
        </is>
      </c>
      <c r="S253">
        <f>HYPERLINK("https://klasma.github.io/Logging_242462/artfynd/A 29434-2025 artfynd.xlsx", "A 29434-2025")</f>
        <v/>
      </c>
      <c r="T253">
        <f>HYPERLINK("https://klasma.github.io/Logging_242462/kartor/A 29434-2025 karta.png", "A 29434-2025")</f>
        <v/>
      </c>
      <c r="V253">
        <f>HYPERLINK("https://klasma.github.io/Logging_242462/klagomål/A 29434-2025 FSC-klagomål.docx", "A 29434-2025")</f>
        <v/>
      </c>
      <c r="W253">
        <f>HYPERLINK("https://klasma.github.io/Logging_242462/klagomålsmail/A 29434-2025 FSC-klagomål mail.docx", "A 29434-2025")</f>
        <v/>
      </c>
      <c r="X253">
        <f>HYPERLINK("https://klasma.github.io/Logging_242462/tillsyn/A 29434-2025 tillsynsbegäran.docx", "A 29434-2025")</f>
        <v/>
      </c>
      <c r="Y253">
        <f>HYPERLINK("https://klasma.github.io/Logging_242462/tillsynsmail/A 29434-2025 tillsynsbegäran mail.docx", "A 29434-2025")</f>
        <v/>
      </c>
    </row>
    <row r="254" ht="15" customHeight="1">
      <c r="A254" t="inlineStr">
        <is>
          <t>A 18521-2019</t>
        </is>
      </c>
      <c r="B254" s="1" t="n">
        <v>43558</v>
      </c>
      <c r="C254" s="1" t="n">
        <v>45839</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18529-2019</t>
        </is>
      </c>
      <c r="B255" s="1" t="n">
        <v>43559</v>
      </c>
      <c r="C255" s="1" t="n">
        <v>45839</v>
      </c>
      <c r="D255" t="inlineStr">
        <is>
          <t>VÄSTERBOTTENS LÄN</t>
        </is>
      </c>
      <c r="E255" t="inlineStr">
        <is>
          <t>VILHELMINA</t>
        </is>
      </c>
      <c r="F255" t="inlineStr">
        <is>
          <t>Kommuner</t>
        </is>
      </c>
      <c r="G255" t="n">
        <v>3</v>
      </c>
      <c r="H255" t="n">
        <v>0</v>
      </c>
      <c r="I255" t="n">
        <v>0</v>
      </c>
      <c r="J255" t="n">
        <v>0</v>
      </c>
      <c r="K255" t="n">
        <v>0</v>
      </c>
      <c r="L255" t="n">
        <v>0</v>
      </c>
      <c r="M255" t="n">
        <v>0</v>
      </c>
      <c r="N255" t="n">
        <v>0</v>
      </c>
      <c r="O255" t="n">
        <v>0</v>
      </c>
      <c r="P255" t="n">
        <v>0</v>
      </c>
      <c r="Q255" t="n">
        <v>0</v>
      </c>
      <c r="R255" s="2" t="inlineStr"/>
    </row>
    <row r="256" ht="15" customHeight="1">
      <c r="A256" t="inlineStr">
        <is>
          <t>A 18449-2019</t>
        </is>
      </c>
      <c r="B256" s="1" t="n">
        <v>43559</v>
      </c>
      <c r="C256" s="1" t="n">
        <v>45839</v>
      </c>
      <c r="D256" t="inlineStr">
        <is>
          <t>VÄSTERBOTTENS LÄN</t>
        </is>
      </c>
      <c r="E256" t="inlineStr">
        <is>
          <t>VILHELMINA</t>
        </is>
      </c>
      <c r="F256" t="inlineStr">
        <is>
          <t>Kommuner</t>
        </is>
      </c>
      <c r="G256" t="n">
        <v>20.8</v>
      </c>
      <c r="H256" t="n">
        <v>0</v>
      </c>
      <c r="I256" t="n">
        <v>0</v>
      </c>
      <c r="J256" t="n">
        <v>0</v>
      </c>
      <c r="K256" t="n">
        <v>0</v>
      </c>
      <c r="L256" t="n">
        <v>0</v>
      </c>
      <c r="M256" t="n">
        <v>0</v>
      </c>
      <c r="N256" t="n">
        <v>0</v>
      </c>
      <c r="O256" t="n">
        <v>0</v>
      </c>
      <c r="P256" t="n">
        <v>0</v>
      </c>
      <c r="Q256" t="n">
        <v>0</v>
      </c>
      <c r="R256" s="2" t="inlineStr"/>
    </row>
    <row r="257" ht="15" customHeight="1">
      <c r="A257" t="inlineStr">
        <is>
          <t>A 19130-2019</t>
        </is>
      </c>
      <c r="B257" s="1" t="n">
        <v>43564</v>
      </c>
      <c r="C257" s="1" t="n">
        <v>45839</v>
      </c>
      <c r="D257" t="inlineStr">
        <is>
          <t>VÄSTERBOTTENS LÄN</t>
        </is>
      </c>
      <c r="E257" t="inlineStr">
        <is>
          <t>VILHELMINA</t>
        </is>
      </c>
      <c r="G257" t="n">
        <v>5.6</v>
      </c>
      <c r="H257" t="n">
        <v>0</v>
      </c>
      <c r="I257" t="n">
        <v>0</v>
      </c>
      <c r="J257" t="n">
        <v>0</v>
      </c>
      <c r="K257" t="n">
        <v>0</v>
      </c>
      <c r="L257" t="n">
        <v>0</v>
      </c>
      <c r="M257" t="n">
        <v>0</v>
      </c>
      <c r="N257" t="n">
        <v>0</v>
      </c>
      <c r="O257" t="n">
        <v>0</v>
      </c>
      <c r="P257" t="n">
        <v>0</v>
      </c>
      <c r="Q257" t="n">
        <v>0</v>
      </c>
      <c r="R257" s="2" t="inlineStr"/>
    </row>
    <row r="258" ht="15" customHeight="1">
      <c r="A258" t="inlineStr">
        <is>
          <t>A 23278-2019</t>
        </is>
      </c>
      <c r="B258" s="1" t="n">
        <v>43592</v>
      </c>
      <c r="C258" s="1" t="n">
        <v>45839</v>
      </c>
      <c r="D258" t="inlineStr">
        <is>
          <t>VÄSTERBOTTENS LÄN</t>
        </is>
      </c>
      <c r="E258" t="inlineStr">
        <is>
          <t>VILHELMINA</t>
        </is>
      </c>
      <c r="F258" t="inlineStr">
        <is>
          <t>SCA</t>
        </is>
      </c>
      <c r="G258" t="n">
        <v>6.6</v>
      </c>
      <c r="H258" t="n">
        <v>0</v>
      </c>
      <c r="I258" t="n">
        <v>0</v>
      </c>
      <c r="J258" t="n">
        <v>0</v>
      </c>
      <c r="K258" t="n">
        <v>0</v>
      </c>
      <c r="L258" t="n">
        <v>0</v>
      </c>
      <c r="M258" t="n">
        <v>0</v>
      </c>
      <c r="N258" t="n">
        <v>0</v>
      </c>
      <c r="O258" t="n">
        <v>0</v>
      </c>
      <c r="P258" t="n">
        <v>0</v>
      </c>
      <c r="Q258" t="n">
        <v>0</v>
      </c>
      <c r="R258" s="2" t="inlineStr"/>
    </row>
    <row r="259" ht="15" customHeight="1">
      <c r="A259" t="inlineStr">
        <is>
          <t>A 23277-2019</t>
        </is>
      </c>
      <c r="B259" s="1" t="n">
        <v>43592</v>
      </c>
      <c r="C259" s="1" t="n">
        <v>45839</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23724-2019</t>
        </is>
      </c>
      <c r="B260" s="1" t="n">
        <v>43594</v>
      </c>
      <c r="C260" s="1" t="n">
        <v>45839</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23723-2019</t>
        </is>
      </c>
      <c r="B261" s="1" t="n">
        <v>43594</v>
      </c>
      <c r="C261" s="1" t="n">
        <v>45839</v>
      </c>
      <c r="D261" t="inlineStr">
        <is>
          <t>VÄSTERBOTTENS LÄN</t>
        </is>
      </c>
      <c r="E261" t="inlineStr">
        <is>
          <t>VILHELMINA</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26852-2019</t>
        </is>
      </c>
      <c r="B262" s="1" t="n">
        <v>43608</v>
      </c>
      <c r="C262" s="1" t="n">
        <v>45839</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26896-2019</t>
        </is>
      </c>
      <c r="B263" s="1" t="n">
        <v>43608</v>
      </c>
      <c r="C263" s="1" t="n">
        <v>45839</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27075-2019</t>
        </is>
      </c>
      <c r="B264" s="1" t="n">
        <v>43612</v>
      </c>
      <c r="C264" s="1" t="n">
        <v>45839</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26763-2019</t>
        </is>
      </c>
      <c r="B265" s="1" t="n">
        <v>43613</v>
      </c>
      <c r="C265" s="1" t="n">
        <v>45839</v>
      </c>
      <c r="D265" t="inlineStr">
        <is>
          <t>VÄSTERBOTTENS LÄN</t>
        </is>
      </c>
      <c r="E265" t="inlineStr">
        <is>
          <t>VILHELMINA</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27254-2019</t>
        </is>
      </c>
      <c r="B266" s="1" t="n">
        <v>43614</v>
      </c>
      <c r="C266" s="1" t="n">
        <v>45839</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27253-2019</t>
        </is>
      </c>
      <c r="B267" s="1" t="n">
        <v>43614</v>
      </c>
      <c r="C267" s="1" t="n">
        <v>45839</v>
      </c>
      <c r="D267" t="inlineStr">
        <is>
          <t>VÄSTERBOTTENS LÄN</t>
        </is>
      </c>
      <c r="E267" t="inlineStr">
        <is>
          <t>VILHELMINA</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31612-2019</t>
        </is>
      </c>
      <c r="B268" s="1" t="n">
        <v>43640</v>
      </c>
      <c r="C268" s="1" t="n">
        <v>45839</v>
      </c>
      <c r="D268" t="inlineStr">
        <is>
          <t>VÄSTERBOTTENS LÄN</t>
        </is>
      </c>
      <c r="E268" t="inlineStr">
        <is>
          <t>VILHELMINA</t>
        </is>
      </c>
      <c r="G268" t="n">
        <v>1.3</v>
      </c>
      <c r="H268" t="n">
        <v>0</v>
      </c>
      <c r="I268" t="n">
        <v>0</v>
      </c>
      <c r="J268" t="n">
        <v>0</v>
      </c>
      <c r="K268" t="n">
        <v>0</v>
      </c>
      <c r="L268" t="n">
        <v>0</v>
      </c>
      <c r="M268" t="n">
        <v>0</v>
      </c>
      <c r="N268" t="n">
        <v>0</v>
      </c>
      <c r="O268" t="n">
        <v>0</v>
      </c>
      <c r="P268" t="n">
        <v>0</v>
      </c>
      <c r="Q268" t="n">
        <v>0</v>
      </c>
      <c r="R268" s="2" t="inlineStr"/>
    </row>
    <row r="269" ht="15" customHeight="1">
      <c r="A269" t="inlineStr">
        <is>
          <t>A 31615-2019</t>
        </is>
      </c>
      <c r="B269" s="1" t="n">
        <v>43640</v>
      </c>
      <c r="C269" s="1" t="n">
        <v>45839</v>
      </c>
      <c r="D269" t="inlineStr">
        <is>
          <t>VÄSTERBOTTENS LÄN</t>
        </is>
      </c>
      <c r="E269" t="inlineStr">
        <is>
          <t>VILHELMINA</t>
        </is>
      </c>
      <c r="G269" t="n">
        <v>3.1</v>
      </c>
      <c r="H269" t="n">
        <v>0</v>
      </c>
      <c r="I269" t="n">
        <v>0</v>
      </c>
      <c r="J269" t="n">
        <v>0</v>
      </c>
      <c r="K269" t="n">
        <v>0</v>
      </c>
      <c r="L269" t="n">
        <v>0</v>
      </c>
      <c r="M269" t="n">
        <v>0</v>
      </c>
      <c r="N269" t="n">
        <v>0</v>
      </c>
      <c r="O269" t="n">
        <v>0</v>
      </c>
      <c r="P269" t="n">
        <v>0</v>
      </c>
      <c r="Q269" t="n">
        <v>0</v>
      </c>
      <c r="R269" s="2" t="inlineStr"/>
    </row>
    <row r="270" ht="15" customHeight="1">
      <c r="A270" t="inlineStr">
        <is>
          <t>A 31610-2019</t>
        </is>
      </c>
      <c r="B270" s="1" t="n">
        <v>43640</v>
      </c>
      <c r="C270" s="1" t="n">
        <v>45839</v>
      </c>
      <c r="D270" t="inlineStr">
        <is>
          <t>VÄSTERBOTTENS LÄN</t>
        </is>
      </c>
      <c r="E270" t="inlineStr">
        <is>
          <t>VILHELMINA</t>
        </is>
      </c>
      <c r="G270" t="n">
        <v>1</v>
      </c>
      <c r="H270" t="n">
        <v>0</v>
      </c>
      <c r="I270" t="n">
        <v>0</v>
      </c>
      <c r="J270" t="n">
        <v>0</v>
      </c>
      <c r="K270" t="n">
        <v>0</v>
      </c>
      <c r="L270" t="n">
        <v>0</v>
      </c>
      <c r="M270" t="n">
        <v>0</v>
      </c>
      <c r="N270" t="n">
        <v>0</v>
      </c>
      <c r="O270" t="n">
        <v>0</v>
      </c>
      <c r="P270" t="n">
        <v>0</v>
      </c>
      <c r="Q270" t="n">
        <v>0</v>
      </c>
      <c r="R270" s="2" t="inlineStr"/>
    </row>
    <row r="271" ht="15" customHeight="1">
      <c r="A271" t="inlineStr">
        <is>
          <t>A 31607-2019</t>
        </is>
      </c>
      <c r="B271" s="1" t="n">
        <v>43640</v>
      </c>
      <c r="C271" s="1" t="n">
        <v>45839</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31845-2019</t>
        </is>
      </c>
      <c r="B272" s="1" t="n">
        <v>43640</v>
      </c>
      <c r="C272" s="1" t="n">
        <v>45839</v>
      </c>
      <c r="D272" t="inlineStr">
        <is>
          <t>VÄSTERBOTTENS LÄN</t>
        </is>
      </c>
      <c r="E272" t="inlineStr">
        <is>
          <t>VILHELMINA</t>
        </is>
      </c>
      <c r="G272" t="n">
        <v>10.9</v>
      </c>
      <c r="H272" t="n">
        <v>0</v>
      </c>
      <c r="I272" t="n">
        <v>0</v>
      </c>
      <c r="J272" t="n">
        <v>0</v>
      </c>
      <c r="K272" t="n">
        <v>0</v>
      </c>
      <c r="L272" t="n">
        <v>0</v>
      </c>
      <c r="M272" t="n">
        <v>0</v>
      </c>
      <c r="N272" t="n">
        <v>0</v>
      </c>
      <c r="O272" t="n">
        <v>0</v>
      </c>
      <c r="P272" t="n">
        <v>0</v>
      </c>
      <c r="Q272" t="n">
        <v>0</v>
      </c>
      <c r="R272" s="2" t="inlineStr"/>
    </row>
    <row r="273" ht="15" customHeight="1">
      <c r="A273" t="inlineStr">
        <is>
          <t>A 31511-2019</t>
        </is>
      </c>
      <c r="B273" s="1" t="n">
        <v>43641</v>
      </c>
      <c r="C273" s="1" t="n">
        <v>45839</v>
      </c>
      <c r="D273" t="inlineStr">
        <is>
          <t>VÄSTERBOTTENS LÄN</t>
        </is>
      </c>
      <c r="E273" t="inlineStr">
        <is>
          <t>VILHELMINA</t>
        </is>
      </c>
      <c r="G273" t="n">
        <v>21.8</v>
      </c>
      <c r="H273" t="n">
        <v>0</v>
      </c>
      <c r="I273" t="n">
        <v>0</v>
      </c>
      <c r="J273" t="n">
        <v>0</v>
      </c>
      <c r="K273" t="n">
        <v>0</v>
      </c>
      <c r="L273" t="n">
        <v>0</v>
      </c>
      <c r="M273" t="n">
        <v>0</v>
      </c>
      <c r="N273" t="n">
        <v>0</v>
      </c>
      <c r="O273" t="n">
        <v>0</v>
      </c>
      <c r="P273" t="n">
        <v>0</v>
      </c>
      <c r="Q273" t="n">
        <v>0</v>
      </c>
      <c r="R273" s="2" t="inlineStr"/>
    </row>
    <row r="274" ht="15" customHeight="1">
      <c r="A274" t="inlineStr">
        <is>
          <t>A 32731-2019</t>
        </is>
      </c>
      <c r="B274" s="1" t="n">
        <v>43648</v>
      </c>
      <c r="C274" s="1" t="n">
        <v>45839</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32787-2019</t>
        </is>
      </c>
      <c r="B275" s="1" t="n">
        <v>43648</v>
      </c>
      <c r="C275" s="1" t="n">
        <v>45839</v>
      </c>
      <c r="D275" t="inlineStr">
        <is>
          <t>VÄSTERBOTTENS LÄN</t>
        </is>
      </c>
      <c r="E275" t="inlineStr">
        <is>
          <t>VILHELMINA</t>
        </is>
      </c>
      <c r="G275" t="n">
        <v>9.4</v>
      </c>
      <c r="H275" t="n">
        <v>0</v>
      </c>
      <c r="I275" t="n">
        <v>0</v>
      </c>
      <c r="J275" t="n">
        <v>0</v>
      </c>
      <c r="K275" t="n">
        <v>0</v>
      </c>
      <c r="L275" t="n">
        <v>0</v>
      </c>
      <c r="M275" t="n">
        <v>0</v>
      </c>
      <c r="N275" t="n">
        <v>0</v>
      </c>
      <c r="O275" t="n">
        <v>0</v>
      </c>
      <c r="P275" t="n">
        <v>0</v>
      </c>
      <c r="Q275" t="n">
        <v>0</v>
      </c>
      <c r="R275" s="2" t="inlineStr"/>
    </row>
    <row r="276" ht="15" customHeight="1">
      <c r="A276" t="inlineStr">
        <is>
          <t>A 34370-2019</t>
        </is>
      </c>
      <c r="B276" s="1" t="n">
        <v>43656</v>
      </c>
      <c r="C276" s="1" t="n">
        <v>45839</v>
      </c>
      <c r="D276" t="inlineStr">
        <is>
          <t>VÄSTERBOTTENS LÄN</t>
        </is>
      </c>
      <c r="E276" t="inlineStr">
        <is>
          <t>VILHELMINA</t>
        </is>
      </c>
      <c r="G276" t="n">
        <v>20.7</v>
      </c>
      <c r="H276" t="n">
        <v>0</v>
      </c>
      <c r="I276" t="n">
        <v>0</v>
      </c>
      <c r="J276" t="n">
        <v>0</v>
      </c>
      <c r="K276" t="n">
        <v>0</v>
      </c>
      <c r="L276" t="n">
        <v>0</v>
      </c>
      <c r="M276" t="n">
        <v>0</v>
      </c>
      <c r="N276" t="n">
        <v>0</v>
      </c>
      <c r="O276" t="n">
        <v>0</v>
      </c>
      <c r="P276" t="n">
        <v>0</v>
      </c>
      <c r="Q276" t="n">
        <v>0</v>
      </c>
      <c r="R276" s="2" t="inlineStr"/>
    </row>
    <row r="277" ht="15" customHeight="1">
      <c r="A277" t="inlineStr">
        <is>
          <t>A 35051-2019</t>
        </is>
      </c>
      <c r="B277" s="1" t="n">
        <v>43661</v>
      </c>
      <c r="C277" s="1" t="n">
        <v>45839</v>
      </c>
      <c r="D277" t="inlineStr">
        <is>
          <t>VÄSTERBOTTENS LÄN</t>
        </is>
      </c>
      <c r="E277" t="inlineStr">
        <is>
          <t>VILHELMINA</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35054-2019</t>
        </is>
      </c>
      <c r="B278" s="1" t="n">
        <v>43661</v>
      </c>
      <c r="C278" s="1" t="n">
        <v>45839</v>
      </c>
      <c r="D278" t="inlineStr">
        <is>
          <t>VÄSTERBOTTENS LÄN</t>
        </is>
      </c>
      <c r="E278" t="inlineStr">
        <is>
          <t>VILHELMINA</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35723-2019</t>
        </is>
      </c>
      <c r="B279" s="1" t="n">
        <v>43664</v>
      </c>
      <c r="C279" s="1" t="n">
        <v>45839</v>
      </c>
      <c r="D279" t="inlineStr">
        <is>
          <t>VÄSTERBOTTENS LÄN</t>
        </is>
      </c>
      <c r="E279" t="inlineStr">
        <is>
          <t>VILHELMINA</t>
        </is>
      </c>
      <c r="G279" t="n">
        <v>16.8</v>
      </c>
      <c r="H279" t="n">
        <v>0</v>
      </c>
      <c r="I279" t="n">
        <v>0</v>
      </c>
      <c r="J279" t="n">
        <v>0</v>
      </c>
      <c r="K279" t="n">
        <v>0</v>
      </c>
      <c r="L279" t="n">
        <v>0</v>
      </c>
      <c r="M279" t="n">
        <v>0</v>
      </c>
      <c r="N279" t="n">
        <v>0</v>
      </c>
      <c r="O279" t="n">
        <v>0</v>
      </c>
      <c r="P279" t="n">
        <v>0</v>
      </c>
      <c r="Q279" t="n">
        <v>0</v>
      </c>
      <c r="R279" s="2" t="inlineStr"/>
    </row>
    <row r="280" ht="15" customHeight="1">
      <c r="A280" t="inlineStr">
        <is>
          <t>A 35737-2019</t>
        </is>
      </c>
      <c r="B280" s="1" t="n">
        <v>43664</v>
      </c>
      <c r="C280" s="1" t="n">
        <v>45839</v>
      </c>
      <c r="D280" t="inlineStr">
        <is>
          <t>VÄSTERBOTTENS LÄN</t>
        </is>
      </c>
      <c r="E280" t="inlineStr">
        <is>
          <t>VILHELMINA</t>
        </is>
      </c>
      <c r="G280" t="n">
        <v>22.4</v>
      </c>
      <c r="H280" t="n">
        <v>0</v>
      </c>
      <c r="I280" t="n">
        <v>0</v>
      </c>
      <c r="J280" t="n">
        <v>0</v>
      </c>
      <c r="K280" t="n">
        <v>0</v>
      </c>
      <c r="L280" t="n">
        <v>0</v>
      </c>
      <c r="M280" t="n">
        <v>0</v>
      </c>
      <c r="N280" t="n">
        <v>0</v>
      </c>
      <c r="O280" t="n">
        <v>0</v>
      </c>
      <c r="P280" t="n">
        <v>0</v>
      </c>
      <c r="Q280" t="n">
        <v>0</v>
      </c>
      <c r="R280" s="2" t="inlineStr"/>
    </row>
    <row r="281" ht="15" customHeight="1">
      <c r="A281" t="inlineStr">
        <is>
          <t>A 35726-2019</t>
        </is>
      </c>
      <c r="B281" s="1" t="n">
        <v>43664</v>
      </c>
      <c r="C281" s="1" t="n">
        <v>45839</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35731-2019</t>
        </is>
      </c>
      <c r="B282" s="1" t="n">
        <v>43665</v>
      </c>
      <c r="C282" s="1" t="n">
        <v>45839</v>
      </c>
      <c r="D282" t="inlineStr">
        <is>
          <t>VÄSTERBOTTENS LÄN</t>
        </is>
      </c>
      <c r="E282" t="inlineStr">
        <is>
          <t>VILHELMINA</t>
        </is>
      </c>
      <c r="G282" t="n">
        <v>0.4</v>
      </c>
      <c r="H282" t="n">
        <v>0</v>
      </c>
      <c r="I282" t="n">
        <v>0</v>
      </c>
      <c r="J282" t="n">
        <v>0</v>
      </c>
      <c r="K282" t="n">
        <v>0</v>
      </c>
      <c r="L282" t="n">
        <v>0</v>
      </c>
      <c r="M282" t="n">
        <v>0</v>
      </c>
      <c r="N282" t="n">
        <v>0</v>
      </c>
      <c r="O282" t="n">
        <v>0</v>
      </c>
      <c r="P282" t="n">
        <v>0</v>
      </c>
      <c r="Q282" t="n">
        <v>0</v>
      </c>
      <c r="R282" s="2" t="inlineStr"/>
    </row>
    <row r="283" ht="15" customHeight="1">
      <c r="A283" t="inlineStr">
        <is>
          <t>A 37824-2019</t>
        </is>
      </c>
      <c r="B283" s="1" t="n">
        <v>43682</v>
      </c>
      <c r="C283" s="1" t="n">
        <v>45839</v>
      </c>
      <c r="D283" t="inlineStr">
        <is>
          <t>VÄSTERBOTTENS LÄN</t>
        </is>
      </c>
      <c r="E283" t="inlineStr">
        <is>
          <t>VILHELMINA</t>
        </is>
      </c>
      <c r="G283" t="n">
        <v>14.2</v>
      </c>
      <c r="H283" t="n">
        <v>0</v>
      </c>
      <c r="I283" t="n">
        <v>0</v>
      </c>
      <c r="J283" t="n">
        <v>0</v>
      </c>
      <c r="K283" t="n">
        <v>0</v>
      </c>
      <c r="L283" t="n">
        <v>0</v>
      </c>
      <c r="M283" t="n">
        <v>0</v>
      </c>
      <c r="N283" t="n">
        <v>0</v>
      </c>
      <c r="O283" t="n">
        <v>0</v>
      </c>
      <c r="P283" t="n">
        <v>0</v>
      </c>
      <c r="Q283" t="n">
        <v>0</v>
      </c>
      <c r="R283" s="2" t="inlineStr"/>
    </row>
    <row r="284" ht="15" customHeight="1">
      <c r="A284" t="inlineStr">
        <is>
          <t>A 40282-2019</t>
        </is>
      </c>
      <c r="B284" s="1" t="n">
        <v>43690</v>
      </c>
      <c r="C284" s="1" t="n">
        <v>45839</v>
      </c>
      <c r="D284" t="inlineStr">
        <is>
          <t>VÄSTERBOTTENS LÄN</t>
        </is>
      </c>
      <c r="E284" t="inlineStr">
        <is>
          <t>VILHELMINA</t>
        </is>
      </c>
      <c r="G284" t="n">
        <v>13.2</v>
      </c>
      <c r="H284" t="n">
        <v>0</v>
      </c>
      <c r="I284" t="n">
        <v>0</v>
      </c>
      <c r="J284" t="n">
        <v>0</v>
      </c>
      <c r="K284" t="n">
        <v>0</v>
      </c>
      <c r="L284" t="n">
        <v>0</v>
      </c>
      <c r="M284" t="n">
        <v>0</v>
      </c>
      <c r="N284" t="n">
        <v>0</v>
      </c>
      <c r="O284" t="n">
        <v>0</v>
      </c>
      <c r="P284" t="n">
        <v>0</v>
      </c>
      <c r="Q284" t="n">
        <v>0</v>
      </c>
      <c r="R284" s="2" t="inlineStr"/>
    </row>
    <row r="285" ht="15" customHeight="1">
      <c r="A285" t="inlineStr">
        <is>
          <t>A 41782-2019</t>
        </is>
      </c>
      <c r="B285" s="1" t="n">
        <v>43699</v>
      </c>
      <c r="C285" s="1" t="n">
        <v>45839</v>
      </c>
      <c r="D285" t="inlineStr">
        <is>
          <t>VÄSTERBOTTENS LÄN</t>
        </is>
      </c>
      <c r="E285" t="inlineStr">
        <is>
          <t>VILHELMINA</t>
        </is>
      </c>
      <c r="F285" t="inlineStr">
        <is>
          <t>SCA</t>
        </is>
      </c>
      <c r="G285" t="n">
        <v>30.8</v>
      </c>
      <c r="H285" t="n">
        <v>0</v>
      </c>
      <c r="I285" t="n">
        <v>0</v>
      </c>
      <c r="J285" t="n">
        <v>0</v>
      </c>
      <c r="K285" t="n">
        <v>0</v>
      </c>
      <c r="L285" t="n">
        <v>0</v>
      </c>
      <c r="M285" t="n">
        <v>0</v>
      </c>
      <c r="N285" t="n">
        <v>0</v>
      </c>
      <c r="O285" t="n">
        <v>0</v>
      </c>
      <c r="P285" t="n">
        <v>0</v>
      </c>
      <c r="Q285" t="n">
        <v>0</v>
      </c>
      <c r="R285" s="2" t="inlineStr"/>
    </row>
    <row r="286" ht="15" customHeight="1">
      <c r="A286" t="inlineStr">
        <is>
          <t>A 42068-2019</t>
        </is>
      </c>
      <c r="B286" s="1" t="n">
        <v>43700</v>
      </c>
      <c r="C286" s="1" t="n">
        <v>45839</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42362-2019</t>
        </is>
      </c>
      <c r="B287" s="1" t="n">
        <v>43703</v>
      </c>
      <c r="C287" s="1" t="n">
        <v>45839</v>
      </c>
      <c r="D287" t="inlineStr">
        <is>
          <t>VÄSTERBOTTENS LÄN</t>
        </is>
      </c>
      <c r="E287" t="inlineStr">
        <is>
          <t>VILHELMINA</t>
        </is>
      </c>
      <c r="G287" t="n">
        <v>5.3</v>
      </c>
      <c r="H287" t="n">
        <v>0</v>
      </c>
      <c r="I287" t="n">
        <v>0</v>
      </c>
      <c r="J287" t="n">
        <v>0</v>
      </c>
      <c r="K287" t="n">
        <v>0</v>
      </c>
      <c r="L287" t="n">
        <v>0</v>
      </c>
      <c r="M287" t="n">
        <v>0</v>
      </c>
      <c r="N287" t="n">
        <v>0</v>
      </c>
      <c r="O287" t="n">
        <v>0</v>
      </c>
      <c r="P287" t="n">
        <v>0</v>
      </c>
      <c r="Q287" t="n">
        <v>0</v>
      </c>
      <c r="R287" s="2" t="inlineStr"/>
    </row>
    <row r="288" ht="15" customHeight="1">
      <c r="A288" t="inlineStr">
        <is>
          <t>A 44388-2019</t>
        </is>
      </c>
      <c r="B288" s="1" t="n">
        <v>43705</v>
      </c>
      <c r="C288" s="1" t="n">
        <v>45839</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44649-2019</t>
        </is>
      </c>
      <c r="B289" s="1" t="n">
        <v>43712</v>
      </c>
      <c r="C289" s="1" t="n">
        <v>45839</v>
      </c>
      <c r="D289" t="inlineStr">
        <is>
          <t>VÄSTERBOTTENS LÄN</t>
        </is>
      </c>
      <c r="E289" t="inlineStr">
        <is>
          <t>VILHELMINA</t>
        </is>
      </c>
      <c r="G289" t="n">
        <v>7.8</v>
      </c>
      <c r="H289" t="n">
        <v>0</v>
      </c>
      <c r="I289" t="n">
        <v>0</v>
      </c>
      <c r="J289" t="n">
        <v>0</v>
      </c>
      <c r="K289" t="n">
        <v>0</v>
      </c>
      <c r="L289" t="n">
        <v>0</v>
      </c>
      <c r="M289" t="n">
        <v>0</v>
      </c>
      <c r="N289" t="n">
        <v>0</v>
      </c>
      <c r="O289" t="n">
        <v>0</v>
      </c>
      <c r="P289" t="n">
        <v>0</v>
      </c>
      <c r="Q289" t="n">
        <v>0</v>
      </c>
      <c r="R289" s="2" t="inlineStr"/>
    </row>
    <row r="290" ht="15" customHeight="1">
      <c r="A290" t="inlineStr">
        <is>
          <t>A 45275-2019</t>
        </is>
      </c>
      <c r="B290" s="1" t="n">
        <v>43714</v>
      </c>
      <c r="C290" s="1" t="n">
        <v>45839</v>
      </c>
      <c r="D290" t="inlineStr">
        <is>
          <t>VÄSTERBOTTENS LÄN</t>
        </is>
      </c>
      <c r="E290" t="inlineStr">
        <is>
          <t>VILHELMINA</t>
        </is>
      </c>
      <c r="F290" t="inlineStr">
        <is>
          <t>SCA</t>
        </is>
      </c>
      <c r="G290" t="n">
        <v>10.3</v>
      </c>
      <c r="H290" t="n">
        <v>0</v>
      </c>
      <c r="I290" t="n">
        <v>0</v>
      </c>
      <c r="J290" t="n">
        <v>0</v>
      </c>
      <c r="K290" t="n">
        <v>0</v>
      </c>
      <c r="L290" t="n">
        <v>0</v>
      </c>
      <c r="M290" t="n">
        <v>0</v>
      </c>
      <c r="N290" t="n">
        <v>0</v>
      </c>
      <c r="O290" t="n">
        <v>0</v>
      </c>
      <c r="P290" t="n">
        <v>0</v>
      </c>
      <c r="Q290" t="n">
        <v>0</v>
      </c>
      <c r="R290" s="2" t="inlineStr"/>
    </row>
    <row r="291" ht="15" customHeight="1">
      <c r="A291" t="inlineStr">
        <is>
          <t>A 48259-2019</t>
        </is>
      </c>
      <c r="B291" s="1" t="n">
        <v>43726</v>
      </c>
      <c r="C291" s="1" t="n">
        <v>45839</v>
      </c>
      <c r="D291" t="inlineStr">
        <is>
          <t>VÄSTERBOTTENS LÄN</t>
        </is>
      </c>
      <c r="E291" t="inlineStr">
        <is>
          <t>VILHELMINA</t>
        </is>
      </c>
      <c r="G291" t="n">
        <v>5.2</v>
      </c>
      <c r="H291" t="n">
        <v>0</v>
      </c>
      <c r="I291" t="n">
        <v>0</v>
      </c>
      <c r="J291" t="n">
        <v>0</v>
      </c>
      <c r="K291" t="n">
        <v>0</v>
      </c>
      <c r="L291" t="n">
        <v>0</v>
      </c>
      <c r="M291" t="n">
        <v>0</v>
      </c>
      <c r="N291" t="n">
        <v>0</v>
      </c>
      <c r="O291" t="n">
        <v>0</v>
      </c>
      <c r="P291" t="n">
        <v>0</v>
      </c>
      <c r="Q291" t="n">
        <v>0</v>
      </c>
      <c r="R291" s="2" t="inlineStr"/>
    </row>
    <row r="292" ht="15" customHeight="1">
      <c r="A292" t="inlineStr">
        <is>
          <t>A 49615-2019</t>
        </is>
      </c>
      <c r="B292" s="1" t="n">
        <v>43728</v>
      </c>
      <c r="C292" s="1" t="n">
        <v>45839</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49254-2019</t>
        </is>
      </c>
      <c r="B293" s="1" t="n">
        <v>43731</v>
      </c>
      <c r="C293" s="1" t="n">
        <v>45839</v>
      </c>
      <c r="D293" t="inlineStr">
        <is>
          <t>VÄSTERBOTTENS LÄN</t>
        </is>
      </c>
      <c r="E293" t="inlineStr">
        <is>
          <t>VILHELMINA</t>
        </is>
      </c>
      <c r="G293" t="n">
        <v>10.9</v>
      </c>
      <c r="H293" t="n">
        <v>0</v>
      </c>
      <c r="I293" t="n">
        <v>0</v>
      </c>
      <c r="J293" t="n">
        <v>0</v>
      </c>
      <c r="K293" t="n">
        <v>0</v>
      </c>
      <c r="L293" t="n">
        <v>0</v>
      </c>
      <c r="M293" t="n">
        <v>0</v>
      </c>
      <c r="N293" t="n">
        <v>0</v>
      </c>
      <c r="O293" t="n">
        <v>0</v>
      </c>
      <c r="P293" t="n">
        <v>0</v>
      </c>
      <c r="Q293" t="n">
        <v>0</v>
      </c>
      <c r="R293" s="2" t="inlineStr"/>
    </row>
    <row r="294" ht="15" customHeight="1">
      <c r="A294" t="inlineStr">
        <is>
          <t>A 50006-2019</t>
        </is>
      </c>
      <c r="B294" s="1" t="n">
        <v>43733</v>
      </c>
      <c r="C294" s="1" t="n">
        <v>45839</v>
      </c>
      <c r="D294" t="inlineStr">
        <is>
          <t>VÄSTERBOTTENS LÄN</t>
        </is>
      </c>
      <c r="E294" t="inlineStr">
        <is>
          <t>VILHELMINA</t>
        </is>
      </c>
      <c r="F294" t="inlineStr">
        <is>
          <t>SCA</t>
        </is>
      </c>
      <c r="G294" t="n">
        <v>12.6</v>
      </c>
      <c r="H294" t="n">
        <v>0</v>
      </c>
      <c r="I294" t="n">
        <v>0</v>
      </c>
      <c r="J294" t="n">
        <v>0</v>
      </c>
      <c r="K294" t="n">
        <v>0</v>
      </c>
      <c r="L294" t="n">
        <v>0</v>
      </c>
      <c r="M294" t="n">
        <v>0</v>
      </c>
      <c r="N294" t="n">
        <v>0</v>
      </c>
      <c r="O294" t="n">
        <v>0</v>
      </c>
      <c r="P294" t="n">
        <v>0</v>
      </c>
      <c r="Q294" t="n">
        <v>0</v>
      </c>
      <c r="R294" s="2" t="inlineStr"/>
    </row>
    <row r="295" ht="15" customHeight="1">
      <c r="A295" t="inlineStr">
        <is>
          <t>A 50009-2019</t>
        </is>
      </c>
      <c r="B295" s="1" t="n">
        <v>43733</v>
      </c>
      <c r="C295" s="1" t="n">
        <v>45839</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50008-2019</t>
        </is>
      </c>
      <c r="B296" s="1" t="n">
        <v>43733</v>
      </c>
      <c r="C296" s="1" t="n">
        <v>45839</v>
      </c>
      <c r="D296" t="inlineStr">
        <is>
          <t>VÄSTERBOTTENS LÄN</t>
        </is>
      </c>
      <c r="E296" t="inlineStr">
        <is>
          <t>VILHELMINA</t>
        </is>
      </c>
      <c r="F296" t="inlineStr">
        <is>
          <t>SCA</t>
        </is>
      </c>
      <c r="G296" t="n">
        <v>14.8</v>
      </c>
      <c r="H296" t="n">
        <v>0</v>
      </c>
      <c r="I296" t="n">
        <v>0</v>
      </c>
      <c r="J296" t="n">
        <v>0</v>
      </c>
      <c r="K296" t="n">
        <v>0</v>
      </c>
      <c r="L296" t="n">
        <v>0</v>
      </c>
      <c r="M296" t="n">
        <v>0</v>
      </c>
      <c r="N296" t="n">
        <v>0</v>
      </c>
      <c r="O296" t="n">
        <v>0</v>
      </c>
      <c r="P296" t="n">
        <v>0</v>
      </c>
      <c r="Q296" t="n">
        <v>0</v>
      </c>
      <c r="R296" s="2" t="inlineStr"/>
    </row>
    <row r="297" ht="15" customHeight="1">
      <c r="A297" t="inlineStr">
        <is>
          <t>A 51094-2019</t>
        </is>
      </c>
      <c r="B297" s="1" t="n">
        <v>43739</v>
      </c>
      <c r="C297" s="1" t="n">
        <v>45839</v>
      </c>
      <c r="D297" t="inlineStr">
        <is>
          <t>VÄSTERBOTTENS LÄN</t>
        </is>
      </c>
      <c r="E297" t="inlineStr">
        <is>
          <t>VILHELMINA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51895-2019</t>
        </is>
      </c>
      <c r="B298" s="1" t="n">
        <v>43741</v>
      </c>
      <c r="C298" s="1" t="n">
        <v>45839</v>
      </c>
      <c r="D298" t="inlineStr">
        <is>
          <t>VÄSTERBOTTENS LÄN</t>
        </is>
      </c>
      <c r="E298" t="inlineStr">
        <is>
          <t>VILHELMINA</t>
        </is>
      </c>
      <c r="F298" t="inlineStr">
        <is>
          <t>Allmännings- och besparingsskogar</t>
        </is>
      </c>
      <c r="G298" t="n">
        <v>10.5</v>
      </c>
      <c r="H298" t="n">
        <v>0</v>
      </c>
      <c r="I298" t="n">
        <v>0</v>
      </c>
      <c r="J298" t="n">
        <v>0</v>
      </c>
      <c r="K298" t="n">
        <v>0</v>
      </c>
      <c r="L298" t="n">
        <v>0</v>
      </c>
      <c r="M298" t="n">
        <v>0</v>
      </c>
      <c r="N298" t="n">
        <v>0</v>
      </c>
      <c r="O298" t="n">
        <v>0</v>
      </c>
      <c r="P298" t="n">
        <v>0</v>
      </c>
      <c r="Q298" t="n">
        <v>0</v>
      </c>
      <c r="R298" s="2" t="inlineStr"/>
    </row>
    <row r="299" ht="15" customHeight="1">
      <c r="A299" t="inlineStr">
        <is>
          <t>A 54070-2019</t>
        </is>
      </c>
      <c r="B299" s="1" t="n">
        <v>43746</v>
      </c>
      <c r="C299" s="1" t="n">
        <v>45839</v>
      </c>
      <c r="D299" t="inlineStr">
        <is>
          <t>VÄSTERBOTTENS LÄN</t>
        </is>
      </c>
      <c r="E299" t="inlineStr">
        <is>
          <t>VILHELMINA</t>
        </is>
      </c>
      <c r="G299" t="n">
        <v>2.1</v>
      </c>
      <c r="H299" t="n">
        <v>0</v>
      </c>
      <c r="I299" t="n">
        <v>0</v>
      </c>
      <c r="J299" t="n">
        <v>0</v>
      </c>
      <c r="K299" t="n">
        <v>0</v>
      </c>
      <c r="L299" t="n">
        <v>0</v>
      </c>
      <c r="M299" t="n">
        <v>0</v>
      </c>
      <c r="N299" t="n">
        <v>0</v>
      </c>
      <c r="O299" t="n">
        <v>0</v>
      </c>
      <c r="P299" t="n">
        <v>0</v>
      </c>
      <c r="Q299" t="n">
        <v>0</v>
      </c>
      <c r="R299" s="2" t="inlineStr"/>
    </row>
    <row r="300" ht="15" customHeight="1">
      <c r="A300" t="inlineStr">
        <is>
          <t>A 53750-2019</t>
        </is>
      </c>
      <c r="B300" s="1" t="n">
        <v>43749</v>
      </c>
      <c r="C300" s="1" t="n">
        <v>45839</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53757-2019</t>
        </is>
      </c>
      <c r="B301" s="1" t="n">
        <v>43749</v>
      </c>
      <c r="C301" s="1" t="n">
        <v>45839</v>
      </c>
      <c r="D301" t="inlineStr">
        <is>
          <t>VÄSTERBOTTENS LÄN</t>
        </is>
      </c>
      <c r="E301" t="inlineStr">
        <is>
          <t>VILHELMINA</t>
        </is>
      </c>
      <c r="F301" t="inlineStr">
        <is>
          <t>SCA</t>
        </is>
      </c>
      <c r="G301" t="n">
        <v>12.4</v>
      </c>
      <c r="H301" t="n">
        <v>0</v>
      </c>
      <c r="I301" t="n">
        <v>0</v>
      </c>
      <c r="J301" t="n">
        <v>0</v>
      </c>
      <c r="K301" t="n">
        <v>0</v>
      </c>
      <c r="L301" t="n">
        <v>0</v>
      </c>
      <c r="M301" t="n">
        <v>0</v>
      </c>
      <c r="N301" t="n">
        <v>0</v>
      </c>
      <c r="O301" t="n">
        <v>0</v>
      </c>
      <c r="P301" t="n">
        <v>0</v>
      </c>
      <c r="Q301" t="n">
        <v>0</v>
      </c>
      <c r="R301" s="2" t="inlineStr"/>
    </row>
    <row r="302" ht="15" customHeight="1">
      <c r="A302" t="inlineStr">
        <is>
          <t>A 54184-2019</t>
        </is>
      </c>
      <c r="B302" s="1" t="n">
        <v>43753</v>
      </c>
      <c r="C302" s="1" t="n">
        <v>45839</v>
      </c>
      <c r="D302" t="inlineStr">
        <is>
          <t>VÄSTERBOTTENS LÄN</t>
        </is>
      </c>
      <c r="E302" t="inlineStr">
        <is>
          <t>VILHELMINA</t>
        </is>
      </c>
      <c r="F302" t="inlineStr">
        <is>
          <t>Kommuner</t>
        </is>
      </c>
      <c r="G302" t="n">
        <v>10.6</v>
      </c>
      <c r="H302" t="n">
        <v>0</v>
      </c>
      <c r="I302" t="n">
        <v>0</v>
      </c>
      <c r="J302" t="n">
        <v>0</v>
      </c>
      <c r="K302" t="n">
        <v>0</v>
      </c>
      <c r="L302" t="n">
        <v>0</v>
      </c>
      <c r="M302" t="n">
        <v>0</v>
      </c>
      <c r="N302" t="n">
        <v>0</v>
      </c>
      <c r="O302" t="n">
        <v>0</v>
      </c>
      <c r="P302" t="n">
        <v>0</v>
      </c>
      <c r="Q302" t="n">
        <v>0</v>
      </c>
      <c r="R302" s="2" t="inlineStr"/>
    </row>
    <row r="303" ht="15" customHeight="1">
      <c r="A303" t="inlineStr">
        <is>
          <t>A 54985-2019</t>
        </is>
      </c>
      <c r="B303" s="1" t="n">
        <v>43755</v>
      </c>
      <c r="C303" s="1" t="n">
        <v>45839</v>
      </c>
      <c r="D303" t="inlineStr">
        <is>
          <t>VÄSTERBOTTENS LÄN</t>
        </is>
      </c>
      <c r="E303" t="inlineStr">
        <is>
          <t>VILHELMINA</t>
        </is>
      </c>
      <c r="G303" t="n">
        <v>12.2</v>
      </c>
      <c r="H303" t="n">
        <v>0</v>
      </c>
      <c r="I303" t="n">
        <v>0</v>
      </c>
      <c r="J303" t="n">
        <v>0</v>
      </c>
      <c r="K303" t="n">
        <v>0</v>
      </c>
      <c r="L303" t="n">
        <v>0</v>
      </c>
      <c r="M303" t="n">
        <v>0</v>
      </c>
      <c r="N303" t="n">
        <v>0</v>
      </c>
      <c r="O303" t="n">
        <v>0</v>
      </c>
      <c r="P303" t="n">
        <v>0</v>
      </c>
      <c r="Q303" t="n">
        <v>0</v>
      </c>
      <c r="R303" s="2" t="inlineStr"/>
    </row>
    <row r="304" ht="15" customHeight="1">
      <c r="A304" t="inlineStr">
        <is>
          <t>A 57906-2019</t>
        </is>
      </c>
      <c r="B304" s="1" t="n">
        <v>43762</v>
      </c>
      <c r="C304" s="1" t="n">
        <v>45839</v>
      </c>
      <c r="D304" t="inlineStr">
        <is>
          <t>VÄSTERBOTTENS LÄN</t>
        </is>
      </c>
      <c r="E304" t="inlineStr">
        <is>
          <t>VILHELMINA</t>
        </is>
      </c>
      <c r="F304" t="inlineStr">
        <is>
          <t>Allmännings- och besparingsskogar</t>
        </is>
      </c>
      <c r="G304" t="n">
        <v>5.3</v>
      </c>
      <c r="H304" t="n">
        <v>0</v>
      </c>
      <c r="I304" t="n">
        <v>0</v>
      </c>
      <c r="J304" t="n">
        <v>0</v>
      </c>
      <c r="K304" t="n">
        <v>0</v>
      </c>
      <c r="L304" t="n">
        <v>0</v>
      </c>
      <c r="M304" t="n">
        <v>0</v>
      </c>
      <c r="N304" t="n">
        <v>0</v>
      </c>
      <c r="O304" t="n">
        <v>0</v>
      </c>
      <c r="P304" t="n">
        <v>0</v>
      </c>
      <c r="Q304" t="n">
        <v>0</v>
      </c>
      <c r="R304" s="2" t="inlineStr"/>
    </row>
    <row r="305" ht="15" customHeight="1">
      <c r="A305" t="inlineStr">
        <is>
          <t>A 57940-2019</t>
        </is>
      </c>
      <c r="B305" s="1" t="n">
        <v>43762</v>
      </c>
      <c r="C305" s="1" t="n">
        <v>45839</v>
      </c>
      <c r="D305" t="inlineStr">
        <is>
          <t>VÄSTERBOTTENS LÄN</t>
        </is>
      </c>
      <c r="E305" t="inlineStr">
        <is>
          <t>VILHELMINA</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56833-2019</t>
        </is>
      </c>
      <c r="B306" s="1" t="n">
        <v>43765</v>
      </c>
      <c r="C306" s="1" t="n">
        <v>45839</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59021-2019</t>
        </is>
      </c>
      <c r="B307" s="1" t="n">
        <v>43774</v>
      </c>
      <c r="C307" s="1" t="n">
        <v>45839</v>
      </c>
      <c r="D307" t="inlineStr">
        <is>
          <t>VÄSTERBOTTENS LÄN</t>
        </is>
      </c>
      <c r="E307" t="inlineStr">
        <is>
          <t>VILHELMINA</t>
        </is>
      </c>
      <c r="G307" t="n">
        <v>6.8</v>
      </c>
      <c r="H307" t="n">
        <v>0</v>
      </c>
      <c r="I307" t="n">
        <v>0</v>
      </c>
      <c r="J307" t="n">
        <v>0</v>
      </c>
      <c r="K307" t="n">
        <v>0</v>
      </c>
      <c r="L307" t="n">
        <v>0</v>
      </c>
      <c r="M307" t="n">
        <v>0</v>
      </c>
      <c r="N307" t="n">
        <v>0</v>
      </c>
      <c r="O307" t="n">
        <v>0</v>
      </c>
      <c r="P307" t="n">
        <v>0</v>
      </c>
      <c r="Q307" t="n">
        <v>0</v>
      </c>
      <c r="R307" s="2" t="inlineStr"/>
    </row>
    <row r="308" ht="15" customHeight="1">
      <c r="A308" t="inlineStr">
        <is>
          <t>A 58962-2019</t>
        </is>
      </c>
      <c r="B308" s="1" t="n">
        <v>43774</v>
      </c>
      <c r="C308" s="1" t="n">
        <v>45839</v>
      </c>
      <c r="D308" t="inlineStr">
        <is>
          <t>VÄSTERBOTTENS LÄN</t>
        </is>
      </c>
      <c r="E308" t="inlineStr">
        <is>
          <t>VILHELMINA</t>
        </is>
      </c>
      <c r="G308" t="n">
        <v>2.4</v>
      </c>
      <c r="H308" t="n">
        <v>0</v>
      </c>
      <c r="I308" t="n">
        <v>0</v>
      </c>
      <c r="J308" t="n">
        <v>0</v>
      </c>
      <c r="K308" t="n">
        <v>0</v>
      </c>
      <c r="L308" t="n">
        <v>0</v>
      </c>
      <c r="M308" t="n">
        <v>0</v>
      </c>
      <c r="N308" t="n">
        <v>0</v>
      </c>
      <c r="O308" t="n">
        <v>0</v>
      </c>
      <c r="P308" t="n">
        <v>0</v>
      </c>
      <c r="Q308" t="n">
        <v>0</v>
      </c>
      <c r="R308" s="2" t="inlineStr"/>
    </row>
    <row r="309" ht="15" customHeight="1">
      <c r="A309" t="inlineStr">
        <is>
          <t>A 59052-2019</t>
        </is>
      </c>
      <c r="B309" s="1" t="n">
        <v>43774</v>
      </c>
      <c r="C309" s="1" t="n">
        <v>45839</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59165-2019</t>
        </is>
      </c>
      <c r="B310" s="1" t="n">
        <v>43775</v>
      </c>
      <c r="C310" s="1" t="n">
        <v>45839</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63027-2019</t>
        </is>
      </c>
      <c r="B311" s="1" t="n">
        <v>43791</v>
      </c>
      <c r="C311" s="1" t="n">
        <v>45839</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66570-2019</t>
        </is>
      </c>
      <c r="B312" s="1" t="n">
        <v>43803</v>
      </c>
      <c r="C312" s="1" t="n">
        <v>45839</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65885-2019</t>
        </is>
      </c>
      <c r="B313" s="1" t="n">
        <v>43805</v>
      </c>
      <c r="C313" s="1" t="n">
        <v>45839</v>
      </c>
      <c r="D313" t="inlineStr">
        <is>
          <t>VÄSTERBOTTENS LÄN</t>
        </is>
      </c>
      <c r="E313" t="inlineStr">
        <is>
          <t>VILHELMINA</t>
        </is>
      </c>
      <c r="G313" t="n">
        <v>3.1</v>
      </c>
      <c r="H313" t="n">
        <v>0</v>
      </c>
      <c r="I313" t="n">
        <v>0</v>
      </c>
      <c r="J313" t="n">
        <v>0</v>
      </c>
      <c r="K313" t="n">
        <v>0</v>
      </c>
      <c r="L313" t="n">
        <v>0</v>
      </c>
      <c r="M313" t="n">
        <v>0</v>
      </c>
      <c r="N313" t="n">
        <v>0</v>
      </c>
      <c r="O313" t="n">
        <v>0</v>
      </c>
      <c r="P313" t="n">
        <v>0</v>
      </c>
      <c r="Q313" t="n">
        <v>0</v>
      </c>
      <c r="R313" s="2" t="inlineStr"/>
    </row>
    <row r="314" ht="15" customHeight="1">
      <c r="A314" t="inlineStr">
        <is>
          <t>A 66311-2019</t>
        </is>
      </c>
      <c r="B314" s="1" t="n">
        <v>43808</v>
      </c>
      <c r="C314" s="1" t="n">
        <v>45839</v>
      </c>
      <c r="D314" t="inlineStr">
        <is>
          <t>VÄSTERBOTTENS LÄN</t>
        </is>
      </c>
      <c r="E314" t="inlineStr">
        <is>
          <t>VILHELMINA</t>
        </is>
      </c>
      <c r="G314" t="n">
        <v>72.90000000000001</v>
      </c>
      <c r="H314" t="n">
        <v>0</v>
      </c>
      <c r="I314" t="n">
        <v>0</v>
      </c>
      <c r="J314" t="n">
        <v>0</v>
      </c>
      <c r="K314" t="n">
        <v>0</v>
      </c>
      <c r="L314" t="n">
        <v>0</v>
      </c>
      <c r="M314" t="n">
        <v>0</v>
      </c>
      <c r="N314" t="n">
        <v>0</v>
      </c>
      <c r="O314" t="n">
        <v>0</v>
      </c>
      <c r="P314" t="n">
        <v>0</v>
      </c>
      <c r="Q314" t="n">
        <v>0</v>
      </c>
      <c r="R314" s="2" t="inlineStr"/>
    </row>
    <row r="315" ht="15" customHeight="1">
      <c r="A315" t="inlineStr">
        <is>
          <t>A 66720-2019</t>
        </is>
      </c>
      <c r="B315" s="1" t="n">
        <v>43810</v>
      </c>
      <c r="C315" s="1" t="n">
        <v>45839</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67814-2019</t>
        </is>
      </c>
      <c r="B316" s="1" t="n">
        <v>43815</v>
      </c>
      <c r="C316" s="1" t="n">
        <v>45839</v>
      </c>
      <c r="D316" t="inlineStr">
        <is>
          <t>VÄSTERBOTTENS LÄN</t>
        </is>
      </c>
      <c r="E316" t="inlineStr">
        <is>
          <t>VILHELMINA</t>
        </is>
      </c>
      <c r="G316" t="n">
        <v>2.9</v>
      </c>
      <c r="H316" t="n">
        <v>0</v>
      </c>
      <c r="I316" t="n">
        <v>0</v>
      </c>
      <c r="J316" t="n">
        <v>0</v>
      </c>
      <c r="K316" t="n">
        <v>0</v>
      </c>
      <c r="L316" t="n">
        <v>0</v>
      </c>
      <c r="M316" t="n">
        <v>0</v>
      </c>
      <c r="N316" t="n">
        <v>0</v>
      </c>
      <c r="O316" t="n">
        <v>0</v>
      </c>
      <c r="P316" t="n">
        <v>0</v>
      </c>
      <c r="Q316" t="n">
        <v>0</v>
      </c>
      <c r="R316" s="2" t="inlineStr"/>
    </row>
    <row r="317" ht="15" customHeight="1">
      <c r="A317" t="inlineStr">
        <is>
          <t>A 219-2020</t>
        </is>
      </c>
      <c r="B317" s="1" t="n">
        <v>43833</v>
      </c>
      <c r="C317" s="1" t="n">
        <v>45839</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217-2020</t>
        </is>
      </c>
      <c r="B318" s="1" t="n">
        <v>43833</v>
      </c>
      <c r="C318" s="1" t="n">
        <v>45839</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226-2020</t>
        </is>
      </c>
      <c r="B319" s="1" t="n">
        <v>43833</v>
      </c>
      <c r="C319" s="1" t="n">
        <v>45839</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300-2020</t>
        </is>
      </c>
      <c r="B320" s="1" t="n">
        <v>43837</v>
      </c>
      <c r="C320" s="1" t="n">
        <v>45839</v>
      </c>
      <c r="D320" t="inlineStr">
        <is>
          <t>VÄSTERBOTTENS LÄN</t>
        </is>
      </c>
      <c r="E320" t="inlineStr">
        <is>
          <t>VILHELMINA</t>
        </is>
      </c>
      <c r="G320" t="n">
        <v>7.6</v>
      </c>
      <c r="H320" t="n">
        <v>0</v>
      </c>
      <c r="I320" t="n">
        <v>0</v>
      </c>
      <c r="J320" t="n">
        <v>0</v>
      </c>
      <c r="K320" t="n">
        <v>0</v>
      </c>
      <c r="L320" t="n">
        <v>0</v>
      </c>
      <c r="M320" t="n">
        <v>0</v>
      </c>
      <c r="N320" t="n">
        <v>0</v>
      </c>
      <c r="O320" t="n">
        <v>0</v>
      </c>
      <c r="P320" t="n">
        <v>0</v>
      </c>
      <c r="Q320" t="n">
        <v>0</v>
      </c>
      <c r="R320" s="2" t="inlineStr"/>
    </row>
    <row r="321" ht="15" customHeight="1">
      <c r="A321" t="inlineStr">
        <is>
          <t>A 1235-2020</t>
        </is>
      </c>
      <c r="B321" s="1" t="n">
        <v>43837</v>
      </c>
      <c r="C321" s="1" t="n">
        <v>45839</v>
      </c>
      <c r="D321" t="inlineStr">
        <is>
          <t>VÄSTERBOTTENS LÄN</t>
        </is>
      </c>
      <c r="E321" t="inlineStr">
        <is>
          <t>VILHELMINA</t>
        </is>
      </c>
      <c r="G321" t="n">
        <v>5</v>
      </c>
      <c r="H321" t="n">
        <v>0</v>
      </c>
      <c r="I321" t="n">
        <v>0</v>
      </c>
      <c r="J321" t="n">
        <v>0</v>
      </c>
      <c r="K321" t="n">
        <v>0</v>
      </c>
      <c r="L321" t="n">
        <v>0</v>
      </c>
      <c r="M321" t="n">
        <v>0</v>
      </c>
      <c r="N321" t="n">
        <v>0</v>
      </c>
      <c r="O321" t="n">
        <v>0</v>
      </c>
      <c r="P321" t="n">
        <v>0</v>
      </c>
      <c r="Q321" t="n">
        <v>0</v>
      </c>
      <c r="R321" s="2" t="inlineStr"/>
    </row>
    <row r="322" ht="15" customHeight="1">
      <c r="A322" t="inlineStr">
        <is>
          <t>A 802-2020</t>
        </is>
      </c>
      <c r="B322" s="1" t="n">
        <v>43838</v>
      </c>
      <c r="C322" s="1" t="n">
        <v>45839</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1992-2020</t>
        </is>
      </c>
      <c r="B323" s="1" t="n">
        <v>43838</v>
      </c>
      <c r="C323" s="1" t="n">
        <v>45839</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3074-2020</t>
        </is>
      </c>
      <c r="B324" s="1" t="n">
        <v>43851</v>
      </c>
      <c r="C324" s="1" t="n">
        <v>45839</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3343-2020</t>
        </is>
      </c>
      <c r="B325" s="1" t="n">
        <v>43852</v>
      </c>
      <c r="C325" s="1" t="n">
        <v>45839</v>
      </c>
      <c r="D325" t="inlineStr">
        <is>
          <t>VÄSTERBOTTENS LÄN</t>
        </is>
      </c>
      <c r="E325" t="inlineStr">
        <is>
          <t>VILHELMINA</t>
        </is>
      </c>
      <c r="F325" t="inlineStr">
        <is>
          <t>Sveaskog</t>
        </is>
      </c>
      <c r="G325" t="n">
        <v>6.1</v>
      </c>
      <c r="H325" t="n">
        <v>0</v>
      </c>
      <c r="I325" t="n">
        <v>0</v>
      </c>
      <c r="J325" t="n">
        <v>0</v>
      </c>
      <c r="K325" t="n">
        <v>0</v>
      </c>
      <c r="L325" t="n">
        <v>0</v>
      </c>
      <c r="M325" t="n">
        <v>0</v>
      </c>
      <c r="N325" t="n">
        <v>0</v>
      </c>
      <c r="O325" t="n">
        <v>0</v>
      </c>
      <c r="P325" t="n">
        <v>0</v>
      </c>
      <c r="Q325" t="n">
        <v>0</v>
      </c>
      <c r="R325" s="2" t="inlineStr"/>
    </row>
    <row r="326" ht="15" customHeight="1">
      <c r="A326" t="inlineStr">
        <is>
          <t>A 5236-2020</t>
        </is>
      </c>
      <c r="B326" s="1" t="n">
        <v>43854</v>
      </c>
      <c r="C326" s="1" t="n">
        <v>45839</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4586-2020</t>
        </is>
      </c>
      <c r="B327" s="1" t="n">
        <v>43858</v>
      </c>
      <c r="C327" s="1" t="n">
        <v>45839</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5432-2020</t>
        </is>
      </c>
      <c r="B328" s="1" t="n">
        <v>43858</v>
      </c>
      <c r="C328" s="1" t="n">
        <v>45839</v>
      </c>
      <c r="D328" t="inlineStr">
        <is>
          <t>VÄSTERBOTTENS LÄN</t>
        </is>
      </c>
      <c r="E328" t="inlineStr">
        <is>
          <t>VILHELMINA</t>
        </is>
      </c>
      <c r="G328" t="n">
        <v>6.2</v>
      </c>
      <c r="H328" t="n">
        <v>0</v>
      </c>
      <c r="I328" t="n">
        <v>0</v>
      </c>
      <c r="J328" t="n">
        <v>0</v>
      </c>
      <c r="K328" t="n">
        <v>0</v>
      </c>
      <c r="L328" t="n">
        <v>0</v>
      </c>
      <c r="M328" t="n">
        <v>0</v>
      </c>
      <c r="N328" t="n">
        <v>0</v>
      </c>
      <c r="O328" t="n">
        <v>0</v>
      </c>
      <c r="P328" t="n">
        <v>0</v>
      </c>
      <c r="Q328" t="n">
        <v>0</v>
      </c>
      <c r="R328" s="2" t="inlineStr"/>
    </row>
    <row r="329" ht="15" customHeight="1">
      <c r="A329" t="inlineStr">
        <is>
          <t>A 12419-2020</t>
        </is>
      </c>
      <c r="B329" s="1" t="n">
        <v>43896</v>
      </c>
      <c r="C329" s="1" t="n">
        <v>45839</v>
      </c>
      <c r="D329" t="inlineStr">
        <is>
          <t>VÄSTERBOTTENS LÄN</t>
        </is>
      </c>
      <c r="E329" t="inlineStr">
        <is>
          <t>VILHELMINA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12424-2020</t>
        </is>
      </c>
      <c r="B330" s="1" t="n">
        <v>43896</v>
      </c>
      <c r="C330" s="1" t="n">
        <v>45839</v>
      </c>
      <c r="D330" t="inlineStr">
        <is>
          <t>VÄSTERBOTTENS LÄN</t>
        </is>
      </c>
      <c r="E330" t="inlineStr">
        <is>
          <t>VILHELMINA</t>
        </is>
      </c>
      <c r="F330" t="inlineStr">
        <is>
          <t>Kommuner</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12423-2020</t>
        </is>
      </c>
      <c r="B331" s="1" t="n">
        <v>43896</v>
      </c>
      <c r="C331" s="1" t="n">
        <v>45839</v>
      </c>
      <c r="D331" t="inlineStr">
        <is>
          <t>VÄSTERBOTTENS LÄN</t>
        </is>
      </c>
      <c r="E331" t="inlineStr">
        <is>
          <t>VILHELMINA</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12451-2020</t>
        </is>
      </c>
      <c r="B332" s="1" t="n">
        <v>43896</v>
      </c>
      <c r="C332" s="1" t="n">
        <v>45839</v>
      </c>
      <c r="D332" t="inlineStr">
        <is>
          <t>VÄSTERBOTTENS LÄN</t>
        </is>
      </c>
      <c r="E332" t="inlineStr">
        <is>
          <t>VILHELMINA</t>
        </is>
      </c>
      <c r="F332" t="inlineStr">
        <is>
          <t>Kommuner</t>
        </is>
      </c>
      <c r="G332" t="n">
        <v>5.5</v>
      </c>
      <c r="H332" t="n">
        <v>0</v>
      </c>
      <c r="I332" t="n">
        <v>0</v>
      </c>
      <c r="J332" t="n">
        <v>0</v>
      </c>
      <c r="K332" t="n">
        <v>0</v>
      </c>
      <c r="L332" t="n">
        <v>0</v>
      </c>
      <c r="M332" t="n">
        <v>0</v>
      </c>
      <c r="N332" t="n">
        <v>0</v>
      </c>
      <c r="O332" t="n">
        <v>0</v>
      </c>
      <c r="P332" t="n">
        <v>0</v>
      </c>
      <c r="Q332" t="n">
        <v>0</v>
      </c>
      <c r="R332" s="2" t="inlineStr"/>
    </row>
    <row r="333" ht="15" customHeight="1">
      <c r="A333" t="inlineStr">
        <is>
          <t>A 14738-2020</t>
        </is>
      </c>
      <c r="B333" s="1" t="n">
        <v>43909</v>
      </c>
      <c r="C333" s="1" t="n">
        <v>45839</v>
      </c>
      <c r="D333" t="inlineStr">
        <is>
          <t>VÄSTERBOTTENS LÄN</t>
        </is>
      </c>
      <c r="E333" t="inlineStr">
        <is>
          <t>VILHELMINA</t>
        </is>
      </c>
      <c r="G333" t="n">
        <v>3.9</v>
      </c>
      <c r="H333" t="n">
        <v>0</v>
      </c>
      <c r="I333" t="n">
        <v>0</v>
      </c>
      <c r="J333" t="n">
        <v>0</v>
      </c>
      <c r="K333" t="n">
        <v>0</v>
      </c>
      <c r="L333" t="n">
        <v>0</v>
      </c>
      <c r="M333" t="n">
        <v>0</v>
      </c>
      <c r="N333" t="n">
        <v>0</v>
      </c>
      <c r="O333" t="n">
        <v>0</v>
      </c>
      <c r="P333" t="n">
        <v>0</v>
      </c>
      <c r="Q333" t="n">
        <v>0</v>
      </c>
      <c r="R333" s="2" t="inlineStr"/>
    </row>
    <row r="334" ht="15" customHeight="1">
      <c r="A334" t="inlineStr">
        <is>
          <t>A 15113-2020</t>
        </is>
      </c>
      <c r="B334" s="1" t="n">
        <v>43910</v>
      </c>
      <c r="C334" s="1" t="n">
        <v>45839</v>
      </c>
      <c r="D334" t="inlineStr">
        <is>
          <t>VÄSTERBOTTENS LÄN</t>
        </is>
      </c>
      <c r="E334" t="inlineStr">
        <is>
          <t>VILHELMINA</t>
        </is>
      </c>
      <c r="G334" t="n">
        <v>9.5</v>
      </c>
      <c r="H334" t="n">
        <v>0</v>
      </c>
      <c r="I334" t="n">
        <v>0</v>
      </c>
      <c r="J334" t="n">
        <v>0</v>
      </c>
      <c r="K334" t="n">
        <v>0</v>
      </c>
      <c r="L334" t="n">
        <v>0</v>
      </c>
      <c r="M334" t="n">
        <v>0</v>
      </c>
      <c r="N334" t="n">
        <v>0</v>
      </c>
      <c r="O334" t="n">
        <v>0</v>
      </c>
      <c r="P334" t="n">
        <v>0</v>
      </c>
      <c r="Q334" t="n">
        <v>0</v>
      </c>
      <c r="R334" s="2" t="inlineStr"/>
    </row>
    <row r="335" ht="15" customHeight="1">
      <c r="A335" t="inlineStr">
        <is>
          <t>A 15400-2020</t>
        </is>
      </c>
      <c r="B335" s="1" t="n">
        <v>43913</v>
      </c>
      <c r="C335" s="1" t="n">
        <v>45839</v>
      </c>
      <c r="D335" t="inlineStr">
        <is>
          <t>VÄSTERBOTTENS LÄN</t>
        </is>
      </c>
      <c r="E335" t="inlineStr">
        <is>
          <t>VILHELMINA</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15410-2020</t>
        </is>
      </c>
      <c r="B336" s="1" t="n">
        <v>43913</v>
      </c>
      <c r="C336" s="1" t="n">
        <v>45839</v>
      </c>
      <c r="D336" t="inlineStr">
        <is>
          <t>VÄSTERBOTTENS LÄN</t>
        </is>
      </c>
      <c r="E336" t="inlineStr">
        <is>
          <t>VILHELMINA</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15399-2020</t>
        </is>
      </c>
      <c r="B337" s="1" t="n">
        <v>43913</v>
      </c>
      <c r="C337" s="1" t="n">
        <v>45839</v>
      </c>
      <c r="D337" t="inlineStr">
        <is>
          <t>VÄSTERBOTTENS LÄN</t>
        </is>
      </c>
      <c r="E337" t="inlineStr">
        <is>
          <t>VILHELMINA</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15407-2020</t>
        </is>
      </c>
      <c r="B338" s="1" t="n">
        <v>43913</v>
      </c>
      <c r="C338" s="1" t="n">
        <v>45839</v>
      </c>
      <c r="D338" t="inlineStr">
        <is>
          <t>VÄSTERBOTTENS LÄN</t>
        </is>
      </c>
      <c r="E338" t="inlineStr">
        <is>
          <t>VILHELMINA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15413-2020</t>
        </is>
      </c>
      <c r="B339" s="1" t="n">
        <v>43913</v>
      </c>
      <c r="C339" s="1" t="n">
        <v>45839</v>
      </c>
      <c r="D339" t="inlineStr">
        <is>
          <t>VÄSTERBOTTENS LÄN</t>
        </is>
      </c>
      <c r="E339" t="inlineStr">
        <is>
          <t>VILHELMINA</t>
        </is>
      </c>
      <c r="F339" t="inlineStr">
        <is>
          <t>SCA</t>
        </is>
      </c>
      <c r="G339" t="n">
        <v>12.1</v>
      </c>
      <c r="H339" t="n">
        <v>0</v>
      </c>
      <c r="I339" t="n">
        <v>0</v>
      </c>
      <c r="J339" t="n">
        <v>0</v>
      </c>
      <c r="K339" t="n">
        <v>0</v>
      </c>
      <c r="L339" t="n">
        <v>0</v>
      </c>
      <c r="M339" t="n">
        <v>0</v>
      </c>
      <c r="N339" t="n">
        <v>0</v>
      </c>
      <c r="O339" t="n">
        <v>0</v>
      </c>
      <c r="P339" t="n">
        <v>0</v>
      </c>
      <c r="Q339" t="n">
        <v>0</v>
      </c>
      <c r="R339" s="2" t="inlineStr"/>
    </row>
    <row r="340" ht="15" customHeight="1">
      <c r="A340" t="inlineStr">
        <is>
          <t>A 15409-2020</t>
        </is>
      </c>
      <c r="B340" s="1" t="n">
        <v>43913</v>
      </c>
      <c r="C340" s="1" t="n">
        <v>45839</v>
      </c>
      <c r="D340" t="inlineStr">
        <is>
          <t>VÄSTERBOTTENS LÄN</t>
        </is>
      </c>
      <c r="E340" t="inlineStr">
        <is>
          <t>VILHELMINA</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15411-2020</t>
        </is>
      </c>
      <c r="B341" s="1" t="n">
        <v>43913</v>
      </c>
      <c r="C341" s="1" t="n">
        <v>45839</v>
      </c>
      <c r="D341" t="inlineStr">
        <is>
          <t>VÄSTERBOTTENS LÄN</t>
        </is>
      </c>
      <c r="E341" t="inlineStr">
        <is>
          <t>VILHELMINA</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17110-2020</t>
        </is>
      </c>
      <c r="B342" s="1" t="n">
        <v>43913</v>
      </c>
      <c r="C342" s="1" t="n">
        <v>45839</v>
      </c>
      <c r="D342" t="inlineStr">
        <is>
          <t>VÄSTERBOTTENS LÄN</t>
        </is>
      </c>
      <c r="E342" t="inlineStr">
        <is>
          <t>VILHELMINA</t>
        </is>
      </c>
      <c r="G342" t="n">
        <v>15.1</v>
      </c>
      <c r="H342" t="n">
        <v>0</v>
      </c>
      <c r="I342" t="n">
        <v>0</v>
      </c>
      <c r="J342" t="n">
        <v>0</v>
      </c>
      <c r="K342" t="n">
        <v>0</v>
      </c>
      <c r="L342" t="n">
        <v>0</v>
      </c>
      <c r="M342" t="n">
        <v>0</v>
      </c>
      <c r="N342" t="n">
        <v>0</v>
      </c>
      <c r="O342" t="n">
        <v>0</v>
      </c>
      <c r="P342" t="n">
        <v>0</v>
      </c>
      <c r="Q342" t="n">
        <v>0</v>
      </c>
      <c r="R342" s="2" t="inlineStr"/>
    </row>
    <row r="343" ht="15" customHeight="1">
      <c r="A343" t="inlineStr">
        <is>
          <t>A 17115-2020</t>
        </is>
      </c>
      <c r="B343" s="1" t="n">
        <v>43913</v>
      </c>
      <c r="C343" s="1" t="n">
        <v>45839</v>
      </c>
      <c r="D343" t="inlineStr">
        <is>
          <t>VÄSTERBOTTENS LÄN</t>
        </is>
      </c>
      <c r="E343" t="inlineStr">
        <is>
          <t>VILHELMINA</t>
        </is>
      </c>
      <c r="G343" t="n">
        <v>19.8</v>
      </c>
      <c r="H343" t="n">
        <v>0</v>
      </c>
      <c r="I343" t="n">
        <v>0</v>
      </c>
      <c r="J343" t="n">
        <v>0</v>
      </c>
      <c r="K343" t="n">
        <v>0</v>
      </c>
      <c r="L343" t="n">
        <v>0</v>
      </c>
      <c r="M343" t="n">
        <v>0</v>
      </c>
      <c r="N343" t="n">
        <v>0</v>
      </c>
      <c r="O343" t="n">
        <v>0</v>
      </c>
      <c r="P343" t="n">
        <v>0</v>
      </c>
      <c r="Q343" t="n">
        <v>0</v>
      </c>
      <c r="R343" s="2" t="inlineStr"/>
    </row>
    <row r="344" ht="15" customHeight="1">
      <c r="A344" t="inlineStr">
        <is>
          <t>A 15489-2020</t>
        </is>
      </c>
      <c r="B344" s="1" t="n">
        <v>43914</v>
      </c>
      <c r="C344" s="1" t="n">
        <v>45839</v>
      </c>
      <c r="D344" t="inlineStr">
        <is>
          <t>VÄSTERBOTTENS LÄN</t>
        </is>
      </c>
      <c r="E344" t="inlineStr">
        <is>
          <t>VILHELMINA</t>
        </is>
      </c>
      <c r="G344" t="n">
        <v>2.5</v>
      </c>
      <c r="H344" t="n">
        <v>0</v>
      </c>
      <c r="I344" t="n">
        <v>0</v>
      </c>
      <c r="J344" t="n">
        <v>0</v>
      </c>
      <c r="K344" t="n">
        <v>0</v>
      </c>
      <c r="L344" t="n">
        <v>0</v>
      </c>
      <c r="M344" t="n">
        <v>0</v>
      </c>
      <c r="N344" t="n">
        <v>0</v>
      </c>
      <c r="O344" t="n">
        <v>0</v>
      </c>
      <c r="P344" t="n">
        <v>0</v>
      </c>
      <c r="Q344" t="n">
        <v>0</v>
      </c>
      <c r="R344" s="2" t="inlineStr"/>
    </row>
    <row r="345" ht="15" customHeight="1">
      <c r="A345" t="inlineStr">
        <is>
          <t>A 15897-2020</t>
        </is>
      </c>
      <c r="B345" s="1" t="n">
        <v>43915</v>
      </c>
      <c r="C345" s="1" t="n">
        <v>45839</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15692-2020</t>
        </is>
      </c>
      <c r="B346" s="1" t="n">
        <v>43915</v>
      </c>
      <c r="C346" s="1" t="n">
        <v>45839</v>
      </c>
      <c r="D346" t="inlineStr">
        <is>
          <t>VÄSTERBOTTENS LÄN</t>
        </is>
      </c>
      <c r="E346" t="inlineStr">
        <is>
          <t>VILHELMINA</t>
        </is>
      </c>
      <c r="G346" t="n">
        <v>4.5</v>
      </c>
      <c r="H346" t="n">
        <v>0</v>
      </c>
      <c r="I346" t="n">
        <v>0</v>
      </c>
      <c r="J346" t="n">
        <v>0</v>
      </c>
      <c r="K346" t="n">
        <v>0</v>
      </c>
      <c r="L346" t="n">
        <v>0</v>
      </c>
      <c r="M346" t="n">
        <v>0</v>
      </c>
      <c r="N346" t="n">
        <v>0</v>
      </c>
      <c r="O346" t="n">
        <v>0</v>
      </c>
      <c r="P346" t="n">
        <v>0</v>
      </c>
      <c r="Q346" t="n">
        <v>0</v>
      </c>
      <c r="R346" s="2" t="inlineStr"/>
    </row>
    <row r="347" ht="15" customHeight="1">
      <c r="A347" t="inlineStr">
        <is>
          <t>A 15750-2020</t>
        </is>
      </c>
      <c r="B347" s="1" t="n">
        <v>43915</v>
      </c>
      <c r="C347" s="1" t="n">
        <v>45839</v>
      </c>
      <c r="D347" t="inlineStr">
        <is>
          <t>VÄSTERBOTTENS LÄN</t>
        </is>
      </c>
      <c r="E347" t="inlineStr">
        <is>
          <t>VILHELMINA</t>
        </is>
      </c>
      <c r="G347" t="n">
        <v>4.8</v>
      </c>
      <c r="H347" t="n">
        <v>0</v>
      </c>
      <c r="I347" t="n">
        <v>0</v>
      </c>
      <c r="J347" t="n">
        <v>0</v>
      </c>
      <c r="K347" t="n">
        <v>0</v>
      </c>
      <c r="L347" t="n">
        <v>0</v>
      </c>
      <c r="M347" t="n">
        <v>0</v>
      </c>
      <c r="N347" t="n">
        <v>0</v>
      </c>
      <c r="O347" t="n">
        <v>0</v>
      </c>
      <c r="P347" t="n">
        <v>0</v>
      </c>
      <c r="Q347" t="n">
        <v>0</v>
      </c>
      <c r="R347" s="2" t="inlineStr"/>
    </row>
    <row r="348" ht="15" customHeight="1">
      <c r="A348" t="inlineStr">
        <is>
          <t>A 15695-2020</t>
        </is>
      </c>
      <c r="B348" s="1" t="n">
        <v>43915</v>
      </c>
      <c r="C348" s="1" t="n">
        <v>45839</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17522-2020</t>
        </is>
      </c>
      <c r="B349" s="1" t="n">
        <v>43923</v>
      </c>
      <c r="C349" s="1" t="n">
        <v>45839</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17619-2020</t>
        </is>
      </c>
      <c r="B350" s="1" t="n">
        <v>43923</v>
      </c>
      <c r="C350" s="1" t="n">
        <v>45839</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17789-2020</t>
        </is>
      </c>
      <c r="B351" s="1" t="n">
        <v>43923</v>
      </c>
      <c r="C351" s="1" t="n">
        <v>45839</v>
      </c>
      <c r="D351" t="inlineStr">
        <is>
          <t>VÄSTERBOTTENS LÄN</t>
        </is>
      </c>
      <c r="E351" t="inlineStr">
        <is>
          <t>VILHELMINA</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18165-2020</t>
        </is>
      </c>
      <c r="B352" s="1" t="n">
        <v>43927</v>
      </c>
      <c r="C352" s="1" t="n">
        <v>45839</v>
      </c>
      <c r="D352" t="inlineStr">
        <is>
          <t>VÄSTERBOTTENS LÄN</t>
        </is>
      </c>
      <c r="E352" t="inlineStr">
        <is>
          <t>VILHELMINA</t>
        </is>
      </c>
      <c r="F352" t="inlineStr">
        <is>
          <t>Kommuner</t>
        </is>
      </c>
      <c r="G352" t="n">
        <v>3.6</v>
      </c>
      <c r="H352" t="n">
        <v>0</v>
      </c>
      <c r="I352" t="n">
        <v>0</v>
      </c>
      <c r="J352" t="n">
        <v>0</v>
      </c>
      <c r="K352" t="n">
        <v>0</v>
      </c>
      <c r="L352" t="n">
        <v>0</v>
      </c>
      <c r="M352" t="n">
        <v>0</v>
      </c>
      <c r="N352" t="n">
        <v>0</v>
      </c>
      <c r="O352" t="n">
        <v>0</v>
      </c>
      <c r="P352" t="n">
        <v>0</v>
      </c>
      <c r="Q352" t="n">
        <v>0</v>
      </c>
      <c r="R352" s="2" t="inlineStr"/>
    </row>
    <row r="353" ht="15" customHeight="1">
      <c r="A353" t="inlineStr">
        <is>
          <t>A 19009-2020</t>
        </is>
      </c>
      <c r="B353" s="1" t="n">
        <v>43935</v>
      </c>
      <c r="C353" s="1" t="n">
        <v>45839</v>
      </c>
      <c r="D353" t="inlineStr">
        <is>
          <t>VÄSTERBOTTENS LÄN</t>
        </is>
      </c>
      <c r="E353" t="inlineStr">
        <is>
          <t>VILHELMINA</t>
        </is>
      </c>
      <c r="G353" t="n">
        <v>1.5</v>
      </c>
      <c r="H353" t="n">
        <v>0</v>
      </c>
      <c r="I353" t="n">
        <v>0</v>
      </c>
      <c r="J353" t="n">
        <v>0</v>
      </c>
      <c r="K353" t="n">
        <v>0</v>
      </c>
      <c r="L353" t="n">
        <v>0</v>
      </c>
      <c r="M353" t="n">
        <v>0</v>
      </c>
      <c r="N353" t="n">
        <v>0</v>
      </c>
      <c r="O353" t="n">
        <v>0</v>
      </c>
      <c r="P353" t="n">
        <v>0</v>
      </c>
      <c r="Q353" t="n">
        <v>0</v>
      </c>
      <c r="R353" s="2" t="inlineStr"/>
    </row>
    <row r="354" ht="15" customHeight="1">
      <c r="A354" t="inlineStr">
        <is>
          <t>A 20187-2020</t>
        </is>
      </c>
      <c r="B354" s="1" t="n">
        <v>43944</v>
      </c>
      <c r="C354" s="1" t="n">
        <v>45839</v>
      </c>
      <c r="D354" t="inlineStr">
        <is>
          <t>VÄSTERBOTTENS LÄN</t>
        </is>
      </c>
      <c r="E354" t="inlineStr">
        <is>
          <t>VILHELMINA</t>
        </is>
      </c>
      <c r="G354" t="n">
        <v>0.7</v>
      </c>
      <c r="H354" t="n">
        <v>0</v>
      </c>
      <c r="I354" t="n">
        <v>0</v>
      </c>
      <c r="J354" t="n">
        <v>0</v>
      </c>
      <c r="K354" t="n">
        <v>0</v>
      </c>
      <c r="L354" t="n">
        <v>0</v>
      </c>
      <c r="M354" t="n">
        <v>0</v>
      </c>
      <c r="N354" t="n">
        <v>0</v>
      </c>
      <c r="O354" t="n">
        <v>0</v>
      </c>
      <c r="P354" t="n">
        <v>0</v>
      </c>
      <c r="Q354" t="n">
        <v>0</v>
      </c>
      <c r="R354" s="2" t="inlineStr"/>
    </row>
    <row r="355" ht="15" customHeight="1">
      <c r="A355" t="inlineStr">
        <is>
          <t>A 20420-2020</t>
        </is>
      </c>
      <c r="B355" s="1" t="n">
        <v>43945</v>
      </c>
      <c r="C355" s="1" t="n">
        <v>45839</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22789-2020</t>
        </is>
      </c>
      <c r="B356" s="1" t="n">
        <v>43964</v>
      </c>
      <c r="C356" s="1" t="n">
        <v>45839</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22791-2020</t>
        </is>
      </c>
      <c r="B357" s="1" t="n">
        <v>43964</v>
      </c>
      <c r="C357" s="1" t="n">
        <v>45839</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23168-2020</t>
        </is>
      </c>
      <c r="B358" s="1" t="n">
        <v>43966</v>
      </c>
      <c r="C358" s="1" t="n">
        <v>45839</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23175-2020</t>
        </is>
      </c>
      <c r="B359" s="1" t="n">
        <v>43966</v>
      </c>
      <c r="C359" s="1" t="n">
        <v>45839</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24985-2020</t>
        </is>
      </c>
      <c r="B360" s="1" t="n">
        <v>43977</v>
      </c>
      <c r="C360" s="1" t="n">
        <v>45839</v>
      </c>
      <c r="D360" t="inlineStr">
        <is>
          <t>VÄSTERBOTTENS LÄN</t>
        </is>
      </c>
      <c r="E360" t="inlineStr">
        <is>
          <t>VILHELMINA</t>
        </is>
      </c>
      <c r="F360" t="inlineStr">
        <is>
          <t>Övriga statliga verk och myndigheter</t>
        </is>
      </c>
      <c r="G360" t="n">
        <v>16</v>
      </c>
      <c r="H360" t="n">
        <v>0</v>
      </c>
      <c r="I360" t="n">
        <v>0</v>
      </c>
      <c r="J360" t="n">
        <v>0</v>
      </c>
      <c r="K360" t="n">
        <v>0</v>
      </c>
      <c r="L360" t="n">
        <v>0</v>
      </c>
      <c r="M360" t="n">
        <v>0</v>
      </c>
      <c r="N360" t="n">
        <v>0</v>
      </c>
      <c r="O360" t="n">
        <v>0</v>
      </c>
      <c r="P360" t="n">
        <v>0</v>
      </c>
      <c r="Q360" t="n">
        <v>0</v>
      </c>
      <c r="R360" s="2" t="inlineStr"/>
    </row>
    <row r="361" ht="15" customHeight="1">
      <c r="A361" t="inlineStr">
        <is>
          <t>A 25491-2020</t>
        </is>
      </c>
      <c r="B361" s="1" t="n">
        <v>43983</v>
      </c>
      <c r="C361" s="1" t="n">
        <v>45839</v>
      </c>
      <c r="D361" t="inlineStr">
        <is>
          <t>VÄSTERBOTTENS LÄN</t>
        </is>
      </c>
      <c r="E361" t="inlineStr">
        <is>
          <t>VILHELMINA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25498-2020</t>
        </is>
      </c>
      <c r="B362" s="1" t="n">
        <v>43983</v>
      </c>
      <c r="C362" s="1" t="n">
        <v>45839</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26382-2020</t>
        </is>
      </c>
      <c r="B363" s="1" t="n">
        <v>43986</v>
      </c>
      <c r="C363" s="1" t="n">
        <v>45839</v>
      </c>
      <c r="D363" t="inlineStr">
        <is>
          <t>VÄSTERBOTTENS LÄN</t>
        </is>
      </c>
      <c r="E363" t="inlineStr">
        <is>
          <t>VILHELMINA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26308-2020</t>
        </is>
      </c>
      <c r="B364" s="1" t="n">
        <v>43986</v>
      </c>
      <c r="C364" s="1" t="n">
        <v>45839</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28871-2020</t>
        </is>
      </c>
      <c r="B365" s="1" t="n">
        <v>44000</v>
      </c>
      <c r="C365" s="1" t="n">
        <v>45839</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28864-2020</t>
        </is>
      </c>
      <c r="B366" s="1" t="n">
        <v>44000</v>
      </c>
      <c r="C366" s="1" t="n">
        <v>45839</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30210-2020</t>
        </is>
      </c>
      <c r="B367" s="1" t="n">
        <v>44007</v>
      </c>
      <c r="C367" s="1" t="n">
        <v>45839</v>
      </c>
      <c r="D367" t="inlineStr">
        <is>
          <t>VÄSTERBOTTENS LÄN</t>
        </is>
      </c>
      <c r="E367" t="inlineStr">
        <is>
          <t>VILHELMINA</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30373-2020</t>
        </is>
      </c>
      <c r="B368" s="1" t="n">
        <v>44007</v>
      </c>
      <c r="C368" s="1" t="n">
        <v>45839</v>
      </c>
      <c r="D368" t="inlineStr">
        <is>
          <t>VÄSTERBOTTENS LÄN</t>
        </is>
      </c>
      <c r="E368" t="inlineStr">
        <is>
          <t>VILHELMINA</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33370-2020</t>
        </is>
      </c>
      <c r="B369" s="1" t="n">
        <v>44022</v>
      </c>
      <c r="C369" s="1" t="n">
        <v>45839</v>
      </c>
      <c r="D369" t="inlineStr">
        <is>
          <t>VÄSTERBOTTENS LÄN</t>
        </is>
      </c>
      <c r="E369" t="inlineStr">
        <is>
          <t>VILHELMINA</t>
        </is>
      </c>
      <c r="G369" t="n">
        <v>2.7</v>
      </c>
      <c r="H369" t="n">
        <v>0</v>
      </c>
      <c r="I369" t="n">
        <v>0</v>
      </c>
      <c r="J369" t="n">
        <v>0</v>
      </c>
      <c r="K369" t="n">
        <v>0</v>
      </c>
      <c r="L369" t="n">
        <v>0</v>
      </c>
      <c r="M369" t="n">
        <v>0</v>
      </c>
      <c r="N369" t="n">
        <v>0</v>
      </c>
      <c r="O369" t="n">
        <v>0</v>
      </c>
      <c r="P369" t="n">
        <v>0</v>
      </c>
      <c r="Q369" t="n">
        <v>0</v>
      </c>
      <c r="R369" s="2" t="inlineStr"/>
    </row>
    <row r="370" ht="15" customHeight="1">
      <c r="A370" t="inlineStr">
        <is>
          <t>A 34368-2020</t>
        </is>
      </c>
      <c r="B370" s="1" t="n">
        <v>44032</v>
      </c>
      <c r="C370" s="1" t="n">
        <v>45839</v>
      </c>
      <c r="D370" t="inlineStr">
        <is>
          <t>VÄSTERBOTTENS LÄN</t>
        </is>
      </c>
      <c r="E370" t="inlineStr">
        <is>
          <t>VILHELMINA</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34909-2020</t>
        </is>
      </c>
      <c r="B371" s="1" t="n">
        <v>44036</v>
      </c>
      <c r="C371" s="1" t="n">
        <v>45839</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34987-2020</t>
        </is>
      </c>
      <c r="B372" s="1" t="n">
        <v>44039</v>
      </c>
      <c r="C372" s="1" t="n">
        <v>45839</v>
      </c>
      <c r="D372" t="inlineStr">
        <is>
          <t>VÄSTERBOTTENS LÄN</t>
        </is>
      </c>
      <c r="E372" t="inlineStr">
        <is>
          <t>VILHELMINA</t>
        </is>
      </c>
      <c r="G372" t="n">
        <v>16.6</v>
      </c>
      <c r="H372" t="n">
        <v>0</v>
      </c>
      <c r="I372" t="n">
        <v>0</v>
      </c>
      <c r="J372" t="n">
        <v>0</v>
      </c>
      <c r="K372" t="n">
        <v>0</v>
      </c>
      <c r="L372" t="n">
        <v>0</v>
      </c>
      <c r="M372" t="n">
        <v>0</v>
      </c>
      <c r="N372" t="n">
        <v>0</v>
      </c>
      <c r="O372" t="n">
        <v>0</v>
      </c>
      <c r="P372" t="n">
        <v>0</v>
      </c>
      <c r="Q372" t="n">
        <v>0</v>
      </c>
      <c r="R372" s="2" t="inlineStr"/>
    </row>
    <row r="373" ht="15" customHeight="1">
      <c r="A373" t="inlineStr">
        <is>
          <t>A 36875-2020</t>
        </is>
      </c>
      <c r="B373" s="1" t="n">
        <v>44053</v>
      </c>
      <c r="C373" s="1" t="n">
        <v>45839</v>
      </c>
      <c r="D373" t="inlineStr">
        <is>
          <t>VÄSTERBOTTENS LÄN</t>
        </is>
      </c>
      <c r="E373" t="inlineStr">
        <is>
          <t>VILHELMINA</t>
        </is>
      </c>
      <c r="G373" t="n">
        <v>2.9</v>
      </c>
      <c r="H373" t="n">
        <v>0</v>
      </c>
      <c r="I373" t="n">
        <v>0</v>
      </c>
      <c r="J373" t="n">
        <v>0</v>
      </c>
      <c r="K373" t="n">
        <v>0</v>
      </c>
      <c r="L373" t="n">
        <v>0</v>
      </c>
      <c r="M373" t="n">
        <v>0</v>
      </c>
      <c r="N373" t="n">
        <v>0</v>
      </c>
      <c r="O373" t="n">
        <v>0</v>
      </c>
      <c r="P373" t="n">
        <v>0</v>
      </c>
      <c r="Q373" t="n">
        <v>0</v>
      </c>
      <c r="R373" s="2" t="inlineStr"/>
    </row>
    <row r="374" ht="15" customHeight="1">
      <c r="A374" t="inlineStr">
        <is>
          <t>A 38349-2020</t>
        </is>
      </c>
      <c r="B374" s="1" t="n">
        <v>44060</v>
      </c>
      <c r="C374" s="1" t="n">
        <v>45839</v>
      </c>
      <c r="D374" t="inlineStr">
        <is>
          <t>VÄSTERBOTTENS LÄN</t>
        </is>
      </c>
      <c r="E374" t="inlineStr">
        <is>
          <t>VILHELMINA</t>
        </is>
      </c>
      <c r="F374" t="inlineStr">
        <is>
          <t>SCA</t>
        </is>
      </c>
      <c r="G374" t="n">
        <v>26.8</v>
      </c>
      <c r="H374" t="n">
        <v>0</v>
      </c>
      <c r="I374" t="n">
        <v>0</v>
      </c>
      <c r="J374" t="n">
        <v>0</v>
      </c>
      <c r="K374" t="n">
        <v>0</v>
      </c>
      <c r="L374" t="n">
        <v>0</v>
      </c>
      <c r="M374" t="n">
        <v>0</v>
      </c>
      <c r="N374" t="n">
        <v>0</v>
      </c>
      <c r="O374" t="n">
        <v>0</v>
      </c>
      <c r="P374" t="n">
        <v>0</v>
      </c>
      <c r="Q374" t="n">
        <v>0</v>
      </c>
      <c r="R374" s="2" t="inlineStr"/>
    </row>
    <row r="375" ht="15" customHeight="1">
      <c r="A375" t="inlineStr">
        <is>
          <t>A 40116-2020</t>
        </is>
      </c>
      <c r="B375" s="1" t="n">
        <v>44064</v>
      </c>
      <c r="C375" s="1" t="n">
        <v>45839</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40100-2020</t>
        </is>
      </c>
      <c r="B376" s="1" t="n">
        <v>44064</v>
      </c>
      <c r="C376" s="1" t="n">
        <v>45839</v>
      </c>
      <c r="D376" t="inlineStr">
        <is>
          <t>VÄSTERBOTTENS LÄN</t>
        </is>
      </c>
      <c r="E376" t="inlineStr">
        <is>
          <t>VILHELMINA</t>
        </is>
      </c>
      <c r="G376" t="n">
        <v>22.5</v>
      </c>
      <c r="H376" t="n">
        <v>0</v>
      </c>
      <c r="I376" t="n">
        <v>0</v>
      </c>
      <c r="J376" t="n">
        <v>0</v>
      </c>
      <c r="K376" t="n">
        <v>0</v>
      </c>
      <c r="L376" t="n">
        <v>0</v>
      </c>
      <c r="M376" t="n">
        <v>0</v>
      </c>
      <c r="N376" t="n">
        <v>0</v>
      </c>
      <c r="O376" t="n">
        <v>0</v>
      </c>
      <c r="P376" t="n">
        <v>0</v>
      </c>
      <c r="Q376" t="n">
        <v>0</v>
      </c>
      <c r="R376" s="2" t="inlineStr"/>
    </row>
    <row r="377" ht="15" customHeight="1">
      <c r="A377" t="inlineStr">
        <is>
          <t>A 40842-2020</t>
        </is>
      </c>
      <c r="B377" s="1" t="n">
        <v>44069</v>
      </c>
      <c r="C377" s="1" t="n">
        <v>45839</v>
      </c>
      <c r="D377" t="inlineStr">
        <is>
          <t>VÄSTERBOTTENS LÄN</t>
        </is>
      </c>
      <c r="E377" t="inlineStr">
        <is>
          <t>VILHELMINA</t>
        </is>
      </c>
      <c r="G377" t="n">
        <v>20.4</v>
      </c>
      <c r="H377" t="n">
        <v>0</v>
      </c>
      <c r="I377" t="n">
        <v>0</v>
      </c>
      <c r="J377" t="n">
        <v>0</v>
      </c>
      <c r="K377" t="n">
        <v>0</v>
      </c>
      <c r="L377" t="n">
        <v>0</v>
      </c>
      <c r="M377" t="n">
        <v>0</v>
      </c>
      <c r="N377" t="n">
        <v>0</v>
      </c>
      <c r="O377" t="n">
        <v>0</v>
      </c>
      <c r="P377" t="n">
        <v>0</v>
      </c>
      <c r="Q377" t="n">
        <v>0</v>
      </c>
      <c r="R377" s="2" t="inlineStr"/>
    </row>
    <row r="378" ht="15" customHeight="1">
      <c r="A378" t="inlineStr">
        <is>
          <t>A 41267-2020</t>
        </is>
      </c>
      <c r="B378" s="1" t="n">
        <v>44071</v>
      </c>
      <c r="C378" s="1" t="n">
        <v>45839</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42205-2020</t>
        </is>
      </c>
      <c r="B379" s="1" t="n">
        <v>44075</v>
      </c>
      <c r="C379" s="1" t="n">
        <v>45839</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43080-2020</t>
        </is>
      </c>
      <c r="B380" s="1" t="n">
        <v>44078</v>
      </c>
      <c r="C380" s="1" t="n">
        <v>45839</v>
      </c>
      <c r="D380" t="inlineStr">
        <is>
          <t>VÄSTERBOTTENS LÄN</t>
        </is>
      </c>
      <c r="E380" t="inlineStr">
        <is>
          <t>VILHELMINA</t>
        </is>
      </c>
      <c r="F380" t="inlineStr">
        <is>
          <t>SCA</t>
        </is>
      </c>
      <c r="G380" t="n">
        <v>15.4</v>
      </c>
      <c r="H380" t="n">
        <v>0</v>
      </c>
      <c r="I380" t="n">
        <v>0</v>
      </c>
      <c r="J380" t="n">
        <v>0</v>
      </c>
      <c r="K380" t="n">
        <v>0</v>
      </c>
      <c r="L380" t="n">
        <v>0</v>
      </c>
      <c r="M380" t="n">
        <v>0</v>
      </c>
      <c r="N380" t="n">
        <v>0</v>
      </c>
      <c r="O380" t="n">
        <v>0</v>
      </c>
      <c r="P380" t="n">
        <v>0</v>
      </c>
      <c r="Q380" t="n">
        <v>0</v>
      </c>
      <c r="R380" s="2" t="inlineStr"/>
    </row>
    <row r="381" ht="15" customHeight="1">
      <c r="A381" t="inlineStr">
        <is>
          <t>A 44507-2020</t>
        </is>
      </c>
      <c r="B381" s="1" t="n">
        <v>44084</v>
      </c>
      <c r="C381" s="1" t="n">
        <v>45839</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46509-2020</t>
        </is>
      </c>
      <c r="B382" s="1" t="n">
        <v>44088</v>
      </c>
      <c r="C382" s="1" t="n">
        <v>45839</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46378-2020</t>
        </is>
      </c>
      <c r="B383" s="1" t="n">
        <v>44092</v>
      </c>
      <c r="C383" s="1" t="n">
        <v>45839</v>
      </c>
      <c r="D383" t="inlineStr">
        <is>
          <t>VÄSTERBOTTENS LÄN</t>
        </is>
      </c>
      <c r="E383" t="inlineStr">
        <is>
          <t>VILHELMINA</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46373-2020</t>
        </is>
      </c>
      <c r="B384" s="1" t="n">
        <v>44092</v>
      </c>
      <c r="C384" s="1" t="n">
        <v>45839</v>
      </c>
      <c r="D384" t="inlineStr">
        <is>
          <t>VÄSTERBOTTENS LÄN</t>
        </is>
      </c>
      <c r="E384" t="inlineStr">
        <is>
          <t>VILHELMINA</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47308-2020</t>
        </is>
      </c>
      <c r="B385" s="1" t="n">
        <v>44092</v>
      </c>
      <c r="C385" s="1" t="n">
        <v>45839</v>
      </c>
      <c r="D385" t="inlineStr">
        <is>
          <t>VÄSTERBOTTENS LÄN</t>
        </is>
      </c>
      <c r="E385" t="inlineStr">
        <is>
          <t>VILHELMINA</t>
        </is>
      </c>
      <c r="F385" t="inlineStr">
        <is>
          <t>Övriga statliga verk och myndigheter</t>
        </is>
      </c>
      <c r="G385" t="n">
        <v>35.3</v>
      </c>
      <c r="H385" t="n">
        <v>0</v>
      </c>
      <c r="I385" t="n">
        <v>0</v>
      </c>
      <c r="J385" t="n">
        <v>0</v>
      </c>
      <c r="K385" t="n">
        <v>0</v>
      </c>
      <c r="L385" t="n">
        <v>0</v>
      </c>
      <c r="M385" t="n">
        <v>0</v>
      </c>
      <c r="N385" t="n">
        <v>0</v>
      </c>
      <c r="O385" t="n">
        <v>0</v>
      </c>
      <c r="P385" t="n">
        <v>0</v>
      </c>
      <c r="Q385" t="n">
        <v>0</v>
      </c>
      <c r="R385" s="2" t="inlineStr"/>
    </row>
    <row r="386" ht="15" customHeight="1">
      <c r="A386" t="inlineStr">
        <is>
          <t>A 48256-2020</t>
        </is>
      </c>
      <c r="B386" s="1" t="n">
        <v>44092</v>
      </c>
      <c r="C386" s="1" t="n">
        <v>45839</v>
      </c>
      <c r="D386" t="inlineStr">
        <is>
          <t>VÄSTERBOTTENS LÄN</t>
        </is>
      </c>
      <c r="E386" t="inlineStr">
        <is>
          <t>VILHELMINA</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48019-2020</t>
        </is>
      </c>
      <c r="B387" s="1" t="n">
        <v>44092</v>
      </c>
      <c r="C387" s="1" t="n">
        <v>45839</v>
      </c>
      <c r="D387" t="inlineStr">
        <is>
          <t>VÄSTERBOTTENS LÄN</t>
        </is>
      </c>
      <c r="E387" t="inlineStr">
        <is>
          <t>VILHELMINA</t>
        </is>
      </c>
      <c r="F387" t="inlineStr">
        <is>
          <t>Övriga statliga verk och myndigheter</t>
        </is>
      </c>
      <c r="G387" t="n">
        <v>1.3</v>
      </c>
      <c r="H387" t="n">
        <v>0</v>
      </c>
      <c r="I387" t="n">
        <v>0</v>
      </c>
      <c r="J387" t="n">
        <v>0</v>
      </c>
      <c r="K387" t="n">
        <v>0</v>
      </c>
      <c r="L387" t="n">
        <v>0</v>
      </c>
      <c r="M387" t="n">
        <v>0</v>
      </c>
      <c r="N387" t="n">
        <v>0</v>
      </c>
      <c r="O387" t="n">
        <v>0</v>
      </c>
      <c r="P387" t="n">
        <v>0</v>
      </c>
      <c r="Q387" t="n">
        <v>0</v>
      </c>
      <c r="R387" s="2" t="inlineStr"/>
    </row>
    <row r="388" ht="15" customHeight="1">
      <c r="A388" t="inlineStr">
        <is>
          <t>A 47193-2020</t>
        </is>
      </c>
      <c r="B388" s="1" t="n">
        <v>44097</v>
      </c>
      <c r="C388" s="1" t="n">
        <v>45839</v>
      </c>
      <c r="D388" t="inlineStr">
        <is>
          <t>VÄSTERBOTTENS LÄN</t>
        </is>
      </c>
      <c r="E388" t="inlineStr">
        <is>
          <t>VILHELMINA</t>
        </is>
      </c>
      <c r="G388" t="n">
        <v>6.8</v>
      </c>
      <c r="H388" t="n">
        <v>0</v>
      </c>
      <c r="I388" t="n">
        <v>0</v>
      </c>
      <c r="J388" t="n">
        <v>0</v>
      </c>
      <c r="K388" t="n">
        <v>0</v>
      </c>
      <c r="L388" t="n">
        <v>0</v>
      </c>
      <c r="M388" t="n">
        <v>0</v>
      </c>
      <c r="N388" t="n">
        <v>0</v>
      </c>
      <c r="O388" t="n">
        <v>0</v>
      </c>
      <c r="P388" t="n">
        <v>0</v>
      </c>
      <c r="Q388" t="n">
        <v>0</v>
      </c>
      <c r="R388" s="2" t="inlineStr"/>
    </row>
    <row r="389" ht="15" customHeight="1">
      <c r="A389" t="inlineStr">
        <is>
          <t>A 52165-2020</t>
        </is>
      </c>
      <c r="B389" s="1" t="n">
        <v>44105</v>
      </c>
      <c r="C389" s="1" t="n">
        <v>45839</v>
      </c>
      <c r="D389" t="inlineStr">
        <is>
          <t>VÄSTERBOTTENS LÄN</t>
        </is>
      </c>
      <c r="E389" t="inlineStr">
        <is>
          <t>VILHELMINA</t>
        </is>
      </c>
      <c r="G389" t="n">
        <v>16.1</v>
      </c>
      <c r="H389" t="n">
        <v>0</v>
      </c>
      <c r="I389" t="n">
        <v>0</v>
      </c>
      <c r="J389" t="n">
        <v>0</v>
      </c>
      <c r="K389" t="n">
        <v>0</v>
      </c>
      <c r="L389" t="n">
        <v>0</v>
      </c>
      <c r="M389" t="n">
        <v>0</v>
      </c>
      <c r="N389" t="n">
        <v>0</v>
      </c>
      <c r="O389" t="n">
        <v>0</v>
      </c>
      <c r="P389" t="n">
        <v>0</v>
      </c>
      <c r="Q389" t="n">
        <v>0</v>
      </c>
      <c r="R389" s="2" t="inlineStr"/>
    </row>
    <row r="390" ht="15" customHeight="1">
      <c r="A390" t="inlineStr">
        <is>
          <t>A 52174-2020</t>
        </is>
      </c>
      <c r="B390" s="1" t="n">
        <v>44105</v>
      </c>
      <c r="C390" s="1" t="n">
        <v>45839</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50139-2020</t>
        </is>
      </c>
      <c r="B391" s="1" t="n">
        <v>44109</v>
      </c>
      <c r="C391" s="1" t="n">
        <v>45839</v>
      </c>
      <c r="D391" t="inlineStr">
        <is>
          <t>VÄSTERBOTTENS LÄN</t>
        </is>
      </c>
      <c r="E391" t="inlineStr">
        <is>
          <t>VILHELMINA</t>
        </is>
      </c>
      <c r="G391" t="n">
        <v>1.2</v>
      </c>
      <c r="H391" t="n">
        <v>0</v>
      </c>
      <c r="I391" t="n">
        <v>0</v>
      </c>
      <c r="J391" t="n">
        <v>0</v>
      </c>
      <c r="K391" t="n">
        <v>0</v>
      </c>
      <c r="L391" t="n">
        <v>0</v>
      </c>
      <c r="M391" t="n">
        <v>0</v>
      </c>
      <c r="N391" t="n">
        <v>0</v>
      </c>
      <c r="O391" t="n">
        <v>0</v>
      </c>
      <c r="P391" t="n">
        <v>0</v>
      </c>
      <c r="Q391" t="n">
        <v>0</v>
      </c>
      <c r="R391" s="2" t="inlineStr"/>
    </row>
    <row r="392" ht="15" customHeight="1">
      <c r="A392" t="inlineStr">
        <is>
          <t>A 52669-2020</t>
        </is>
      </c>
      <c r="B392" s="1" t="n">
        <v>44118</v>
      </c>
      <c r="C392" s="1" t="n">
        <v>45839</v>
      </c>
      <c r="D392" t="inlineStr">
        <is>
          <t>VÄSTERBOTTENS LÄN</t>
        </is>
      </c>
      <c r="E392" t="inlineStr">
        <is>
          <t>VILHELMINA</t>
        </is>
      </c>
      <c r="F392" t="inlineStr">
        <is>
          <t>Allmännings- och besparingsskogar</t>
        </is>
      </c>
      <c r="G392" t="n">
        <v>22.6</v>
      </c>
      <c r="H392" t="n">
        <v>0</v>
      </c>
      <c r="I392" t="n">
        <v>0</v>
      </c>
      <c r="J392" t="n">
        <v>0</v>
      </c>
      <c r="K392" t="n">
        <v>0</v>
      </c>
      <c r="L392" t="n">
        <v>0</v>
      </c>
      <c r="M392" t="n">
        <v>0</v>
      </c>
      <c r="N392" t="n">
        <v>0</v>
      </c>
      <c r="O392" t="n">
        <v>0</v>
      </c>
      <c r="P392" t="n">
        <v>0</v>
      </c>
      <c r="Q392" t="n">
        <v>0</v>
      </c>
      <c r="R392" s="2" t="inlineStr"/>
    </row>
    <row r="393" ht="15" customHeight="1">
      <c r="A393" t="inlineStr">
        <is>
          <t>A 54947-2020</t>
        </is>
      </c>
      <c r="B393" s="1" t="n">
        <v>44129</v>
      </c>
      <c r="C393" s="1" t="n">
        <v>45839</v>
      </c>
      <c r="D393" t="inlineStr">
        <is>
          <t>VÄSTERBOTTENS LÄN</t>
        </is>
      </c>
      <c r="E393" t="inlineStr">
        <is>
          <t>VILHELMINA</t>
        </is>
      </c>
      <c r="G393" t="n">
        <v>6.1</v>
      </c>
      <c r="H393" t="n">
        <v>0</v>
      </c>
      <c r="I393" t="n">
        <v>0</v>
      </c>
      <c r="J393" t="n">
        <v>0</v>
      </c>
      <c r="K393" t="n">
        <v>0</v>
      </c>
      <c r="L393" t="n">
        <v>0</v>
      </c>
      <c r="M393" t="n">
        <v>0</v>
      </c>
      <c r="N393" t="n">
        <v>0</v>
      </c>
      <c r="O393" t="n">
        <v>0</v>
      </c>
      <c r="P393" t="n">
        <v>0</v>
      </c>
      <c r="Q393" t="n">
        <v>0</v>
      </c>
      <c r="R393" s="2" t="inlineStr"/>
    </row>
    <row r="394" ht="15" customHeight="1">
      <c r="A394" t="inlineStr">
        <is>
          <t>A 55440-2020</t>
        </is>
      </c>
      <c r="B394" s="1" t="n">
        <v>44131</v>
      </c>
      <c r="C394" s="1" t="n">
        <v>45839</v>
      </c>
      <c r="D394" t="inlineStr">
        <is>
          <t>VÄSTERBOTTENS LÄN</t>
        </is>
      </c>
      <c r="E394" t="inlineStr">
        <is>
          <t>VILHELMINA</t>
        </is>
      </c>
      <c r="G394" t="n">
        <v>18.3</v>
      </c>
      <c r="H394" t="n">
        <v>0</v>
      </c>
      <c r="I394" t="n">
        <v>0</v>
      </c>
      <c r="J394" t="n">
        <v>0</v>
      </c>
      <c r="K394" t="n">
        <v>0</v>
      </c>
      <c r="L394" t="n">
        <v>0</v>
      </c>
      <c r="M394" t="n">
        <v>0</v>
      </c>
      <c r="N394" t="n">
        <v>0</v>
      </c>
      <c r="O394" t="n">
        <v>0</v>
      </c>
      <c r="P394" t="n">
        <v>0</v>
      </c>
      <c r="Q394" t="n">
        <v>0</v>
      </c>
      <c r="R394" s="2" t="inlineStr"/>
    </row>
    <row r="395" ht="15" customHeight="1">
      <c r="A395" t="inlineStr">
        <is>
          <t>A 58584-2020</t>
        </is>
      </c>
      <c r="B395" s="1" t="n">
        <v>44144</v>
      </c>
      <c r="C395" s="1" t="n">
        <v>45839</v>
      </c>
      <c r="D395" t="inlineStr">
        <is>
          <t>VÄSTERBOTTENS LÄN</t>
        </is>
      </c>
      <c r="E395" t="inlineStr">
        <is>
          <t>VILHELMINA</t>
        </is>
      </c>
      <c r="F395" t="inlineStr">
        <is>
          <t>Övriga statliga verk och myndigheter</t>
        </is>
      </c>
      <c r="G395" t="n">
        <v>20.8</v>
      </c>
      <c r="H395" t="n">
        <v>0</v>
      </c>
      <c r="I395" t="n">
        <v>0</v>
      </c>
      <c r="J395" t="n">
        <v>0</v>
      </c>
      <c r="K395" t="n">
        <v>0</v>
      </c>
      <c r="L395" t="n">
        <v>0</v>
      </c>
      <c r="M395" t="n">
        <v>0</v>
      </c>
      <c r="N395" t="n">
        <v>0</v>
      </c>
      <c r="O395" t="n">
        <v>0</v>
      </c>
      <c r="P395" t="n">
        <v>0</v>
      </c>
      <c r="Q395" t="n">
        <v>0</v>
      </c>
      <c r="R395" s="2" t="inlineStr"/>
    </row>
    <row r="396" ht="15" customHeight="1">
      <c r="A396" t="inlineStr">
        <is>
          <t>A 59587-2020</t>
        </is>
      </c>
      <c r="B396" s="1" t="n">
        <v>44148</v>
      </c>
      <c r="C396" s="1" t="n">
        <v>45839</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60090-2020</t>
        </is>
      </c>
      <c r="B397" s="1" t="n">
        <v>44151</v>
      </c>
      <c r="C397" s="1" t="n">
        <v>45839</v>
      </c>
      <c r="D397" t="inlineStr">
        <is>
          <t>VÄSTERBOTTENS LÄN</t>
        </is>
      </c>
      <c r="E397" t="inlineStr">
        <is>
          <t>VILHELMINA</t>
        </is>
      </c>
      <c r="G397" t="n">
        <v>9</v>
      </c>
      <c r="H397" t="n">
        <v>0</v>
      </c>
      <c r="I397" t="n">
        <v>0</v>
      </c>
      <c r="J397" t="n">
        <v>0</v>
      </c>
      <c r="K397" t="n">
        <v>0</v>
      </c>
      <c r="L397" t="n">
        <v>0</v>
      </c>
      <c r="M397" t="n">
        <v>0</v>
      </c>
      <c r="N397" t="n">
        <v>0</v>
      </c>
      <c r="O397" t="n">
        <v>0</v>
      </c>
      <c r="P397" t="n">
        <v>0</v>
      </c>
      <c r="Q397" t="n">
        <v>0</v>
      </c>
      <c r="R397" s="2" t="inlineStr"/>
    </row>
    <row r="398" ht="15" customHeight="1">
      <c r="A398" t="inlineStr">
        <is>
          <t>A 60812-2020</t>
        </is>
      </c>
      <c r="B398" s="1" t="n">
        <v>44153</v>
      </c>
      <c r="C398" s="1" t="n">
        <v>45839</v>
      </c>
      <c r="D398" t="inlineStr">
        <is>
          <t>VÄSTERBOTTENS LÄN</t>
        </is>
      </c>
      <c r="E398" t="inlineStr">
        <is>
          <t>VILHELMINA</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61129-2020</t>
        </is>
      </c>
      <c r="B399" s="1" t="n">
        <v>44154</v>
      </c>
      <c r="C399" s="1" t="n">
        <v>45839</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61920-2020</t>
        </is>
      </c>
      <c r="B400" s="1" t="n">
        <v>44155</v>
      </c>
      <c r="C400" s="1" t="n">
        <v>45839</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62874-2020</t>
        </is>
      </c>
      <c r="B401" s="1" t="n">
        <v>44161</v>
      </c>
      <c r="C401" s="1" t="n">
        <v>45839</v>
      </c>
      <c r="D401" t="inlineStr">
        <is>
          <t>VÄSTERBOTTENS LÄN</t>
        </is>
      </c>
      <c r="E401" t="inlineStr">
        <is>
          <t>VILHELMINA</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64065-2020</t>
        </is>
      </c>
      <c r="B402" s="1" t="n">
        <v>44165</v>
      </c>
      <c r="C402" s="1" t="n">
        <v>45839</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64254-2020</t>
        </is>
      </c>
      <c r="B403" s="1" t="n">
        <v>44168</v>
      </c>
      <c r="C403" s="1" t="n">
        <v>45839</v>
      </c>
      <c r="D403" t="inlineStr">
        <is>
          <t>VÄSTERBOTTENS LÄN</t>
        </is>
      </c>
      <c r="E403" t="inlineStr">
        <is>
          <t>VILHELMINA</t>
        </is>
      </c>
      <c r="G403" t="n">
        <v>17.6</v>
      </c>
      <c r="H403" t="n">
        <v>0</v>
      </c>
      <c r="I403" t="n">
        <v>0</v>
      </c>
      <c r="J403" t="n">
        <v>0</v>
      </c>
      <c r="K403" t="n">
        <v>0</v>
      </c>
      <c r="L403" t="n">
        <v>0</v>
      </c>
      <c r="M403" t="n">
        <v>0</v>
      </c>
      <c r="N403" t="n">
        <v>0</v>
      </c>
      <c r="O403" t="n">
        <v>0</v>
      </c>
      <c r="P403" t="n">
        <v>0</v>
      </c>
      <c r="Q403" t="n">
        <v>0</v>
      </c>
      <c r="R403" s="2" t="inlineStr"/>
    </row>
    <row r="404" ht="15" customHeight="1">
      <c r="A404" t="inlineStr">
        <is>
          <t>A 64759-2020</t>
        </is>
      </c>
      <c r="B404" s="1" t="n">
        <v>44169</v>
      </c>
      <c r="C404" s="1" t="n">
        <v>45839</v>
      </c>
      <c r="D404" t="inlineStr">
        <is>
          <t>VÄSTERBOTTENS LÄN</t>
        </is>
      </c>
      <c r="E404" t="inlineStr">
        <is>
          <t>VILHELMINA</t>
        </is>
      </c>
      <c r="G404" t="n">
        <v>24.6</v>
      </c>
      <c r="H404" t="n">
        <v>0</v>
      </c>
      <c r="I404" t="n">
        <v>0</v>
      </c>
      <c r="J404" t="n">
        <v>0</v>
      </c>
      <c r="K404" t="n">
        <v>0</v>
      </c>
      <c r="L404" t="n">
        <v>0</v>
      </c>
      <c r="M404" t="n">
        <v>0</v>
      </c>
      <c r="N404" t="n">
        <v>0</v>
      </c>
      <c r="O404" t="n">
        <v>0</v>
      </c>
      <c r="P404" t="n">
        <v>0</v>
      </c>
      <c r="Q404" t="n">
        <v>0</v>
      </c>
      <c r="R404" s="2" t="inlineStr"/>
    </row>
    <row r="405" ht="15" customHeight="1">
      <c r="A405" t="inlineStr">
        <is>
          <t>A 65663-2020</t>
        </is>
      </c>
      <c r="B405" s="1" t="n">
        <v>44172</v>
      </c>
      <c r="C405" s="1" t="n">
        <v>45839</v>
      </c>
      <c r="D405" t="inlineStr">
        <is>
          <t>VÄSTERBOTTENS LÄN</t>
        </is>
      </c>
      <c r="E405" t="inlineStr">
        <is>
          <t>VILHELMINA</t>
        </is>
      </c>
      <c r="G405" t="n">
        <v>3.2</v>
      </c>
      <c r="H405" t="n">
        <v>0</v>
      </c>
      <c r="I405" t="n">
        <v>0</v>
      </c>
      <c r="J405" t="n">
        <v>0</v>
      </c>
      <c r="K405" t="n">
        <v>0</v>
      </c>
      <c r="L405" t="n">
        <v>0</v>
      </c>
      <c r="M405" t="n">
        <v>0</v>
      </c>
      <c r="N405" t="n">
        <v>0</v>
      </c>
      <c r="O405" t="n">
        <v>0</v>
      </c>
      <c r="P405" t="n">
        <v>0</v>
      </c>
      <c r="Q405" t="n">
        <v>0</v>
      </c>
      <c r="R405" s="2" t="inlineStr"/>
    </row>
    <row r="406" ht="15" customHeight="1">
      <c r="A406" t="inlineStr">
        <is>
          <t>A 68641-2020</t>
        </is>
      </c>
      <c r="B406" s="1" t="n">
        <v>44186</v>
      </c>
      <c r="C406" s="1" t="n">
        <v>45839</v>
      </c>
      <c r="D406" t="inlineStr">
        <is>
          <t>VÄSTERBOTTENS LÄN</t>
        </is>
      </c>
      <c r="E406" t="inlineStr">
        <is>
          <t>VILHELMINA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68640-2020</t>
        </is>
      </c>
      <c r="B407" s="1" t="n">
        <v>44186</v>
      </c>
      <c r="C407" s="1" t="n">
        <v>45839</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69502-2020</t>
        </is>
      </c>
      <c r="B408" s="1" t="n">
        <v>44193</v>
      </c>
      <c r="C408" s="1" t="n">
        <v>45839</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69621-2020</t>
        </is>
      </c>
      <c r="B409" s="1" t="n">
        <v>44195</v>
      </c>
      <c r="C409" s="1" t="n">
        <v>45839</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1471-2021</t>
        </is>
      </c>
      <c r="B410" s="1" t="n">
        <v>44208</v>
      </c>
      <c r="C410" s="1" t="n">
        <v>45839</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1470-2021</t>
        </is>
      </c>
      <c r="B411" s="1" t="n">
        <v>44208</v>
      </c>
      <c r="C411" s="1" t="n">
        <v>45839</v>
      </c>
      <c r="D411" t="inlineStr">
        <is>
          <t>VÄSTERBOTTENS LÄN</t>
        </is>
      </c>
      <c r="E411" t="inlineStr">
        <is>
          <t>VILHELMINA</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2187-2021</t>
        </is>
      </c>
      <c r="B412" s="1" t="n">
        <v>44211</v>
      </c>
      <c r="C412" s="1" t="n">
        <v>45839</v>
      </c>
      <c r="D412" t="inlineStr">
        <is>
          <t>VÄSTERBOTTENS LÄN</t>
        </is>
      </c>
      <c r="E412" t="inlineStr">
        <is>
          <t>VILHELMINA</t>
        </is>
      </c>
      <c r="F412" t="inlineStr">
        <is>
          <t>Allmännings- och besparingsskogar</t>
        </is>
      </c>
      <c r="G412" t="n">
        <v>21.3</v>
      </c>
      <c r="H412" t="n">
        <v>0</v>
      </c>
      <c r="I412" t="n">
        <v>0</v>
      </c>
      <c r="J412" t="n">
        <v>0</v>
      </c>
      <c r="K412" t="n">
        <v>0</v>
      </c>
      <c r="L412" t="n">
        <v>0</v>
      </c>
      <c r="M412" t="n">
        <v>0</v>
      </c>
      <c r="N412" t="n">
        <v>0</v>
      </c>
      <c r="O412" t="n">
        <v>0</v>
      </c>
      <c r="P412" t="n">
        <v>0</v>
      </c>
      <c r="Q412" t="n">
        <v>0</v>
      </c>
      <c r="R412" s="2" t="inlineStr"/>
    </row>
    <row r="413" ht="15" customHeight="1">
      <c r="A413" t="inlineStr">
        <is>
          <t>A 2189-2021</t>
        </is>
      </c>
      <c r="B413" s="1" t="n">
        <v>44211</v>
      </c>
      <c r="C413" s="1" t="n">
        <v>45839</v>
      </c>
      <c r="D413" t="inlineStr">
        <is>
          <t>VÄSTERBOTTENS LÄN</t>
        </is>
      </c>
      <c r="E413" t="inlineStr">
        <is>
          <t>VILHELMINA</t>
        </is>
      </c>
      <c r="F413" t="inlineStr">
        <is>
          <t>Allmännings- och besparingsskogar</t>
        </is>
      </c>
      <c r="G413" t="n">
        <v>20.1</v>
      </c>
      <c r="H413" t="n">
        <v>0</v>
      </c>
      <c r="I413" t="n">
        <v>0</v>
      </c>
      <c r="J413" t="n">
        <v>0</v>
      </c>
      <c r="K413" t="n">
        <v>0</v>
      </c>
      <c r="L413" t="n">
        <v>0</v>
      </c>
      <c r="M413" t="n">
        <v>0</v>
      </c>
      <c r="N413" t="n">
        <v>0</v>
      </c>
      <c r="O413" t="n">
        <v>0</v>
      </c>
      <c r="P413" t="n">
        <v>0</v>
      </c>
      <c r="Q413" t="n">
        <v>0</v>
      </c>
      <c r="R413" s="2" t="inlineStr"/>
    </row>
    <row r="414" ht="15" customHeight="1">
      <c r="A414" t="inlineStr">
        <is>
          <t>A 2193-2021</t>
        </is>
      </c>
      <c r="B414" s="1" t="n">
        <v>44211</v>
      </c>
      <c r="C414" s="1" t="n">
        <v>45839</v>
      </c>
      <c r="D414" t="inlineStr">
        <is>
          <t>VÄSTERBOTTENS LÄN</t>
        </is>
      </c>
      <c r="E414" t="inlineStr">
        <is>
          <t>VILHELMINA</t>
        </is>
      </c>
      <c r="F414" t="inlineStr">
        <is>
          <t>Allmännings- och besparingsskogar</t>
        </is>
      </c>
      <c r="G414" t="n">
        <v>157.8</v>
      </c>
      <c r="H414" t="n">
        <v>0</v>
      </c>
      <c r="I414" t="n">
        <v>0</v>
      </c>
      <c r="J414" t="n">
        <v>0</v>
      </c>
      <c r="K414" t="n">
        <v>0</v>
      </c>
      <c r="L414" t="n">
        <v>0</v>
      </c>
      <c r="M414" t="n">
        <v>0</v>
      </c>
      <c r="N414" t="n">
        <v>0</v>
      </c>
      <c r="O414" t="n">
        <v>0</v>
      </c>
      <c r="P414" t="n">
        <v>0</v>
      </c>
      <c r="Q414" t="n">
        <v>0</v>
      </c>
      <c r="R414" s="2" t="inlineStr"/>
    </row>
    <row r="415" ht="15" customHeight="1">
      <c r="A415" t="inlineStr">
        <is>
          <t>A 3096-2021</t>
        </is>
      </c>
      <c r="B415" s="1" t="n">
        <v>44216</v>
      </c>
      <c r="C415" s="1" t="n">
        <v>45839</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3435-2021</t>
        </is>
      </c>
      <c r="B416" s="1" t="n">
        <v>44216</v>
      </c>
      <c r="C416" s="1" t="n">
        <v>45839</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6699-2021</t>
        </is>
      </c>
      <c r="B417" s="1" t="n">
        <v>44235</v>
      </c>
      <c r="C417" s="1" t="n">
        <v>45839</v>
      </c>
      <c r="D417" t="inlineStr">
        <is>
          <t>VÄSTERBOTTENS LÄN</t>
        </is>
      </c>
      <c r="E417" t="inlineStr">
        <is>
          <t>VILHELMINA</t>
        </is>
      </c>
      <c r="G417" t="n">
        <v>6.9</v>
      </c>
      <c r="H417" t="n">
        <v>0</v>
      </c>
      <c r="I417" t="n">
        <v>0</v>
      </c>
      <c r="J417" t="n">
        <v>0</v>
      </c>
      <c r="K417" t="n">
        <v>0</v>
      </c>
      <c r="L417" t="n">
        <v>0</v>
      </c>
      <c r="M417" t="n">
        <v>0</v>
      </c>
      <c r="N417" t="n">
        <v>0</v>
      </c>
      <c r="O417" t="n">
        <v>0</v>
      </c>
      <c r="P417" t="n">
        <v>0</v>
      </c>
      <c r="Q417" t="n">
        <v>0</v>
      </c>
      <c r="R417" s="2" t="inlineStr"/>
    </row>
    <row r="418" ht="15" customHeight="1">
      <c r="A418" t="inlineStr">
        <is>
          <t>A 6664-2021</t>
        </is>
      </c>
      <c r="B418" s="1" t="n">
        <v>44235</v>
      </c>
      <c r="C418" s="1" t="n">
        <v>45839</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6653-2021</t>
        </is>
      </c>
      <c r="B419" s="1" t="n">
        <v>44235</v>
      </c>
      <c r="C419" s="1" t="n">
        <v>45839</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6669-2021</t>
        </is>
      </c>
      <c r="B420" s="1" t="n">
        <v>44235</v>
      </c>
      <c r="C420" s="1" t="n">
        <v>45839</v>
      </c>
      <c r="D420" t="inlineStr">
        <is>
          <t>VÄSTERBOTTENS LÄN</t>
        </is>
      </c>
      <c r="E420" t="inlineStr">
        <is>
          <t>VILHELMINA</t>
        </is>
      </c>
      <c r="G420" t="n">
        <v>19.8</v>
      </c>
      <c r="H420" t="n">
        <v>0</v>
      </c>
      <c r="I420" t="n">
        <v>0</v>
      </c>
      <c r="J420" t="n">
        <v>0</v>
      </c>
      <c r="K420" t="n">
        <v>0</v>
      </c>
      <c r="L420" t="n">
        <v>0</v>
      </c>
      <c r="M420" t="n">
        <v>0</v>
      </c>
      <c r="N420" t="n">
        <v>0</v>
      </c>
      <c r="O420" t="n">
        <v>0</v>
      </c>
      <c r="P420" t="n">
        <v>0</v>
      </c>
      <c r="Q420" t="n">
        <v>0</v>
      </c>
      <c r="R420" s="2" t="inlineStr"/>
    </row>
    <row r="421" ht="15" customHeight="1">
      <c r="A421" t="inlineStr">
        <is>
          <t>A 6665-2021</t>
        </is>
      </c>
      <c r="B421" s="1" t="n">
        <v>44235</v>
      </c>
      <c r="C421" s="1" t="n">
        <v>45839</v>
      </c>
      <c r="D421" t="inlineStr">
        <is>
          <t>VÄSTERBOTTENS LÄN</t>
        </is>
      </c>
      <c r="E421" t="inlineStr">
        <is>
          <t>VILHELMINA</t>
        </is>
      </c>
      <c r="G421" t="n">
        <v>20</v>
      </c>
      <c r="H421" t="n">
        <v>0</v>
      </c>
      <c r="I421" t="n">
        <v>0</v>
      </c>
      <c r="J421" t="n">
        <v>0</v>
      </c>
      <c r="K421" t="n">
        <v>0</v>
      </c>
      <c r="L421" t="n">
        <v>0</v>
      </c>
      <c r="M421" t="n">
        <v>0</v>
      </c>
      <c r="N421" t="n">
        <v>0</v>
      </c>
      <c r="O421" t="n">
        <v>0</v>
      </c>
      <c r="P421" t="n">
        <v>0</v>
      </c>
      <c r="Q421" t="n">
        <v>0</v>
      </c>
      <c r="R421" s="2" t="inlineStr"/>
    </row>
    <row r="422" ht="15" customHeight="1">
      <c r="A422" t="inlineStr">
        <is>
          <t>A 6706-2021</t>
        </is>
      </c>
      <c r="B422" s="1" t="n">
        <v>44235</v>
      </c>
      <c r="C422" s="1" t="n">
        <v>45839</v>
      </c>
      <c r="D422" t="inlineStr">
        <is>
          <t>VÄSTERBOTTENS LÄN</t>
        </is>
      </c>
      <c r="E422" t="inlineStr">
        <is>
          <t>VILHELMINA</t>
        </is>
      </c>
      <c r="G422" t="n">
        <v>3.8</v>
      </c>
      <c r="H422" t="n">
        <v>0</v>
      </c>
      <c r="I422" t="n">
        <v>0</v>
      </c>
      <c r="J422" t="n">
        <v>0</v>
      </c>
      <c r="K422" t="n">
        <v>0</v>
      </c>
      <c r="L422" t="n">
        <v>0</v>
      </c>
      <c r="M422" t="n">
        <v>0</v>
      </c>
      <c r="N422" t="n">
        <v>0</v>
      </c>
      <c r="O422" t="n">
        <v>0</v>
      </c>
      <c r="P422" t="n">
        <v>0</v>
      </c>
      <c r="Q422" t="n">
        <v>0</v>
      </c>
      <c r="R422" s="2" t="inlineStr"/>
    </row>
    <row r="423" ht="15" customHeight="1">
      <c r="A423" t="inlineStr">
        <is>
          <t>A 7078-2021</t>
        </is>
      </c>
      <c r="B423" s="1" t="n">
        <v>44237</v>
      </c>
      <c r="C423" s="1" t="n">
        <v>45839</v>
      </c>
      <c r="D423" t="inlineStr">
        <is>
          <t>VÄSTERBOTTENS LÄN</t>
        </is>
      </c>
      <c r="E423" t="inlineStr">
        <is>
          <t>VILHELMINA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8003-2021</t>
        </is>
      </c>
      <c r="B424" s="1" t="n">
        <v>44243</v>
      </c>
      <c r="C424" s="1" t="n">
        <v>45839</v>
      </c>
      <c r="D424" t="inlineStr">
        <is>
          <t>VÄSTERBOTTENS LÄN</t>
        </is>
      </c>
      <c r="E424" t="inlineStr">
        <is>
          <t>VILHELMINA</t>
        </is>
      </c>
      <c r="G424" t="n">
        <v>5.1</v>
      </c>
      <c r="H424" t="n">
        <v>0</v>
      </c>
      <c r="I424" t="n">
        <v>0</v>
      </c>
      <c r="J424" t="n">
        <v>0</v>
      </c>
      <c r="K424" t="n">
        <v>0</v>
      </c>
      <c r="L424" t="n">
        <v>0</v>
      </c>
      <c r="M424" t="n">
        <v>0</v>
      </c>
      <c r="N424" t="n">
        <v>0</v>
      </c>
      <c r="O424" t="n">
        <v>0</v>
      </c>
      <c r="P424" t="n">
        <v>0</v>
      </c>
      <c r="Q424" t="n">
        <v>0</v>
      </c>
      <c r="R424" s="2" t="inlineStr"/>
    </row>
    <row r="425" ht="15" customHeight="1">
      <c r="A425" t="inlineStr">
        <is>
          <t>A 8750-2021</t>
        </is>
      </c>
      <c r="B425" s="1" t="n">
        <v>44246</v>
      </c>
      <c r="C425" s="1" t="n">
        <v>45839</v>
      </c>
      <c r="D425" t="inlineStr">
        <is>
          <t>VÄSTERBOTTENS LÄN</t>
        </is>
      </c>
      <c r="E425" t="inlineStr">
        <is>
          <t>VILHELMINA</t>
        </is>
      </c>
      <c r="G425" t="n">
        <v>5.2</v>
      </c>
      <c r="H425" t="n">
        <v>0</v>
      </c>
      <c r="I425" t="n">
        <v>0</v>
      </c>
      <c r="J425" t="n">
        <v>0</v>
      </c>
      <c r="K425" t="n">
        <v>0</v>
      </c>
      <c r="L425" t="n">
        <v>0</v>
      </c>
      <c r="M425" t="n">
        <v>0</v>
      </c>
      <c r="N425" t="n">
        <v>0</v>
      </c>
      <c r="O425" t="n">
        <v>0</v>
      </c>
      <c r="P425" t="n">
        <v>0</v>
      </c>
      <c r="Q425" t="n">
        <v>0</v>
      </c>
      <c r="R425" s="2" t="inlineStr"/>
    </row>
    <row r="426" ht="15" customHeight="1">
      <c r="A426" t="inlineStr">
        <is>
          <t>A 10075-2021</t>
        </is>
      </c>
      <c r="B426" s="1" t="n">
        <v>44253</v>
      </c>
      <c r="C426" s="1" t="n">
        <v>45839</v>
      </c>
      <c r="D426" t="inlineStr">
        <is>
          <t>VÄSTERBOTTENS LÄN</t>
        </is>
      </c>
      <c r="E426" t="inlineStr">
        <is>
          <t>VILHELMINA</t>
        </is>
      </c>
      <c r="G426" t="n">
        <v>1.3</v>
      </c>
      <c r="H426" t="n">
        <v>0</v>
      </c>
      <c r="I426" t="n">
        <v>0</v>
      </c>
      <c r="J426" t="n">
        <v>0</v>
      </c>
      <c r="K426" t="n">
        <v>0</v>
      </c>
      <c r="L426" t="n">
        <v>0</v>
      </c>
      <c r="M426" t="n">
        <v>0</v>
      </c>
      <c r="N426" t="n">
        <v>0</v>
      </c>
      <c r="O426" t="n">
        <v>0</v>
      </c>
      <c r="P426" t="n">
        <v>0</v>
      </c>
      <c r="Q426" t="n">
        <v>0</v>
      </c>
      <c r="R426" s="2" t="inlineStr"/>
    </row>
    <row r="427" ht="15" customHeight="1">
      <c r="A427" t="inlineStr">
        <is>
          <t>A 9916-2021</t>
        </is>
      </c>
      <c r="B427" s="1" t="n">
        <v>44253</v>
      </c>
      <c r="C427" s="1" t="n">
        <v>45839</v>
      </c>
      <c r="D427" t="inlineStr">
        <is>
          <t>VÄSTERBOTTENS LÄN</t>
        </is>
      </c>
      <c r="E427" t="inlineStr">
        <is>
          <t>VILHELMINA</t>
        </is>
      </c>
      <c r="G427" t="n">
        <v>1</v>
      </c>
      <c r="H427" t="n">
        <v>0</v>
      </c>
      <c r="I427" t="n">
        <v>0</v>
      </c>
      <c r="J427" t="n">
        <v>0</v>
      </c>
      <c r="K427" t="n">
        <v>0</v>
      </c>
      <c r="L427" t="n">
        <v>0</v>
      </c>
      <c r="M427" t="n">
        <v>0</v>
      </c>
      <c r="N427" t="n">
        <v>0</v>
      </c>
      <c r="O427" t="n">
        <v>0</v>
      </c>
      <c r="P427" t="n">
        <v>0</v>
      </c>
      <c r="Q427" t="n">
        <v>0</v>
      </c>
      <c r="R427" s="2" t="inlineStr"/>
    </row>
    <row r="428" ht="15" customHeight="1">
      <c r="A428" t="inlineStr">
        <is>
          <t>A 18802-2021</t>
        </is>
      </c>
      <c r="B428" s="1" t="n">
        <v>44307</v>
      </c>
      <c r="C428" s="1" t="n">
        <v>45839</v>
      </c>
      <c r="D428" t="inlineStr">
        <is>
          <t>VÄSTERBOTTENS LÄN</t>
        </is>
      </c>
      <c r="E428" t="inlineStr">
        <is>
          <t>VILHELMINA</t>
        </is>
      </c>
      <c r="G428" t="n">
        <v>1.2</v>
      </c>
      <c r="H428" t="n">
        <v>0</v>
      </c>
      <c r="I428" t="n">
        <v>0</v>
      </c>
      <c r="J428" t="n">
        <v>0</v>
      </c>
      <c r="K428" t="n">
        <v>0</v>
      </c>
      <c r="L428" t="n">
        <v>0</v>
      </c>
      <c r="M428" t="n">
        <v>0</v>
      </c>
      <c r="N428" t="n">
        <v>0</v>
      </c>
      <c r="O428" t="n">
        <v>0</v>
      </c>
      <c r="P428" t="n">
        <v>0</v>
      </c>
      <c r="Q428" t="n">
        <v>0</v>
      </c>
      <c r="R428" s="2" t="inlineStr"/>
    </row>
    <row r="429" ht="15" customHeight="1">
      <c r="A429" t="inlineStr">
        <is>
          <t>A 18781-2021</t>
        </is>
      </c>
      <c r="B429" s="1" t="n">
        <v>44307</v>
      </c>
      <c r="C429" s="1" t="n">
        <v>45839</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18971-2021</t>
        </is>
      </c>
      <c r="B430" s="1" t="n">
        <v>44307</v>
      </c>
      <c r="C430" s="1" t="n">
        <v>45839</v>
      </c>
      <c r="D430" t="inlineStr">
        <is>
          <t>VÄSTERBOTTENS LÄN</t>
        </is>
      </c>
      <c r="E430" t="inlineStr">
        <is>
          <t>VILHELMINA</t>
        </is>
      </c>
      <c r="G430" t="n">
        <v>2</v>
      </c>
      <c r="H430" t="n">
        <v>0</v>
      </c>
      <c r="I430" t="n">
        <v>0</v>
      </c>
      <c r="J430" t="n">
        <v>0</v>
      </c>
      <c r="K430" t="n">
        <v>0</v>
      </c>
      <c r="L430" t="n">
        <v>0</v>
      </c>
      <c r="M430" t="n">
        <v>0</v>
      </c>
      <c r="N430" t="n">
        <v>0</v>
      </c>
      <c r="O430" t="n">
        <v>0</v>
      </c>
      <c r="P430" t="n">
        <v>0</v>
      </c>
      <c r="Q430" t="n">
        <v>0</v>
      </c>
      <c r="R430" s="2" t="inlineStr"/>
    </row>
    <row r="431" ht="15" customHeight="1">
      <c r="A431" t="inlineStr">
        <is>
          <t>A 18790-2021</t>
        </is>
      </c>
      <c r="B431" s="1" t="n">
        <v>44307</v>
      </c>
      <c r="C431" s="1" t="n">
        <v>45839</v>
      </c>
      <c r="D431" t="inlineStr">
        <is>
          <t>VÄSTERBOTTENS LÄN</t>
        </is>
      </c>
      <c r="E431" t="inlineStr">
        <is>
          <t>VILHELMINA</t>
        </is>
      </c>
      <c r="G431" t="n">
        <v>1.1</v>
      </c>
      <c r="H431" t="n">
        <v>0</v>
      </c>
      <c r="I431" t="n">
        <v>0</v>
      </c>
      <c r="J431" t="n">
        <v>0</v>
      </c>
      <c r="K431" t="n">
        <v>0</v>
      </c>
      <c r="L431" t="n">
        <v>0</v>
      </c>
      <c r="M431" t="n">
        <v>0</v>
      </c>
      <c r="N431" t="n">
        <v>0</v>
      </c>
      <c r="O431" t="n">
        <v>0</v>
      </c>
      <c r="P431" t="n">
        <v>0</v>
      </c>
      <c r="Q431" t="n">
        <v>0</v>
      </c>
      <c r="R431" s="2" t="inlineStr"/>
    </row>
    <row r="432" ht="15" customHeight="1">
      <c r="A432" t="inlineStr">
        <is>
          <t>A 18950-2021</t>
        </is>
      </c>
      <c r="B432" s="1" t="n">
        <v>44307</v>
      </c>
      <c r="C432" s="1" t="n">
        <v>45839</v>
      </c>
      <c r="D432" t="inlineStr">
        <is>
          <t>VÄSTERBOTTENS LÄN</t>
        </is>
      </c>
      <c r="E432" t="inlineStr">
        <is>
          <t>VILHELMINA</t>
        </is>
      </c>
      <c r="G432" t="n">
        <v>1.9</v>
      </c>
      <c r="H432" t="n">
        <v>0</v>
      </c>
      <c r="I432" t="n">
        <v>0</v>
      </c>
      <c r="J432" t="n">
        <v>0</v>
      </c>
      <c r="K432" t="n">
        <v>0</v>
      </c>
      <c r="L432" t="n">
        <v>0</v>
      </c>
      <c r="M432" t="n">
        <v>0</v>
      </c>
      <c r="N432" t="n">
        <v>0</v>
      </c>
      <c r="O432" t="n">
        <v>0</v>
      </c>
      <c r="P432" t="n">
        <v>0</v>
      </c>
      <c r="Q432" t="n">
        <v>0</v>
      </c>
      <c r="R432" s="2" t="inlineStr"/>
    </row>
    <row r="433" ht="15" customHeight="1">
      <c r="A433" t="inlineStr">
        <is>
          <t>A 20568-2021</t>
        </is>
      </c>
      <c r="B433" s="1" t="n">
        <v>44316</v>
      </c>
      <c r="C433" s="1" t="n">
        <v>45839</v>
      </c>
      <c r="D433" t="inlineStr">
        <is>
          <t>VÄSTERBOTTENS LÄN</t>
        </is>
      </c>
      <c r="E433" t="inlineStr">
        <is>
          <t>VILHELMINA</t>
        </is>
      </c>
      <c r="G433" t="n">
        <v>0.7</v>
      </c>
      <c r="H433" t="n">
        <v>0</v>
      </c>
      <c r="I433" t="n">
        <v>0</v>
      </c>
      <c r="J433" t="n">
        <v>0</v>
      </c>
      <c r="K433" t="n">
        <v>0</v>
      </c>
      <c r="L433" t="n">
        <v>0</v>
      </c>
      <c r="M433" t="n">
        <v>0</v>
      </c>
      <c r="N433" t="n">
        <v>0</v>
      </c>
      <c r="O433" t="n">
        <v>0</v>
      </c>
      <c r="P433" t="n">
        <v>0</v>
      </c>
      <c r="Q433" t="n">
        <v>0</v>
      </c>
      <c r="R433" s="2" t="inlineStr"/>
    </row>
    <row r="434" ht="15" customHeight="1">
      <c r="A434" t="inlineStr">
        <is>
          <t>A 20653-2021</t>
        </is>
      </c>
      <c r="B434" s="1" t="n">
        <v>44316</v>
      </c>
      <c r="C434" s="1" t="n">
        <v>45839</v>
      </c>
      <c r="D434" t="inlineStr">
        <is>
          <t>VÄSTERBOTTENS LÄN</t>
        </is>
      </c>
      <c r="E434" t="inlineStr">
        <is>
          <t>VILHELMINA</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21726-2021</t>
        </is>
      </c>
      <c r="B435" s="1" t="n">
        <v>44322</v>
      </c>
      <c r="C435" s="1" t="n">
        <v>45839</v>
      </c>
      <c r="D435" t="inlineStr">
        <is>
          <t>VÄSTERBOTTENS LÄN</t>
        </is>
      </c>
      <c r="E435" t="inlineStr">
        <is>
          <t>VILHELMINA</t>
        </is>
      </c>
      <c r="G435" t="n">
        <v>19.6</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45839</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45839</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23261-2021</t>
        </is>
      </c>
      <c r="B438" s="1" t="n">
        <v>44330</v>
      </c>
      <c r="C438" s="1" t="n">
        <v>45839</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24983-2021</t>
        </is>
      </c>
      <c r="B439" s="1" t="n">
        <v>44341</v>
      </c>
      <c r="C439" s="1" t="n">
        <v>45839</v>
      </c>
      <c r="D439" t="inlineStr">
        <is>
          <t>VÄSTERBOTTENS LÄN</t>
        </is>
      </c>
      <c r="E439" t="inlineStr">
        <is>
          <t>VILHELMINA</t>
        </is>
      </c>
      <c r="G439" t="n">
        <v>12.9</v>
      </c>
      <c r="H439" t="n">
        <v>0</v>
      </c>
      <c r="I439" t="n">
        <v>0</v>
      </c>
      <c r="J439" t="n">
        <v>0</v>
      </c>
      <c r="K439" t="n">
        <v>0</v>
      </c>
      <c r="L439" t="n">
        <v>0</v>
      </c>
      <c r="M439" t="n">
        <v>0</v>
      </c>
      <c r="N439" t="n">
        <v>0</v>
      </c>
      <c r="O439" t="n">
        <v>0</v>
      </c>
      <c r="P439" t="n">
        <v>0</v>
      </c>
      <c r="Q439" t="n">
        <v>0</v>
      </c>
      <c r="R439" s="2" t="inlineStr"/>
    </row>
    <row r="440" ht="15" customHeight="1">
      <c r="A440" t="inlineStr">
        <is>
          <t>A 24599-2021</t>
        </is>
      </c>
      <c r="B440" s="1" t="n">
        <v>44341</v>
      </c>
      <c r="C440" s="1" t="n">
        <v>45839</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25102-2021</t>
        </is>
      </c>
      <c r="B441" s="1" t="n">
        <v>44341</v>
      </c>
      <c r="C441" s="1" t="n">
        <v>45839</v>
      </c>
      <c r="D441" t="inlineStr">
        <is>
          <t>VÄSTERBOTTENS LÄN</t>
        </is>
      </c>
      <c r="E441" t="inlineStr">
        <is>
          <t>VILHELMINA</t>
        </is>
      </c>
      <c r="G441" t="n">
        <v>6.7</v>
      </c>
      <c r="H441" t="n">
        <v>0</v>
      </c>
      <c r="I441" t="n">
        <v>0</v>
      </c>
      <c r="J441" t="n">
        <v>0</v>
      </c>
      <c r="K441" t="n">
        <v>0</v>
      </c>
      <c r="L441" t="n">
        <v>0</v>
      </c>
      <c r="M441" t="n">
        <v>0</v>
      </c>
      <c r="N441" t="n">
        <v>0</v>
      </c>
      <c r="O441" t="n">
        <v>0</v>
      </c>
      <c r="P441" t="n">
        <v>0</v>
      </c>
      <c r="Q441" t="n">
        <v>0</v>
      </c>
      <c r="R441" s="2" t="inlineStr"/>
    </row>
    <row r="442" ht="15" customHeight="1">
      <c r="A442" t="inlineStr">
        <is>
          <t>A 26483-2021</t>
        </is>
      </c>
      <c r="B442" s="1" t="n">
        <v>44347</v>
      </c>
      <c r="C442" s="1" t="n">
        <v>45839</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28269-2021</t>
        </is>
      </c>
      <c r="B443" s="1" t="n">
        <v>44356</v>
      </c>
      <c r="C443" s="1" t="n">
        <v>45839</v>
      </c>
      <c r="D443" t="inlineStr">
        <is>
          <t>VÄSTERBOTTENS LÄN</t>
        </is>
      </c>
      <c r="E443" t="inlineStr">
        <is>
          <t>VILHELMINA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28272-2021</t>
        </is>
      </c>
      <c r="B444" s="1" t="n">
        <v>44356</v>
      </c>
      <c r="C444" s="1" t="n">
        <v>45839</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28895-2021</t>
        </is>
      </c>
      <c r="B445" s="1" t="n">
        <v>44357</v>
      </c>
      <c r="C445" s="1" t="n">
        <v>45839</v>
      </c>
      <c r="D445" t="inlineStr">
        <is>
          <t>VÄSTERBOTTENS LÄN</t>
        </is>
      </c>
      <c r="E445" t="inlineStr">
        <is>
          <t>VILHELMINA</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29347-2021</t>
        </is>
      </c>
      <c r="B446" s="1" t="n">
        <v>44361</v>
      </c>
      <c r="C446" s="1" t="n">
        <v>45839</v>
      </c>
      <c r="D446" t="inlineStr">
        <is>
          <t>VÄSTERBOTTENS LÄN</t>
        </is>
      </c>
      <c r="E446" t="inlineStr">
        <is>
          <t>VILHELMINA</t>
        </is>
      </c>
      <c r="F446" t="inlineStr">
        <is>
          <t>Allmännings- och besparingsskogar</t>
        </is>
      </c>
      <c r="G446" t="n">
        <v>52</v>
      </c>
      <c r="H446" t="n">
        <v>0</v>
      </c>
      <c r="I446" t="n">
        <v>0</v>
      </c>
      <c r="J446" t="n">
        <v>0</v>
      </c>
      <c r="K446" t="n">
        <v>0</v>
      </c>
      <c r="L446" t="n">
        <v>0</v>
      </c>
      <c r="M446" t="n">
        <v>0</v>
      </c>
      <c r="N446" t="n">
        <v>0</v>
      </c>
      <c r="O446" t="n">
        <v>0</v>
      </c>
      <c r="P446" t="n">
        <v>0</v>
      </c>
      <c r="Q446" t="n">
        <v>0</v>
      </c>
      <c r="R446" s="2" t="inlineStr"/>
    </row>
    <row r="447" ht="15" customHeight="1">
      <c r="A447" t="inlineStr">
        <is>
          <t>A 29332-2021</t>
        </is>
      </c>
      <c r="B447" s="1" t="n">
        <v>44361</v>
      </c>
      <c r="C447" s="1" t="n">
        <v>45839</v>
      </c>
      <c r="D447" t="inlineStr">
        <is>
          <t>VÄSTERBOTTENS LÄN</t>
        </is>
      </c>
      <c r="E447" t="inlineStr">
        <is>
          <t>VILHELMINA</t>
        </is>
      </c>
      <c r="F447" t="inlineStr">
        <is>
          <t>Allmännings- och besparingsskogar</t>
        </is>
      </c>
      <c r="G447" t="n">
        <v>51.8</v>
      </c>
      <c r="H447" t="n">
        <v>0</v>
      </c>
      <c r="I447" t="n">
        <v>0</v>
      </c>
      <c r="J447" t="n">
        <v>0</v>
      </c>
      <c r="K447" t="n">
        <v>0</v>
      </c>
      <c r="L447" t="n">
        <v>0</v>
      </c>
      <c r="M447" t="n">
        <v>0</v>
      </c>
      <c r="N447" t="n">
        <v>0</v>
      </c>
      <c r="O447" t="n">
        <v>0</v>
      </c>
      <c r="P447" t="n">
        <v>0</v>
      </c>
      <c r="Q447" t="n">
        <v>0</v>
      </c>
      <c r="R447" s="2" t="inlineStr"/>
    </row>
    <row r="448" ht="15" customHeight="1">
      <c r="A448" t="inlineStr">
        <is>
          <t>A 31722-2021</t>
        </is>
      </c>
      <c r="B448" s="1" t="n">
        <v>44370</v>
      </c>
      <c r="C448" s="1" t="n">
        <v>45839</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32665-2021</t>
        </is>
      </c>
      <c r="B449" s="1" t="n">
        <v>44371</v>
      </c>
      <c r="C449" s="1" t="n">
        <v>45839</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32672-2021</t>
        </is>
      </c>
      <c r="B450" s="1" t="n">
        <v>44371</v>
      </c>
      <c r="C450" s="1" t="n">
        <v>45839</v>
      </c>
      <c r="D450" t="inlineStr">
        <is>
          <t>VÄSTERBOTTENS LÄN</t>
        </is>
      </c>
      <c r="E450" t="inlineStr">
        <is>
          <t>VILHELMINA</t>
        </is>
      </c>
      <c r="G450" t="n">
        <v>4.5</v>
      </c>
      <c r="H450" t="n">
        <v>0</v>
      </c>
      <c r="I450" t="n">
        <v>0</v>
      </c>
      <c r="J450" t="n">
        <v>0</v>
      </c>
      <c r="K450" t="n">
        <v>0</v>
      </c>
      <c r="L450" t="n">
        <v>0</v>
      </c>
      <c r="M450" t="n">
        <v>0</v>
      </c>
      <c r="N450" t="n">
        <v>0</v>
      </c>
      <c r="O450" t="n">
        <v>0</v>
      </c>
      <c r="P450" t="n">
        <v>0</v>
      </c>
      <c r="Q450" t="n">
        <v>0</v>
      </c>
      <c r="R450" s="2" t="inlineStr"/>
    </row>
    <row r="451" ht="15" customHeight="1">
      <c r="A451" t="inlineStr">
        <is>
          <t>A 32658-2021</t>
        </is>
      </c>
      <c r="B451" s="1" t="n">
        <v>44371</v>
      </c>
      <c r="C451" s="1" t="n">
        <v>45839</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32655-2021</t>
        </is>
      </c>
      <c r="B452" s="1" t="n">
        <v>44371</v>
      </c>
      <c r="C452" s="1" t="n">
        <v>45839</v>
      </c>
      <c r="D452" t="inlineStr">
        <is>
          <t>VÄSTERBOTTENS LÄN</t>
        </is>
      </c>
      <c r="E452" t="inlineStr">
        <is>
          <t>VILHELMINA</t>
        </is>
      </c>
      <c r="G452" t="n">
        <v>0.2</v>
      </c>
      <c r="H452" t="n">
        <v>0</v>
      </c>
      <c r="I452" t="n">
        <v>0</v>
      </c>
      <c r="J452" t="n">
        <v>0</v>
      </c>
      <c r="K452" t="n">
        <v>0</v>
      </c>
      <c r="L452" t="n">
        <v>0</v>
      </c>
      <c r="M452" t="n">
        <v>0</v>
      </c>
      <c r="N452" t="n">
        <v>0</v>
      </c>
      <c r="O452" t="n">
        <v>0</v>
      </c>
      <c r="P452" t="n">
        <v>0</v>
      </c>
      <c r="Q452" t="n">
        <v>0</v>
      </c>
      <c r="R452" s="2" t="inlineStr"/>
    </row>
    <row r="453" ht="15" customHeight="1">
      <c r="A453" t="inlineStr">
        <is>
          <t>A 31656-2021</t>
        </is>
      </c>
      <c r="B453" s="1" t="n">
        <v>44377</v>
      </c>
      <c r="C453" s="1" t="n">
        <v>45839</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45839</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34394-2021</t>
        </is>
      </c>
      <c r="B455" s="1" t="n">
        <v>44379</v>
      </c>
      <c r="C455" s="1" t="n">
        <v>45839</v>
      </c>
      <c r="D455" t="inlineStr">
        <is>
          <t>VÄSTERBOTTENS LÄN</t>
        </is>
      </c>
      <c r="E455" t="inlineStr">
        <is>
          <t>VILHELMINA</t>
        </is>
      </c>
      <c r="F455" t="inlineStr">
        <is>
          <t>SCA</t>
        </is>
      </c>
      <c r="G455" t="n">
        <v>11.7</v>
      </c>
      <c r="H455" t="n">
        <v>0</v>
      </c>
      <c r="I455" t="n">
        <v>0</v>
      </c>
      <c r="J455" t="n">
        <v>0</v>
      </c>
      <c r="K455" t="n">
        <v>0</v>
      </c>
      <c r="L455" t="n">
        <v>0</v>
      </c>
      <c r="M455" t="n">
        <v>0</v>
      </c>
      <c r="N455" t="n">
        <v>0</v>
      </c>
      <c r="O455" t="n">
        <v>0</v>
      </c>
      <c r="P455" t="n">
        <v>0</v>
      </c>
      <c r="Q455" t="n">
        <v>0</v>
      </c>
      <c r="R455" s="2" t="inlineStr"/>
    </row>
    <row r="456" ht="15" customHeight="1">
      <c r="A456" t="inlineStr">
        <is>
          <t>A 34808-2021</t>
        </is>
      </c>
      <c r="B456" s="1" t="n">
        <v>44382</v>
      </c>
      <c r="C456" s="1" t="n">
        <v>45839</v>
      </c>
      <c r="D456" t="inlineStr">
        <is>
          <t>VÄSTERBOTTENS LÄN</t>
        </is>
      </c>
      <c r="E456" t="inlineStr">
        <is>
          <t>VILHELMINA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35876-2021</t>
        </is>
      </c>
      <c r="B457" s="1" t="n">
        <v>44386</v>
      </c>
      <c r="C457" s="1" t="n">
        <v>45839</v>
      </c>
      <c r="D457" t="inlineStr">
        <is>
          <t>VÄSTERBOTTENS LÄN</t>
        </is>
      </c>
      <c r="E457" t="inlineStr">
        <is>
          <t>VILHELMINA</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36139-2021</t>
        </is>
      </c>
      <c r="B458" s="1" t="n">
        <v>44389</v>
      </c>
      <c r="C458" s="1" t="n">
        <v>45839</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36142-2021</t>
        </is>
      </c>
      <c r="B459" s="1" t="n">
        <v>44389</v>
      </c>
      <c r="C459" s="1" t="n">
        <v>45839</v>
      </c>
      <c r="D459" t="inlineStr">
        <is>
          <t>VÄSTERBOTTENS LÄN</t>
        </is>
      </c>
      <c r="E459" t="inlineStr">
        <is>
          <t>VILHELMINA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36147-2021</t>
        </is>
      </c>
      <c r="B460" s="1" t="n">
        <v>44389</v>
      </c>
      <c r="C460" s="1" t="n">
        <v>45839</v>
      </c>
      <c r="D460" t="inlineStr">
        <is>
          <t>VÄSTERBOTTENS LÄN</t>
        </is>
      </c>
      <c r="E460" t="inlineStr">
        <is>
          <t>VILHELMINA</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45839</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45839</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38327-2021</t>
        </is>
      </c>
      <c r="B463" s="1" t="n">
        <v>44406</v>
      </c>
      <c r="C463" s="1" t="n">
        <v>45839</v>
      </c>
      <c r="D463" t="inlineStr">
        <is>
          <t>VÄSTERBOTTENS LÄN</t>
        </is>
      </c>
      <c r="E463" t="inlineStr">
        <is>
          <t>VILHELMINA</t>
        </is>
      </c>
      <c r="G463" t="n">
        <v>0.4</v>
      </c>
      <c r="H463" t="n">
        <v>0</v>
      </c>
      <c r="I463" t="n">
        <v>0</v>
      </c>
      <c r="J463" t="n">
        <v>0</v>
      </c>
      <c r="K463" t="n">
        <v>0</v>
      </c>
      <c r="L463" t="n">
        <v>0</v>
      </c>
      <c r="M463" t="n">
        <v>0</v>
      </c>
      <c r="N463" t="n">
        <v>0</v>
      </c>
      <c r="O463" t="n">
        <v>0</v>
      </c>
      <c r="P463" t="n">
        <v>0</v>
      </c>
      <c r="Q463" t="n">
        <v>0</v>
      </c>
      <c r="R463" s="2" t="inlineStr"/>
    </row>
    <row r="464" ht="15" customHeight="1">
      <c r="A464" t="inlineStr">
        <is>
          <t>A 39186-2021</t>
        </is>
      </c>
      <c r="B464" s="1" t="n">
        <v>44412</v>
      </c>
      <c r="C464" s="1" t="n">
        <v>45839</v>
      </c>
      <c r="D464" t="inlineStr">
        <is>
          <t>VÄSTERBOTTENS LÄN</t>
        </is>
      </c>
      <c r="E464" t="inlineStr">
        <is>
          <t>VILHELMINA</t>
        </is>
      </c>
      <c r="G464" t="n">
        <v>0.3</v>
      </c>
      <c r="H464" t="n">
        <v>0</v>
      </c>
      <c r="I464" t="n">
        <v>0</v>
      </c>
      <c r="J464" t="n">
        <v>0</v>
      </c>
      <c r="K464" t="n">
        <v>0</v>
      </c>
      <c r="L464" t="n">
        <v>0</v>
      </c>
      <c r="M464" t="n">
        <v>0</v>
      </c>
      <c r="N464" t="n">
        <v>0</v>
      </c>
      <c r="O464" t="n">
        <v>0</v>
      </c>
      <c r="P464" t="n">
        <v>0</v>
      </c>
      <c r="Q464" t="n">
        <v>0</v>
      </c>
      <c r="R464" s="2" t="inlineStr"/>
    </row>
    <row r="465" ht="15" customHeight="1">
      <c r="A465" t="inlineStr">
        <is>
          <t>A 40470-2021</t>
        </is>
      </c>
      <c r="B465" s="1" t="n">
        <v>44420</v>
      </c>
      <c r="C465" s="1" t="n">
        <v>45839</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40471-2021</t>
        </is>
      </c>
      <c r="B466" s="1" t="n">
        <v>44420</v>
      </c>
      <c r="C466" s="1" t="n">
        <v>45839</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40477-2021</t>
        </is>
      </c>
      <c r="B467" s="1" t="n">
        <v>44420</v>
      </c>
      <c r="C467" s="1" t="n">
        <v>45839</v>
      </c>
      <c r="D467" t="inlineStr">
        <is>
          <t>VÄSTERBOTTENS LÄN</t>
        </is>
      </c>
      <c r="E467" t="inlineStr">
        <is>
          <t>VILHELMINA</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40468-2021</t>
        </is>
      </c>
      <c r="B468" s="1" t="n">
        <v>44420</v>
      </c>
      <c r="C468" s="1" t="n">
        <v>45839</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40476-2021</t>
        </is>
      </c>
      <c r="B469" s="1" t="n">
        <v>44420</v>
      </c>
      <c r="C469" s="1" t="n">
        <v>45839</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40469-2021</t>
        </is>
      </c>
      <c r="B470" s="1" t="n">
        <v>44420</v>
      </c>
      <c r="C470" s="1" t="n">
        <v>45839</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40474-2021</t>
        </is>
      </c>
      <c r="B471" s="1" t="n">
        <v>44420</v>
      </c>
      <c r="C471" s="1" t="n">
        <v>45839</v>
      </c>
      <c r="D471" t="inlineStr">
        <is>
          <t>VÄSTERBOTTENS LÄN</t>
        </is>
      </c>
      <c r="E471" t="inlineStr">
        <is>
          <t>VILHELMINA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40472-2021</t>
        </is>
      </c>
      <c r="B472" s="1" t="n">
        <v>44419</v>
      </c>
      <c r="C472" s="1" t="n">
        <v>45839</v>
      </c>
      <c r="D472" t="inlineStr">
        <is>
          <t>VÄSTERBOTTENS LÄN</t>
        </is>
      </c>
      <c r="E472" t="inlineStr">
        <is>
          <t>VILHELMINA</t>
        </is>
      </c>
      <c r="F472" t="inlineStr">
        <is>
          <t>SCA</t>
        </is>
      </c>
      <c r="G472" t="n">
        <v>16.3</v>
      </c>
      <c r="H472" t="n">
        <v>0</v>
      </c>
      <c r="I472" t="n">
        <v>0</v>
      </c>
      <c r="J472" t="n">
        <v>0</v>
      </c>
      <c r="K472" t="n">
        <v>0</v>
      </c>
      <c r="L472" t="n">
        <v>0</v>
      </c>
      <c r="M472" t="n">
        <v>0</v>
      </c>
      <c r="N472" t="n">
        <v>0</v>
      </c>
      <c r="O472" t="n">
        <v>0</v>
      </c>
      <c r="P472" t="n">
        <v>0</v>
      </c>
      <c r="Q472" t="n">
        <v>0</v>
      </c>
      <c r="R472" s="2" t="inlineStr"/>
    </row>
    <row r="473" ht="15" customHeight="1">
      <c r="A473" t="inlineStr">
        <is>
          <t>A 42153-2021</t>
        </is>
      </c>
      <c r="B473" s="1" t="n">
        <v>44426</v>
      </c>
      <c r="C473" s="1" t="n">
        <v>45839</v>
      </c>
      <c r="D473" t="inlineStr">
        <is>
          <t>VÄSTERBOTTENS LÄN</t>
        </is>
      </c>
      <c r="E473" t="inlineStr">
        <is>
          <t>VILHELMINA</t>
        </is>
      </c>
      <c r="F473" t="inlineStr">
        <is>
          <t>Sveaskog</t>
        </is>
      </c>
      <c r="G473" t="n">
        <v>11.5</v>
      </c>
      <c r="H473" t="n">
        <v>0</v>
      </c>
      <c r="I473" t="n">
        <v>0</v>
      </c>
      <c r="J473" t="n">
        <v>0</v>
      </c>
      <c r="K473" t="n">
        <v>0</v>
      </c>
      <c r="L473" t="n">
        <v>0</v>
      </c>
      <c r="M473" t="n">
        <v>0</v>
      </c>
      <c r="N473" t="n">
        <v>0</v>
      </c>
      <c r="O473" t="n">
        <v>0</v>
      </c>
      <c r="P473" t="n">
        <v>0</v>
      </c>
      <c r="Q473" t="n">
        <v>0</v>
      </c>
      <c r="R473" s="2" t="inlineStr"/>
    </row>
    <row r="474" ht="15" customHeight="1">
      <c r="A474" t="inlineStr">
        <is>
          <t>A 43755-2021</t>
        </is>
      </c>
      <c r="B474" s="1" t="n">
        <v>44433</v>
      </c>
      <c r="C474" s="1" t="n">
        <v>45839</v>
      </c>
      <c r="D474" t="inlineStr">
        <is>
          <t>VÄSTERBOTTENS LÄN</t>
        </is>
      </c>
      <c r="E474" t="inlineStr">
        <is>
          <t>VILHELMINA</t>
        </is>
      </c>
      <c r="F474" t="inlineStr">
        <is>
          <t>Sveaskog</t>
        </is>
      </c>
      <c r="G474" t="n">
        <v>10.4</v>
      </c>
      <c r="H474" t="n">
        <v>0</v>
      </c>
      <c r="I474" t="n">
        <v>0</v>
      </c>
      <c r="J474" t="n">
        <v>0</v>
      </c>
      <c r="K474" t="n">
        <v>0</v>
      </c>
      <c r="L474" t="n">
        <v>0</v>
      </c>
      <c r="M474" t="n">
        <v>0</v>
      </c>
      <c r="N474" t="n">
        <v>0</v>
      </c>
      <c r="O474" t="n">
        <v>0</v>
      </c>
      <c r="P474" t="n">
        <v>0</v>
      </c>
      <c r="Q474" t="n">
        <v>0</v>
      </c>
      <c r="R474" s="2" t="inlineStr"/>
    </row>
    <row r="475" ht="15" customHeight="1">
      <c r="A475" t="inlineStr">
        <is>
          <t>A 44136-2021</t>
        </is>
      </c>
      <c r="B475" s="1" t="n">
        <v>44434</v>
      </c>
      <c r="C475" s="1" t="n">
        <v>45839</v>
      </c>
      <c r="D475" t="inlineStr">
        <is>
          <t>VÄSTERBOTTENS LÄN</t>
        </is>
      </c>
      <c r="E475" t="inlineStr">
        <is>
          <t>VILHELMINA</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44238-2021</t>
        </is>
      </c>
      <c r="B476" s="1" t="n">
        <v>44434</v>
      </c>
      <c r="C476" s="1" t="n">
        <v>45839</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44239-2021</t>
        </is>
      </c>
      <c r="B477" s="1" t="n">
        <v>44434</v>
      </c>
      <c r="C477" s="1" t="n">
        <v>45839</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44714-2021</t>
        </is>
      </c>
      <c r="B478" s="1" t="n">
        <v>44435</v>
      </c>
      <c r="C478" s="1" t="n">
        <v>45839</v>
      </c>
      <c r="D478" t="inlineStr">
        <is>
          <t>VÄSTERBOTTENS LÄN</t>
        </is>
      </c>
      <c r="E478" t="inlineStr">
        <is>
          <t>VILHELMINA</t>
        </is>
      </c>
      <c r="G478" t="n">
        <v>4.3</v>
      </c>
      <c r="H478" t="n">
        <v>0</v>
      </c>
      <c r="I478" t="n">
        <v>0</v>
      </c>
      <c r="J478" t="n">
        <v>0</v>
      </c>
      <c r="K478" t="n">
        <v>0</v>
      </c>
      <c r="L478" t="n">
        <v>0</v>
      </c>
      <c r="M478" t="n">
        <v>0</v>
      </c>
      <c r="N478" t="n">
        <v>0</v>
      </c>
      <c r="O478" t="n">
        <v>0</v>
      </c>
      <c r="P478" t="n">
        <v>0</v>
      </c>
      <c r="Q478" t="n">
        <v>0</v>
      </c>
      <c r="R478" s="2" t="inlineStr"/>
    </row>
    <row r="479" ht="15" customHeight="1">
      <c r="A479" t="inlineStr">
        <is>
          <t>A 46046-2021</t>
        </is>
      </c>
      <c r="B479" s="1" t="n">
        <v>44442</v>
      </c>
      <c r="C479" s="1" t="n">
        <v>45839</v>
      </c>
      <c r="D479" t="inlineStr">
        <is>
          <t>VÄSTERBOTTENS LÄN</t>
        </is>
      </c>
      <c r="E479" t="inlineStr">
        <is>
          <t>VILHELMINA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46045-2021</t>
        </is>
      </c>
      <c r="B480" s="1" t="n">
        <v>44442</v>
      </c>
      <c r="C480" s="1" t="n">
        <v>45839</v>
      </c>
      <c r="D480" t="inlineStr">
        <is>
          <t>VÄSTERBOTTENS LÄN</t>
        </is>
      </c>
      <c r="E480" t="inlineStr">
        <is>
          <t>VILHELMINA</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46372-2021</t>
        </is>
      </c>
      <c r="B481" s="1" t="n">
        <v>44443</v>
      </c>
      <c r="C481" s="1" t="n">
        <v>45839</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46375-2021</t>
        </is>
      </c>
      <c r="B482" s="1" t="n">
        <v>44442</v>
      </c>
      <c r="C482" s="1" t="n">
        <v>45839</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47151-2021</t>
        </is>
      </c>
      <c r="B483" s="1" t="n">
        <v>44447</v>
      </c>
      <c r="C483" s="1" t="n">
        <v>45839</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48754-2021</t>
        </is>
      </c>
      <c r="B484" s="1" t="n">
        <v>44452</v>
      </c>
      <c r="C484" s="1" t="n">
        <v>45839</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48600-2021</t>
        </is>
      </c>
      <c r="B485" s="1" t="n">
        <v>44452</v>
      </c>
      <c r="C485" s="1" t="n">
        <v>45839</v>
      </c>
      <c r="D485" t="inlineStr">
        <is>
          <t>VÄSTERBOTTENS LÄN</t>
        </is>
      </c>
      <c r="E485" t="inlineStr">
        <is>
          <t>VILHELMINA</t>
        </is>
      </c>
      <c r="F485" t="inlineStr">
        <is>
          <t>Allmännings- och besparingsskogar</t>
        </is>
      </c>
      <c r="G485" t="n">
        <v>48.6</v>
      </c>
      <c r="H485" t="n">
        <v>0</v>
      </c>
      <c r="I485" t="n">
        <v>0</v>
      </c>
      <c r="J485" t="n">
        <v>0</v>
      </c>
      <c r="K485" t="n">
        <v>0</v>
      </c>
      <c r="L485" t="n">
        <v>0</v>
      </c>
      <c r="M485" t="n">
        <v>0</v>
      </c>
      <c r="N485" t="n">
        <v>0</v>
      </c>
      <c r="O485" t="n">
        <v>0</v>
      </c>
      <c r="P485" t="n">
        <v>0</v>
      </c>
      <c r="Q485" t="n">
        <v>0</v>
      </c>
      <c r="R485" s="2" t="inlineStr"/>
    </row>
    <row r="486" ht="15" customHeight="1">
      <c r="A486" t="inlineStr">
        <is>
          <t>A 48756-2021</t>
        </is>
      </c>
      <c r="B486" s="1" t="n">
        <v>44452</v>
      </c>
      <c r="C486" s="1" t="n">
        <v>45839</v>
      </c>
      <c r="D486" t="inlineStr">
        <is>
          <t>VÄSTERBOTTENS LÄN</t>
        </is>
      </c>
      <c r="E486" t="inlineStr">
        <is>
          <t>VILHELMINA</t>
        </is>
      </c>
      <c r="G486" t="n">
        <v>13.3</v>
      </c>
      <c r="H486" t="n">
        <v>0</v>
      </c>
      <c r="I486" t="n">
        <v>0</v>
      </c>
      <c r="J486" t="n">
        <v>0</v>
      </c>
      <c r="K486" t="n">
        <v>0</v>
      </c>
      <c r="L486" t="n">
        <v>0</v>
      </c>
      <c r="M486" t="n">
        <v>0</v>
      </c>
      <c r="N486" t="n">
        <v>0</v>
      </c>
      <c r="O486" t="n">
        <v>0</v>
      </c>
      <c r="P486" t="n">
        <v>0</v>
      </c>
      <c r="Q486" t="n">
        <v>0</v>
      </c>
      <c r="R486" s="2" t="inlineStr"/>
    </row>
    <row r="487" ht="15" customHeight="1">
      <c r="A487" t="inlineStr">
        <is>
          <t>A 48783-2021</t>
        </is>
      </c>
      <c r="B487" s="1" t="n">
        <v>44452</v>
      </c>
      <c r="C487" s="1" t="n">
        <v>45839</v>
      </c>
      <c r="D487" t="inlineStr">
        <is>
          <t>VÄSTERBOTTENS LÄN</t>
        </is>
      </c>
      <c r="E487" t="inlineStr">
        <is>
          <t>VILHELMINA</t>
        </is>
      </c>
      <c r="F487" t="inlineStr">
        <is>
          <t>Allmännings- och besparingsskogar</t>
        </is>
      </c>
      <c r="G487" t="n">
        <v>9.5</v>
      </c>
      <c r="H487" t="n">
        <v>0</v>
      </c>
      <c r="I487" t="n">
        <v>0</v>
      </c>
      <c r="J487" t="n">
        <v>0</v>
      </c>
      <c r="K487" t="n">
        <v>0</v>
      </c>
      <c r="L487" t="n">
        <v>0</v>
      </c>
      <c r="M487" t="n">
        <v>0</v>
      </c>
      <c r="N487" t="n">
        <v>0</v>
      </c>
      <c r="O487" t="n">
        <v>0</v>
      </c>
      <c r="P487" t="n">
        <v>0</v>
      </c>
      <c r="Q487" t="n">
        <v>0</v>
      </c>
      <c r="R487" s="2" t="inlineStr"/>
    </row>
    <row r="488" ht="15" customHeight="1">
      <c r="A488" t="inlineStr">
        <is>
          <t>A 48574-2021</t>
        </is>
      </c>
      <c r="B488" s="1" t="n">
        <v>44452</v>
      </c>
      <c r="C488" s="1" t="n">
        <v>45839</v>
      </c>
      <c r="D488" t="inlineStr">
        <is>
          <t>VÄSTERBOTTENS LÄN</t>
        </is>
      </c>
      <c r="E488" t="inlineStr">
        <is>
          <t>VILHELMINA</t>
        </is>
      </c>
      <c r="F488" t="inlineStr">
        <is>
          <t>Allmännings- och besparingsskogar</t>
        </is>
      </c>
      <c r="G488" t="n">
        <v>85.09999999999999</v>
      </c>
      <c r="H488" t="n">
        <v>0</v>
      </c>
      <c r="I488" t="n">
        <v>0</v>
      </c>
      <c r="J488" t="n">
        <v>0</v>
      </c>
      <c r="K488" t="n">
        <v>0</v>
      </c>
      <c r="L488" t="n">
        <v>0</v>
      </c>
      <c r="M488" t="n">
        <v>0</v>
      </c>
      <c r="N488" t="n">
        <v>0</v>
      </c>
      <c r="O488" t="n">
        <v>0</v>
      </c>
      <c r="P488" t="n">
        <v>0</v>
      </c>
      <c r="Q488" t="n">
        <v>0</v>
      </c>
      <c r="R488" s="2" t="inlineStr"/>
    </row>
    <row r="489" ht="15" customHeight="1">
      <c r="A489" t="inlineStr">
        <is>
          <t>A 49063-2021</t>
        </is>
      </c>
      <c r="B489" s="1" t="n">
        <v>44453</v>
      </c>
      <c r="C489" s="1" t="n">
        <v>45839</v>
      </c>
      <c r="D489" t="inlineStr">
        <is>
          <t>VÄSTERBOTTENS LÄN</t>
        </is>
      </c>
      <c r="E489" t="inlineStr">
        <is>
          <t>VILHELMINA</t>
        </is>
      </c>
      <c r="F489" t="inlineStr">
        <is>
          <t>Övriga statliga verk och myndigheter</t>
        </is>
      </c>
      <c r="G489" t="n">
        <v>42.7</v>
      </c>
      <c r="H489" t="n">
        <v>0</v>
      </c>
      <c r="I489" t="n">
        <v>0</v>
      </c>
      <c r="J489" t="n">
        <v>0</v>
      </c>
      <c r="K489" t="n">
        <v>0</v>
      </c>
      <c r="L489" t="n">
        <v>0</v>
      </c>
      <c r="M489" t="n">
        <v>0</v>
      </c>
      <c r="N489" t="n">
        <v>0</v>
      </c>
      <c r="O489" t="n">
        <v>0</v>
      </c>
      <c r="P489" t="n">
        <v>0</v>
      </c>
      <c r="Q489" t="n">
        <v>0</v>
      </c>
      <c r="R489" s="2" t="inlineStr"/>
    </row>
    <row r="490" ht="15" customHeight="1">
      <c r="A490" t="inlineStr">
        <is>
          <t>A 50635-2021</t>
        </is>
      </c>
      <c r="B490" s="1" t="n">
        <v>44459</v>
      </c>
      <c r="C490" s="1" t="n">
        <v>45839</v>
      </c>
      <c r="D490" t="inlineStr">
        <is>
          <t>VÄSTERBOTTENS LÄN</t>
        </is>
      </c>
      <c r="E490" t="inlineStr">
        <is>
          <t>VILHELMINA</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51016-2021</t>
        </is>
      </c>
      <c r="B491" s="1" t="n">
        <v>44461</v>
      </c>
      <c r="C491" s="1" t="n">
        <v>45839</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51018-2021</t>
        </is>
      </c>
      <c r="B492" s="1" t="n">
        <v>44461</v>
      </c>
      <c r="C492" s="1" t="n">
        <v>45839</v>
      </c>
      <c r="D492" t="inlineStr">
        <is>
          <t>VÄSTERBOTTENS LÄN</t>
        </is>
      </c>
      <c r="E492" t="inlineStr">
        <is>
          <t>VILHELMINA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51935-2021</t>
        </is>
      </c>
      <c r="B493" s="1" t="n">
        <v>44462</v>
      </c>
      <c r="C493" s="1" t="n">
        <v>45839</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51933-2021</t>
        </is>
      </c>
      <c r="B494" s="1" t="n">
        <v>44463</v>
      </c>
      <c r="C494" s="1" t="n">
        <v>45839</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53958-2021</t>
        </is>
      </c>
      <c r="B495" s="1" t="n">
        <v>44469</v>
      </c>
      <c r="C495" s="1" t="n">
        <v>45839</v>
      </c>
      <c r="D495" t="inlineStr">
        <is>
          <t>VÄSTERBOTTENS LÄN</t>
        </is>
      </c>
      <c r="E495" t="inlineStr">
        <is>
          <t>VILHELMINA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53987-2021</t>
        </is>
      </c>
      <c r="B496" s="1" t="n">
        <v>44470</v>
      </c>
      <c r="C496" s="1" t="n">
        <v>45839</v>
      </c>
      <c r="D496" t="inlineStr">
        <is>
          <t>VÄSTERBOTTENS LÄN</t>
        </is>
      </c>
      <c r="E496" t="inlineStr">
        <is>
          <t>VILHELMINA</t>
        </is>
      </c>
      <c r="F496" t="inlineStr">
        <is>
          <t>Kommuner</t>
        </is>
      </c>
      <c r="G496" t="n">
        <v>10</v>
      </c>
      <c r="H496" t="n">
        <v>0</v>
      </c>
      <c r="I496" t="n">
        <v>0</v>
      </c>
      <c r="J496" t="n">
        <v>0</v>
      </c>
      <c r="K496" t="n">
        <v>0</v>
      </c>
      <c r="L496" t="n">
        <v>0</v>
      </c>
      <c r="M496" t="n">
        <v>0</v>
      </c>
      <c r="N496" t="n">
        <v>0</v>
      </c>
      <c r="O496" t="n">
        <v>0</v>
      </c>
      <c r="P496" t="n">
        <v>0</v>
      </c>
      <c r="Q496" t="n">
        <v>0</v>
      </c>
      <c r="R496" s="2" t="inlineStr"/>
    </row>
    <row r="497" ht="15" customHeight="1">
      <c r="A497" t="inlineStr">
        <is>
          <t>A 54765-2021</t>
        </is>
      </c>
      <c r="B497" s="1" t="n">
        <v>44473</v>
      </c>
      <c r="C497" s="1" t="n">
        <v>45839</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55929-2021</t>
        </is>
      </c>
      <c r="B498" s="1" t="n">
        <v>44476</v>
      </c>
      <c r="C498" s="1" t="n">
        <v>45839</v>
      </c>
      <c r="D498" t="inlineStr">
        <is>
          <t>VÄSTERBOTTENS LÄN</t>
        </is>
      </c>
      <c r="E498" t="inlineStr">
        <is>
          <t>VILHELMINA</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55931-2021</t>
        </is>
      </c>
      <c r="B499" s="1" t="n">
        <v>44476</v>
      </c>
      <c r="C499" s="1" t="n">
        <v>45839</v>
      </c>
      <c r="D499" t="inlineStr">
        <is>
          <t>VÄSTERBOTTENS LÄN</t>
        </is>
      </c>
      <c r="E499" t="inlineStr">
        <is>
          <t>VILHELMINA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56947-2021</t>
        </is>
      </c>
      <c r="B500" s="1" t="n">
        <v>44481</v>
      </c>
      <c r="C500" s="1" t="n">
        <v>45839</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57086-2021</t>
        </is>
      </c>
      <c r="B501" s="1" t="n">
        <v>44482</v>
      </c>
      <c r="C501" s="1" t="n">
        <v>45839</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57167-2021</t>
        </is>
      </c>
      <c r="B502" s="1" t="n">
        <v>44482</v>
      </c>
      <c r="C502" s="1" t="n">
        <v>45839</v>
      </c>
      <c r="D502" t="inlineStr">
        <is>
          <t>VÄSTERBOTTENS LÄN</t>
        </is>
      </c>
      <c r="E502" t="inlineStr">
        <is>
          <t>VILHELMINA</t>
        </is>
      </c>
      <c r="F502" t="inlineStr">
        <is>
          <t>Kommuner</t>
        </is>
      </c>
      <c r="G502" t="n">
        <v>4.9</v>
      </c>
      <c r="H502" t="n">
        <v>0</v>
      </c>
      <c r="I502" t="n">
        <v>0</v>
      </c>
      <c r="J502" t="n">
        <v>0</v>
      </c>
      <c r="K502" t="n">
        <v>0</v>
      </c>
      <c r="L502" t="n">
        <v>0</v>
      </c>
      <c r="M502" t="n">
        <v>0</v>
      </c>
      <c r="N502" t="n">
        <v>0</v>
      </c>
      <c r="O502" t="n">
        <v>0</v>
      </c>
      <c r="P502" t="n">
        <v>0</v>
      </c>
      <c r="Q502" t="n">
        <v>0</v>
      </c>
      <c r="R502" s="2" t="inlineStr"/>
    </row>
    <row r="503" ht="15" customHeight="1">
      <c r="A503" t="inlineStr">
        <is>
          <t>A 57166-2021</t>
        </is>
      </c>
      <c r="B503" s="1" t="n">
        <v>44482</v>
      </c>
      <c r="C503" s="1" t="n">
        <v>45839</v>
      </c>
      <c r="D503" t="inlineStr">
        <is>
          <t>VÄSTERBOTTENS LÄN</t>
        </is>
      </c>
      <c r="E503" t="inlineStr">
        <is>
          <t>VILHELMINA</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57874-2021</t>
        </is>
      </c>
      <c r="B504" s="1" t="n">
        <v>44484</v>
      </c>
      <c r="C504" s="1" t="n">
        <v>45839</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57875-2021</t>
        </is>
      </c>
      <c r="B505" s="1" t="n">
        <v>44485</v>
      </c>
      <c r="C505" s="1" t="n">
        <v>45839</v>
      </c>
      <c r="D505" t="inlineStr">
        <is>
          <t>VÄSTERBOTTENS LÄN</t>
        </is>
      </c>
      <c r="E505" t="inlineStr">
        <is>
          <t>VILHELMINA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58377-2021</t>
        </is>
      </c>
      <c r="B506" s="1" t="n">
        <v>44488</v>
      </c>
      <c r="C506" s="1" t="n">
        <v>45839</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58363-2021</t>
        </is>
      </c>
      <c r="B507" s="1" t="n">
        <v>44488</v>
      </c>
      <c r="C507" s="1" t="n">
        <v>45839</v>
      </c>
      <c r="D507" t="inlineStr">
        <is>
          <t>VÄSTERBOTTENS LÄN</t>
        </is>
      </c>
      <c r="E507" t="inlineStr">
        <is>
          <t>VILHELMINA</t>
        </is>
      </c>
      <c r="G507" t="n">
        <v>7.3</v>
      </c>
      <c r="H507" t="n">
        <v>0</v>
      </c>
      <c r="I507" t="n">
        <v>0</v>
      </c>
      <c r="J507" t="n">
        <v>0</v>
      </c>
      <c r="K507" t="n">
        <v>0</v>
      </c>
      <c r="L507" t="n">
        <v>0</v>
      </c>
      <c r="M507" t="n">
        <v>0</v>
      </c>
      <c r="N507" t="n">
        <v>0</v>
      </c>
      <c r="O507" t="n">
        <v>0</v>
      </c>
      <c r="P507" t="n">
        <v>0</v>
      </c>
      <c r="Q507" t="n">
        <v>0</v>
      </c>
      <c r="R507" s="2" t="inlineStr"/>
    </row>
    <row r="508" ht="15" customHeight="1">
      <c r="A508" t="inlineStr">
        <is>
          <t>A 58643-2021</t>
        </is>
      </c>
      <c r="B508" s="1" t="n">
        <v>44489</v>
      </c>
      <c r="C508" s="1" t="n">
        <v>45839</v>
      </c>
      <c r="D508" t="inlineStr">
        <is>
          <t>VÄSTERBOTTENS LÄN</t>
        </is>
      </c>
      <c r="E508" t="inlineStr">
        <is>
          <t>VILHELMINA</t>
        </is>
      </c>
      <c r="F508" t="inlineStr">
        <is>
          <t>Övriga Aktiebolag</t>
        </is>
      </c>
      <c r="G508" t="n">
        <v>30.4</v>
      </c>
      <c r="H508" t="n">
        <v>0</v>
      </c>
      <c r="I508" t="n">
        <v>0</v>
      </c>
      <c r="J508" t="n">
        <v>0</v>
      </c>
      <c r="K508" t="n">
        <v>0</v>
      </c>
      <c r="L508" t="n">
        <v>0</v>
      </c>
      <c r="M508" t="n">
        <v>0</v>
      </c>
      <c r="N508" t="n">
        <v>0</v>
      </c>
      <c r="O508" t="n">
        <v>0</v>
      </c>
      <c r="P508" t="n">
        <v>0</v>
      </c>
      <c r="Q508" t="n">
        <v>0</v>
      </c>
      <c r="R508" s="2" t="inlineStr"/>
    </row>
    <row r="509" ht="15" customHeight="1">
      <c r="A509" t="inlineStr">
        <is>
          <t>A 59172-2021</t>
        </is>
      </c>
      <c r="B509" s="1" t="n">
        <v>44490</v>
      </c>
      <c r="C509" s="1" t="n">
        <v>45839</v>
      </c>
      <c r="D509" t="inlineStr">
        <is>
          <t>VÄSTERBOTTENS LÄN</t>
        </is>
      </c>
      <c r="E509" t="inlineStr">
        <is>
          <t>VILHELMINA</t>
        </is>
      </c>
      <c r="G509" t="n">
        <v>11.5</v>
      </c>
      <c r="H509" t="n">
        <v>0</v>
      </c>
      <c r="I509" t="n">
        <v>0</v>
      </c>
      <c r="J509" t="n">
        <v>0</v>
      </c>
      <c r="K509" t="n">
        <v>0</v>
      </c>
      <c r="L509" t="n">
        <v>0</v>
      </c>
      <c r="M509" t="n">
        <v>0</v>
      </c>
      <c r="N509" t="n">
        <v>0</v>
      </c>
      <c r="O509" t="n">
        <v>0</v>
      </c>
      <c r="P509" t="n">
        <v>0</v>
      </c>
      <c r="Q509" t="n">
        <v>0</v>
      </c>
      <c r="R509" s="2" t="inlineStr"/>
    </row>
    <row r="510" ht="15" customHeight="1">
      <c r="A510" t="inlineStr">
        <is>
          <t>A 59330-2021</t>
        </is>
      </c>
      <c r="B510" s="1" t="n">
        <v>44491</v>
      </c>
      <c r="C510" s="1" t="n">
        <v>45839</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60317-2021</t>
        </is>
      </c>
      <c r="B511" s="1" t="n">
        <v>44496</v>
      </c>
      <c r="C511" s="1" t="n">
        <v>45839</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61640-2021</t>
        </is>
      </c>
      <c r="B512" s="1" t="n">
        <v>44498</v>
      </c>
      <c r="C512" s="1" t="n">
        <v>45839</v>
      </c>
      <c r="D512" t="inlineStr">
        <is>
          <t>VÄSTERBOTTENS LÄN</t>
        </is>
      </c>
      <c r="E512" t="inlineStr">
        <is>
          <t>VILHELMINA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61475-2021</t>
        </is>
      </c>
      <c r="B513" s="1" t="n">
        <v>44500</v>
      </c>
      <c r="C513" s="1" t="n">
        <v>45839</v>
      </c>
      <c r="D513" t="inlineStr">
        <is>
          <t>VÄSTERBOTTENS LÄN</t>
        </is>
      </c>
      <c r="E513" t="inlineStr">
        <is>
          <t>VILHELMINA</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61853-2021</t>
        </is>
      </c>
      <c r="B514" s="1" t="n">
        <v>44501</v>
      </c>
      <c r="C514" s="1" t="n">
        <v>45839</v>
      </c>
      <c r="D514" t="inlineStr">
        <is>
          <t>VÄSTERBOTTENS LÄN</t>
        </is>
      </c>
      <c r="E514" t="inlineStr">
        <is>
          <t>VILHELMINA</t>
        </is>
      </c>
      <c r="F514" t="inlineStr">
        <is>
          <t>SCA</t>
        </is>
      </c>
      <c r="G514" t="n">
        <v>24.8</v>
      </c>
      <c r="H514" t="n">
        <v>0</v>
      </c>
      <c r="I514" t="n">
        <v>0</v>
      </c>
      <c r="J514" t="n">
        <v>0</v>
      </c>
      <c r="K514" t="n">
        <v>0</v>
      </c>
      <c r="L514" t="n">
        <v>0</v>
      </c>
      <c r="M514" t="n">
        <v>0</v>
      </c>
      <c r="N514" t="n">
        <v>0</v>
      </c>
      <c r="O514" t="n">
        <v>0</v>
      </c>
      <c r="P514" t="n">
        <v>0</v>
      </c>
      <c r="Q514" t="n">
        <v>0</v>
      </c>
      <c r="R514" s="2" t="inlineStr"/>
    </row>
    <row r="515" ht="15" customHeight="1">
      <c r="A515" t="inlineStr">
        <is>
          <t>A 62362-2021</t>
        </is>
      </c>
      <c r="B515" s="1" t="n">
        <v>44502</v>
      </c>
      <c r="C515" s="1" t="n">
        <v>45839</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62658-2021</t>
        </is>
      </c>
      <c r="B516" s="1" t="n">
        <v>44503</v>
      </c>
      <c r="C516" s="1" t="n">
        <v>45839</v>
      </c>
      <c r="D516" t="inlineStr">
        <is>
          <t>VÄSTERBOTTENS LÄN</t>
        </is>
      </c>
      <c r="E516" t="inlineStr">
        <is>
          <t>VILHELMINA</t>
        </is>
      </c>
      <c r="F516" t="inlineStr">
        <is>
          <t>SCA</t>
        </is>
      </c>
      <c r="G516" t="n">
        <v>13.4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45839</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65033-2021</t>
        </is>
      </c>
      <c r="B518" s="1" t="n">
        <v>44511</v>
      </c>
      <c r="C518" s="1" t="n">
        <v>45839</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65146-2021</t>
        </is>
      </c>
      <c r="B519" s="1" t="n">
        <v>44515</v>
      </c>
      <c r="C519" s="1" t="n">
        <v>45839</v>
      </c>
      <c r="D519" t="inlineStr">
        <is>
          <t>VÄSTERBOTTENS LÄN</t>
        </is>
      </c>
      <c r="E519" t="inlineStr">
        <is>
          <t>VILHELMINA</t>
        </is>
      </c>
      <c r="G519" t="n">
        <v>7.4</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45839</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65159-2021</t>
        </is>
      </c>
      <c r="B521" s="1" t="n">
        <v>44515</v>
      </c>
      <c r="C521" s="1" t="n">
        <v>45839</v>
      </c>
      <c r="D521" t="inlineStr">
        <is>
          <t>VÄSTERBOTTENS LÄN</t>
        </is>
      </c>
      <c r="E521" t="inlineStr">
        <is>
          <t>VILHELMINA</t>
        </is>
      </c>
      <c r="G521" t="n">
        <v>5</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45839</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65179-2021</t>
        </is>
      </c>
      <c r="B523" s="1" t="n">
        <v>44515</v>
      </c>
      <c r="C523" s="1" t="n">
        <v>45839</v>
      </c>
      <c r="D523" t="inlineStr">
        <is>
          <t>VÄSTERBOTTENS LÄN</t>
        </is>
      </c>
      <c r="E523" t="inlineStr">
        <is>
          <t>VILHELMINA</t>
        </is>
      </c>
      <c r="G523" t="n">
        <v>8</v>
      </c>
      <c r="H523" t="n">
        <v>0</v>
      </c>
      <c r="I523" t="n">
        <v>0</v>
      </c>
      <c r="J523" t="n">
        <v>0</v>
      </c>
      <c r="K523" t="n">
        <v>0</v>
      </c>
      <c r="L523" t="n">
        <v>0</v>
      </c>
      <c r="M523" t="n">
        <v>0</v>
      </c>
      <c r="N523" t="n">
        <v>0</v>
      </c>
      <c r="O523" t="n">
        <v>0</v>
      </c>
      <c r="P523" t="n">
        <v>0</v>
      </c>
      <c r="Q523" t="n">
        <v>0</v>
      </c>
      <c r="R523" s="2" t="inlineStr"/>
    </row>
    <row r="524" ht="15" customHeight="1">
      <c r="A524" t="inlineStr">
        <is>
          <t>A 66259-2021</t>
        </is>
      </c>
      <c r="B524" s="1" t="n">
        <v>44518</v>
      </c>
      <c r="C524" s="1" t="n">
        <v>45839</v>
      </c>
      <c r="D524" t="inlineStr">
        <is>
          <t>VÄSTERBOTTENS LÄN</t>
        </is>
      </c>
      <c r="E524" t="inlineStr">
        <is>
          <t>VILHELMINA</t>
        </is>
      </c>
      <c r="G524" t="n">
        <v>14.6</v>
      </c>
      <c r="H524" t="n">
        <v>0</v>
      </c>
      <c r="I524" t="n">
        <v>0</v>
      </c>
      <c r="J524" t="n">
        <v>0</v>
      </c>
      <c r="K524" t="n">
        <v>0</v>
      </c>
      <c r="L524" t="n">
        <v>0</v>
      </c>
      <c r="M524" t="n">
        <v>0</v>
      </c>
      <c r="N524" t="n">
        <v>0</v>
      </c>
      <c r="O524" t="n">
        <v>0</v>
      </c>
      <c r="P524" t="n">
        <v>0</v>
      </c>
      <c r="Q524" t="n">
        <v>0</v>
      </c>
      <c r="R524" s="2" t="inlineStr"/>
    </row>
    <row r="525" ht="15" customHeight="1">
      <c r="A525" t="inlineStr">
        <is>
          <t>A 66458-2021</t>
        </is>
      </c>
      <c r="B525" s="1" t="n">
        <v>44518</v>
      </c>
      <c r="C525" s="1" t="n">
        <v>45839</v>
      </c>
      <c r="D525" t="inlineStr">
        <is>
          <t>VÄSTERBOTTENS LÄN</t>
        </is>
      </c>
      <c r="E525" t="inlineStr">
        <is>
          <t>VILHELMINA</t>
        </is>
      </c>
      <c r="G525" t="n">
        <v>3.7</v>
      </c>
      <c r="H525" t="n">
        <v>0</v>
      </c>
      <c r="I525" t="n">
        <v>0</v>
      </c>
      <c r="J525" t="n">
        <v>0</v>
      </c>
      <c r="K525" t="n">
        <v>0</v>
      </c>
      <c r="L525" t="n">
        <v>0</v>
      </c>
      <c r="M525" t="n">
        <v>0</v>
      </c>
      <c r="N525" t="n">
        <v>0</v>
      </c>
      <c r="O525" t="n">
        <v>0</v>
      </c>
      <c r="P525" t="n">
        <v>0</v>
      </c>
      <c r="Q525" t="n">
        <v>0</v>
      </c>
      <c r="R525" s="2" t="inlineStr"/>
    </row>
    <row r="526" ht="15" customHeight="1">
      <c r="A526" t="inlineStr">
        <is>
          <t>A 66917-2021</t>
        </is>
      </c>
      <c r="B526" s="1" t="n">
        <v>44522</v>
      </c>
      <c r="C526" s="1" t="n">
        <v>45839</v>
      </c>
      <c r="D526" t="inlineStr">
        <is>
          <t>VÄSTERBOTTENS LÄN</t>
        </is>
      </c>
      <c r="E526" t="inlineStr">
        <is>
          <t>VILHELMINA</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66952-2021</t>
        </is>
      </c>
      <c r="B527" s="1" t="n">
        <v>44522</v>
      </c>
      <c r="C527" s="1" t="n">
        <v>45839</v>
      </c>
      <c r="D527" t="inlineStr">
        <is>
          <t>VÄSTERBOTTENS LÄN</t>
        </is>
      </c>
      <c r="E527" t="inlineStr">
        <is>
          <t>VILHELMINA</t>
        </is>
      </c>
      <c r="F527" t="inlineStr">
        <is>
          <t>Allmännings- och besparingsskogar</t>
        </is>
      </c>
      <c r="G527" t="n">
        <v>70</v>
      </c>
      <c r="H527" t="n">
        <v>0</v>
      </c>
      <c r="I527" t="n">
        <v>0</v>
      </c>
      <c r="J527" t="n">
        <v>0</v>
      </c>
      <c r="K527" t="n">
        <v>0</v>
      </c>
      <c r="L527" t="n">
        <v>0</v>
      </c>
      <c r="M527" t="n">
        <v>0</v>
      </c>
      <c r="N527" t="n">
        <v>0</v>
      </c>
      <c r="O527" t="n">
        <v>0</v>
      </c>
      <c r="P527" t="n">
        <v>0</v>
      </c>
      <c r="Q527" t="n">
        <v>0</v>
      </c>
      <c r="R527" s="2" t="inlineStr"/>
    </row>
    <row r="528" ht="15" customHeight="1">
      <c r="A528" t="inlineStr">
        <is>
          <t>A 68037-2021</t>
        </is>
      </c>
      <c r="B528" s="1" t="n">
        <v>44525</v>
      </c>
      <c r="C528" s="1" t="n">
        <v>45839</v>
      </c>
      <c r="D528" t="inlineStr">
        <is>
          <t>VÄSTERBOTTENS LÄN</t>
        </is>
      </c>
      <c r="E528" t="inlineStr">
        <is>
          <t>VILHELMINA</t>
        </is>
      </c>
      <c r="G528" t="n">
        <v>2.1</v>
      </c>
      <c r="H528" t="n">
        <v>0</v>
      </c>
      <c r="I528" t="n">
        <v>0</v>
      </c>
      <c r="J528" t="n">
        <v>0</v>
      </c>
      <c r="K528" t="n">
        <v>0</v>
      </c>
      <c r="L528" t="n">
        <v>0</v>
      </c>
      <c r="M528" t="n">
        <v>0</v>
      </c>
      <c r="N528" t="n">
        <v>0</v>
      </c>
      <c r="O528" t="n">
        <v>0</v>
      </c>
      <c r="P528" t="n">
        <v>0</v>
      </c>
      <c r="Q528" t="n">
        <v>0</v>
      </c>
      <c r="R528" s="2" t="inlineStr"/>
    </row>
    <row r="529" ht="15" customHeight="1">
      <c r="A529" t="inlineStr">
        <is>
          <t>A 69362-2021</t>
        </is>
      </c>
      <c r="B529" s="1" t="n">
        <v>44531</v>
      </c>
      <c r="C529" s="1" t="n">
        <v>45839</v>
      </c>
      <c r="D529" t="inlineStr">
        <is>
          <t>VÄSTERBOTTENS LÄN</t>
        </is>
      </c>
      <c r="E529" t="inlineStr">
        <is>
          <t>VILHELMINA</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69366-2021</t>
        </is>
      </c>
      <c r="B530" s="1" t="n">
        <v>44531</v>
      </c>
      <c r="C530" s="1" t="n">
        <v>45839</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69848-2021</t>
        </is>
      </c>
      <c r="B531" s="1" t="n">
        <v>44532</v>
      </c>
      <c r="C531" s="1" t="n">
        <v>45839</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70849-2021</t>
        </is>
      </c>
      <c r="B532" s="1" t="n">
        <v>44532</v>
      </c>
      <c r="C532" s="1" t="n">
        <v>45839</v>
      </c>
      <c r="D532" t="inlineStr">
        <is>
          <t>VÄSTERBOTTENS LÄN</t>
        </is>
      </c>
      <c r="E532" t="inlineStr">
        <is>
          <t>VILHELMINA</t>
        </is>
      </c>
      <c r="G532" t="n">
        <v>21.4</v>
      </c>
      <c r="H532" t="n">
        <v>0</v>
      </c>
      <c r="I532" t="n">
        <v>0</v>
      </c>
      <c r="J532" t="n">
        <v>0</v>
      </c>
      <c r="K532" t="n">
        <v>0</v>
      </c>
      <c r="L532" t="n">
        <v>0</v>
      </c>
      <c r="M532" t="n">
        <v>0</v>
      </c>
      <c r="N532" t="n">
        <v>0</v>
      </c>
      <c r="O532" t="n">
        <v>0</v>
      </c>
      <c r="P532" t="n">
        <v>0</v>
      </c>
      <c r="Q532" t="n">
        <v>0</v>
      </c>
      <c r="R532" s="2" t="inlineStr"/>
    </row>
    <row r="533" ht="15" customHeight="1">
      <c r="A533" t="inlineStr">
        <is>
          <t>A 69850-2021</t>
        </is>
      </c>
      <c r="B533" s="1" t="n">
        <v>44532</v>
      </c>
      <c r="C533" s="1" t="n">
        <v>45839</v>
      </c>
      <c r="D533" t="inlineStr">
        <is>
          <t>VÄSTERBOTTENS LÄN</t>
        </is>
      </c>
      <c r="E533" t="inlineStr">
        <is>
          <t>VILHELMINA</t>
        </is>
      </c>
      <c r="G533" t="n">
        <v>6.8</v>
      </c>
      <c r="H533" t="n">
        <v>0</v>
      </c>
      <c r="I533" t="n">
        <v>0</v>
      </c>
      <c r="J533" t="n">
        <v>0</v>
      </c>
      <c r="K533" t="n">
        <v>0</v>
      </c>
      <c r="L533" t="n">
        <v>0</v>
      </c>
      <c r="M533" t="n">
        <v>0</v>
      </c>
      <c r="N533" t="n">
        <v>0</v>
      </c>
      <c r="O533" t="n">
        <v>0</v>
      </c>
      <c r="P533" t="n">
        <v>0</v>
      </c>
      <c r="Q533" t="n">
        <v>0</v>
      </c>
      <c r="R533" s="2" t="inlineStr"/>
    </row>
    <row r="534" ht="15" customHeight="1">
      <c r="A534" t="inlineStr">
        <is>
          <t>A 70854-2021</t>
        </is>
      </c>
      <c r="B534" s="1" t="n">
        <v>44532</v>
      </c>
      <c r="C534" s="1" t="n">
        <v>45839</v>
      </c>
      <c r="D534" t="inlineStr">
        <is>
          <t>VÄSTERBOTTENS LÄN</t>
        </is>
      </c>
      <c r="E534" t="inlineStr">
        <is>
          <t>VILHELMINA</t>
        </is>
      </c>
      <c r="G534" t="n">
        <v>2.6</v>
      </c>
      <c r="H534" t="n">
        <v>0</v>
      </c>
      <c r="I534" t="n">
        <v>0</v>
      </c>
      <c r="J534" t="n">
        <v>0</v>
      </c>
      <c r="K534" t="n">
        <v>0</v>
      </c>
      <c r="L534" t="n">
        <v>0</v>
      </c>
      <c r="M534" t="n">
        <v>0</v>
      </c>
      <c r="N534" t="n">
        <v>0</v>
      </c>
      <c r="O534" t="n">
        <v>0</v>
      </c>
      <c r="P534" t="n">
        <v>0</v>
      </c>
      <c r="Q534" t="n">
        <v>0</v>
      </c>
      <c r="R534" s="2" t="inlineStr"/>
    </row>
    <row r="535" ht="15" customHeight="1">
      <c r="A535" t="inlineStr">
        <is>
          <t>A 70117-2021</t>
        </is>
      </c>
      <c r="B535" s="1" t="n">
        <v>44533</v>
      </c>
      <c r="C535" s="1" t="n">
        <v>45839</v>
      </c>
      <c r="D535" t="inlineStr">
        <is>
          <t>VÄSTERBOTTENS LÄN</t>
        </is>
      </c>
      <c r="E535" t="inlineStr">
        <is>
          <t>VILHELMINA</t>
        </is>
      </c>
      <c r="G535" t="n">
        <v>3</v>
      </c>
      <c r="H535" t="n">
        <v>0</v>
      </c>
      <c r="I535" t="n">
        <v>0</v>
      </c>
      <c r="J535" t="n">
        <v>0</v>
      </c>
      <c r="K535" t="n">
        <v>0</v>
      </c>
      <c r="L535" t="n">
        <v>0</v>
      </c>
      <c r="M535" t="n">
        <v>0</v>
      </c>
      <c r="N535" t="n">
        <v>0</v>
      </c>
      <c r="O535" t="n">
        <v>0</v>
      </c>
      <c r="P535" t="n">
        <v>0</v>
      </c>
      <c r="Q535" t="n">
        <v>0</v>
      </c>
      <c r="R535" s="2" t="inlineStr"/>
    </row>
    <row r="536" ht="15" customHeight="1">
      <c r="A536" t="inlineStr">
        <is>
          <t>A 70811-2021</t>
        </is>
      </c>
      <c r="B536" s="1" t="n">
        <v>44537</v>
      </c>
      <c r="C536" s="1" t="n">
        <v>45839</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45839</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72153-2021</t>
        </is>
      </c>
      <c r="B538" s="1" t="n">
        <v>44543</v>
      </c>
      <c r="C538" s="1" t="n">
        <v>45839</v>
      </c>
      <c r="D538" t="inlineStr">
        <is>
          <t>VÄSTERBOTTENS LÄN</t>
        </is>
      </c>
      <c r="E538" t="inlineStr">
        <is>
          <t>VILHELMINA</t>
        </is>
      </c>
      <c r="G538" t="n">
        <v>6.7</v>
      </c>
      <c r="H538" t="n">
        <v>0</v>
      </c>
      <c r="I538" t="n">
        <v>0</v>
      </c>
      <c r="J538" t="n">
        <v>0</v>
      </c>
      <c r="K538" t="n">
        <v>0</v>
      </c>
      <c r="L538" t="n">
        <v>0</v>
      </c>
      <c r="M538" t="n">
        <v>0</v>
      </c>
      <c r="N538" t="n">
        <v>0</v>
      </c>
      <c r="O538" t="n">
        <v>0</v>
      </c>
      <c r="P538" t="n">
        <v>0</v>
      </c>
      <c r="Q538" t="n">
        <v>0</v>
      </c>
      <c r="R538" s="2" t="inlineStr"/>
    </row>
    <row r="539" ht="15" customHeight="1">
      <c r="A539" t="inlineStr">
        <is>
          <t>A 72489-2021</t>
        </is>
      </c>
      <c r="B539" s="1" t="n">
        <v>44545</v>
      </c>
      <c r="C539" s="1" t="n">
        <v>45839</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v>
      </c>
      <c r="C540" s="1" t="n">
        <v>45839</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72490-2021</t>
        </is>
      </c>
      <c r="B541" s="1" t="n">
        <v>44545</v>
      </c>
      <c r="C541" s="1" t="n">
        <v>45839</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72488-2021</t>
        </is>
      </c>
      <c r="B542" s="1" t="n">
        <v>44545</v>
      </c>
      <c r="C542" s="1" t="n">
        <v>45839</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72487-2021</t>
        </is>
      </c>
      <c r="B543" s="1" t="n">
        <v>44545</v>
      </c>
      <c r="C543" s="1" t="n">
        <v>45839</v>
      </c>
      <c r="D543" t="inlineStr">
        <is>
          <t>VÄSTERBOTTENS LÄN</t>
        </is>
      </c>
      <c r="E543" t="inlineStr">
        <is>
          <t>VILHELMINA</t>
        </is>
      </c>
      <c r="G543" t="n">
        <v>1.2</v>
      </c>
      <c r="H543" t="n">
        <v>0</v>
      </c>
      <c r="I543" t="n">
        <v>0</v>
      </c>
      <c r="J543" t="n">
        <v>0</v>
      </c>
      <c r="K543" t="n">
        <v>0</v>
      </c>
      <c r="L543" t="n">
        <v>0</v>
      </c>
      <c r="M543" t="n">
        <v>0</v>
      </c>
      <c r="N543" t="n">
        <v>0</v>
      </c>
      <c r="O543" t="n">
        <v>0</v>
      </c>
      <c r="P543" t="n">
        <v>0</v>
      </c>
      <c r="Q543" t="n">
        <v>0</v>
      </c>
      <c r="R543" s="2" t="inlineStr"/>
    </row>
    <row r="544" ht="15" customHeight="1">
      <c r="A544" t="inlineStr">
        <is>
          <t>A 72493-2021</t>
        </is>
      </c>
      <c r="B544" s="1" t="n">
        <v>44545</v>
      </c>
      <c r="C544" s="1" t="n">
        <v>45839</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210-2022</t>
        </is>
      </c>
      <c r="B545" s="1" t="n">
        <v>44564</v>
      </c>
      <c r="C545" s="1" t="n">
        <v>45839</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590-2022</t>
        </is>
      </c>
      <c r="B546" s="1" t="n">
        <v>44567</v>
      </c>
      <c r="C546" s="1" t="n">
        <v>45839</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664-2022</t>
        </is>
      </c>
      <c r="B547" s="1" t="n">
        <v>44568</v>
      </c>
      <c r="C547" s="1" t="n">
        <v>45839</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2340-2022</t>
        </is>
      </c>
      <c r="B548" s="1" t="n">
        <v>44578</v>
      </c>
      <c r="C548" s="1" t="n">
        <v>45839</v>
      </c>
      <c r="D548" t="inlineStr">
        <is>
          <t>VÄSTERBOTTENS LÄN</t>
        </is>
      </c>
      <c r="E548" t="inlineStr">
        <is>
          <t>VILHELMINA</t>
        </is>
      </c>
      <c r="G548" t="n">
        <v>0.9</v>
      </c>
      <c r="H548" t="n">
        <v>0</v>
      </c>
      <c r="I548" t="n">
        <v>0</v>
      </c>
      <c r="J548" t="n">
        <v>0</v>
      </c>
      <c r="K548" t="n">
        <v>0</v>
      </c>
      <c r="L548" t="n">
        <v>0</v>
      </c>
      <c r="M548" t="n">
        <v>0</v>
      </c>
      <c r="N548" t="n">
        <v>0</v>
      </c>
      <c r="O548" t="n">
        <v>0</v>
      </c>
      <c r="P548" t="n">
        <v>0</v>
      </c>
      <c r="Q548" t="n">
        <v>0</v>
      </c>
      <c r="R548" s="2" t="inlineStr"/>
    </row>
    <row r="549" ht="15" customHeight="1">
      <c r="A549" t="inlineStr">
        <is>
          <t>A 2341-2022</t>
        </is>
      </c>
      <c r="B549" s="1" t="n">
        <v>44578</v>
      </c>
      <c r="C549" s="1" t="n">
        <v>45839</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5285-2022</t>
        </is>
      </c>
      <c r="B550" s="1" t="n">
        <v>44594</v>
      </c>
      <c r="C550" s="1" t="n">
        <v>45839</v>
      </c>
      <c r="D550" t="inlineStr">
        <is>
          <t>VÄSTERBOTTENS LÄN</t>
        </is>
      </c>
      <c r="E550" t="inlineStr">
        <is>
          <t>VILHELMINA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7156-2022</t>
        </is>
      </c>
      <c r="B551" s="1" t="n">
        <v>44604</v>
      </c>
      <c r="C551" s="1" t="n">
        <v>45839</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8229-2022</t>
        </is>
      </c>
      <c r="B552" s="1" t="n">
        <v>44609</v>
      </c>
      <c r="C552" s="1" t="n">
        <v>45839</v>
      </c>
      <c r="D552" t="inlineStr">
        <is>
          <t>VÄSTERBOTTENS LÄN</t>
        </is>
      </c>
      <c r="E552" t="inlineStr">
        <is>
          <t>VILHELMINA</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8258-2022</t>
        </is>
      </c>
      <c r="B553" s="1" t="n">
        <v>44609</v>
      </c>
      <c r="C553" s="1" t="n">
        <v>45839</v>
      </c>
      <c r="D553" t="inlineStr">
        <is>
          <t>VÄSTERBOTTENS LÄN</t>
        </is>
      </c>
      <c r="E553" t="inlineStr">
        <is>
          <t>VILHELMINA</t>
        </is>
      </c>
      <c r="G553" t="n">
        <v>31.1</v>
      </c>
      <c r="H553" t="n">
        <v>0</v>
      </c>
      <c r="I553" t="n">
        <v>0</v>
      </c>
      <c r="J553" t="n">
        <v>0</v>
      </c>
      <c r="K553" t="n">
        <v>0</v>
      </c>
      <c r="L553" t="n">
        <v>0</v>
      </c>
      <c r="M553" t="n">
        <v>0</v>
      </c>
      <c r="N553" t="n">
        <v>0</v>
      </c>
      <c r="O553" t="n">
        <v>0</v>
      </c>
      <c r="P553" t="n">
        <v>0</v>
      </c>
      <c r="Q553" t="n">
        <v>0</v>
      </c>
      <c r="R553" s="2" t="inlineStr"/>
    </row>
    <row r="554" ht="15" customHeight="1">
      <c r="A554" t="inlineStr">
        <is>
          <t>A 8731-2022</t>
        </is>
      </c>
      <c r="B554" s="1" t="n">
        <v>44613</v>
      </c>
      <c r="C554" s="1" t="n">
        <v>45839</v>
      </c>
      <c r="D554" t="inlineStr">
        <is>
          <t>VÄSTERBOTTENS LÄN</t>
        </is>
      </c>
      <c r="E554" t="inlineStr">
        <is>
          <t>VILHELMINA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8730-2022</t>
        </is>
      </c>
      <c r="B555" s="1" t="n">
        <v>44613</v>
      </c>
      <c r="C555" s="1" t="n">
        <v>45839</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9026-2022</t>
        </is>
      </c>
      <c r="B556" s="1" t="n">
        <v>44615</v>
      </c>
      <c r="C556" s="1" t="n">
        <v>45839</v>
      </c>
      <c r="D556" t="inlineStr">
        <is>
          <t>VÄSTERBOTTENS LÄN</t>
        </is>
      </c>
      <c r="E556" t="inlineStr">
        <is>
          <t>VILHELMINA</t>
        </is>
      </c>
      <c r="G556" t="n">
        <v>25.8</v>
      </c>
      <c r="H556" t="n">
        <v>0</v>
      </c>
      <c r="I556" t="n">
        <v>0</v>
      </c>
      <c r="J556" t="n">
        <v>0</v>
      </c>
      <c r="K556" t="n">
        <v>0</v>
      </c>
      <c r="L556" t="n">
        <v>0</v>
      </c>
      <c r="M556" t="n">
        <v>0</v>
      </c>
      <c r="N556" t="n">
        <v>0</v>
      </c>
      <c r="O556" t="n">
        <v>0</v>
      </c>
      <c r="P556" t="n">
        <v>0</v>
      </c>
      <c r="Q556" t="n">
        <v>0</v>
      </c>
      <c r="R556" s="2" t="inlineStr"/>
    </row>
    <row r="557" ht="15" customHeight="1">
      <c r="A557" t="inlineStr">
        <is>
          <t>A 9162-2022</t>
        </is>
      </c>
      <c r="B557" s="1" t="n">
        <v>44615</v>
      </c>
      <c r="C557" s="1" t="n">
        <v>45839</v>
      </c>
      <c r="D557" t="inlineStr">
        <is>
          <t>VÄSTERBOTTENS LÄN</t>
        </is>
      </c>
      <c r="E557" t="inlineStr">
        <is>
          <t>VILHELMINA</t>
        </is>
      </c>
      <c r="G557" t="n">
        <v>7.2</v>
      </c>
      <c r="H557" t="n">
        <v>0</v>
      </c>
      <c r="I557" t="n">
        <v>0</v>
      </c>
      <c r="J557" t="n">
        <v>0</v>
      </c>
      <c r="K557" t="n">
        <v>0</v>
      </c>
      <c r="L557" t="n">
        <v>0</v>
      </c>
      <c r="M557" t="n">
        <v>0</v>
      </c>
      <c r="N557" t="n">
        <v>0</v>
      </c>
      <c r="O557" t="n">
        <v>0</v>
      </c>
      <c r="P557" t="n">
        <v>0</v>
      </c>
      <c r="Q557" t="n">
        <v>0</v>
      </c>
      <c r="R557" s="2" t="inlineStr"/>
    </row>
    <row r="558" ht="15" customHeight="1">
      <c r="A558" t="inlineStr">
        <is>
          <t>A 9501-2022</t>
        </is>
      </c>
      <c r="B558" s="1" t="n">
        <v>44616</v>
      </c>
      <c r="C558" s="1" t="n">
        <v>45839</v>
      </c>
      <c r="D558" t="inlineStr">
        <is>
          <t>VÄSTERBOTTENS LÄN</t>
        </is>
      </c>
      <c r="E558" t="inlineStr">
        <is>
          <t>VILHELMINA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9731-2022</t>
        </is>
      </c>
      <c r="B559" s="1" t="n">
        <v>44617</v>
      </c>
      <c r="C559" s="1" t="n">
        <v>45839</v>
      </c>
      <c r="D559" t="inlineStr">
        <is>
          <t>VÄSTERBOTTENS LÄN</t>
        </is>
      </c>
      <c r="E559" t="inlineStr">
        <is>
          <t>VILHELMINA</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9735-2022</t>
        </is>
      </c>
      <c r="B560" s="1" t="n">
        <v>44617</v>
      </c>
      <c r="C560" s="1" t="n">
        <v>45839</v>
      </c>
      <c r="D560" t="inlineStr">
        <is>
          <t>VÄSTERBOTTENS LÄN</t>
        </is>
      </c>
      <c r="E560" t="inlineStr">
        <is>
          <t>VILHELMINA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9734-2022</t>
        </is>
      </c>
      <c r="B561" s="1" t="n">
        <v>44617</v>
      </c>
      <c r="C561" s="1" t="n">
        <v>45839</v>
      </c>
      <c r="D561" t="inlineStr">
        <is>
          <t>VÄSTERBOTTENS LÄN</t>
        </is>
      </c>
      <c r="E561" t="inlineStr">
        <is>
          <t>VILHELMINA</t>
        </is>
      </c>
      <c r="F561" t="inlineStr">
        <is>
          <t>SCA</t>
        </is>
      </c>
      <c r="G561" t="n">
        <v>16.9</v>
      </c>
      <c r="H561" t="n">
        <v>0</v>
      </c>
      <c r="I561" t="n">
        <v>0</v>
      </c>
      <c r="J561" t="n">
        <v>0</v>
      </c>
      <c r="K561" t="n">
        <v>0</v>
      </c>
      <c r="L561" t="n">
        <v>0</v>
      </c>
      <c r="M561" t="n">
        <v>0</v>
      </c>
      <c r="N561" t="n">
        <v>0</v>
      </c>
      <c r="O561" t="n">
        <v>0</v>
      </c>
      <c r="P561" t="n">
        <v>0</v>
      </c>
      <c r="Q561" t="n">
        <v>0</v>
      </c>
      <c r="R561" s="2" t="inlineStr"/>
    </row>
    <row r="562" ht="15" customHeight="1">
      <c r="A562" t="inlineStr">
        <is>
          <t>A 9732-2022</t>
        </is>
      </c>
      <c r="B562" s="1" t="n">
        <v>44617</v>
      </c>
      <c r="C562" s="1" t="n">
        <v>45839</v>
      </c>
      <c r="D562" t="inlineStr">
        <is>
          <t>VÄSTERBOTTENS LÄN</t>
        </is>
      </c>
      <c r="E562" t="inlineStr">
        <is>
          <t>VILHELMINA</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9733-2022</t>
        </is>
      </c>
      <c r="B563" s="1" t="n">
        <v>44617</v>
      </c>
      <c r="C563" s="1" t="n">
        <v>45839</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9777-2022</t>
        </is>
      </c>
      <c r="B564" s="1" t="n">
        <v>44619</v>
      </c>
      <c r="C564" s="1" t="n">
        <v>45839</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9781-2022</t>
        </is>
      </c>
      <c r="B565" s="1" t="n">
        <v>44619</v>
      </c>
      <c r="C565" s="1" t="n">
        <v>45839</v>
      </c>
      <c r="D565" t="inlineStr">
        <is>
          <t>VÄSTERBOTTENS LÄN</t>
        </is>
      </c>
      <c r="E565" t="inlineStr">
        <is>
          <t>VILHELMINA</t>
        </is>
      </c>
      <c r="G565" t="n">
        <v>2</v>
      </c>
      <c r="H565" t="n">
        <v>0</v>
      </c>
      <c r="I565" t="n">
        <v>0</v>
      </c>
      <c r="J565" t="n">
        <v>0</v>
      </c>
      <c r="K565" t="n">
        <v>0</v>
      </c>
      <c r="L565" t="n">
        <v>0</v>
      </c>
      <c r="M565" t="n">
        <v>0</v>
      </c>
      <c r="N565" t="n">
        <v>0</v>
      </c>
      <c r="O565" t="n">
        <v>0</v>
      </c>
      <c r="P565" t="n">
        <v>0</v>
      </c>
      <c r="Q565" t="n">
        <v>0</v>
      </c>
      <c r="R565" s="2" t="inlineStr"/>
    </row>
    <row r="566" ht="15" customHeight="1">
      <c r="A566" t="inlineStr">
        <is>
          <t>A 9780-2022</t>
        </is>
      </c>
      <c r="B566" s="1" t="n">
        <v>44619</v>
      </c>
      <c r="C566" s="1" t="n">
        <v>45839</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9779-2022</t>
        </is>
      </c>
      <c r="B567" s="1" t="n">
        <v>44619</v>
      </c>
      <c r="C567" s="1" t="n">
        <v>45839</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10142-2022</t>
        </is>
      </c>
      <c r="B568" s="1" t="n">
        <v>44621</v>
      </c>
      <c r="C568" s="1" t="n">
        <v>45839</v>
      </c>
      <c r="D568" t="inlineStr">
        <is>
          <t>VÄSTERBOTTENS LÄN</t>
        </is>
      </c>
      <c r="E568" t="inlineStr">
        <is>
          <t>VILHELMINA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10121-2022</t>
        </is>
      </c>
      <c r="B569" s="1" t="n">
        <v>44621</v>
      </c>
      <c r="C569" s="1" t="n">
        <v>45839</v>
      </c>
      <c r="D569" t="inlineStr">
        <is>
          <t>VÄSTERBOTTENS LÄN</t>
        </is>
      </c>
      <c r="E569" t="inlineStr">
        <is>
          <t>VILHELMINA</t>
        </is>
      </c>
      <c r="G569" t="n">
        <v>14.1</v>
      </c>
      <c r="H569" t="n">
        <v>0</v>
      </c>
      <c r="I569" t="n">
        <v>0</v>
      </c>
      <c r="J569" t="n">
        <v>0</v>
      </c>
      <c r="K569" t="n">
        <v>0</v>
      </c>
      <c r="L569" t="n">
        <v>0</v>
      </c>
      <c r="M569" t="n">
        <v>0</v>
      </c>
      <c r="N569" t="n">
        <v>0</v>
      </c>
      <c r="O569" t="n">
        <v>0</v>
      </c>
      <c r="P569" t="n">
        <v>0</v>
      </c>
      <c r="Q569" t="n">
        <v>0</v>
      </c>
      <c r="R569" s="2" t="inlineStr"/>
    </row>
    <row r="570" ht="15" customHeight="1">
      <c r="A570" t="inlineStr">
        <is>
          <t>A 10213-2022</t>
        </is>
      </c>
      <c r="B570" s="1" t="n">
        <v>44622</v>
      </c>
      <c r="C570" s="1" t="n">
        <v>45839</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10548-2022</t>
        </is>
      </c>
      <c r="B571" s="1" t="n">
        <v>44623</v>
      </c>
      <c r="C571" s="1" t="n">
        <v>45839</v>
      </c>
      <c r="D571" t="inlineStr">
        <is>
          <t>VÄSTERBOTTENS LÄN</t>
        </is>
      </c>
      <c r="E571" t="inlineStr">
        <is>
          <t>VILHELMINA</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10708-2022</t>
        </is>
      </c>
      <c r="B572" s="1" t="n">
        <v>44625</v>
      </c>
      <c r="C572" s="1" t="n">
        <v>45839</v>
      </c>
      <c r="D572" t="inlineStr">
        <is>
          <t>VÄSTERBOTTENS LÄN</t>
        </is>
      </c>
      <c r="E572" t="inlineStr">
        <is>
          <t>VILHELMINA</t>
        </is>
      </c>
      <c r="G572" t="n">
        <v>21.3</v>
      </c>
      <c r="H572" t="n">
        <v>0</v>
      </c>
      <c r="I572" t="n">
        <v>0</v>
      </c>
      <c r="J572" t="n">
        <v>0</v>
      </c>
      <c r="K572" t="n">
        <v>0</v>
      </c>
      <c r="L572" t="n">
        <v>0</v>
      </c>
      <c r="M572" t="n">
        <v>0</v>
      </c>
      <c r="N572" t="n">
        <v>0</v>
      </c>
      <c r="O572" t="n">
        <v>0</v>
      </c>
      <c r="P572" t="n">
        <v>0</v>
      </c>
      <c r="Q572" t="n">
        <v>0</v>
      </c>
      <c r="R572" s="2" t="inlineStr"/>
    </row>
    <row r="573" ht="15" customHeight="1">
      <c r="A573" t="inlineStr">
        <is>
          <t>A 10833-2022</t>
        </is>
      </c>
      <c r="B573" s="1" t="n">
        <v>44627</v>
      </c>
      <c r="C573" s="1" t="n">
        <v>45839</v>
      </c>
      <c r="D573" t="inlineStr">
        <is>
          <t>VÄSTERBOTTENS LÄN</t>
        </is>
      </c>
      <c r="E573" t="inlineStr">
        <is>
          <t>VILHELMINA</t>
        </is>
      </c>
      <c r="G573" t="n">
        <v>5.4</v>
      </c>
      <c r="H573" t="n">
        <v>0</v>
      </c>
      <c r="I573" t="n">
        <v>0</v>
      </c>
      <c r="J573" t="n">
        <v>0</v>
      </c>
      <c r="K573" t="n">
        <v>0</v>
      </c>
      <c r="L573" t="n">
        <v>0</v>
      </c>
      <c r="M573" t="n">
        <v>0</v>
      </c>
      <c r="N573" t="n">
        <v>0</v>
      </c>
      <c r="O573" t="n">
        <v>0</v>
      </c>
      <c r="P573" t="n">
        <v>0</v>
      </c>
      <c r="Q573" t="n">
        <v>0</v>
      </c>
      <c r="R573" s="2" t="inlineStr"/>
    </row>
    <row r="574" ht="15" customHeight="1">
      <c r="A574" t="inlineStr">
        <is>
          <t>A 10839-2022</t>
        </is>
      </c>
      <c r="B574" s="1" t="n">
        <v>44627</v>
      </c>
      <c r="C574" s="1" t="n">
        <v>45839</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11076-2022</t>
        </is>
      </c>
      <c r="B575" s="1" t="n">
        <v>44628</v>
      </c>
      <c r="C575" s="1" t="n">
        <v>45839</v>
      </c>
      <c r="D575" t="inlineStr">
        <is>
          <t>VÄSTERBOTTENS LÄN</t>
        </is>
      </c>
      <c r="E575" t="inlineStr">
        <is>
          <t>VILHELMINA</t>
        </is>
      </c>
      <c r="G575" t="n">
        <v>7.4</v>
      </c>
      <c r="H575" t="n">
        <v>0</v>
      </c>
      <c r="I575" t="n">
        <v>0</v>
      </c>
      <c r="J575" t="n">
        <v>0</v>
      </c>
      <c r="K575" t="n">
        <v>0</v>
      </c>
      <c r="L575" t="n">
        <v>0</v>
      </c>
      <c r="M575" t="n">
        <v>0</v>
      </c>
      <c r="N575" t="n">
        <v>0</v>
      </c>
      <c r="O575" t="n">
        <v>0</v>
      </c>
      <c r="P575" t="n">
        <v>0</v>
      </c>
      <c r="Q575" t="n">
        <v>0</v>
      </c>
      <c r="R575" s="2" t="inlineStr"/>
    </row>
    <row r="576" ht="15" customHeight="1">
      <c r="A576" t="inlineStr">
        <is>
          <t>A 11114-2022</t>
        </is>
      </c>
      <c r="B576" s="1" t="n">
        <v>44628</v>
      </c>
      <c r="C576" s="1" t="n">
        <v>45839</v>
      </c>
      <c r="D576" t="inlineStr">
        <is>
          <t>VÄSTERBOTTENS LÄN</t>
        </is>
      </c>
      <c r="E576" t="inlineStr">
        <is>
          <t>VILHELMINA</t>
        </is>
      </c>
      <c r="G576" t="n">
        <v>8.6</v>
      </c>
      <c r="H576" t="n">
        <v>0</v>
      </c>
      <c r="I576" t="n">
        <v>0</v>
      </c>
      <c r="J576" t="n">
        <v>0</v>
      </c>
      <c r="K576" t="n">
        <v>0</v>
      </c>
      <c r="L576" t="n">
        <v>0</v>
      </c>
      <c r="M576" t="n">
        <v>0</v>
      </c>
      <c r="N576" t="n">
        <v>0</v>
      </c>
      <c r="O576" t="n">
        <v>0</v>
      </c>
      <c r="P576" t="n">
        <v>0</v>
      </c>
      <c r="Q576" t="n">
        <v>0</v>
      </c>
      <c r="R576" s="2" t="inlineStr"/>
    </row>
    <row r="577" ht="15" customHeight="1">
      <c r="A577" t="inlineStr">
        <is>
          <t>A 11116-2022</t>
        </is>
      </c>
      <c r="B577" s="1" t="n">
        <v>44628</v>
      </c>
      <c r="C577" s="1" t="n">
        <v>45839</v>
      </c>
      <c r="D577" t="inlineStr">
        <is>
          <t>VÄSTERBOTTENS LÄN</t>
        </is>
      </c>
      <c r="E577" t="inlineStr">
        <is>
          <t>VILHELMINA</t>
        </is>
      </c>
      <c r="G577" t="n">
        <v>4.2</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45839</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12065-2022</t>
        </is>
      </c>
      <c r="B579" s="1" t="n">
        <v>44637</v>
      </c>
      <c r="C579" s="1" t="n">
        <v>45839</v>
      </c>
      <c r="D579" t="inlineStr">
        <is>
          <t>VÄSTERBOTTENS LÄN</t>
        </is>
      </c>
      <c r="E579" t="inlineStr">
        <is>
          <t>VILHELMINA</t>
        </is>
      </c>
      <c r="G579" t="n">
        <v>27.7</v>
      </c>
      <c r="H579" t="n">
        <v>0</v>
      </c>
      <c r="I579" t="n">
        <v>0</v>
      </c>
      <c r="J579" t="n">
        <v>0</v>
      </c>
      <c r="K579" t="n">
        <v>0</v>
      </c>
      <c r="L579" t="n">
        <v>0</v>
      </c>
      <c r="M579" t="n">
        <v>0</v>
      </c>
      <c r="N579" t="n">
        <v>0</v>
      </c>
      <c r="O579" t="n">
        <v>0</v>
      </c>
      <c r="P579" t="n">
        <v>0</v>
      </c>
      <c r="Q579" t="n">
        <v>0</v>
      </c>
      <c r="R579" s="2" t="inlineStr"/>
    </row>
    <row r="580" ht="15" customHeight="1">
      <c r="A580" t="inlineStr">
        <is>
          <t>A 12593-2022</t>
        </is>
      </c>
      <c r="B580" s="1" t="n">
        <v>44640</v>
      </c>
      <c r="C580" s="1" t="n">
        <v>45839</v>
      </c>
      <c r="D580" t="inlineStr">
        <is>
          <t>VÄSTERBOTTENS LÄN</t>
        </is>
      </c>
      <c r="E580" t="inlineStr">
        <is>
          <t>VILHELMINA</t>
        </is>
      </c>
      <c r="G580" t="n">
        <v>10.4</v>
      </c>
      <c r="H580" t="n">
        <v>0</v>
      </c>
      <c r="I580" t="n">
        <v>0</v>
      </c>
      <c r="J580" t="n">
        <v>0</v>
      </c>
      <c r="K580" t="n">
        <v>0</v>
      </c>
      <c r="L580" t="n">
        <v>0</v>
      </c>
      <c r="M580" t="n">
        <v>0</v>
      </c>
      <c r="N580" t="n">
        <v>0</v>
      </c>
      <c r="O580" t="n">
        <v>0</v>
      </c>
      <c r="P580" t="n">
        <v>0</v>
      </c>
      <c r="Q580" t="n">
        <v>0</v>
      </c>
      <c r="R580" s="2" t="inlineStr"/>
    </row>
    <row r="581" ht="15" customHeight="1">
      <c r="A581" t="inlineStr">
        <is>
          <t>A 12778-2022</t>
        </is>
      </c>
      <c r="B581" s="1" t="n">
        <v>44642</v>
      </c>
      <c r="C581" s="1" t="n">
        <v>45839</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14959-2022</t>
        </is>
      </c>
      <c r="B582" s="1" t="n">
        <v>44657</v>
      </c>
      <c r="C582" s="1" t="n">
        <v>45839</v>
      </c>
      <c r="D582" t="inlineStr">
        <is>
          <t>VÄSTERBOTTENS LÄN</t>
        </is>
      </c>
      <c r="E582" t="inlineStr">
        <is>
          <t>VILHELMINA</t>
        </is>
      </c>
      <c r="G582" t="n">
        <v>71.8</v>
      </c>
      <c r="H582" t="n">
        <v>0</v>
      </c>
      <c r="I582" t="n">
        <v>0</v>
      </c>
      <c r="J582" t="n">
        <v>0</v>
      </c>
      <c r="K582" t="n">
        <v>0</v>
      </c>
      <c r="L582" t="n">
        <v>0</v>
      </c>
      <c r="M582" t="n">
        <v>0</v>
      </c>
      <c r="N582" t="n">
        <v>0</v>
      </c>
      <c r="O582" t="n">
        <v>0</v>
      </c>
      <c r="P582" t="n">
        <v>0</v>
      </c>
      <c r="Q582" t="n">
        <v>0</v>
      </c>
      <c r="R582" s="2" t="inlineStr"/>
    </row>
    <row r="583" ht="15" customHeight="1">
      <c r="A583" t="inlineStr">
        <is>
          <t>A 14961-2022</t>
        </is>
      </c>
      <c r="B583" s="1" t="n">
        <v>44657</v>
      </c>
      <c r="C583" s="1" t="n">
        <v>45839</v>
      </c>
      <c r="D583" t="inlineStr">
        <is>
          <t>VÄSTERBOTTENS LÄN</t>
        </is>
      </c>
      <c r="E583" t="inlineStr">
        <is>
          <t>VILHELMINA</t>
        </is>
      </c>
      <c r="G583" t="n">
        <v>19.9</v>
      </c>
      <c r="H583" t="n">
        <v>0</v>
      </c>
      <c r="I583" t="n">
        <v>0</v>
      </c>
      <c r="J583" t="n">
        <v>0</v>
      </c>
      <c r="K583" t="n">
        <v>0</v>
      </c>
      <c r="L583" t="n">
        <v>0</v>
      </c>
      <c r="M583" t="n">
        <v>0</v>
      </c>
      <c r="N583" t="n">
        <v>0</v>
      </c>
      <c r="O583" t="n">
        <v>0</v>
      </c>
      <c r="P583" t="n">
        <v>0</v>
      </c>
      <c r="Q583" t="n">
        <v>0</v>
      </c>
      <c r="R583" s="2" t="inlineStr"/>
    </row>
    <row r="584" ht="15" customHeight="1">
      <c r="A584" t="inlineStr">
        <is>
          <t>A 14963-2022</t>
        </is>
      </c>
      <c r="B584" s="1" t="n">
        <v>44657</v>
      </c>
      <c r="C584" s="1" t="n">
        <v>45839</v>
      </c>
      <c r="D584" t="inlineStr">
        <is>
          <t>VÄSTERBOTTENS LÄN</t>
        </is>
      </c>
      <c r="E584" t="inlineStr">
        <is>
          <t>VILHELMINA</t>
        </is>
      </c>
      <c r="G584" t="n">
        <v>11.5</v>
      </c>
      <c r="H584" t="n">
        <v>0</v>
      </c>
      <c r="I584" t="n">
        <v>0</v>
      </c>
      <c r="J584" t="n">
        <v>0</v>
      </c>
      <c r="K584" t="n">
        <v>0</v>
      </c>
      <c r="L584" t="n">
        <v>0</v>
      </c>
      <c r="M584" t="n">
        <v>0</v>
      </c>
      <c r="N584" t="n">
        <v>0</v>
      </c>
      <c r="O584" t="n">
        <v>0</v>
      </c>
      <c r="P584" t="n">
        <v>0</v>
      </c>
      <c r="Q584" t="n">
        <v>0</v>
      </c>
      <c r="R584" s="2" t="inlineStr"/>
    </row>
    <row r="585" ht="15" customHeight="1">
      <c r="A585" t="inlineStr">
        <is>
          <t>A 15176-2022</t>
        </is>
      </c>
      <c r="B585" s="1" t="n">
        <v>44658</v>
      </c>
      <c r="C585" s="1" t="n">
        <v>45839</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17591-2022</t>
        </is>
      </c>
      <c r="B586" s="1" t="n">
        <v>44679</v>
      </c>
      <c r="C586" s="1" t="n">
        <v>45839</v>
      </c>
      <c r="D586" t="inlineStr">
        <is>
          <t>VÄSTERBOTTENS LÄN</t>
        </is>
      </c>
      <c r="E586" t="inlineStr">
        <is>
          <t>VILHELMINA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17590-2022</t>
        </is>
      </c>
      <c r="B587" s="1" t="n">
        <v>44679</v>
      </c>
      <c r="C587" s="1" t="n">
        <v>45839</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18497-2022</t>
        </is>
      </c>
      <c r="B588" s="1" t="n">
        <v>44686</v>
      </c>
      <c r="C588" s="1" t="n">
        <v>45839</v>
      </c>
      <c r="D588" t="inlineStr">
        <is>
          <t>VÄSTERBOTTENS LÄN</t>
        </is>
      </c>
      <c r="E588" t="inlineStr">
        <is>
          <t>VILHELMINA</t>
        </is>
      </c>
      <c r="F588" t="inlineStr">
        <is>
          <t>Övriga statliga verk och myndigheter</t>
        </is>
      </c>
      <c r="G588" t="n">
        <v>64.7</v>
      </c>
      <c r="H588" t="n">
        <v>0</v>
      </c>
      <c r="I588" t="n">
        <v>0</v>
      </c>
      <c r="J588" t="n">
        <v>0</v>
      </c>
      <c r="K588" t="n">
        <v>0</v>
      </c>
      <c r="L588" t="n">
        <v>0</v>
      </c>
      <c r="M588" t="n">
        <v>0</v>
      </c>
      <c r="N588" t="n">
        <v>0</v>
      </c>
      <c r="O588" t="n">
        <v>0</v>
      </c>
      <c r="P588" t="n">
        <v>0</v>
      </c>
      <c r="Q588" t="n">
        <v>0</v>
      </c>
      <c r="R588" s="2" t="inlineStr"/>
    </row>
    <row r="589" ht="15" customHeight="1">
      <c r="A589" t="inlineStr">
        <is>
          <t>A 18564-2022</t>
        </is>
      </c>
      <c r="B589" s="1" t="n">
        <v>44686</v>
      </c>
      <c r="C589" s="1" t="n">
        <v>45839</v>
      </c>
      <c r="D589" t="inlineStr">
        <is>
          <t>VÄSTERBOTTENS LÄN</t>
        </is>
      </c>
      <c r="E589" t="inlineStr">
        <is>
          <t>VILHELMINA</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18995-2022</t>
        </is>
      </c>
      <c r="B590" s="1" t="n">
        <v>44690</v>
      </c>
      <c r="C590" s="1" t="n">
        <v>45839</v>
      </c>
      <c r="D590" t="inlineStr">
        <is>
          <t>VÄSTERBOTTENS LÄN</t>
        </is>
      </c>
      <c r="E590" t="inlineStr">
        <is>
          <t>VILHELMINA</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18996-2022</t>
        </is>
      </c>
      <c r="B591" s="1" t="n">
        <v>44690</v>
      </c>
      <c r="C591" s="1" t="n">
        <v>45839</v>
      </c>
      <c r="D591" t="inlineStr">
        <is>
          <t>VÄSTERBOTTENS LÄN</t>
        </is>
      </c>
      <c r="E591" t="inlineStr">
        <is>
          <t>VILHELMINA</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19394-2022</t>
        </is>
      </c>
      <c r="B592" s="1" t="n">
        <v>44692</v>
      </c>
      <c r="C592" s="1" t="n">
        <v>45839</v>
      </c>
      <c r="D592" t="inlineStr">
        <is>
          <t>VÄSTERBOTTENS LÄN</t>
        </is>
      </c>
      <c r="E592" t="inlineStr">
        <is>
          <t>VILHELMINA</t>
        </is>
      </c>
      <c r="F592" t="inlineStr">
        <is>
          <t>SCA</t>
        </is>
      </c>
      <c r="G592" t="n">
        <v>9.9</v>
      </c>
      <c r="H592" t="n">
        <v>0</v>
      </c>
      <c r="I592" t="n">
        <v>0</v>
      </c>
      <c r="J592" t="n">
        <v>0</v>
      </c>
      <c r="K592" t="n">
        <v>0</v>
      </c>
      <c r="L592" t="n">
        <v>0</v>
      </c>
      <c r="M592" t="n">
        <v>0</v>
      </c>
      <c r="N592" t="n">
        <v>0</v>
      </c>
      <c r="O592" t="n">
        <v>0</v>
      </c>
      <c r="P592" t="n">
        <v>0</v>
      </c>
      <c r="Q592" t="n">
        <v>0</v>
      </c>
      <c r="R592" s="2" t="inlineStr"/>
    </row>
    <row r="593" ht="15" customHeight="1">
      <c r="A593" t="inlineStr">
        <is>
          <t>A 19471-2022</t>
        </is>
      </c>
      <c r="B593" s="1" t="n">
        <v>44693</v>
      </c>
      <c r="C593" s="1" t="n">
        <v>45839</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19423-2022</t>
        </is>
      </c>
      <c r="B594" s="1" t="n">
        <v>44693</v>
      </c>
      <c r="C594" s="1" t="n">
        <v>45839</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20298-2022</t>
        </is>
      </c>
      <c r="B595" s="1" t="n">
        <v>44698</v>
      </c>
      <c r="C595" s="1" t="n">
        <v>45839</v>
      </c>
      <c r="D595" t="inlineStr">
        <is>
          <t>VÄSTERBOTTENS LÄN</t>
        </is>
      </c>
      <c r="E595" t="inlineStr">
        <is>
          <t>VILHELMINA</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20322-2022</t>
        </is>
      </c>
      <c r="B596" s="1" t="n">
        <v>44698</v>
      </c>
      <c r="C596" s="1" t="n">
        <v>45839</v>
      </c>
      <c r="D596" t="inlineStr">
        <is>
          <t>VÄSTERBOTTENS LÄN</t>
        </is>
      </c>
      <c r="E596" t="inlineStr">
        <is>
          <t>VILHELMINA</t>
        </is>
      </c>
      <c r="G596" t="n">
        <v>10.5</v>
      </c>
      <c r="H596" t="n">
        <v>0</v>
      </c>
      <c r="I596" t="n">
        <v>0</v>
      </c>
      <c r="J596" t="n">
        <v>0</v>
      </c>
      <c r="K596" t="n">
        <v>0</v>
      </c>
      <c r="L596" t="n">
        <v>0</v>
      </c>
      <c r="M596" t="n">
        <v>0</v>
      </c>
      <c r="N596" t="n">
        <v>0</v>
      </c>
      <c r="O596" t="n">
        <v>0</v>
      </c>
      <c r="P596" t="n">
        <v>0</v>
      </c>
      <c r="Q596" t="n">
        <v>0</v>
      </c>
      <c r="R596" s="2" t="inlineStr"/>
    </row>
    <row r="597" ht="15" customHeight="1">
      <c r="A597" t="inlineStr">
        <is>
          <t>A 20720-2022</t>
        </is>
      </c>
      <c r="B597" s="1" t="n">
        <v>44700</v>
      </c>
      <c r="C597" s="1" t="n">
        <v>45839</v>
      </c>
      <c r="D597" t="inlineStr">
        <is>
          <t>VÄSTERBOTTENS LÄN</t>
        </is>
      </c>
      <c r="E597" t="inlineStr">
        <is>
          <t>VILHELMINA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20719-2022</t>
        </is>
      </c>
      <c r="B598" s="1" t="n">
        <v>44701</v>
      </c>
      <c r="C598" s="1" t="n">
        <v>45839</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21806-2022</t>
        </is>
      </c>
      <c r="B599" s="1" t="n">
        <v>44708</v>
      </c>
      <c r="C599" s="1" t="n">
        <v>45839</v>
      </c>
      <c r="D599" t="inlineStr">
        <is>
          <t>VÄSTERBOTTENS LÄN</t>
        </is>
      </c>
      <c r="E599" t="inlineStr">
        <is>
          <t>VILHELMINA</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21808-2022</t>
        </is>
      </c>
      <c r="B600" s="1" t="n">
        <v>44708</v>
      </c>
      <c r="C600" s="1" t="n">
        <v>45839</v>
      </c>
      <c r="D600" t="inlineStr">
        <is>
          <t>VÄSTERBOTTENS LÄN</t>
        </is>
      </c>
      <c r="E600" t="inlineStr">
        <is>
          <t>VILHELMINA</t>
        </is>
      </c>
      <c r="F600" t="inlineStr">
        <is>
          <t>SCA</t>
        </is>
      </c>
      <c r="G600" t="n">
        <v>16.1</v>
      </c>
      <c r="H600" t="n">
        <v>0</v>
      </c>
      <c r="I600" t="n">
        <v>0</v>
      </c>
      <c r="J600" t="n">
        <v>0</v>
      </c>
      <c r="K600" t="n">
        <v>0</v>
      </c>
      <c r="L600" t="n">
        <v>0</v>
      </c>
      <c r="M600" t="n">
        <v>0</v>
      </c>
      <c r="N600" t="n">
        <v>0</v>
      </c>
      <c r="O600" t="n">
        <v>0</v>
      </c>
      <c r="P600" t="n">
        <v>0</v>
      </c>
      <c r="Q600" t="n">
        <v>0</v>
      </c>
      <c r="R600" s="2" t="inlineStr"/>
    </row>
    <row r="601" ht="15" customHeight="1">
      <c r="A601" t="inlineStr">
        <is>
          <t>A 21814-2022</t>
        </is>
      </c>
      <c r="B601" s="1" t="n">
        <v>44708</v>
      </c>
      <c r="C601" s="1" t="n">
        <v>45839</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22325-2022</t>
        </is>
      </c>
      <c r="B602" s="1" t="n">
        <v>44712</v>
      </c>
      <c r="C602" s="1" t="n">
        <v>45839</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22405-2022</t>
        </is>
      </c>
      <c r="B603" s="1" t="n">
        <v>44713</v>
      </c>
      <c r="C603" s="1" t="n">
        <v>45839</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23210-2022</t>
        </is>
      </c>
      <c r="B604" s="1" t="n">
        <v>44719</v>
      </c>
      <c r="C604" s="1" t="n">
        <v>45839</v>
      </c>
      <c r="D604" t="inlineStr">
        <is>
          <t>VÄSTERBOTTENS LÄN</t>
        </is>
      </c>
      <c r="E604" t="inlineStr">
        <is>
          <t>VILHELMINA</t>
        </is>
      </c>
      <c r="F604" t="inlineStr">
        <is>
          <t>SCA</t>
        </is>
      </c>
      <c r="G604" t="n">
        <v>7.4</v>
      </c>
      <c r="H604" t="n">
        <v>0</v>
      </c>
      <c r="I604" t="n">
        <v>0</v>
      </c>
      <c r="J604" t="n">
        <v>0</v>
      </c>
      <c r="K604" t="n">
        <v>0</v>
      </c>
      <c r="L604" t="n">
        <v>0</v>
      </c>
      <c r="M604" t="n">
        <v>0</v>
      </c>
      <c r="N604" t="n">
        <v>0</v>
      </c>
      <c r="O604" t="n">
        <v>0</v>
      </c>
      <c r="P604" t="n">
        <v>0</v>
      </c>
      <c r="Q604" t="n">
        <v>0</v>
      </c>
      <c r="R604" s="2" t="inlineStr"/>
    </row>
    <row r="605" ht="15" customHeight="1">
      <c r="A605" t="inlineStr">
        <is>
          <t>A 24296-2022</t>
        </is>
      </c>
      <c r="B605" s="1" t="n">
        <v>44726</v>
      </c>
      <c r="C605" s="1" t="n">
        <v>45839</v>
      </c>
      <c r="D605" t="inlineStr">
        <is>
          <t>VÄSTERBOTTENS LÄN</t>
        </is>
      </c>
      <c r="E605" t="inlineStr">
        <is>
          <t>VILHELMINA</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24297-2022</t>
        </is>
      </c>
      <c r="B606" s="1" t="n">
        <v>44725</v>
      </c>
      <c r="C606" s="1" t="n">
        <v>45839</v>
      </c>
      <c r="D606" t="inlineStr">
        <is>
          <t>VÄSTERBOTTENS LÄN</t>
        </is>
      </c>
      <c r="E606" t="inlineStr">
        <is>
          <t>VILHELMINA</t>
        </is>
      </c>
      <c r="G606" t="n">
        <v>2.7</v>
      </c>
      <c r="H606" t="n">
        <v>0</v>
      </c>
      <c r="I606" t="n">
        <v>0</v>
      </c>
      <c r="J606" t="n">
        <v>0</v>
      </c>
      <c r="K606" t="n">
        <v>0</v>
      </c>
      <c r="L606" t="n">
        <v>0</v>
      </c>
      <c r="M606" t="n">
        <v>0</v>
      </c>
      <c r="N606" t="n">
        <v>0</v>
      </c>
      <c r="O606" t="n">
        <v>0</v>
      </c>
      <c r="P606" t="n">
        <v>0</v>
      </c>
      <c r="Q606" t="n">
        <v>0</v>
      </c>
      <c r="R606" s="2" t="inlineStr"/>
    </row>
    <row r="607" ht="15" customHeight="1">
      <c r="A607" t="inlineStr">
        <is>
          <t>A 25923-2022</t>
        </is>
      </c>
      <c r="B607" s="1" t="n">
        <v>44733</v>
      </c>
      <c r="C607" s="1" t="n">
        <v>45839</v>
      </c>
      <c r="D607" t="inlineStr">
        <is>
          <t>VÄSTERBOTTENS LÄN</t>
        </is>
      </c>
      <c r="E607" t="inlineStr">
        <is>
          <t>VILHELMINA</t>
        </is>
      </c>
      <c r="G607" t="n">
        <v>0.8</v>
      </c>
      <c r="H607" t="n">
        <v>0</v>
      </c>
      <c r="I607" t="n">
        <v>0</v>
      </c>
      <c r="J607" t="n">
        <v>0</v>
      </c>
      <c r="K607" t="n">
        <v>0</v>
      </c>
      <c r="L607" t="n">
        <v>0</v>
      </c>
      <c r="M607" t="n">
        <v>0</v>
      </c>
      <c r="N607" t="n">
        <v>0</v>
      </c>
      <c r="O607" t="n">
        <v>0</v>
      </c>
      <c r="P607" t="n">
        <v>0</v>
      </c>
      <c r="Q607" t="n">
        <v>0</v>
      </c>
      <c r="R607" s="2" t="inlineStr"/>
    </row>
    <row r="608" ht="15" customHeight="1">
      <c r="A608" t="inlineStr">
        <is>
          <t>A 26401-2022</t>
        </is>
      </c>
      <c r="B608" s="1" t="n">
        <v>44735</v>
      </c>
      <c r="C608" s="1" t="n">
        <v>45839</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26409-2022</t>
        </is>
      </c>
      <c r="B609" s="1" t="n">
        <v>44735</v>
      </c>
      <c r="C609" s="1" t="n">
        <v>45839</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26410-2022</t>
        </is>
      </c>
      <c r="B610" s="1" t="n">
        <v>44735</v>
      </c>
      <c r="C610" s="1" t="n">
        <v>45839</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27127-2022</t>
        </is>
      </c>
      <c r="B611" s="1" t="n">
        <v>44741</v>
      </c>
      <c r="C611" s="1" t="n">
        <v>45839</v>
      </c>
      <c r="D611" t="inlineStr">
        <is>
          <t>VÄSTERBOTTENS LÄN</t>
        </is>
      </c>
      <c r="E611" t="inlineStr">
        <is>
          <t>VILHELMINA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27865-2022</t>
        </is>
      </c>
      <c r="B612" s="1" t="n">
        <v>44743</v>
      </c>
      <c r="C612" s="1" t="n">
        <v>45839</v>
      </c>
      <c r="D612" t="inlineStr">
        <is>
          <t>VÄSTERBOTTENS LÄN</t>
        </is>
      </c>
      <c r="E612" t="inlineStr">
        <is>
          <t>VILHELMINA</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27881-2022</t>
        </is>
      </c>
      <c r="B613" s="1" t="n">
        <v>44743</v>
      </c>
      <c r="C613" s="1" t="n">
        <v>45839</v>
      </c>
      <c r="D613" t="inlineStr">
        <is>
          <t>VÄSTERBOTTENS LÄN</t>
        </is>
      </c>
      <c r="E613" t="inlineStr">
        <is>
          <t>VILHELMINA</t>
        </is>
      </c>
      <c r="F613" t="inlineStr">
        <is>
          <t>Sveaskog</t>
        </is>
      </c>
      <c r="G613" t="n">
        <v>14.3</v>
      </c>
      <c r="H613" t="n">
        <v>0</v>
      </c>
      <c r="I613" t="n">
        <v>0</v>
      </c>
      <c r="J613" t="n">
        <v>0</v>
      </c>
      <c r="K613" t="n">
        <v>0</v>
      </c>
      <c r="L613" t="n">
        <v>0</v>
      </c>
      <c r="M613" t="n">
        <v>0</v>
      </c>
      <c r="N613" t="n">
        <v>0</v>
      </c>
      <c r="O613" t="n">
        <v>0</v>
      </c>
      <c r="P613" t="n">
        <v>0</v>
      </c>
      <c r="Q613" t="n">
        <v>0</v>
      </c>
      <c r="R613" s="2" t="inlineStr"/>
    </row>
    <row r="614" ht="15" customHeight="1">
      <c r="A614" t="inlineStr">
        <is>
          <t>A 27714-2022</t>
        </is>
      </c>
      <c r="B614" s="1" t="n">
        <v>44743</v>
      </c>
      <c r="C614" s="1" t="n">
        <v>45839</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27848-2022</t>
        </is>
      </c>
      <c r="B615" s="1" t="n">
        <v>44743</v>
      </c>
      <c r="C615" s="1" t="n">
        <v>45839</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27880-2022</t>
        </is>
      </c>
      <c r="B616" s="1" t="n">
        <v>44743</v>
      </c>
      <c r="C616" s="1" t="n">
        <v>45839</v>
      </c>
      <c r="D616" t="inlineStr">
        <is>
          <t>VÄSTERBOTTENS LÄN</t>
        </is>
      </c>
      <c r="E616" t="inlineStr">
        <is>
          <t>VILHELMINA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27889-2022</t>
        </is>
      </c>
      <c r="B617" s="1" t="n">
        <v>44743</v>
      </c>
      <c r="C617" s="1" t="n">
        <v>45839</v>
      </c>
      <c r="D617" t="inlineStr">
        <is>
          <t>VÄSTERBOTTENS LÄN</t>
        </is>
      </c>
      <c r="E617" t="inlineStr">
        <is>
          <t>VILHELMINA</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27874-2022</t>
        </is>
      </c>
      <c r="B618" s="1" t="n">
        <v>44743</v>
      </c>
      <c r="C618" s="1" t="n">
        <v>45839</v>
      </c>
      <c r="D618" t="inlineStr">
        <is>
          <t>VÄSTERBOTTENS LÄN</t>
        </is>
      </c>
      <c r="E618" t="inlineStr">
        <is>
          <t>VILHELMINA</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27920-2022</t>
        </is>
      </c>
      <c r="B619" s="1" t="n">
        <v>44743</v>
      </c>
      <c r="C619" s="1" t="n">
        <v>45839</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27844-2022</t>
        </is>
      </c>
      <c r="B620" s="1" t="n">
        <v>44743</v>
      </c>
      <c r="C620" s="1" t="n">
        <v>45839</v>
      </c>
      <c r="D620" t="inlineStr">
        <is>
          <t>VÄSTERBOTTENS LÄN</t>
        </is>
      </c>
      <c r="E620" t="inlineStr">
        <is>
          <t>VILHELMINA</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27879-2022</t>
        </is>
      </c>
      <c r="B621" s="1" t="n">
        <v>44743</v>
      </c>
      <c r="C621" s="1" t="n">
        <v>45839</v>
      </c>
      <c r="D621" t="inlineStr">
        <is>
          <t>VÄSTERBOTTENS LÄN</t>
        </is>
      </c>
      <c r="E621" t="inlineStr">
        <is>
          <t>VILHELMINA</t>
        </is>
      </c>
      <c r="F621" t="inlineStr">
        <is>
          <t>Sveaskog</t>
        </is>
      </c>
      <c r="G621" t="n">
        <v>4.9</v>
      </c>
      <c r="H621" t="n">
        <v>0</v>
      </c>
      <c r="I621" t="n">
        <v>0</v>
      </c>
      <c r="J621" t="n">
        <v>0</v>
      </c>
      <c r="K621" t="n">
        <v>0</v>
      </c>
      <c r="L621" t="n">
        <v>0</v>
      </c>
      <c r="M621" t="n">
        <v>0</v>
      </c>
      <c r="N621" t="n">
        <v>0</v>
      </c>
      <c r="O621" t="n">
        <v>0</v>
      </c>
      <c r="P621" t="n">
        <v>0</v>
      </c>
      <c r="Q621" t="n">
        <v>0</v>
      </c>
      <c r="R621" s="2" t="inlineStr"/>
    </row>
    <row r="622" ht="15" customHeight="1">
      <c r="A622" t="inlineStr">
        <is>
          <t>A 27918-2022</t>
        </is>
      </c>
      <c r="B622" s="1" t="n">
        <v>44744</v>
      </c>
      <c r="C622" s="1" t="n">
        <v>45839</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27938-2022</t>
        </is>
      </c>
      <c r="B623" s="1" t="n">
        <v>44744</v>
      </c>
      <c r="C623" s="1" t="n">
        <v>45839</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27922-2022</t>
        </is>
      </c>
      <c r="B624" s="1" t="n">
        <v>44744</v>
      </c>
      <c r="C624" s="1" t="n">
        <v>45839</v>
      </c>
      <c r="D624" t="inlineStr">
        <is>
          <t>VÄSTERBOTTENS LÄN</t>
        </is>
      </c>
      <c r="E624" t="inlineStr">
        <is>
          <t>VILHELMINA</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27937-2022</t>
        </is>
      </c>
      <c r="B625" s="1" t="n">
        <v>44744</v>
      </c>
      <c r="C625" s="1" t="n">
        <v>45839</v>
      </c>
      <c r="D625" t="inlineStr">
        <is>
          <t>VÄSTERBOTTENS LÄN</t>
        </is>
      </c>
      <c r="E625" t="inlineStr">
        <is>
          <t>VILHELMINA</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27935-2022</t>
        </is>
      </c>
      <c r="B626" s="1" t="n">
        <v>44744</v>
      </c>
      <c r="C626" s="1" t="n">
        <v>45839</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27919-2022</t>
        </is>
      </c>
      <c r="B627" s="1" t="n">
        <v>44744</v>
      </c>
      <c r="C627" s="1" t="n">
        <v>45839</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28378-2022</t>
        </is>
      </c>
      <c r="B628" s="1" t="n">
        <v>44747</v>
      </c>
      <c r="C628" s="1" t="n">
        <v>45839</v>
      </c>
      <c r="D628" t="inlineStr">
        <is>
          <t>VÄSTERBOTTENS LÄN</t>
        </is>
      </c>
      <c r="E628" t="inlineStr">
        <is>
          <t>VILHELMINA</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28486-2022</t>
        </is>
      </c>
      <c r="B629" s="1" t="n">
        <v>44747</v>
      </c>
      <c r="C629" s="1" t="n">
        <v>45839</v>
      </c>
      <c r="D629" t="inlineStr">
        <is>
          <t>VÄSTERBOTTENS LÄN</t>
        </is>
      </c>
      <c r="E629" t="inlineStr">
        <is>
          <t>VILHELMINA</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28485-2022</t>
        </is>
      </c>
      <c r="B630" s="1" t="n">
        <v>44748</v>
      </c>
      <c r="C630" s="1" t="n">
        <v>45839</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45839</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29555-2022</t>
        </is>
      </c>
      <c r="B632" s="1" t="n">
        <v>44754</v>
      </c>
      <c r="C632" s="1" t="n">
        <v>45839</v>
      </c>
      <c r="D632" t="inlineStr">
        <is>
          <t>VÄSTERBOTTENS LÄN</t>
        </is>
      </c>
      <c r="E632" t="inlineStr">
        <is>
          <t>VILHELMINA</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29773-2022</t>
        </is>
      </c>
      <c r="B633" s="1" t="n">
        <v>44755</v>
      </c>
      <c r="C633" s="1" t="n">
        <v>45839</v>
      </c>
      <c r="D633" t="inlineStr">
        <is>
          <t>VÄSTERBOTTENS LÄN</t>
        </is>
      </c>
      <c r="E633" t="inlineStr">
        <is>
          <t>VILHELMINA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29855-2022</t>
        </is>
      </c>
      <c r="B634" s="1" t="n">
        <v>44756</v>
      </c>
      <c r="C634" s="1" t="n">
        <v>45839</v>
      </c>
      <c r="D634" t="inlineStr">
        <is>
          <t>VÄSTERBOTTENS LÄN</t>
        </is>
      </c>
      <c r="E634" t="inlineStr">
        <is>
          <t>VILHELMINA</t>
        </is>
      </c>
      <c r="G634" t="n">
        <v>3.4</v>
      </c>
      <c r="H634" t="n">
        <v>0</v>
      </c>
      <c r="I634" t="n">
        <v>0</v>
      </c>
      <c r="J634" t="n">
        <v>0</v>
      </c>
      <c r="K634" t="n">
        <v>0</v>
      </c>
      <c r="L634" t="n">
        <v>0</v>
      </c>
      <c r="M634" t="n">
        <v>0</v>
      </c>
      <c r="N634" t="n">
        <v>0</v>
      </c>
      <c r="O634" t="n">
        <v>0</v>
      </c>
      <c r="P634" t="n">
        <v>0</v>
      </c>
      <c r="Q634" t="n">
        <v>0</v>
      </c>
      <c r="R634" s="2" t="inlineStr"/>
    </row>
    <row r="635" ht="15" customHeight="1">
      <c r="A635" t="inlineStr">
        <is>
          <t>A 30018-2022</t>
        </is>
      </c>
      <c r="B635" s="1" t="n">
        <v>44756</v>
      </c>
      <c r="C635" s="1" t="n">
        <v>45839</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30025-2022</t>
        </is>
      </c>
      <c r="B636" s="1" t="n">
        <v>44757</v>
      </c>
      <c r="C636" s="1" t="n">
        <v>45839</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30020-2022</t>
        </is>
      </c>
      <c r="B637" s="1" t="n">
        <v>44757</v>
      </c>
      <c r="C637" s="1" t="n">
        <v>45839</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30019-2022</t>
        </is>
      </c>
      <c r="B638" s="1" t="n">
        <v>44757</v>
      </c>
      <c r="C638" s="1" t="n">
        <v>45839</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30130-2022</t>
        </is>
      </c>
      <c r="B639" s="1" t="n">
        <v>44757</v>
      </c>
      <c r="C639" s="1" t="n">
        <v>45839</v>
      </c>
      <c r="D639" t="inlineStr">
        <is>
          <t>VÄSTERBOTTENS LÄN</t>
        </is>
      </c>
      <c r="E639" t="inlineStr">
        <is>
          <t>VILHELMINA</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31320-2022</t>
        </is>
      </c>
      <c r="B640" s="1" t="n">
        <v>44773</v>
      </c>
      <c r="C640" s="1" t="n">
        <v>45839</v>
      </c>
      <c r="D640" t="inlineStr">
        <is>
          <t>VÄSTERBOTTENS LÄN</t>
        </is>
      </c>
      <c r="E640" t="inlineStr">
        <is>
          <t>VILHELMINA</t>
        </is>
      </c>
      <c r="G640" t="n">
        <v>15.5</v>
      </c>
      <c r="H640" t="n">
        <v>0</v>
      </c>
      <c r="I640" t="n">
        <v>0</v>
      </c>
      <c r="J640" t="n">
        <v>0</v>
      </c>
      <c r="K640" t="n">
        <v>0</v>
      </c>
      <c r="L640" t="n">
        <v>0</v>
      </c>
      <c r="M640" t="n">
        <v>0</v>
      </c>
      <c r="N640" t="n">
        <v>0</v>
      </c>
      <c r="O640" t="n">
        <v>0</v>
      </c>
      <c r="P640" t="n">
        <v>0</v>
      </c>
      <c r="Q640" t="n">
        <v>0</v>
      </c>
      <c r="R640" s="2" t="inlineStr"/>
    </row>
    <row r="641" ht="15" customHeight="1">
      <c r="A641" t="inlineStr">
        <is>
          <t>A 32960-2022</t>
        </is>
      </c>
      <c r="B641" s="1" t="n">
        <v>44784</v>
      </c>
      <c r="C641" s="1" t="n">
        <v>45839</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33001-2022</t>
        </is>
      </c>
      <c r="B642" s="1" t="n">
        <v>44784</v>
      </c>
      <c r="C642" s="1" t="n">
        <v>45839</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33512-2022</t>
        </is>
      </c>
      <c r="B643" s="1" t="n">
        <v>44788</v>
      </c>
      <c r="C643" s="1" t="n">
        <v>45839</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33495-2022</t>
        </is>
      </c>
      <c r="B644" s="1" t="n">
        <v>44788</v>
      </c>
      <c r="C644" s="1" t="n">
        <v>45839</v>
      </c>
      <c r="D644" t="inlineStr">
        <is>
          <t>VÄSTERBOTTENS LÄN</t>
        </is>
      </c>
      <c r="E644" t="inlineStr">
        <is>
          <t>VILHELMINA</t>
        </is>
      </c>
      <c r="G644" t="n">
        <v>1</v>
      </c>
      <c r="H644" t="n">
        <v>0</v>
      </c>
      <c r="I644" t="n">
        <v>0</v>
      </c>
      <c r="J644" t="n">
        <v>0</v>
      </c>
      <c r="K644" t="n">
        <v>0</v>
      </c>
      <c r="L644" t="n">
        <v>0</v>
      </c>
      <c r="M644" t="n">
        <v>0</v>
      </c>
      <c r="N644" t="n">
        <v>0</v>
      </c>
      <c r="O644" t="n">
        <v>0</v>
      </c>
      <c r="P644" t="n">
        <v>0</v>
      </c>
      <c r="Q644" t="n">
        <v>0</v>
      </c>
      <c r="R644" s="2" t="inlineStr"/>
    </row>
    <row r="645" ht="15" customHeight="1">
      <c r="A645" t="inlineStr">
        <is>
          <t>A 33510-2022</t>
        </is>
      </c>
      <c r="B645" s="1" t="n">
        <v>44788</v>
      </c>
      <c r="C645" s="1" t="n">
        <v>45839</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33603-2022</t>
        </is>
      </c>
      <c r="B646" s="1" t="n">
        <v>44789</v>
      </c>
      <c r="C646" s="1" t="n">
        <v>45839</v>
      </c>
      <c r="D646" t="inlineStr">
        <is>
          <t>VÄSTERBOTTENS LÄN</t>
        </is>
      </c>
      <c r="E646" t="inlineStr">
        <is>
          <t>VILHELMINA</t>
        </is>
      </c>
      <c r="F646" t="inlineStr">
        <is>
          <t>Sveaskog</t>
        </is>
      </c>
      <c r="G646" t="n">
        <v>15.1</v>
      </c>
      <c r="H646" t="n">
        <v>0</v>
      </c>
      <c r="I646" t="n">
        <v>0</v>
      </c>
      <c r="J646" t="n">
        <v>0</v>
      </c>
      <c r="K646" t="n">
        <v>0</v>
      </c>
      <c r="L646" t="n">
        <v>0</v>
      </c>
      <c r="M646" t="n">
        <v>0</v>
      </c>
      <c r="N646" t="n">
        <v>0</v>
      </c>
      <c r="O646" t="n">
        <v>0</v>
      </c>
      <c r="P646" t="n">
        <v>0</v>
      </c>
      <c r="Q646" t="n">
        <v>0</v>
      </c>
      <c r="R646" s="2" t="inlineStr"/>
    </row>
    <row r="647" ht="15" customHeight="1">
      <c r="A647" t="inlineStr">
        <is>
          <t>A 33989-2022</t>
        </is>
      </c>
      <c r="B647" s="1" t="n">
        <v>44790</v>
      </c>
      <c r="C647" s="1" t="n">
        <v>45839</v>
      </c>
      <c r="D647" t="inlineStr">
        <is>
          <t>VÄSTERBOTTENS LÄN</t>
        </is>
      </c>
      <c r="E647" t="inlineStr">
        <is>
          <t>VILHELMINA</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35003-2022</t>
        </is>
      </c>
      <c r="B648" s="1" t="n">
        <v>44797</v>
      </c>
      <c r="C648" s="1" t="n">
        <v>45839</v>
      </c>
      <c r="D648" t="inlineStr">
        <is>
          <t>VÄSTERBOTTENS LÄN</t>
        </is>
      </c>
      <c r="E648" t="inlineStr">
        <is>
          <t>VILHELMINA</t>
        </is>
      </c>
      <c r="G648" t="n">
        <v>3.7</v>
      </c>
      <c r="H648" t="n">
        <v>0</v>
      </c>
      <c r="I648" t="n">
        <v>0</v>
      </c>
      <c r="J648" t="n">
        <v>0</v>
      </c>
      <c r="K648" t="n">
        <v>0</v>
      </c>
      <c r="L648" t="n">
        <v>0</v>
      </c>
      <c r="M648" t="n">
        <v>0</v>
      </c>
      <c r="N648" t="n">
        <v>0</v>
      </c>
      <c r="O648" t="n">
        <v>0</v>
      </c>
      <c r="P648" t="n">
        <v>0</v>
      </c>
      <c r="Q648" t="n">
        <v>0</v>
      </c>
      <c r="R648" s="2" t="inlineStr"/>
    </row>
    <row r="649" ht="15" customHeight="1">
      <c r="A649" t="inlineStr">
        <is>
          <t>A 35178-2022</t>
        </is>
      </c>
      <c r="B649" s="1" t="n">
        <v>44797</v>
      </c>
      <c r="C649" s="1" t="n">
        <v>45839</v>
      </c>
      <c r="D649" t="inlineStr">
        <is>
          <t>VÄSTERBOTTENS LÄN</t>
        </is>
      </c>
      <c r="E649" t="inlineStr">
        <is>
          <t>VILHELMINA</t>
        </is>
      </c>
      <c r="F649" t="inlineStr">
        <is>
          <t>Övriga statliga verk och myndigheter</t>
        </is>
      </c>
      <c r="G649" t="n">
        <v>32.5</v>
      </c>
      <c r="H649" t="n">
        <v>0</v>
      </c>
      <c r="I649" t="n">
        <v>0</v>
      </c>
      <c r="J649" t="n">
        <v>0</v>
      </c>
      <c r="K649" t="n">
        <v>0</v>
      </c>
      <c r="L649" t="n">
        <v>0</v>
      </c>
      <c r="M649" t="n">
        <v>0</v>
      </c>
      <c r="N649" t="n">
        <v>0</v>
      </c>
      <c r="O649" t="n">
        <v>0</v>
      </c>
      <c r="P649" t="n">
        <v>0</v>
      </c>
      <c r="Q649" t="n">
        <v>0</v>
      </c>
      <c r="R649" s="2" t="inlineStr"/>
    </row>
    <row r="650" ht="15" customHeight="1">
      <c r="A650" t="inlineStr">
        <is>
          <t>A 35514-2022</t>
        </is>
      </c>
      <c r="B650" s="1" t="n">
        <v>44799</v>
      </c>
      <c r="C650" s="1" t="n">
        <v>45839</v>
      </c>
      <c r="D650" t="inlineStr">
        <is>
          <t>VÄSTERBOTTENS LÄN</t>
        </is>
      </c>
      <c r="E650" t="inlineStr">
        <is>
          <t>VILHELMINA</t>
        </is>
      </c>
      <c r="F650" t="inlineStr">
        <is>
          <t>SCA</t>
        </is>
      </c>
      <c r="G650" t="n">
        <v>10.9</v>
      </c>
      <c r="H650" t="n">
        <v>0</v>
      </c>
      <c r="I650" t="n">
        <v>0</v>
      </c>
      <c r="J650" t="n">
        <v>0</v>
      </c>
      <c r="K650" t="n">
        <v>0</v>
      </c>
      <c r="L650" t="n">
        <v>0</v>
      </c>
      <c r="M650" t="n">
        <v>0</v>
      </c>
      <c r="N650" t="n">
        <v>0</v>
      </c>
      <c r="O650" t="n">
        <v>0</v>
      </c>
      <c r="P650" t="n">
        <v>0</v>
      </c>
      <c r="Q650" t="n">
        <v>0</v>
      </c>
      <c r="R650" s="2" t="inlineStr"/>
    </row>
    <row r="651" ht="15" customHeight="1">
      <c r="A651" t="inlineStr">
        <is>
          <t>A 35506-2022</t>
        </is>
      </c>
      <c r="B651" s="1" t="n">
        <v>44798</v>
      </c>
      <c r="C651" s="1" t="n">
        <v>45839</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35515-2022</t>
        </is>
      </c>
      <c r="B652" s="1" t="n">
        <v>44799</v>
      </c>
      <c r="C652" s="1" t="n">
        <v>45839</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35513-2022</t>
        </is>
      </c>
      <c r="B653" s="1" t="n">
        <v>44799</v>
      </c>
      <c r="C653" s="1" t="n">
        <v>45839</v>
      </c>
      <c r="D653" t="inlineStr">
        <is>
          <t>VÄSTERBOTTENS LÄN</t>
        </is>
      </c>
      <c r="E653" t="inlineStr">
        <is>
          <t>VILHELMINA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35686-2022</t>
        </is>
      </c>
      <c r="B654" s="1" t="n">
        <v>44799</v>
      </c>
      <c r="C654" s="1" t="n">
        <v>45839</v>
      </c>
      <c r="D654" t="inlineStr">
        <is>
          <t>VÄSTERBOTTENS LÄN</t>
        </is>
      </c>
      <c r="E654" t="inlineStr">
        <is>
          <t>VILHELMINA</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36083-2022</t>
        </is>
      </c>
      <c r="B655" s="1" t="n">
        <v>44803</v>
      </c>
      <c r="C655" s="1" t="n">
        <v>45839</v>
      </c>
      <c r="D655" t="inlineStr">
        <is>
          <t>VÄSTERBOTTENS LÄN</t>
        </is>
      </c>
      <c r="E655" t="inlineStr">
        <is>
          <t>VILHELMINA</t>
        </is>
      </c>
      <c r="F655" t="inlineStr">
        <is>
          <t>SCA</t>
        </is>
      </c>
      <c r="G655" t="n">
        <v>24.1</v>
      </c>
      <c r="H655" t="n">
        <v>0</v>
      </c>
      <c r="I655" t="n">
        <v>0</v>
      </c>
      <c r="J655" t="n">
        <v>0</v>
      </c>
      <c r="K655" t="n">
        <v>0</v>
      </c>
      <c r="L655" t="n">
        <v>0</v>
      </c>
      <c r="M655" t="n">
        <v>0</v>
      </c>
      <c r="N655" t="n">
        <v>0</v>
      </c>
      <c r="O655" t="n">
        <v>0</v>
      </c>
      <c r="P655" t="n">
        <v>0</v>
      </c>
      <c r="Q655" t="n">
        <v>0</v>
      </c>
      <c r="R655" s="2" t="inlineStr"/>
    </row>
    <row r="656" ht="15" customHeight="1">
      <c r="A656" t="inlineStr">
        <is>
          <t>A 36081-2022</t>
        </is>
      </c>
      <c r="B656" s="1" t="n">
        <v>44802</v>
      </c>
      <c r="C656" s="1" t="n">
        <v>45839</v>
      </c>
      <c r="D656" t="inlineStr">
        <is>
          <t>VÄSTERBOTTENS LÄN</t>
        </is>
      </c>
      <c r="E656" t="inlineStr">
        <is>
          <t>VILHELMINA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36082-2022</t>
        </is>
      </c>
      <c r="B657" s="1" t="n">
        <v>44802</v>
      </c>
      <c r="C657" s="1" t="n">
        <v>45839</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36329-2022</t>
        </is>
      </c>
      <c r="B658" s="1" t="n">
        <v>44803</v>
      </c>
      <c r="C658" s="1" t="n">
        <v>45839</v>
      </c>
      <c r="D658" t="inlineStr">
        <is>
          <t>VÄSTERBOTTENS LÄN</t>
        </is>
      </c>
      <c r="E658" t="inlineStr">
        <is>
          <t>VILHELMINA</t>
        </is>
      </c>
      <c r="F658" t="inlineStr">
        <is>
          <t>Övriga statliga verk och myndigheter</t>
        </is>
      </c>
      <c r="G658" t="n">
        <v>30</v>
      </c>
      <c r="H658" t="n">
        <v>0</v>
      </c>
      <c r="I658" t="n">
        <v>0</v>
      </c>
      <c r="J658" t="n">
        <v>0</v>
      </c>
      <c r="K658" t="n">
        <v>0</v>
      </c>
      <c r="L658" t="n">
        <v>0</v>
      </c>
      <c r="M658" t="n">
        <v>0</v>
      </c>
      <c r="N658" t="n">
        <v>0</v>
      </c>
      <c r="O658" t="n">
        <v>0</v>
      </c>
      <c r="P658" t="n">
        <v>0</v>
      </c>
      <c r="Q658" t="n">
        <v>0</v>
      </c>
      <c r="R658" s="2" t="inlineStr"/>
    </row>
    <row r="659" ht="15" customHeight="1">
      <c r="A659" t="inlineStr">
        <is>
          <t>A 36929-2022</t>
        </is>
      </c>
      <c r="B659" s="1" t="n">
        <v>44806</v>
      </c>
      <c r="C659" s="1" t="n">
        <v>45839</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36931-2022</t>
        </is>
      </c>
      <c r="B660" s="1" t="n">
        <v>44805</v>
      </c>
      <c r="C660" s="1" t="n">
        <v>45839</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36930-2022</t>
        </is>
      </c>
      <c r="B661" s="1" t="n">
        <v>44805</v>
      </c>
      <c r="C661" s="1" t="n">
        <v>45839</v>
      </c>
      <c r="D661" t="inlineStr">
        <is>
          <t>VÄSTERBOTTENS LÄN</t>
        </is>
      </c>
      <c r="E661" t="inlineStr">
        <is>
          <t>VILHELMINA</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37322-2022</t>
        </is>
      </c>
      <c r="B662" s="1" t="n">
        <v>44806</v>
      </c>
      <c r="C662" s="1" t="n">
        <v>45839</v>
      </c>
      <c r="D662" t="inlineStr">
        <is>
          <t>VÄSTERBOTTENS LÄN</t>
        </is>
      </c>
      <c r="E662" t="inlineStr">
        <is>
          <t>VILHELMINA</t>
        </is>
      </c>
      <c r="F662" t="inlineStr">
        <is>
          <t>Övriga statliga verk och myndigheter</t>
        </is>
      </c>
      <c r="G662" t="n">
        <v>15.4</v>
      </c>
      <c r="H662" t="n">
        <v>0</v>
      </c>
      <c r="I662" t="n">
        <v>0</v>
      </c>
      <c r="J662" t="n">
        <v>0</v>
      </c>
      <c r="K662" t="n">
        <v>0</v>
      </c>
      <c r="L662" t="n">
        <v>0</v>
      </c>
      <c r="M662" t="n">
        <v>0</v>
      </c>
      <c r="N662" t="n">
        <v>0</v>
      </c>
      <c r="O662" t="n">
        <v>0</v>
      </c>
      <c r="P662" t="n">
        <v>0</v>
      </c>
      <c r="Q662" t="n">
        <v>0</v>
      </c>
      <c r="R662" s="2" t="inlineStr"/>
    </row>
    <row r="663" ht="15" customHeight="1">
      <c r="A663" t="inlineStr">
        <is>
          <t>A 37325-2022</t>
        </is>
      </c>
      <c r="B663" s="1" t="n">
        <v>44806</v>
      </c>
      <c r="C663" s="1" t="n">
        <v>45839</v>
      </c>
      <c r="D663" t="inlineStr">
        <is>
          <t>VÄSTERBOTTENS LÄN</t>
        </is>
      </c>
      <c r="E663" t="inlineStr">
        <is>
          <t>VILHELMINA</t>
        </is>
      </c>
      <c r="F663" t="inlineStr">
        <is>
          <t>Övriga statliga verk och myndigheter</t>
        </is>
      </c>
      <c r="G663" t="n">
        <v>11</v>
      </c>
      <c r="H663" t="n">
        <v>0</v>
      </c>
      <c r="I663" t="n">
        <v>0</v>
      </c>
      <c r="J663" t="n">
        <v>0</v>
      </c>
      <c r="K663" t="n">
        <v>0</v>
      </c>
      <c r="L663" t="n">
        <v>0</v>
      </c>
      <c r="M663" t="n">
        <v>0</v>
      </c>
      <c r="N663" t="n">
        <v>0</v>
      </c>
      <c r="O663" t="n">
        <v>0</v>
      </c>
      <c r="P663" t="n">
        <v>0</v>
      </c>
      <c r="Q663" t="n">
        <v>0</v>
      </c>
      <c r="R663" s="2" t="inlineStr"/>
    </row>
    <row r="664" ht="15" customHeight="1">
      <c r="A664" t="inlineStr">
        <is>
          <t>A 37655-2022</t>
        </is>
      </c>
      <c r="B664" s="1" t="n">
        <v>44810</v>
      </c>
      <c r="C664" s="1" t="n">
        <v>45839</v>
      </c>
      <c r="D664" t="inlineStr">
        <is>
          <t>VÄSTERBOTTENS LÄN</t>
        </is>
      </c>
      <c r="E664" t="inlineStr">
        <is>
          <t>VILHELMINA</t>
        </is>
      </c>
      <c r="G664" t="n">
        <v>6.3</v>
      </c>
      <c r="H664" t="n">
        <v>0</v>
      </c>
      <c r="I664" t="n">
        <v>0</v>
      </c>
      <c r="J664" t="n">
        <v>0</v>
      </c>
      <c r="K664" t="n">
        <v>0</v>
      </c>
      <c r="L664" t="n">
        <v>0</v>
      </c>
      <c r="M664" t="n">
        <v>0</v>
      </c>
      <c r="N664" t="n">
        <v>0</v>
      </c>
      <c r="O664" t="n">
        <v>0</v>
      </c>
      <c r="P664" t="n">
        <v>0</v>
      </c>
      <c r="Q664" t="n">
        <v>0</v>
      </c>
      <c r="R664" s="2" t="inlineStr"/>
    </row>
    <row r="665" ht="15" customHeight="1">
      <c r="A665" t="inlineStr">
        <is>
          <t>A 37661-2022</t>
        </is>
      </c>
      <c r="B665" s="1" t="n">
        <v>44810</v>
      </c>
      <c r="C665" s="1" t="n">
        <v>45839</v>
      </c>
      <c r="D665" t="inlineStr">
        <is>
          <t>VÄSTERBOTTENS LÄN</t>
        </is>
      </c>
      <c r="E665" t="inlineStr">
        <is>
          <t>VILHELMINA</t>
        </is>
      </c>
      <c r="G665" t="n">
        <v>5.8</v>
      </c>
      <c r="H665" t="n">
        <v>0</v>
      </c>
      <c r="I665" t="n">
        <v>0</v>
      </c>
      <c r="J665" t="n">
        <v>0</v>
      </c>
      <c r="K665" t="n">
        <v>0</v>
      </c>
      <c r="L665" t="n">
        <v>0</v>
      </c>
      <c r="M665" t="n">
        <v>0</v>
      </c>
      <c r="N665" t="n">
        <v>0</v>
      </c>
      <c r="O665" t="n">
        <v>0</v>
      </c>
      <c r="P665" t="n">
        <v>0</v>
      </c>
      <c r="Q665" t="n">
        <v>0</v>
      </c>
      <c r="R665" s="2" t="inlineStr"/>
    </row>
    <row r="666" ht="15" customHeight="1">
      <c r="A666" t="inlineStr">
        <is>
          <t>A 38417-2022</t>
        </is>
      </c>
      <c r="B666" s="1" t="n">
        <v>44813</v>
      </c>
      <c r="C666" s="1" t="n">
        <v>45839</v>
      </c>
      <c r="D666" t="inlineStr">
        <is>
          <t>VÄSTERBOTTENS LÄN</t>
        </is>
      </c>
      <c r="E666" t="inlineStr">
        <is>
          <t>VILHELMINA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38422-2022</t>
        </is>
      </c>
      <c r="B667" s="1" t="n">
        <v>44812</v>
      </c>
      <c r="C667" s="1" t="n">
        <v>45839</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38416-2022</t>
        </is>
      </c>
      <c r="B668" s="1" t="n">
        <v>44812</v>
      </c>
      <c r="C668" s="1" t="n">
        <v>45839</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38419-2022</t>
        </is>
      </c>
      <c r="B669" s="1" t="n">
        <v>44813</v>
      </c>
      <c r="C669" s="1" t="n">
        <v>45839</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38558-2022</t>
        </is>
      </c>
      <c r="B670" s="1" t="n">
        <v>44813</v>
      </c>
      <c r="C670" s="1" t="n">
        <v>45839</v>
      </c>
      <c r="D670" t="inlineStr">
        <is>
          <t>VÄSTERBOTTENS LÄN</t>
        </is>
      </c>
      <c r="E670" t="inlineStr">
        <is>
          <t>VILHELMINA</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39389-2022</t>
        </is>
      </c>
      <c r="B671" s="1" t="n">
        <v>44817</v>
      </c>
      <c r="C671" s="1" t="n">
        <v>45839</v>
      </c>
      <c r="D671" t="inlineStr">
        <is>
          <t>VÄSTERBOTTENS LÄN</t>
        </is>
      </c>
      <c r="E671" t="inlineStr">
        <is>
          <t>VILHELMINA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41343-2022</t>
        </is>
      </c>
      <c r="B672" s="1" t="n">
        <v>44824</v>
      </c>
      <c r="C672" s="1" t="n">
        <v>45839</v>
      </c>
      <c r="D672" t="inlineStr">
        <is>
          <t>VÄSTERBOTTENS LÄN</t>
        </is>
      </c>
      <c r="E672" t="inlineStr">
        <is>
          <t>VILHELMINA</t>
        </is>
      </c>
      <c r="G672" t="n">
        <v>6</v>
      </c>
      <c r="H672" t="n">
        <v>0</v>
      </c>
      <c r="I672" t="n">
        <v>0</v>
      </c>
      <c r="J672" t="n">
        <v>0</v>
      </c>
      <c r="K672" t="n">
        <v>0</v>
      </c>
      <c r="L672" t="n">
        <v>0</v>
      </c>
      <c r="M672" t="n">
        <v>0</v>
      </c>
      <c r="N672" t="n">
        <v>0</v>
      </c>
      <c r="O672" t="n">
        <v>0</v>
      </c>
      <c r="P672" t="n">
        <v>0</v>
      </c>
      <c r="Q672" t="n">
        <v>0</v>
      </c>
      <c r="R672" s="2" t="inlineStr"/>
    </row>
    <row r="673" ht="15" customHeight="1">
      <c r="A673" t="inlineStr">
        <is>
          <t>A 41350-2022</t>
        </is>
      </c>
      <c r="B673" s="1" t="n">
        <v>44824</v>
      </c>
      <c r="C673" s="1" t="n">
        <v>45839</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41330-2022</t>
        </is>
      </c>
      <c r="B674" s="1" t="n">
        <v>44826</v>
      </c>
      <c r="C674" s="1" t="n">
        <v>45839</v>
      </c>
      <c r="D674" t="inlineStr">
        <is>
          <t>VÄSTERBOTTENS LÄN</t>
        </is>
      </c>
      <c r="E674" t="inlineStr">
        <is>
          <t>VILHELMINA</t>
        </is>
      </c>
      <c r="G674" t="n">
        <v>3.4</v>
      </c>
      <c r="H674" t="n">
        <v>0</v>
      </c>
      <c r="I674" t="n">
        <v>0</v>
      </c>
      <c r="J674" t="n">
        <v>0</v>
      </c>
      <c r="K674" t="n">
        <v>0</v>
      </c>
      <c r="L674" t="n">
        <v>0</v>
      </c>
      <c r="M674" t="n">
        <v>0</v>
      </c>
      <c r="N674" t="n">
        <v>0</v>
      </c>
      <c r="O674" t="n">
        <v>0</v>
      </c>
      <c r="P674" t="n">
        <v>0</v>
      </c>
      <c r="Q674" t="n">
        <v>0</v>
      </c>
      <c r="R674" s="2" t="inlineStr"/>
    </row>
    <row r="675" ht="15" customHeight="1">
      <c r="A675" t="inlineStr">
        <is>
          <t>A 41482-2022</t>
        </is>
      </c>
      <c r="B675" s="1" t="n">
        <v>44827</v>
      </c>
      <c r="C675" s="1" t="n">
        <v>45839</v>
      </c>
      <c r="D675" t="inlineStr">
        <is>
          <t>VÄSTERBOTTENS LÄN</t>
        </is>
      </c>
      <c r="E675" t="inlineStr">
        <is>
          <t>VILHELMINA</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41485-2022</t>
        </is>
      </c>
      <c r="B676" s="1" t="n">
        <v>44827</v>
      </c>
      <c r="C676" s="1" t="n">
        <v>45839</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41484-2022</t>
        </is>
      </c>
      <c r="B677" s="1" t="n">
        <v>44826</v>
      </c>
      <c r="C677" s="1" t="n">
        <v>45839</v>
      </c>
      <c r="D677" t="inlineStr">
        <is>
          <t>VÄSTERBOTTENS LÄN</t>
        </is>
      </c>
      <c r="E677" t="inlineStr">
        <is>
          <t>VILHELMINA</t>
        </is>
      </c>
      <c r="F677" t="inlineStr">
        <is>
          <t>SCA</t>
        </is>
      </c>
      <c r="G677" t="n">
        <v>18.1</v>
      </c>
      <c r="H677" t="n">
        <v>0</v>
      </c>
      <c r="I677" t="n">
        <v>0</v>
      </c>
      <c r="J677" t="n">
        <v>0</v>
      </c>
      <c r="K677" t="n">
        <v>0</v>
      </c>
      <c r="L677" t="n">
        <v>0</v>
      </c>
      <c r="M677" t="n">
        <v>0</v>
      </c>
      <c r="N677" t="n">
        <v>0</v>
      </c>
      <c r="O677" t="n">
        <v>0</v>
      </c>
      <c r="P677" t="n">
        <v>0</v>
      </c>
      <c r="Q677" t="n">
        <v>0</v>
      </c>
      <c r="R677" s="2" t="inlineStr"/>
    </row>
    <row r="678" ht="15" customHeight="1">
      <c r="A678" t="inlineStr">
        <is>
          <t>A 42648-2022</t>
        </is>
      </c>
      <c r="B678" s="1" t="n">
        <v>44832</v>
      </c>
      <c r="C678" s="1" t="n">
        <v>45839</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42650-2022</t>
        </is>
      </c>
      <c r="B679" s="1" t="n">
        <v>44831</v>
      </c>
      <c r="C679" s="1" t="n">
        <v>45839</v>
      </c>
      <c r="D679" t="inlineStr">
        <is>
          <t>VÄSTERBOTTENS LÄN</t>
        </is>
      </c>
      <c r="E679" t="inlineStr">
        <is>
          <t>VILHELMINA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43120-2022</t>
        </is>
      </c>
      <c r="B680" s="1" t="n">
        <v>44834</v>
      </c>
      <c r="C680" s="1" t="n">
        <v>45839</v>
      </c>
      <c r="D680" t="inlineStr">
        <is>
          <t>VÄSTERBOTTENS LÄN</t>
        </is>
      </c>
      <c r="E680" t="inlineStr">
        <is>
          <t>VILHELMINA</t>
        </is>
      </c>
      <c r="G680" t="n">
        <v>13.7</v>
      </c>
      <c r="H680" t="n">
        <v>0</v>
      </c>
      <c r="I680" t="n">
        <v>0</v>
      </c>
      <c r="J680" t="n">
        <v>0</v>
      </c>
      <c r="K680" t="n">
        <v>0</v>
      </c>
      <c r="L680" t="n">
        <v>0</v>
      </c>
      <c r="M680" t="n">
        <v>0</v>
      </c>
      <c r="N680" t="n">
        <v>0</v>
      </c>
      <c r="O680" t="n">
        <v>0</v>
      </c>
      <c r="P680" t="n">
        <v>0</v>
      </c>
      <c r="Q680" t="n">
        <v>0</v>
      </c>
      <c r="R680" s="2" t="inlineStr"/>
    </row>
    <row r="681" ht="15" customHeight="1">
      <c r="A681" t="inlineStr">
        <is>
          <t>A 43144-2022</t>
        </is>
      </c>
      <c r="B681" s="1" t="n">
        <v>44834</v>
      </c>
      <c r="C681" s="1" t="n">
        <v>45839</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43714-2022</t>
        </is>
      </c>
      <c r="B682" s="1" t="n">
        <v>44837</v>
      </c>
      <c r="C682" s="1" t="n">
        <v>45839</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43741-2022</t>
        </is>
      </c>
      <c r="B683" s="1" t="n">
        <v>44837</v>
      </c>
      <c r="C683" s="1" t="n">
        <v>45839</v>
      </c>
      <c r="D683" t="inlineStr">
        <is>
          <t>VÄSTERBOTTENS LÄN</t>
        </is>
      </c>
      <c r="E683" t="inlineStr">
        <is>
          <t>VILHELMINA</t>
        </is>
      </c>
      <c r="G683" t="n">
        <v>54.2</v>
      </c>
      <c r="H683" t="n">
        <v>0</v>
      </c>
      <c r="I683" t="n">
        <v>0</v>
      </c>
      <c r="J683" t="n">
        <v>0</v>
      </c>
      <c r="K683" t="n">
        <v>0</v>
      </c>
      <c r="L683" t="n">
        <v>0</v>
      </c>
      <c r="M683" t="n">
        <v>0</v>
      </c>
      <c r="N683" t="n">
        <v>0</v>
      </c>
      <c r="O683" t="n">
        <v>0</v>
      </c>
      <c r="P683" t="n">
        <v>0</v>
      </c>
      <c r="Q683" t="n">
        <v>0</v>
      </c>
      <c r="R683" s="2" t="inlineStr"/>
    </row>
    <row r="684" ht="15" customHeight="1">
      <c r="A684" t="inlineStr">
        <is>
          <t>A 45425-2022</t>
        </is>
      </c>
      <c r="B684" s="1" t="n">
        <v>44844</v>
      </c>
      <c r="C684" s="1" t="n">
        <v>45839</v>
      </c>
      <c r="D684" t="inlineStr">
        <is>
          <t>VÄSTERBOTTENS LÄN</t>
        </is>
      </c>
      <c r="E684" t="inlineStr">
        <is>
          <t>VILHELMINA</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46121-2022</t>
        </is>
      </c>
      <c r="B685" s="1" t="n">
        <v>44847</v>
      </c>
      <c r="C685" s="1" t="n">
        <v>45839</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46071-2022</t>
        </is>
      </c>
      <c r="B686" s="1" t="n">
        <v>44847</v>
      </c>
      <c r="C686" s="1" t="n">
        <v>45839</v>
      </c>
      <c r="D686" t="inlineStr">
        <is>
          <t>VÄSTERBOTTENS LÄN</t>
        </is>
      </c>
      <c r="E686" t="inlineStr">
        <is>
          <t>VILHELMINA</t>
        </is>
      </c>
      <c r="G686" t="n">
        <v>10.6</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45839</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46119-2022</t>
        </is>
      </c>
      <c r="B688" s="1" t="n">
        <v>44847</v>
      </c>
      <c r="C688" s="1" t="n">
        <v>45839</v>
      </c>
      <c r="D688" t="inlineStr">
        <is>
          <t>VÄSTERBOTTENS LÄN</t>
        </is>
      </c>
      <c r="E688" t="inlineStr">
        <is>
          <t>VILHELMINA</t>
        </is>
      </c>
      <c r="G688" t="n">
        <v>12.1</v>
      </c>
      <c r="H688" t="n">
        <v>0</v>
      </c>
      <c r="I688" t="n">
        <v>0</v>
      </c>
      <c r="J688" t="n">
        <v>0</v>
      </c>
      <c r="K688" t="n">
        <v>0</v>
      </c>
      <c r="L688" t="n">
        <v>0</v>
      </c>
      <c r="M688" t="n">
        <v>0</v>
      </c>
      <c r="N688" t="n">
        <v>0</v>
      </c>
      <c r="O688" t="n">
        <v>0</v>
      </c>
      <c r="P688" t="n">
        <v>0</v>
      </c>
      <c r="Q688" t="n">
        <v>0</v>
      </c>
      <c r="R688" s="2" t="inlineStr"/>
    </row>
    <row r="689" ht="15" customHeight="1">
      <c r="A689" t="inlineStr">
        <is>
          <t>A 46318-2022</t>
        </is>
      </c>
      <c r="B689" s="1" t="n">
        <v>44847</v>
      </c>
      <c r="C689" s="1" t="n">
        <v>45839</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47253-2022</t>
        </is>
      </c>
      <c r="B690" s="1" t="n">
        <v>44852</v>
      </c>
      <c r="C690" s="1" t="n">
        <v>45839</v>
      </c>
      <c r="D690" t="inlineStr">
        <is>
          <t>VÄSTERBOTTENS LÄN</t>
        </is>
      </c>
      <c r="E690" t="inlineStr">
        <is>
          <t>VILHELMINA</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47252-2022</t>
        </is>
      </c>
      <c r="B691" s="1" t="n">
        <v>44852</v>
      </c>
      <c r="C691" s="1" t="n">
        <v>45839</v>
      </c>
      <c r="D691" t="inlineStr">
        <is>
          <t>VÄSTERBOTTENS LÄN</t>
        </is>
      </c>
      <c r="E691" t="inlineStr">
        <is>
          <t>VILHELMINA</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47254-2022</t>
        </is>
      </c>
      <c r="B692" s="1" t="n">
        <v>44853</v>
      </c>
      <c r="C692" s="1" t="n">
        <v>45839</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47288-2022</t>
        </is>
      </c>
      <c r="B693" s="1" t="n">
        <v>44852</v>
      </c>
      <c r="C693" s="1" t="n">
        <v>45839</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47287-2022</t>
        </is>
      </c>
      <c r="B694" s="1" t="n">
        <v>44853</v>
      </c>
      <c r="C694" s="1" t="n">
        <v>45839</v>
      </c>
      <c r="D694" t="inlineStr">
        <is>
          <t>VÄSTERBOTTENS LÄN</t>
        </is>
      </c>
      <c r="E694" t="inlineStr">
        <is>
          <t>VILHELMINA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47285-2022</t>
        </is>
      </c>
      <c r="B695" s="1" t="n">
        <v>44853</v>
      </c>
      <c r="C695" s="1" t="n">
        <v>45839</v>
      </c>
      <c r="D695" t="inlineStr">
        <is>
          <t>VÄSTERBOTTENS LÄN</t>
        </is>
      </c>
      <c r="E695" t="inlineStr">
        <is>
          <t>VILHELMINA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47286-2022</t>
        </is>
      </c>
      <c r="B696" s="1" t="n">
        <v>44852</v>
      </c>
      <c r="C696" s="1" t="n">
        <v>45839</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47575-2022</t>
        </is>
      </c>
      <c r="B697" s="1" t="n">
        <v>44853</v>
      </c>
      <c r="C697" s="1" t="n">
        <v>45839</v>
      </c>
      <c r="D697" t="inlineStr">
        <is>
          <t>VÄSTERBOTTENS LÄN</t>
        </is>
      </c>
      <c r="E697" t="inlineStr">
        <is>
          <t>VILHELMINA</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47571-2022</t>
        </is>
      </c>
      <c r="B698" s="1" t="n">
        <v>44853</v>
      </c>
      <c r="C698" s="1" t="n">
        <v>45839</v>
      </c>
      <c r="D698" t="inlineStr">
        <is>
          <t>VÄSTERBOTTENS LÄN</t>
        </is>
      </c>
      <c r="E698" t="inlineStr">
        <is>
          <t>VILHELMINA</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48068-2022</t>
        </is>
      </c>
      <c r="B699" s="1" t="n">
        <v>44855</v>
      </c>
      <c r="C699" s="1" t="n">
        <v>45839</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48117-2022</t>
        </is>
      </c>
      <c r="B700" s="1" t="n">
        <v>44857</v>
      </c>
      <c r="C700" s="1" t="n">
        <v>45839</v>
      </c>
      <c r="D700" t="inlineStr">
        <is>
          <t>VÄSTERBOTTENS LÄN</t>
        </is>
      </c>
      <c r="E700" t="inlineStr">
        <is>
          <t>VILHELMINA</t>
        </is>
      </c>
      <c r="G700" t="n">
        <v>5.8</v>
      </c>
      <c r="H700" t="n">
        <v>0</v>
      </c>
      <c r="I700" t="n">
        <v>0</v>
      </c>
      <c r="J700" t="n">
        <v>0</v>
      </c>
      <c r="K700" t="n">
        <v>0</v>
      </c>
      <c r="L700" t="n">
        <v>0</v>
      </c>
      <c r="M700" t="n">
        <v>0</v>
      </c>
      <c r="N700" t="n">
        <v>0</v>
      </c>
      <c r="O700" t="n">
        <v>0</v>
      </c>
      <c r="P700" t="n">
        <v>0</v>
      </c>
      <c r="Q700" t="n">
        <v>0</v>
      </c>
      <c r="R700" s="2" t="inlineStr"/>
    </row>
    <row r="701" ht="15" customHeight="1">
      <c r="A701" t="inlineStr">
        <is>
          <t>A 48524-2022</t>
        </is>
      </c>
      <c r="B701" s="1" t="n">
        <v>44859</v>
      </c>
      <c r="C701" s="1" t="n">
        <v>45839</v>
      </c>
      <c r="D701" t="inlineStr">
        <is>
          <t>VÄSTERBOTTENS LÄN</t>
        </is>
      </c>
      <c r="E701" t="inlineStr">
        <is>
          <t>VILHELMINA</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48507-2022</t>
        </is>
      </c>
      <c r="B702" s="1" t="n">
        <v>44859</v>
      </c>
      <c r="C702" s="1" t="n">
        <v>45839</v>
      </c>
      <c r="D702" t="inlineStr">
        <is>
          <t>VÄSTERBOTTENS LÄN</t>
        </is>
      </c>
      <c r="E702" t="inlineStr">
        <is>
          <t>VILHELMINA</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48526-2022</t>
        </is>
      </c>
      <c r="B703" s="1" t="n">
        <v>44858</v>
      </c>
      <c r="C703" s="1" t="n">
        <v>45839</v>
      </c>
      <c r="D703" t="inlineStr">
        <is>
          <t>VÄSTERBOTTENS LÄN</t>
        </is>
      </c>
      <c r="E703" t="inlineStr">
        <is>
          <t>VILHELMINA</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48515-2022</t>
        </is>
      </c>
      <c r="B704" s="1" t="n">
        <v>44859</v>
      </c>
      <c r="C704" s="1" t="n">
        <v>45839</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48551-2022</t>
        </is>
      </c>
      <c r="B705" s="1" t="n">
        <v>44859</v>
      </c>
      <c r="C705" s="1" t="n">
        <v>45839</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48508-2022</t>
        </is>
      </c>
      <c r="B706" s="1" t="n">
        <v>44858</v>
      </c>
      <c r="C706" s="1" t="n">
        <v>45839</v>
      </c>
      <c r="D706" t="inlineStr">
        <is>
          <t>VÄSTERBOTTENS LÄN</t>
        </is>
      </c>
      <c r="E706" t="inlineStr">
        <is>
          <t>VILHELMINA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48527-2022</t>
        </is>
      </c>
      <c r="B707" s="1" t="n">
        <v>44859</v>
      </c>
      <c r="C707" s="1" t="n">
        <v>45839</v>
      </c>
      <c r="D707" t="inlineStr">
        <is>
          <t>VÄSTERBOTTENS LÄN</t>
        </is>
      </c>
      <c r="E707" t="inlineStr">
        <is>
          <t>VILHELMINA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48775-2022</t>
        </is>
      </c>
      <c r="B708" s="1" t="n">
        <v>44859</v>
      </c>
      <c r="C708" s="1" t="n">
        <v>45839</v>
      </c>
      <c r="D708" t="inlineStr">
        <is>
          <t>VÄSTERBOTTENS LÄN</t>
        </is>
      </c>
      <c r="E708" t="inlineStr">
        <is>
          <t>VILHELMINA</t>
        </is>
      </c>
      <c r="F708" t="inlineStr">
        <is>
          <t>Sveaskog</t>
        </is>
      </c>
      <c r="G708" t="n">
        <v>10.7</v>
      </c>
      <c r="H708" t="n">
        <v>0</v>
      </c>
      <c r="I708" t="n">
        <v>0</v>
      </c>
      <c r="J708" t="n">
        <v>0</v>
      </c>
      <c r="K708" t="n">
        <v>0</v>
      </c>
      <c r="L708" t="n">
        <v>0</v>
      </c>
      <c r="M708" t="n">
        <v>0</v>
      </c>
      <c r="N708" t="n">
        <v>0</v>
      </c>
      <c r="O708" t="n">
        <v>0</v>
      </c>
      <c r="P708" t="n">
        <v>0</v>
      </c>
      <c r="Q708" t="n">
        <v>0</v>
      </c>
      <c r="R708" s="2" t="inlineStr"/>
    </row>
    <row r="709" ht="15" customHeight="1">
      <c r="A709" t="inlineStr">
        <is>
          <t>A 48768-2022</t>
        </is>
      </c>
      <c r="B709" s="1" t="n">
        <v>44859</v>
      </c>
      <c r="C709" s="1" t="n">
        <v>45839</v>
      </c>
      <c r="D709" t="inlineStr">
        <is>
          <t>VÄSTERBOTTENS LÄN</t>
        </is>
      </c>
      <c r="E709" t="inlineStr">
        <is>
          <t>VILHELMINA</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49599-2022</t>
        </is>
      </c>
      <c r="B710" s="1" t="n">
        <v>44859</v>
      </c>
      <c r="C710" s="1" t="n">
        <v>45839</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49526-2022</t>
        </is>
      </c>
      <c r="B711" s="1" t="n">
        <v>44862</v>
      </c>
      <c r="C711" s="1" t="n">
        <v>45839</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49640-2022</t>
        </is>
      </c>
      <c r="B712" s="1" t="n">
        <v>44862</v>
      </c>
      <c r="C712" s="1" t="n">
        <v>45839</v>
      </c>
      <c r="D712" t="inlineStr">
        <is>
          <t>VÄSTERBOTTENS LÄN</t>
        </is>
      </c>
      <c r="E712" t="inlineStr">
        <is>
          <t>VILHELMINA</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50883-2022</t>
        </is>
      </c>
      <c r="B713" s="1" t="n">
        <v>44867</v>
      </c>
      <c r="C713" s="1" t="n">
        <v>45839</v>
      </c>
      <c r="D713" t="inlineStr">
        <is>
          <t>VÄSTERBOTTENS LÄN</t>
        </is>
      </c>
      <c r="E713" t="inlineStr">
        <is>
          <t>VILHELMINA</t>
        </is>
      </c>
      <c r="F713" t="inlineStr">
        <is>
          <t>Sveaskog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51017-2022</t>
        </is>
      </c>
      <c r="B714" s="1" t="n">
        <v>44867</v>
      </c>
      <c r="C714" s="1" t="n">
        <v>45839</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52008-2022</t>
        </is>
      </c>
      <c r="B715" s="1" t="n">
        <v>44872</v>
      </c>
      <c r="C715" s="1" t="n">
        <v>45839</v>
      </c>
      <c r="D715" t="inlineStr">
        <is>
          <t>VÄSTERBOTTENS LÄN</t>
        </is>
      </c>
      <c r="E715" t="inlineStr">
        <is>
          <t>VILHELMINA</t>
        </is>
      </c>
      <c r="G715" t="n">
        <v>6</v>
      </c>
      <c r="H715" t="n">
        <v>0</v>
      </c>
      <c r="I715" t="n">
        <v>0</v>
      </c>
      <c r="J715" t="n">
        <v>0</v>
      </c>
      <c r="K715" t="n">
        <v>0</v>
      </c>
      <c r="L715" t="n">
        <v>0</v>
      </c>
      <c r="M715" t="n">
        <v>0</v>
      </c>
      <c r="N715" t="n">
        <v>0</v>
      </c>
      <c r="O715" t="n">
        <v>0</v>
      </c>
      <c r="P715" t="n">
        <v>0</v>
      </c>
      <c r="Q715" t="n">
        <v>0</v>
      </c>
      <c r="R715" s="2" t="inlineStr"/>
    </row>
    <row r="716" ht="15" customHeight="1">
      <c r="A716" t="inlineStr">
        <is>
          <t>A 52711-2022</t>
        </is>
      </c>
      <c r="B716" s="1" t="n">
        <v>44874</v>
      </c>
      <c r="C716" s="1" t="n">
        <v>45839</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52704-2022</t>
        </is>
      </c>
      <c r="B717" s="1" t="n">
        <v>44874</v>
      </c>
      <c r="C717" s="1" t="n">
        <v>45839</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52995-2022</t>
        </is>
      </c>
      <c r="B718" s="1" t="n">
        <v>44875</v>
      </c>
      <c r="C718" s="1" t="n">
        <v>45839</v>
      </c>
      <c r="D718" t="inlineStr">
        <is>
          <t>VÄSTERBOTTENS LÄN</t>
        </is>
      </c>
      <c r="E718" t="inlineStr">
        <is>
          <t>VILHELMINA</t>
        </is>
      </c>
      <c r="G718" t="n">
        <v>1.4</v>
      </c>
      <c r="H718" t="n">
        <v>0</v>
      </c>
      <c r="I718" t="n">
        <v>0</v>
      </c>
      <c r="J718" t="n">
        <v>0</v>
      </c>
      <c r="K718" t="n">
        <v>0</v>
      </c>
      <c r="L718" t="n">
        <v>0</v>
      </c>
      <c r="M718" t="n">
        <v>0</v>
      </c>
      <c r="N718" t="n">
        <v>0</v>
      </c>
      <c r="O718" t="n">
        <v>0</v>
      </c>
      <c r="P718" t="n">
        <v>0</v>
      </c>
      <c r="Q718" t="n">
        <v>0</v>
      </c>
      <c r="R718" s="2" t="inlineStr"/>
    </row>
    <row r="719" ht="15" customHeight="1">
      <c r="A719" t="inlineStr">
        <is>
          <t>A 53652-2022</t>
        </is>
      </c>
      <c r="B719" s="1" t="n">
        <v>44879</v>
      </c>
      <c r="C719" s="1" t="n">
        <v>45839</v>
      </c>
      <c r="D719" t="inlineStr">
        <is>
          <t>VÄSTERBOTTENS LÄN</t>
        </is>
      </c>
      <c r="E719" t="inlineStr">
        <is>
          <t>VILHELMINA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53654-2022</t>
        </is>
      </c>
      <c r="B720" s="1" t="n">
        <v>44879</v>
      </c>
      <c r="C720" s="1" t="n">
        <v>45839</v>
      </c>
      <c r="D720" t="inlineStr">
        <is>
          <t>VÄSTERBOTTENS LÄN</t>
        </is>
      </c>
      <c r="E720" t="inlineStr">
        <is>
          <t>VILHELMINA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53658-2022</t>
        </is>
      </c>
      <c r="B721" s="1" t="n">
        <v>44879</v>
      </c>
      <c r="C721" s="1" t="n">
        <v>45839</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45839</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54727-2022</t>
        </is>
      </c>
      <c r="B723" s="1" t="n">
        <v>44881</v>
      </c>
      <c r="C723" s="1" t="n">
        <v>45839</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55870-2022</t>
        </is>
      </c>
      <c r="B724" s="1" t="n">
        <v>44888</v>
      </c>
      <c r="C724" s="1" t="n">
        <v>45839</v>
      </c>
      <c r="D724" t="inlineStr">
        <is>
          <t>VÄSTERBOTTENS LÄN</t>
        </is>
      </c>
      <c r="E724" t="inlineStr">
        <is>
          <t>VILHELMINA</t>
        </is>
      </c>
      <c r="G724" t="n">
        <v>13.6</v>
      </c>
      <c r="H724" t="n">
        <v>0</v>
      </c>
      <c r="I724" t="n">
        <v>0</v>
      </c>
      <c r="J724" t="n">
        <v>0</v>
      </c>
      <c r="K724" t="n">
        <v>0</v>
      </c>
      <c r="L724" t="n">
        <v>0</v>
      </c>
      <c r="M724" t="n">
        <v>0</v>
      </c>
      <c r="N724" t="n">
        <v>0</v>
      </c>
      <c r="O724" t="n">
        <v>0</v>
      </c>
      <c r="P724" t="n">
        <v>0</v>
      </c>
      <c r="Q724" t="n">
        <v>0</v>
      </c>
      <c r="R724" s="2" t="inlineStr"/>
    </row>
    <row r="725" ht="15" customHeight="1">
      <c r="A725" t="inlineStr">
        <is>
          <t>A 56154-2022</t>
        </is>
      </c>
      <c r="B725" s="1" t="n">
        <v>44889</v>
      </c>
      <c r="C725" s="1" t="n">
        <v>45839</v>
      </c>
      <c r="D725" t="inlineStr">
        <is>
          <t>VÄSTERBOTTENS LÄN</t>
        </is>
      </c>
      <c r="E725" t="inlineStr">
        <is>
          <t>VILHELMINA</t>
        </is>
      </c>
      <c r="G725" t="n">
        <v>30</v>
      </c>
      <c r="H725" t="n">
        <v>0</v>
      </c>
      <c r="I725" t="n">
        <v>0</v>
      </c>
      <c r="J725" t="n">
        <v>0</v>
      </c>
      <c r="K725" t="n">
        <v>0</v>
      </c>
      <c r="L725" t="n">
        <v>0</v>
      </c>
      <c r="M725" t="n">
        <v>0</v>
      </c>
      <c r="N725" t="n">
        <v>0</v>
      </c>
      <c r="O725" t="n">
        <v>0</v>
      </c>
      <c r="P725" t="n">
        <v>0</v>
      </c>
      <c r="Q725" t="n">
        <v>0</v>
      </c>
      <c r="R725" s="2" t="inlineStr"/>
    </row>
    <row r="726" ht="15" customHeight="1">
      <c r="A726" t="inlineStr">
        <is>
          <t>A 56153-2022</t>
        </is>
      </c>
      <c r="B726" s="1" t="n">
        <v>44889</v>
      </c>
      <c r="C726" s="1" t="n">
        <v>45839</v>
      </c>
      <c r="D726" t="inlineStr">
        <is>
          <t>VÄSTERBOTTENS LÄN</t>
        </is>
      </c>
      <c r="E726" t="inlineStr">
        <is>
          <t>VILHELMINA</t>
        </is>
      </c>
      <c r="G726" t="n">
        <v>31.6</v>
      </c>
      <c r="H726" t="n">
        <v>0</v>
      </c>
      <c r="I726" t="n">
        <v>0</v>
      </c>
      <c r="J726" t="n">
        <v>0</v>
      </c>
      <c r="K726" t="n">
        <v>0</v>
      </c>
      <c r="L726" t="n">
        <v>0</v>
      </c>
      <c r="M726" t="n">
        <v>0</v>
      </c>
      <c r="N726" t="n">
        <v>0</v>
      </c>
      <c r="O726" t="n">
        <v>0</v>
      </c>
      <c r="P726" t="n">
        <v>0</v>
      </c>
      <c r="Q726" t="n">
        <v>0</v>
      </c>
      <c r="R726" s="2" t="inlineStr"/>
    </row>
    <row r="727" ht="15" customHeight="1">
      <c r="A727" t="inlineStr">
        <is>
          <t>A 56173-2022</t>
        </is>
      </c>
      <c r="B727" s="1" t="n">
        <v>44889</v>
      </c>
      <c r="C727" s="1" t="n">
        <v>45839</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56174-2022</t>
        </is>
      </c>
      <c r="B728" s="1" t="n">
        <v>44889</v>
      </c>
      <c r="C728" s="1" t="n">
        <v>45839</v>
      </c>
      <c r="D728" t="inlineStr">
        <is>
          <t>VÄSTERBOTTENS LÄN</t>
        </is>
      </c>
      <c r="E728" t="inlineStr">
        <is>
          <t>VILHELMINA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56179-2022</t>
        </is>
      </c>
      <c r="B729" s="1" t="n">
        <v>44889</v>
      </c>
      <c r="C729" s="1" t="n">
        <v>45839</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57332-2022</t>
        </is>
      </c>
      <c r="B730" s="1" t="n">
        <v>44889</v>
      </c>
      <c r="C730" s="1" t="n">
        <v>45839</v>
      </c>
      <c r="D730" t="inlineStr">
        <is>
          <t>VÄSTERBOTTENS LÄN</t>
        </is>
      </c>
      <c r="E730" t="inlineStr">
        <is>
          <t>VILHELMINA</t>
        </is>
      </c>
      <c r="G730" t="n">
        <v>5.1</v>
      </c>
      <c r="H730" t="n">
        <v>0</v>
      </c>
      <c r="I730" t="n">
        <v>0</v>
      </c>
      <c r="J730" t="n">
        <v>0</v>
      </c>
      <c r="K730" t="n">
        <v>0</v>
      </c>
      <c r="L730" t="n">
        <v>0</v>
      </c>
      <c r="M730" t="n">
        <v>0</v>
      </c>
      <c r="N730" t="n">
        <v>0</v>
      </c>
      <c r="O730" t="n">
        <v>0</v>
      </c>
      <c r="P730" t="n">
        <v>0</v>
      </c>
      <c r="Q730" t="n">
        <v>0</v>
      </c>
      <c r="R730" s="2" t="inlineStr"/>
    </row>
    <row r="731" ht="15" customHeight="1">
      <c r="A731" t="inlineStr">
        <is>
          <t>A 57324-2022</t>
        </is>
      </c>
      <c r="B731" s="1" t="n">
        <v>44889</v>
      </c>
      <c r="C731" s="1" t="n">
        <v>45839</v>
      </c>
      <c r="D731" t="inlineStr">
        <is>
          <t>VÄSTERBOTTENS LÄN</t>
        </is>
      </c>
      <c r="E731" t="inlineStr">
        <is>
          <t>VILHELMINA</t>
        </is>
      </c>
      <c r="G731" t="n">
        <v>1.7</v>
      </c>
      <c r="H731" t="n">
        <v>0</v>
      </c>
      <c r="I731" t="n">
        <v>0</v>
      </c>
      <c r="J731" t="n">
        <v>0</v>
      </c>
      <c r="K731" t="n">
        <v>0</v>
      </c>
      <c r="L731" t="n">
        <v>0</v>
      </c>
      <c r="M731" t="n">
        <v>0</v>
      </c>
      <c r="N731" t="n">
        <v>0</v>
      </c>
      <c r="O731" t="n">
        <v>0</v>
      </c>
      <c r="P731" t="n">
        <v>0</v>
      </c>
      <c r="Q731" t="n">
        <v>0</v>
      </c>
      <c r="R731" s="2" t="inlineStr"/>
    </row>
    <row r="732" ht="15" customHeight="1">
      <c r="A732" t="inlineStr">
        <is>
          <t>A 57328-2022</t>
        </is>
      </c>
      <c r="B732" s="1" t="n">
        <v>44889</v>
      </c>
      <c r="C732" s="1" t="n">
        <v>45839</v>
      </c>
      <c r="D732" t="inlineStr">
        <is>
          <t>VÄSTERBOTTENS LÄN</t>
        </is>
      </c>
      <c r="E732" t="inlineStr">
        <is>
          <t>VILHELMINA</t>
        </is>
      </c>
      <c r="G732" t="n">
        <v>9.5</v>
      </c>
      <c r="H732" t="n">
        <v>0</v>
      </c>
      <c r="I732" t="n">
        <v>0</v>
      </c>
      <c r="J732" t="n">
        <v>0</v>
      </c>
      <c r="K732" t="n">
        <v>0</v>
      </c>
      <c r="L732" t="n">
        <v>0</v>
      </c>
      <c r="M732" t="n">
        <v>0</v>
      </c>
      <c r="N732" t="n">
        <v>0</v>
      </c>
      <c r="O732" t="n">
        <v>0</v>
      </c>
      <c r="P732" t="n">
        <v>0</v>
      </c>
      <c r="Q732" t="n">
        <v>0</v>
      </c>
      <c r="R732" s="2" t="inlineStr"/>
    </row>
    <row r="733" ht="15" customHeight="1">
      <c r="A733" t="inlineStr">
        <is>
          <t>A 57339-2022</t>
        </is>
      </c>
      <c r="B733" s="1" t="n">
        <v>44889</v>
      </c>
      <c r="C733" s="1" t="n">
        <v>45839</v>
      </c>
      <c r="D733" t="inlineStr">
        <is>
          <t>VÄSTERBOTTENS LÄN</t>
        </is>
      </c>
      <c r="E733" t="inlineStr">
        <is>
          <t>VILHELMINA</t>
        </is>
      </c>
      <c r="G733" t="n">
        <v>33.1</v>
      </c>
      <c r="H733" t="n">
        <v>0</v>
      </c>
      <c r="I733" t="n">
        <v>0</v>
      </c>
      <c r="J733" t="n">
        <v>0</v>
      </c>
      <c r="K733" t="n">
        <v>0</v>
      </c>
      <c r="L733" t="n">
        <v>0</v>
      </c>
      <c r="M733" t="n">
        <v>0</v>
      </c>
      <c r="N733" t="n">
        <v>0</v>
      </c>
      <c r="O733" t="n">
        <v>0</v>
      </c>
      <c r="P733" t="n">
        <v>0</v>
      </c>
      <c r="Q733" t="n">
        <v>0</v>
      </c>
      <c r="R733" s="2" t="inlineStr"/>
    </row>
    <row r="734" ht="15" customHeight="1">
      <c r="A734" t="inlineStr">
        <is>
          <t>A 56408-2022</t>
        </is>
      </c>
      <c r="B734" s="1" t="n">
        <v>44890</v>
      </c>
      <c r="C734" s="1" t="n">
        <v>45839</v>
      </c>
      <c r="D734" t="inlineStr">
        <is>
          <t>VÄSTERBOTTENS LÄN</t>
        </is>
      </c>
      <c r="E734" t="inlineStr">
        <is>
          <t>VILHELMINA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56396-2022</t>
        </is>
      </c>
      <c r="B735" s="1" t="n">
        <v>44890</v>
      </c>
      <c r="C735" s="1" t="n">
        <v>45839</v>
      </c>
      <c r="D735" t="inlineStr">
        <is>
          <t>VÄSTERBOTTENS LÄN</t>
        </is>
      </c>
      <c r="E735" t="inlineStr">
        <is>
          <t>VILHELMINA</t>
        </is>
      </c>
      <c r="G735" t="n">
        <v>1.6</v>
      </c>
      <c r="H735" t="n">
        <v>0</v>
      </c>
      <c r="I735" t="n">
        <v>0</v>
      </c>
      <c r="J735" t="n">
        <v>0</v>
      </c>
      <c r="K735" t="n">
        <v>0</v>
      </c>
      <c r="L735" t="n">
        <v>0</v>
      </c>
      <c r="M735" t="n">
        <v>0</v>
      </c>
      <c r="N735" t="n">
        <v>0</v>
      </c>
      <c r="O735" t="n">
        <v>0</v>
      </c>
      <c r="P735" t="n">
        <v>0</v>
      </c>
      <c r="Q735" t="n">
        <v>0</v>
      </c>
      <c r="R735" s="2" t="inlineStr"/>
    </row>
    <row r="736" ht="15" customHeight="1">
      <c r="A736" t="inlineStr">
        <is>
          <t>A 56405-2022</t>
        </is>
      </c>
      <c r="B736" s="1" t="n">
        <v>44890</v>
      </c>
      <c r="C736" s="1" t="n">
        <v>45839</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56409-2022</t>
        </is>
      </c>
      <c r="B737" s="1" t="n">
        <v>44890</v>
      </c>
      <c r="C737" s="1" t="n">
        <v>45839</v>
      </c>
      <c r="D737" t="inlineStr">
        <is>
          <t>VÄSTERBOTTENS LÄN</t>
        </is>
      </c>
      <c r="E737" t="inlineStr">
        <is>
          <t>VILHELMINA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56407-2022</t>
        </is>
      </c>
      <c r="B738" s="1" t="n">
        <v>44890</v>
      </c>
      <c r="C738" s="1" t="n">
        <v>45839</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56406-2022</t>
        </is>
      </c>
      <c r="B739" s="1" t="n">
        <v>44890</v>
      </c>
      <c r="C739" s="1" t="n">
        <v>45839</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56733-2022</t>
        </is>
      </c>
      <c r="B740" s="1" t="n">
        <v>44893</v>
      </c>
      <c r="C740" s="1" t="n">
        <v>45839</v>
      </c>
      <c r="D740" t="inlineStr">
        <is>
          <t>VÄSTERBOTTENS LÄN</t>
        </is>
      </c>
      <c r="E740" t="inlineStr">
        <is>
          <t>VILHELMINA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57586-2022</t>
        </is>
      </c>
      <c r="B741" s="1" t="n">
        <v>44896</v>
      </c>
      <c r="C741" s="1" t="n">
        <v>45839</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58938-2022</t>
        </is>
      </c>
      <c r="B742" s="1" t="n">
        <v>44896</v>
      </c>
      <c r="C742" s="1" t="n">
        <v>45839</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58207-2022</t>
        </is>
      </c>
      <c r="B743" s="1" t="n">
        <v>44901</v>
      </c>
      <c r="C743" s="1" t="n">
        <v>45839</v>
      </c>
      <c r="D743" t="inlineStr">
        <is>
          <t>VÄSTERBOTTENS LÄN</t>
        </is>
      </c>
      <c r="E743" t="inlineStr">
        <is>
          <t>VILHELMINA</t>
        </is>
      </c>
      <c r="G743" t="n">
        <v>143.2</v>
      </c>
      <c r="H743" t="n">
        <v>0</v>
      </c>
      <c r="I743" t="n">
        <v>0</v>
      </c>
      <c r="J743" t="n">
        <v>0</v>
      </c>
      <c r="K743" t="n">
        <v>0</v>
      </c>
      <c r="L743" t="n">
        <v>0</v>
      </c>
      <c r="M743" t="n">
        <v>0</v>
      </c>
      <c r="N743" t="n">
        <v>0</v>
      </c>
      <c r="O743" t="n">
        <v>0</v>
      </c>
      <c r="P743" t="n">
        <v>0</v>
      </c>
      <c r="Q743" t="n">
        <v>0</v>
      </c>
      <c r="R743" s="2" t="inlineStr"/>
    </row>
    <row r="744" ht="15" customHeight="1">
      <c r="A744" t="inlineStr">
        <is>
          <t>A 58720-2022</t>
        </is>
      </c>
      <c r="B744" s="1" t="n">
        <v>44902</v>
      </c>
      <c r="C744" s="1" t="n">
        <v>45839</v>
      </c>
      <c r="D744" t="inlineStr">
        <is>
          <t>VÄSTERBOTTENS LÄN</t>
        </is>
      </c>
      <c r="E744" t="inlineStr">
        <is>
          <t>VILHELMINA</t>
        </is>
      </c>
      <c r="G744" t="n">
        <v>6.7</v>
      </c>
      <c r="H744" t="n">
        <v>0</v>
      </c>
      <c r="I744" t="n">
        <v>0</v>
      </c>
      <c r="J744" t="n">
        <v>0</v>
      </c>
      <c r="K744" t="n">
        <v>0</v>
      </c>
      <c r="L744" t="n">
        <v>0</v>
      </c>
      <c r="M744" t="n">
        <v>0</v>
      </c>
      <c r="N744" t="n">
        <v>0</v>
      </c>
      <c r="O744" t="n">
        <v>0</v>
      </c>
      <c r="P744" t="n">
        <v>0</v>
      </c>
      <c r="Q744" t="n">
        <v>0</v>
      </c>
      <c r="R744" s="2" t="inlineStr"/>
    </row>
    <row r="745" ht="15" customHeight="1">
      <c r="A745" t="inlineStr">
        <is>
          <t>A 58739-2022</t>
        </is>
      </c>
      <c r="B745" s="1" t="n">
        <v>44902</v>
      </c>
      <c r="C745" s="1" t="n">
        <v>45839</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59030-2022</t>
        </is>
      </c>
      <c r="B746" s="1" t="n">
        <v>44903</v>
      </c>
      <c r="C746" s="1" t="n">
        <v>45839</v>
      </c>
      <c r="D746" t="inlineStr">
        <is>
          <t>VÄSTERBOTTENS LÄN</t>
        </is>
      </c>
      <c r="E746" t="inlineStr">
        <is>
          <t>VILHELMINA</t>
        </is>
      </c>
      <c r="G746" t="n">
        <v>17.8</v>
      </c>
      <c r="H746" t="n">
        <v>0</v>
      </c>
      <c r="I746" t="n">
        <v>0</v>
      </c>
      <c r="J746" t="n">
        <v>0</v>
      </c>
      <c r="K746" t="n">
        <v>0</v>
      </c>
      <c r="L746" t="n">
        <v>0</v>
      </c>
      <c r="M746" t="n">
        <v>0</v>
      </c>
      <c r="N746" t="n">
        <v>0</v>
      </c>
      <c r="O746" t="n">
        <v>0</v>
      </c>
      <c r="P746" t="n">
        <v>0</v>
      </c>
      <c r="Q746" t="n">
        <v>0</v>
      </c>
      <c r="R746" s="2" t="inlineStr"/>
    </row>
    <row r="747" ht="15" customHeight="1">
      <c r="A747" t="inlineStr">
        <is>
          <t>A 60227-2022</t>
        </is>
      </c>
      <c r="B747" s="1" t="n">
        <v>44903</v>
      </c>
      <c r="C747" s="1" t="n">
        <v>45839</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60137-2022</t>
        </is>
      </c>
      <c r="B748" s="1" t="n">
        <v>44909</v>
      </c>
      <c r="C748" s="1" t="n">
        <v>45839</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61270-2022</t>
        </is>
      </c>
      <c r="B749" s="1" t="n">
        <v>44909</v>
      </c>
      <c r="C749" s="1" t="n">
        <v>45839</v>
      </c>
      <c r="D749" t="inlineStr">
        <is>
          <t>VÄSTERBOTTENS LÄN</t>
        </is>
      </c>
      <c r="E749" t="inlineStr">
        <is>
          <t>VILHELMINA</t>
        </is>
      </c>
      <c r="G749" t="n">
        <v>8.9</v>
      </c>
      <c r="H749" t="n">
        <v>0</v>
      </c>
      <c r="I749" t="n">
        <v>0</v>
      </c>
      <c r="J749" t="n">
        <v>0</v>
      </c>
      <c r="K749" t="n">
        <v>0</v>
      </c>
      <c r="L749" t="n">
        <v>0</v>
      </c>
      <c r="M749" t="n">
        <v>0</v>
      </c>
      <c r="N749" t="n">
        <v>0</v>
      </c>
      <c r="O749" t="n">
        <v>0</v>
      </c>
      <c r="P749" t="n">
        <v>0</v>
      </c>
      <c r="Q749" t="n">
        <v>0</v>
      </c>
      <c r="R749" s="2" t="inlineStr"/>
    </row>
    <row r="750" ht="15" customHeight="1">
      <c r="A750" t="inlineStr">
        <is>
          <t>A 60682-2022</t>
        </is>
      </c>
      <c r="B750" s="1" t="n">
        <v>44911</v>
      </c>
      <c r="C750" s="1" t="n">
        <v>45839</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60549-2022</t>
        </is>
      </c>
      <c r="B751" s="1" t="n">
        <v>44911</v>
      </c>
      <c r="C751" s="1" t="n">
        <v>45839</v>
      </c>
      <c r="D751" t="inlineStr">
        <is>
          <t>VÄSTERBOTTENS LÄN</t>
        </is>
      </c>
      <c r="E751" t="inlineStr">
        <is>
          <t>VILHELMINA</t>
        </is>
      </c>
      <c r="G751" t="n">
        <v>3.8</v>
      </c>
      <c r="H751" t="n">
        <v>0</v>
      </c>
      <c r="I751" t="n">
        <v>0</v>
      </c>
      <c r="J751" t="n">
        <v>0</v>
      </c>
      <c r="K751" t="n">
        <v>0</v>
      </c>
      <c r="L751" t="n">
        <v>0</v>
      </c>
      <c r="M751" t="n">
        <v>0</v>
      </c>
      <c r="N751" t="n">
        <v>0</v>
      </c>
      <c r="O751" t="n">
        <v>0</v>
      </c>
      <c r="P751" t="n">
        <v>0</v>
      </c>
      <c r="Q751" t="n">
        <v>0</v>
      </c>
      <c r="R751" s="2" t="inlineStr"/>
    </row>
    <row r="752" ht="15" customHeight="1">
      <c r="A752" t="inlineStr">
        <is>
          <t>A 61048-2022</t>
        </is>
      </c>
      <c r="B752" s="1" t="n">
        <v>44914</v>
      </c>
      <c r="C752" s="1" t="n">
        <v>45839</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61668-2022</t>
        </is>
      </c>
      <c r="B753" s="1" t="n">
        <v>44917</v>
      </c>
      <c r="C753" s="1" t="n">
        <v>45839</v>
      </c>
      <c r="D753" t="inlineStr">
        <is>
          <t>VÄSTERBOTTENS LÄN</t>
        </is>
      </c>
      <c r="E753" t="inlineStr">
        <is>
          <t>VILHELMINA</t>
        </is>
      </c>
      <c r="F753" t="inlineStr">
        <is>
          <t>Sveaskog</t>
        </is>
      </c>
      <c r="G753" t="n">
        <v>5.8</v>
      </c>
      <c r="H753" t="n">
        <v>0</v>
      </c>
      <c r="I753" t="n">
        <v>0</v>
      </c>
      <c r="J753" t="n">
        <v>0</v>
      </c>
      <c r="K753" t="n">
        <v>0</v>
      </c>
      <c r="L753" t="n">
        <v>0</v>
      </c>
      <c r="M753" t="n">
        <v>0</v>
      </c>
      <c r="N753" t="n">
        <v>0</v>
      </c>
      <c r="O753" t="n">
        <v>0</v>
      </c>
      <c r="P753" t="n">
        <v>0</v>
      </c>
      <c r="Q753" t="n">
        <v>0</v>
      </c>
      <c r="R753" s="2" t="inlineStr"/>
    </row>
    <row r="754" ht="15" customHeight="1">
      <c r="A754" t="inlineStr">
        <is>
          <t>A 61695-2022</t>
        </is>
      </c>
      <c r="B754" s="1" t="n">
        <v>44917</v>
      </c>
      <c r="C754" s="1" t="n">
        <v>45839</v>
      </c>
      <c r="D754" t="inlineStr">
        <is>
          <t>VÄSTERBOTTENS LÄN</t>
        </is>
      </c>
      <c r="E754" t="inlineStr">
        <is>
          <t>VILHELMINA</t>
        </is>
      </c>
      <c r="F754" t="inlineStr">
        <is>
          <t>Sveaskog</t>
        </is>
      </c>
      <c r="G754" t="n">
        <v>7.9</v>
      </c>
      <c r="H754" t="n">
        <v>0</v>
      </c>
      <c r="I754" t="n">
        <v>0</v>
      </c>
      <c r="J754" t="n">
        <v>0</v>
      </c>
      <c r="K754" t="n">
        <v>0</v>
      </c>
      <c r="L754" t="n">
        <v>0</v>
      </c>
      <c r="M754" t="n">
        <v>0</v>
      </c>
      <c r="N754" t="n">
        <v>0</v>
      </c>
      <c r="O754" t="n">
        <v>0</v>
      </c>
      <c r="P754" t="n">
        <v>0</v>
      </c>
      <c r="Q754" t="n">
        <v>0</v>
      </c>
      <c r="R754" s="2" t="inlineStr"/>
    </row>
    <row r="755" ht="15" customHeight="1">
      <c r="A755" t="inlineStr">
        <is>
          <t>A 62630-2022</t>
        </is>
      </c>
      <c r="B755" s="1" t="n">
        <v>44917</v>
      </c>
      <c r="C755" s="1" t="n">
        <v>45839</v>
      </c>
      <c r="D755" t="inlineStr">
        <is>
          <t>VÄSTERBOTTENS LÄN</t>
        </is>
      </c>
      <c r="E755" t="inlineStr">
        <is>
          <t>VILHELMINA</t>
        </is>
      </c>
      <c r="G755" t="n">
        <v>0.9</v>
      </c>
      <c r="H755" t="n">
        <v>0</v>
      </c>
      <c r="I755" t="n">
        <v>0</v>
      </c>
      <c r="J755" t="n">
        <v>0</v>
      </c>
      <c r="K755" t="n">
        <v>0</v>
      </c>
      <c r="L755" t="n">
        <v>0</v>
      </c>
      <c r="M755" t="n">
        <v>0</v>
      </c>
      <c r="N755" t="n">
        <v>0</v>
      </c>
      <c r="O755" t="n">
        <v>0</v>
      </c>
      <c r="P755" t="n">
        <v>0</v>
      </c>
      <c r="Q755" t="n">
        <v>0</v>
      </c>
      <c r="R755" s="2" t="inlineStr"/>
    </row>
    <row r="756" ht="15" customHeight="1">
      <c r="A756" t="inlineStr">
        <is>
          <t>A 62543-2022</t>
        </is>
      </c>
      <c r="B756" s="1" t="n">
        <v>44917</v>
      </c>
      <c r="C756" s="1" t="n">
        <v>45839</v>
      </c>
      <c r="D756" t="inlineStr">
        <is>
          <t>VÄSTERBOTTENS LÄN</t>
        </is>
      </c>
      <c r="E756" t="inlineStr">
        <is>
          <t>VILHELMINA</t>
        </is>
      </c>
      <c r="G756" t="n">
        <v>8.1</v>
      </c>
      <c r="H756" t="n">
        <v>0</v>
      </c>
      <c r="I756" t="n">
        <v>0</v>
      </c>
      <c r="J756" t="n">
        <v>0</v>
      </c>
      <c r="K756" t="n">
        <v>0</v>
      </c>
      <c r="L756" t="n">
        <v>0</v>
      </c>
      <c r="M756" t="n">
        <v>0</v>
      </c>
      <c r="N756" t="n">
        <v>0</v>
      </c>
      <c r="O756" t="n">
        <v>0</v>
      </c>
      <c r="P756" t="n">
        <v>0</v>
      </c>
      <c r="Q756" t="n">
        <v>0</v>
      </c>
      <c r="R756" s="2" t="inlineStr"/>
    </row>
    <row r="757" ht="15" customHeight="1">
      <c r="A757" t="inlineStr">
        <is>
          <t>A 62110-2022</t>
        </is>
      </c>
      <c r="B757" s="1" t="n">
        <v>44920</v>
      </c>
      <c r="C757" s="1" t="n">
        <v>45839</v>
      </c>
      <c r="D757" t="inlineStr">
        <is>
          <t>VÄSTERBOTTENS LÄN</t>
        </is>
      </c>
      <c r="E757" t="inlineStr">
        <is>
          <t>VILHELMINA</t>
        </is>
      </c>
      <c r="G757" t="n">
        <v>4.5</v>
      </c>
      <c r="H757" t="n">
        <v>0</v>
      </c>
      <c r="I757" t="n">
        <v>0</v>
      </c>
      <c r="J757" t="n">
        <v>0</v>
      </c>
      <c r="K757" t="n">
        <v>0</v>
      </c>
      <c r="L757" t="n">
        <v>0</v>
      </c>
      <c r="M757" t="n">
        <v>0</v>
      </c>
      <c r="N757" t="n">
        <v>0</v>
      </c>
      <c r="O757" t="n">
        <v>0</v>
      </c>
      <c r="P757" t="n">
        <v>0</v>
      </c>
      <c r="Q757" t="n">
        <v>0</v>
      </c>
      <c r="R757" s="2" t="inlineStr"/>
    </row>
    <row r="758" ht="15" customHeight="1">
      <c r="A758" t="inlineStr">
        <is>
          <t>A 62404-2022</t>
        </is>
      </c>
      <c r="B758" s="1" t="n">
        <v>44923</v>
      </c>
      <c r="C758" s="1" t="n">
        <v>45839</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62405-2022</t>
        </is>
      </c>
      <c r="B759" s="1" t="n">
        <v>44923</v>
      </c>
      <c r="C759" s="1" t="n">
        <v>45839</v>
      </c>
      <c r="D759" t="inlineStr">
        <is>
          <t>VÄSTERBOTTENS LÄN</t>
        </is>
      </c>
      <c r="E759" t="inlineStr">
        <is>
          <t>VILHELMINA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402-2023</t>
        </is>
      </c>
      <c r="B760" s="1" t="n">
        <v>44923</v>
      </c>
      <c r="C760" s="1" t="n">
        <v>45839</v>
      </c>
      <c r="D760" t="inlineStr">
        <is>
          <t>VÄSTERBOTTENS LÄN</t>
        </is>
      </c>
      <c r="E760" t="inlineStr">
        <is>
          <t>VILHELMINA</t>
        </is>
      </c>
      <c r="G760" t="n">
        <v>14.7</v>
      </c>
      <c r="H760" t="n">
        <v>0</v>
      </c>
      <c r="I760" t="n">
        <v>0</v>
      </c>
      <c r="J760" t="n">
        <v>0</v>
      </c>
      <c r="K760" t="n">
        <v>0</v>
      </c>
      <c r="L760" t="n">
        <v>0</v>
      </c>
      <c r="M760" t="n">
        <v>0</v>
      </c>
      <c r="N760" t="n">
        <v>0</v>
      </c>
      <c r="O760" t="n">
        <v>0</v>
      </c>
      <c r="P760" t="n">
        <v>0</v>
      </c>
      <c r="Q760" t="n">
        <v>0</v>
      </c>
      <c r="R760" s="2" t="inlineStr"/>
    </row>
    <row r="761" ht="15" customHeight="1">
      <c r="A761" t="inlineStr">
        <is>
          <t>A 288-2023</t>
        </is>
      </c>
      <c r="B761" s="1" t="n">
        <v>44928</v>
      </c>
      <c r="C761" s="1" t="n">
        <v>45839</v>
      </c>
      <c r="D761" t="inlineStr">
        <is>
          <t>VÄSTERBOTTENS LÄN</t>
        </is>
      </c>
      <c r="E761" t="inlineStr">
        <is>
          <t>VILHELMINA</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701-2023</t>
        </is>
      </c>
      <c r="B762" s="1" t="n">
        <v>44930</v>
      </c>
      <c r="C762" s="1" t="n">
        <v>45839</v>
      </c>
      <c r="D762" t="inlineStr">
        <is>
          <t>VÄSTERBOTTENS LÄN</t>
        </is>
      </c>
      <c r="E762" t="inlineStr">
        <is>
          <t>VILHELMINA</t>
        </is>
      </c>
      <c r="G762" t="n">
        <v>11.5</v>
      </c>
      <c r="H762" t="n">
        <v>0</v>
      </c>
      <c r="I762" t="n">
        <v>0</v>
      </c>
      <c r="J762" t="n">
        <v>0</v>
      </c>
      <c r="K762" t="n">
        <v>0</v>
      </c>
      <c r="L762" t="n">
        <v>0</v>
      </c>
      <c r="M762" t="n">
        <v>0</v>
      </c>
      <c r="N762" t="n">
        <v>0</v>
      </c>
      <c r="O762" t="n">
        <v>0</v>
      </c>
      <c r="P762" t="n">
        <v>0</v>
      </c>
      <c r="Q762" t="n">
        <v>0</v>
      </c>
      <c r="R762" s="2" t="inlineStr"/>
    </row>
    <row r="763" ht="15" customHeight="1">
      <c r="A763" t="inlineStr">
        <is>
          <t>A 1035-2023</t>
        </is>
      </c>
      <c r="B763" s="1" t="n">
        <v>44935</v>
      </c>
      <c r="C763" s="1" t="n">
        <v>45839</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1776-2023</t>
        </is>
      </c>
      <c r="B764" s="1" t="n">
        <v>44936</v>
      </c>
      <c r="C764" s="1" t="n">
        <v>45839</v>
      </c>
      <c r="D764" t="inlineStr">
        <is>
          <t>VÄSTERBOTTENS LÄN</t>
        </is>
      </c>
      <c r="E764" t="inlineStr">
        <is>
          <t>VILHELMINA</t>
        </is>
      </c>
      <c r="F764" t="inlineStr">
        <is>
          <t>Övriga Aktiebolag</t>
        </is>
      </c>
      <c r="G764" t="n">
        <v>18.4</v>
      </c>
      <c r="H764" t="n">
        <v>0</v>
      </c>
      <c r="I764" t="n">
        <v>0</v>
      </c>
      <c r="J764" t="n">
        <v>0</v>
      </c>
      <c r="K764" t="n">
        <v>0</v>
      </c>
      <c r="L764" t="n">
        <v>0</v>
      </c>
      <c r="M764" t="n">
        <v>0</v>
      </c>
      <c r="N764" t="n">
        <v>0</v>
      </c>
      <c r="O764" t="n">
        <v>0</v>
      </c>
      <c r="P764" t="n">
        <v>0</v>
      </c>
      <c r="Q764" t="n">
        <v>0</v>
      </c>
      <c r="R764" s="2" t="inlineStr"/>
    </row>
    <row r="765" ht="15" customHeight="1">
      <c r="A765" t="inlineStr">
        <is>
          <t>A 1763-2023</t>
        </is>
      </c>
      <c r="B765" s="1" t="n">
        <v>44938</v>
      </c>
      <c r="C765" s="1" t="n">
        <v>45839</v>
      </c>
      <c r="D765" t="inlineStr">
        <is>
          <t>VÄSTERBOTTENS LÄN</t>
        </is>
      </c>
      <c r="E765" t="inlineStr">
        <is>
          <t>VILHELMINA</t>
        </is>
      </c>
      <c r="G765" t="n">
        <v>69.3</v>
      </c>
      <c r="H765" t="n">
        <v>0</v>
      </c>
      <c r="I765" t="n">
        <v>0</v>
      </c>
      <c r="J765" t="n">
        <v>0</v>
      </c>
      <c r="K765" t="n">
        <v>0</v>
      </c>
      <c r="L765" t="n">
        <v>0</v>
      </c>
      <c r="M765" t="n">
        <v>0</v>
      </c>
      <c r="N765" t="n">
        <v>0</v>
      </c>
      <c r="O765" t="n">
        <v>0</v>
      </c>
      <c r="P765" t="n">
        <v>0</v>
      </c>
      <c r="Q765" t="n">
        <v>0</v>
      </c>
      <c r="R765" s="2" t="inlineStr"/>
    </row>
    <row r="766" ht="15" customHeight="1">
      <c r="A766" t="inlineStr">
        <is>
          <t>A 1766-2023</t>
        </is>
      </c>
      <c r="B766" s="1" t="n">
        <v>44938</v>
      </c>
      <c r="C766" s="1" t="n">
        <v>45839</v>
      </c>
      <c r="D766" t="inlineStr">
        <is>
          <t>VÄSTERBOTTENS LÄN</t>
        </is>
      </c>
      <c r="E766" t="inlineStr">
        <is>
          <t>VILHELMINA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2031-2023</t>
        </is>
      </c>
      <c r="B767" s="1" t="n">
        <v>44939</v>
      </c>
      <c r="C767" s="1" t="n">
        <v>45839</v>
      </c>
      <c r="D767" t="inlineStr">
        <is>
          <t>VÄSTERBOTTENS LÄN</t>
        </is>
      </c>
      <c r="E767" t="inlineStr">
        <is>
          <t>VILHELMINA</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2074-2023</t>
        </is>
      </c>
      <c r="B768" s="1" t="n">
        <v>44939</v>
      </c>
      <c r="C768" s="1" t="n">
        <v>45839</v>
      </c>
      <c r="D768" t="inlineStr">
        <is>
          <t>VÄSTERBOTTENS LÄN</t>
        </is>
      </c>
      <c r="E768" t="inlineStr">
        <is>
          <t>VILHELMINA</t>
        </is>
      </c>
      <c r="G768" t="n">
        <v>6.2</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45839</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2034-2023</t>
        </is>
      </c>
      <c r="B770" s="1" t="n">
        <v>44939</v>
      </c>
      <c r="C770" s="1" t="n">
        <v>45839</v>
      </c>
      <c r="D770" t="inlineStr">
        <is>
          <t>VÄSTERBOTTENS LÄN</t>
        </is>
      </c>
      <c r="E770" t="inlineStr">
        <is>
          <t>VILHELMINA</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2125-2023</t>
        </is>
      </c>
      <c r="B771" s="1" t="n">
        <v>44939</v>
      </c>
      <c r="C771" s="1" t="n">
        <v>45839</v>
      </c>
      <c r="D771" t="inlineStr">
        <is>
          <t>VÄSTERBOTTENS LÄN</t>
        </is>
      </c>
      <c r="E771" t="inlineStr">
        <is>
          <t>VILHELMINA</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2043-2023</t>
        </is>
      </c>
      <c r="B772" s="1" t="n">
        <v>44939</v>
      </c>
      <c r="C772" s="1" t="n">
        <v>45839</v>
      </c>
      <c r="D772" t="inlineStr">
        <is>
          <t>VÄSTERBOTTENS LÄN</t>
        </is>
      </c>
      <c r="E772" t="inlineStr">
        <is>
          <t>VILHELMINA</t>
        </is>
      </c>
      <c r="F772" t="inlineStr">
        <is>
          <t>Sveaskog</t>
        </is>
      </c>
      <c r="G772" t="n">
        <v>10.5</v>
      </c>
      <c r="H772" t="n">
        <v>0</v>
      </c>
      <c r="I772" t="n">
        <v>0</v>
      </c>
      <c r="J772" t="n">
        <v>0</v>
      </c>
      <c r="K772" t="n">
        <v>0</v>
      </c>
      <c r="L772" t="n">
        <v>0</v>
      </c>
      <c r="M772" t="n">
        <v>0</v>
      </c>
      <c r="N772" t="n">
        <v>0</v>
      </c>
      <c r="O772" t="n">
        <v>0</v>
      </c>
      <c r="P772" t="n">
        <v>0</v>
      </c>
      <c r="Q772" t="n">
        <v>0</v>
      </c>
      <c r="R772" s="2" t="inlineStr"/>
    </row>
    <row r="773" ht="15" customHeight="1">
      <c r="A773" t="inlineStr">
        <is>
          <t>A 2123-2023</t>
        </is>
      </c>
      <c r="B773" s="1" t="n">
        <v>44939</v>
      </c>
      <c r="C773" s="1" t="n">
        <v>45839</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2075-2023</t>
        </is>
      </c>
      <c r="B774" s="1" t="n">
        <v>44939</v>
      </c>
      <c r="C774" s="1" t="n">
        <v>45839</v>
      </c>
      <c r="D774" t="inlineStr">
        <is>
          <t>VÄSTERBOTTENS LÄN</t>
        </is>
      </c>
      <c r="E774" t="inlineStr">
        <is>
          <t>VILHELMINA</t>
        </is>
      </c>
      <c r="G774" t="n">
        <v>8</v>
      </c>
      <c r="H774" t="n">
        <v>0</v>
      </c>
      <c r="I774" t="n">
        <v>0</v>
      </c>
      <c r="J774" t="n">
        <v>0</v>
      </c>
      <c r="K774" t="n">
        <v>0</v>
      </c>
      <c r="L774" t="n">
        <v>0</v>
      </c>
      <c r="M774" t="n">
        <v>0</v>
      </c>
      <c r="N774" t="n">
        <v>0</v>
      </c>
      <c r="O774" t="n">
        <v>0</v>
      </c>
      <c r="P774" t="n">
        <v>0</v>
      </c>
      <c r="Q774" t="n">
        <v>0</v>
      </c>
      <c r="R774" s="2" t="inlineStr"/>
    </row>
    <row r="775" ht="15" customHeight="1">
      <c r="A775" t="inlineStr">
        <is>
          <t>A 2082-2023</t>
        </is>
      </c>
      <c r="B775" s="1" t="n">
        <v>44939</v>
      </c>
      <c r="C775" s="1" t="n">
        <v>45839</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2124-2023</t>
        </is>
      </c>
      <c r="B776" s="1" t="n">
        <v>44939</v>
      </c>
      <c r="C776" s="1" t="n">
        <v>45839</v>
      </c>
      <c r="D776" t="inlineStr">
        <is>
          <t>VÄSTERBOTTENS LÄN</t>
        </is>
      </c>
      <c r="E776" t="inlineStr">
        <is>
          <t>VILHELMINA</t>
        </is>
      </c>
      <c r="F776" t="inlineStr">
        <is>
          <t>SCA</t>
        </is>
      </c>
      <c r="G776" t="n">
        <v>28.8</v>
      </c>
      <c r="H776" t="n">
        <v>0</v>
      </c>
      <c r="I776" t="n">
        <v>0</v>
      </c>
      <c r="J776" t="n">
        <v>0</v>
      </c>
      <c r="K776" t="n">
        <v>0</v>
      </c>
      <c r="L776" t="n">
        <v>0</v>
      </c>
      <c r="M776" t="n">
        <v>0</v>
      </c>
      <c r="N776" t="n">
        <v>0</v>
      </c>
      <c r="O776" t="n">
        <v>0</v>
      </c>
      <c r="P776" t="n">
        <v>0</v>
      </c>
      <c r="Q776" t="n">
        <v>0</v>
      </c>
      <c r="R776" s="2" t="inlineStr"/>
    </row>
    <row r="777" ht="15" customHeight="1">
      <c r="A777" t="inlineStr">
        <is>
          <t>A 2122-2023</t>
        </is>
      </c>
      <c r="B777" s="1" t="n">
        <v>44939</v>
      </c>
      <c r="C777" s="1" t="n">
        <v>45839</v>
      </c>
      <c r="D777" t="inlineStr">
        <is>
          <t>VÄSTERBOTTENS LÄN</t>
        </is>
      </c>
      <c r="E777" t="inlineStr">
        <is>
          <t>VILHELMINA</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2126-2023</t>
        </is>
      </c>
      <c r="B778" s="1" t="n">
        <v>44939</v>
      </c>
      <c r="C778" s="1" t="n">
        <v>45839</v>
      </c>
      <c r="D778" t="inlineStr">
        <is>
          <t>VÄSTERBOTTENS LÄN</t>
        </is>
      </c>
      <c r="E778" t="inlineStr">
        <is>
          <t>VILHELMINA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2382-2023</t>
        </is>
      </c>
      <c r="B779" s="1" t="n">
        <v>44942</v>
      </c>
      <c r="C779" s="1" t="n">
        <v>45839</v>
      </c>
      <c r="D779" t="inlineStr">
        <is>
          <t>VÄSTERBOTTENS LÄN</t>
        </is>
      </c>
      <c r="E779" t="inlineStr">
        <is>
          <t>VILHELMINA</t>
        </is>
      </c>
      <c r="G779" t="n">
        <v>29.7</v>
      </c>
      <c r="H779" t="n">
        <v>0</v>
      </c>
      <c r="I779" t="n">
        <v>0</v>
      </c>
      <c r="J779" t="n">
        <v>0</v>
      </c>
      <c r="K779" t="n">
        <v>0</v>
      </c>
      <c r="L779" t="n">
        <v>0</v>
      </c>
      <c r="M779" t="n">
        <v>0</v>
      </c>
      <c r="N779" t="n">
        <v>0</v>
      </c>
      <c r="O779" t="n">
        <v>0</v>
      </c>
      <c r="P779" t="n">
        <v>0</v>
      </c>
      <c r="Q779" t="n">
        <v>0</v>
      </c>
      <c r="R779" s="2" t="inlineStr"/>
    </row>
    <row r="780" ht="15" customHeight="1">
      <c r="A780" t="inlineStr">
        <is>
          <t>A 2360-2023</t>
        </is>
      </c>
      <c r="B780" s="1" t="n">
        <v>44942</v>
      </c>
      <c r="C780" s="1" t="n">
        <v>45839</v>
      </c>
      <c r="D780" t="inlineStr">
        <is>
          <t>VÄSTERBOTTENS LÄN</t>
        </is>
      </c>
      <c r="E780" t="inlineStr">
        <is>
          <t>VILHELMINA</t>
        </is>
      </c>
      <c r="G780" t="n">
        <v>2.7</v>
      </c>
      <c r="H780" t="n">
        <v>0</v>
      </c>
      <c r="I780" t="n">
        <v>0</v>
      </c>
      <c r="J780" t="n">
        <v>0</v>
      </c>
      <c r="K780" t="n">
        <v>0</v>
      </c>
      <c r="L780" t="n">
        <v>0</v>
      </c>
      <c r="M780" t="n">
        <v>0</v>
      </c>
      <c r="N780" t="n">
        <v>0</v>
      </c>
      <c r="O780" t="n">
        <v>0</v>
      </c>
      <c r="P780" t="n">
        <v>0</v>
      </c>
      <c r="Q780" t="n">
        <v>0</v>
      </c>
      <c r="R780" s="2" t="inlineStr"/>
    </row>
    <row r="781" ht="15" customHeight="1">
      <c r="A781" t="inlineStr">
        <is>
          <t>A 2403-2023</t>
        </is>
      </c>
      <c r="B781" s="1" t="n">
        <v>44942</v>
      </c>
      <c r="C781" s="1" t="n">
        <v>45839</v>
      </c>
      <c r="D781" t="inlineStr">
        <is>
          <t>VÄSTERBOTTENS LÄN</t>
        </is>
      </c>
      <c r="E781" t="inlineStr">
        <is>
          <t>VILHELMINA</t>
        </is>
      </c>
      <c r="G781" t="n">
        <v>14.5</v>
      </c>
      <c r="H781" t="n">
        <v>0</v>
      </c>
      <c r="I781" t="n">
        <v>0</v>
      </c>
      <c r="J781" t="n">
        <v>0</v>
      </c>
      <c r="K781" t="n">
        <v>0</v>
      </c>
      <c r="L781" t="n">
        <v>0</v>
      </c>
      <c r="M781" t="n">
        <v>0</v>
      </c>
      <c r="N781" t="n">
        <v>0</v>
      </c>
      <c r="O781" t="n">
        <v>0</v>
      </c>
      <c r="P781" t="n">
        <v>0</v>
      </c>
      <c r="Q781" t="n">
        <v>0</v>
      </c>
      <c r="R781" s="2" t="inlineStr"/>
    </row>
    <row r="782" ht="15" customHeight="1">
      <c r="A782" t="inlineStr">
        <is>
          <t>A 2488-2023</t>
        </is>
      </c>
      <c r="B782" s="1" t="n">
        <v>44943</v>
      </c>
      <c r="C782" s="1" t="n">
        <v>45839</v>
      </c>
      <c r="D782" t="inlineStr">
        <is>
          <t>VÄSTERBOTTENS LÄN</t>
        </is>
      </c>
      <c r="E782" t="inlineStr">
        <is>
          <t>VILHELMINA</t>
        </is>
      </c>
      <c r="G782" t="n">
        <v>69.3</v>
      </c>
      <c r="H782" t="n">
        <v>0</v>
      </c>
      <c r="I782" t="n">
        <v>0</v>
      </c>
      <c r="J782" t="n">
        <v>0</v>
      </c>
      <c r="K782" t="n">
        <v>0</v>
      </c>
      <c r="L782" t="n">
        <v>0</v>
      </c>
      <c r="M782" t="n">
        <v>0</v>
      </c>
      <c r="N782" t="n">
        <v>0</v>
      </c>
      <c r="O782" t="n">
        <v>0</v>
      </c>
      <c r="P782" t="n">
        <v>0</v>
      </c>
      <c r="Q782" t="n">
        <v>0</v>
      </c>
      <c r="R782" s="2" t="inlineStr"/>
    </row>
    <row r="783" ht="15" customHeight="1">
      <c r="A783" t="inlineStr">
        <is>
          <t>A 2742-2023</t>
        </is>
      </c>
      <c r="B783" s="1" t="n">
        <v>44943</v>
      </c>
      <c r="C783" s="1" t="n">
        <v>45839</v>
      </c>
      <c r="D783" t="inlineStr">
        <is>
          <t>VÄSTERBOTTENS LÄN</t>
        </is>
      </c>
      <c r="E783" t="inlineStr">
        <is>
          <t>VILHELMINA</t>
        </is>
      </c>
      <c r="G783" t="n">
        <v>34.8</v>
      </c>
      <c r="H783" t="n">
        <v>0</v>
      </c>
      <c r="I783" t="n">
        <v>0</v>
      </c>
      <c r="J783" t="n">
        <v>0</v>
      </c>
      <c r="K783" t="n">
        <v>0</v>
      </c>
      <c r="L783" t="n">
        <v>0</v>
      </c>
      <c r="M783" t="n">
        <v>0</v>
      </c>
      <c r="N783" t="n">
        <v>0</v>
      </c>
      <c r="O783" t="n">
        <v>0</v>
      </c>
      <c r="P783" t="n">
        <v>0</v>
      </c>
      <c r="Q783" t="n">
        <v>0</v>
      </c>
      <c r="R783" s="2" t="inlineStr"/>
    </row>
    <row r="784" ht="15" customHeight="1">
      <c r="A784" t="inlineStr">
        <is>
          <t>A 2604-2023</t>
        </is>
      </c>
      <c r="B784" s="1" t="n">
        <v>44944</v>
      </c>
      <c r="C784" s="1" t="n">
        <v>45839</v>
      </c>
      <c r="D784" t="inlineStr">
        <is>
          <t>VÄSTERBOTTENS LÄN</t>
        </is>
      </c>
      <c r="E784" t="inlineStr">
        <is>
          <t>VILHELMINA</t>
        </is>
      </c>
      <c r="G784" t="n">
        <v>15.4</v>
      </c>
      <c r="H784" t="n">
        <v>0</v>
      </c>
      <c r="I784" t="n">
        <v>0</v>
      </c>
      <c r="J784" t="n">
        <v>0</v>
      </c>
      <c r="K784" t="n">
        <v>0</v>
      </c>
      <c r="L784" t="n">
        <v>0</v>
      </c>
      <c r="M784" t="n">
        <v>0</v>
      </c>
      <c r="N784" t="n">
        <v>0</v>
      </c>
      <c r="O784" t="n">
        <v>0</v>
      </c>
      <c r="P784" t="n">
        <v>0</v>
      </c>
      <c r="Q784" t="n">
        <v>0</v>
      </c>
      <c r="R784" s="2" t="inlineStr"/>
    </row>
    <row r="785" ht="15" customHeight="1">
      <c r="A785" t="inlineStr">
        <is>
          <t>A 2605-2023</t>
        </is>
      </c>
      <c r="B785" s="1" t="n">
        <v>44944</v>
      </c>
      <c r="C785" s="1" t="n">
        <v>45839</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2820-2023</t>
        </is>
      </c>
      <c r="B786" s="1" t="n">
        <v>44944</v>
      </c>
      <c r="C786" s="1" t="n">
        <v>45839</v>
      </c>
      <c r="D786" t="inlineStr">
        <is>
          <t>VÄSTERBOTTENS LÄN</t>
        </is>
      </c>
      <c r="E786" t="inlineStr">
        <is>
          <t>VILHELMINA</t>
        </is>
      </c>
      <c r="F786" t="inlineStr">
        <is>
          <t>SCA</t>
        </is>
      </c>
      <c r="G786" t="n">
        <v>11.9</v>
      </c>
      <c r="H786" t="n">
        <v>0</v>
      </c>
      <c r="I786" t="n">
        <v>0</v>
      </c>
      <c r="J786" t="n">
        <v>0</v>
      </c>
      <c r="K786" t="n">
        <v>0</v>
      </c>
      <c r="L786" t="n">
        <v>0</v>
      </c>
      <c r="M786" t="n">
        <v>0</v>
      </c>
      <c r="N786" t="n">
        <v>0</v>
      </c>
      <c r="O786" t="n">
        <v>0</v>
      </c>
      <c r="P786" t="n">
        <v>0</v>
      </c>
      <c r="Q786" t="n">
        <v>0</v>
      </c>
      <c r="R786" s="2" t="inlineStr"/>
    </row>
    <row r="787" ht="15" customHeight="1">
      <c r="A787" t="inlineStr">
        <is>
          <t>A 3393-2023</t>
        </is>
      </c>
      <c r="B787" s="1" t="n">
        <v>44945</v>
      </c>
      <c r="C787" s="1" t="n">
        <v>45839</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3745-2023</t>
        </is>
      </c>
      <c r="B788" s="1" t="n">
        <v>44949</v>
      </c>
      <c r="C788" s="1" t="n">
        <v>45839</v>
      </c>
      <c r="D788" t="inlineStr">
        <is>
          <t>VÄSTERBOTTENS LÄN</t>
        </is>
      </c>
      <c r="E788" t="inlineStr">
        <is>
          <t>VILHELMINA</t>
        </is>
      </c>
      <c r="G788" t="n">
        <v>36.6</v>
      </c>
      <c r="H788" t="n">
        <v>0</v>
      </c>
      <c r="I788" t="n">
        <v>0</v>
      </c>
      <c r="J788" t="n">
        <v>0</v>
      </c>
      <c r="K788" t="n">
        <v>0</v>
      </c>
      <c r="L788" t="n">
        <v>0</v>
      </c>
      <c r="M788" t="n">
        <v>0</v>
      </c>
      <c r="N788" t="n">
        <v>0</v>
      </c>
      <c r="O788" t="n">
        <v>0</v>
      </c>
      <c r="P788" t="n">
        <v>0</v>
      </c>
      <c r="Q788" t="n">
        <v>0</v>
      </c>
      <c r="R788" s="2" t="inlineStr"/>
    </row>
    <row r="789" ht="15" customHeight="1">
      <c r="A789" t="inlineStr">
        <is>
          <t>A 4344-2023</t>
        </is>
      </c>
      <c r="B789" s="1" t="n">
        <v>44954</v>
      </c>
      <c r="C789" s="1" t="n">
        <v>45839</v>
      </c>
      <c r="D789" t="inlineStr">
        <is>
          <t>VÄSTERBOTTENS LÄN</t>
        </is>
      </c>
      <c r="E789" t="inlineStr">
        <is>
          <t>VILHELMINA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4373-2023</t>
        </is>
      </c>
      <c r="B790" s="1" t="n">
        <v>44955</v>
      </c>
      <c r="C790" s="1" t="n">
        <v>45839</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4919-2023</t>
        </is>
      </c>
      <c r="B791" s="1" t="n">
        <v>44956</v>
      </c>
      <c r="C791" s="1" t="n">
        <v>45839</v>
      </c>
      <c r="D791" t="inlineStr">
        <is>
          <t>VÄSTERBOTTENS LÄN</t>
        </is>
      </c>
      <c r="E791" t="inlineStr">
        <is>
          <t>VILHELMINA</t>
        </is>
      </c>
      <c r="G791" t="n">
        <v>35</v>
      </c>
      <c r="H791" t="n">
        <v>0</v>
      </c>
      <c r="I791" t="n">
        <v>0</v>
      </c>
      <c r="J791" t="n">
        <v>0</v>
      </c>
      <c r="K791" t="n">
        <v>0</v>
      </c>
      <c r="L791" t="n">
        <v>0</v>
      </c>
      <c r="M791" t="n">
        <v>0</v>
      </c>
      <c r="N791" t="n">
        <v>0</v>
      </c>
      <c r="O791" t="n">
        <v>0</v>
      </c>
      <c r="P791" t="n">
        <v>0</v>
      </c>
      <c r="Q791" t="n">
        <v>0</v>
      </c>
      <c r="R791" s="2" t="inlineStr"/>
    </row>
    <row r="792" ht="15" customHeight="1">
      <c r="A792" t="inlineStr">
        <is>
          <t>A 5301-2023</t>
        </is>
      </c>
      <c r="B792" s="1" t="n">
        <v>44956</v>
      </c>
      <c r="C792" s="1" t="n">
        <v>45839</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5297-2023</t>
        </is>
      </c>
      <c r="B793" s="1" t="n">
        <v>44956</v>
      </c>
      <c r="C793" s="1" t="n">
        <v>45839</v>
      </c>
      <c r="D793" t="inlineStr">
        <is>
          <t>VÄSTERBOTTENS LÄN</t>
        </is>
      </c>
      <c r="E793" t="inlineStr">
        <is>
          <t>VILHELMINA</t>
        </is>
      </c>
      <c r="G793" t="n">
        <v>10.7</v>
      </c>
      <c r="H793" t="n">
        <v>0</v>
      </c>
      <c r="I793" t="n">
        <v>0</v>
      </c>
      <c r="J793" t="n">
        <v>0</v>
      </c>
      <c r="K793" t="n">
        <v>0</v>
      </c>
      <c r="L793" t="n">
        <v>0</v>
      </c>
      <c r="M793" t="n">
        <v>0</v>
      </c>
      <c r="N793" t="n">
        <v>0</v>
      </c>
      <c r="O793" t="n">
        <v>0</v>
      </c>
      <c r="P793" t="n">
        <v>0</v>
      </c>
      <c r="Q793" t="n">
        <v>0</v>
      </c>
      <c r="R793" s="2" t="inlineStr"/>
    </row>
    <row r="794" ht="15" customHeight="1">
      <c r="A794" t="inlineStr">
        <is>
          <t>A 4869-2023</t>
        </is>
      </c>
      <c r="B794" s="1" t="n">
        <v>44957</v>
      </c>
      <c r="C794" s="1" t="n">
        <v>45839</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5713-2023</t>
        </is>
      </c>
      <c r="B795" s="1" t="n">
        <v>44960</v>
      </c>
      <c r="C795" s="1" t="n">
        <v>45839</v>
      </c>
      <c r="D795" t="inlineStr">
        <is>
          <t>VÄSTERBOTTENS LÄN</t>
        </is>
      </c>
      <c r="E795" t="inlineStr">
        <is>
          <t>VILHELMINA</t>
        </is>
      </c>
      <c r="F795" t="inlineStr">
        <is>
          <t>SCA</t>
        </is>
      </c>
      <c r="G795" t="n">
        <v>33.2</v>
      </c>
      <c r="H795" t="n">
        <v>0</v>
      </c>
      <c r="I795" t="n">
        <v>0</v>
      </c>
      <c r="J795" t="n">
        <v>0</v>
      </c>
      <c r="K795" t="n">
        <v>0</v>
      </c>
      <c r="L795" t="n">
        <v>0</v>
      </c>
      <c r="M795" t="n">
        <v>0</v>
      </c>
      <c r="N795" t="n">
        <v>0</v>
      </c>
      <c r="O795" t="n">
        <v>0</v>
      </c>
      <c r="P795" t="n">
        <v>0</v>
      </c>
      <c r="Q795" t="n">
        <v>0</v>
      </c>
      <c r="R795" s="2" t="inlineStr"/>
    </row>
    <row r="796" ht="15" customHeight="1">
      <c r="A796" t="inlineStr">
        <is>
          <t>A 5697-2023</t>
        </is>
      </c>
      <c r="B796" s="1" t="n">
        <v>44960</v>
      </c>
      <c r="C796" s="1" t="n">
        <v>45839</v>
      </c>
      <c r="D796" t="inlineStr">
        <is>
          <t>VÄSTERBOTTENS LÄN</t>
        </is>
      </c>
      <c r="E796" t="inlineStr">
        <is>
          <t>VILHELMINA</t>
        </is>
      </c>
      <c r="F796" t="inlineStr">
        <is>
          <t>SCA</t>
        </is>
      </c>
      <c r="G796" t="n">
        <v>15.9</v>
      </c>
      <c r="H796" t="n">
        <v>0</v>
      </c>
      <c r="I796" t="n">
        <v>0</v>
      </c>
      <c r="J796" t="n">
        <v>0</v>
      </c>
      <c r="K796" t="n">
        <v>0</v>
      </c>
      <c r="L796" t="n">
        <v>0</v>
      </c>
      <c r="M796" t="n">
        <v>0</v>
      </c>
      <c r="N796" t="n">
        <v>0</v>
      </c>
      <c r="O796" t="n">
        <v>0</v>
      </c>
      <c r="P796" t="n">
        <v>0</v>
      </c>
      <c r="Q796" t="n">
        <v>0</v>
      </c>
      <c r="R796" s="2" t="inlineStr"/>
    </row>
    <row r="797" ht="15" customHeight="1">
      <c r="A797" t="inlineStr">
        <is>
          <t>A 5699-2023</t>
        </is>
      </c>
      <c r="B797" s="1" t="n">
        <v>44960</v>
      </c>
      <c r="C797" s="1" t="n">
        <v>45839</v>
      </c>
      <c r="D797" t="inlineStr">
        <is>
          <t>VÄSTERBOTTENS LÄN</t>
        </is>
      </c>
      <c r="E797" t="inlineStr">
        <is>
          <t>VILHELMINA</t>
        </is>
      </c>
      <c r="F797" t="inlineStr">
        <is>
          <t>SCA</t>
        </is>
      </c>
      <c r="G797" t="n">
        <v>104.8</v>
      </c>
      <c r="H797" t="n">
        <v>0</v>
      </c>
      <c r="I797" t="n">
        <v>0</v>
      </c>
      <c r="J797" t="n">
        <v>0</v>
      </c>
      <c r="K797" t="n">
        <v>0</v>
      </c>
      <c r="L797" t="n">
        <v>0</v>
      </c>
      <c r="M797" t="n">
        <v>0</v>
      </c>
      <c r="N797" t="n">
        <v>0</v>
      </c>
      <c r="O797" t="n">
        <v>0</v>
      </c>
      <c r="P797" t="n">
        <v>0</v>
      </c>
      <c r="Q797" t="n">
        <v>0</v>
      </c>
      <c r="R797" s="2" t="inlineStr"/>
    </row>
    <row r="798" ht="15" customHeight="1">
      <c r="A798" t="inlineStr">
        <is>
          <t>A 5712-2023</t>
        </is>
      </c>
      <c r="B798" s="1" t="n">
        <v>44960</v>
      </c>
      <c r="C798" s="1" t="n">
        <v>45839</v>
      </c>
      <c r="D798" t="inlineStr">
        <is>
          <t>VÄSTERBOTTENS LÄN</t>
        </is>
      </c>
      <c r="E798" t="inlineStr">
        <is>
          <t>VILHELMINA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6616-2023</t>
        </is>
      </c>
      <c r="B799" s="1" t="n">
        <v>44960</v>
      </c>
      <c r="C799" s="1" t="n">
        <v>45839</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6610-2023</t>
        </is>
      </c>
      <c r="B800" s="1" t="n">
        <v>44960</v>
      </c>
      <c r="C800" s="1" t="n">
        <v>45839</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5955-2023</t>
        </is>
      </c>
      <c r="B801" s="1" t="n">
        <v>44963</v>
      </c>
      <c r="C801" s="1" t="n">
        <v>45839</v>
      </c>
      <c r="D801" t="inlineStr">
        <is>
          <t>VÄSTERBOTTENS LÄN</t>
        </is>
      </c>
      <c r="E801" t="inlineStr">
        <is>
          <t>VILHELMINA</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5947-2023</t>
        </is>
      </c>
      <c r="B802" s="1" t="n">
        <v>44963</v>
      </c>
      <c r="C802" s="1" t="n">
        <v>45839</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8215-2023</t>
        </is>
      </c>
      <c r="B803" s="1" t="n">
        <v>44971</v>
      </c>
      <c r="C803" s="1" t="n">
        <v>45839</v>
      </c>
      <c r="D803" t="inlineStr">
        <is>
          <t>VÄSTERBOTTENS LÄN</t>
        </is>
      </c>
      <c r="E803" t="inlineStr">
        <is>
          <t>VILHELMINA</t>
        </is>
      </c>
      <c r="G803" t="n">
        <v>0.8</v>
      </c>
      <c r="H803" t="n">
        <v>0</v>
      </c>
      <c r="I803" t="n">
        <v>0</v>
      </c>
      <c r="J803" t="n">
        <v>0</v>
      </c>
      <c r="K803" t="n">
        <v>0</v>
      </c>
      <c r="L803" t="n">
        <v>0</v>
      </c>
      <c r="M803" t="n">
        <v>0</v>
      </c>
      <c r="N803" t="n">
        <v>0</v>
      </c>
      <c r="O803" t="n">
        <v>0</v>
      </c>
      <c r="P803" t="n">
        <v>0</v>
      </c>
      <c r="Q803" t="n">
        <v>0</v>
      </c>
      <c r="R803" s="2" t="inlineStr"/>
    </row>
    <row r="804" ht="15" customHeight="1">
      <c r="A804" t="inlineStr">
        <is>
          <t>A 8555-2023</t>
        </is>
      </c>
      <c r="B804" s="1" t="n">
        <v>44972</v>
      </c>
      <c r="C804" s="1" t="n">
        <v>45839</v>
      </c>
      <c r="D804" t="inlineStr">
        <is>
          <t>VÄSTERBOTTENS LÄN</t>
        </is>
      </c>
      <c r="E804" t="inlineStr">
        <is>
          <t>VILHELMINA</t>
        </is>
      </c>
      <c r="F804" t="inlineStr">
        <is>
          <t>Allmännings- och besparingsskogar</t>
        </is>
      </c>
      <c r="G804" t="n">
        <v>37.9</v>
      </c>
      <c r="H804" t="n">
        <v>0</v>
      </c>
      <c r="I804" t="n">
        <v>0</v>
      </c>
      <c r="J804" t="n">
        <v>0</v>
      </c>
      <c r="K804" t="n">
        <v>0</v>
      </c>
      <c r="L804" t="n">
        <v>0</v>
      </c>
      <c r="M804" t="n">
        <v>0</v>
      </c>
      <c r="N804" t="n">
        <v>0</v>
      </c>
      <c r="O804" t="n">
        <v>0</v>
      </c>
      <c r="P804" t="n">
        <v>0</v>
      </c>
      <c r="Q804" t="n">
        <v>0</v>
      </c>
      <c r="R804" s="2" t="inlineStr"/>
    </row>
    <row r="805" ht="15" customHeight="1">
      <c r="A805" t="inlineStr">
        <is>
          <t>A 8745-2023</t>
        </is>
      </c>
      <c r="B805" s="1" t="n">
        <v>44972</v>
      </c>
      <c r="C805" s="1" t="n">
        <v>45839</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45839</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8733-2023</t>
        </is>
      </c>
      <c r="B807" s="1" t="n">
        <v>44972</v>
      </c>
      <c r="C807" s="1" t="n">
        <v>45839</v>
      </c>
      <c r="D807" t="inlineStr">
        <is>
          <t>VÄSTERBOTTENS LÄN</t>
        </is>
      </c>
      <c r="E807" t="inlineStr">
        <is>
          <t>VILHELMINA</t>
        </is>
      </c>
      <c r="F807" t="inlineStr">
        <is>
          <t>Allmännings- och besparingsskogar</t>
        </is>
      </c>
      <c r="G807" t="n">
        <v>19</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45839</v>
      </c>
      <c r="D808" t="inlineStr">
        <is>
          <t>VÄSTERBOTTENS LÄN</t>
        </is>
      </c>
      <c r="E808" t="inlineStr">
        <is>
          <t>VILHELMINA</t>
        </is>
      </c>
      <c r="F808" t="inlineStr">
        <is>
          <t>Allmännings- och besparingsskogar</t>
        </is>
      </c>
      <c r="G808" t="n">
        <v>48.5</v>
      </c>
      <c r="H808" t="n">
        <v>0</v>
      </c>
      <c r="I808" t="n">
        <v>0</v>
      </c>
      <c r="J808" t="n">
        <v>0</v>
      </c>
      <c r="K808" t="n">
        <v>0</v>
      </c>
      <c r="L808" t="n">
        <v>0</v>
      </c>
      <c r="M808" t="n">
        <v>0</v>
      </c>
      <c r="N808" t="n">
        <v>0</v>
      </c>
      <c r="O808" t="n">
        <v>0</v>
      </c>
      <c r="P808" t="n">
        <v>0</v>
      </c>
      <c r="Q808" t="n">
        <v>0</v>
      </c>
      <c r="R808" s="2" t="inlineStr"/>
    </row>
    <row r="809" ht="15" customHeight="1">
      <c r="A809" t="inlineStr">
        <is>
          <t>A 8908-2023</t>
        </is>
      </c>
      <c r="B809" s="1" t="n">
        <v>44972</v>
      </c>
      <c r="C809" s="1" t="n">
        <v>45839</v>
      </c>
      <c r="D809" t="inlineStr">
        <is>
          <t>VÄSTERBOTTENS LÄN</t>
        </is>
      </c>
      <c r="E809" t="inlineStr">
        <is>
          <t>VILHELMINA</t>
        </is>
      </c>
      <c r="F809" t="inlineStr">
        <is>
          <t>Allmännings- och besparingsskogar</t>
        </is>
      </c>
      <c r="G809" t="n">
        <v>22.3</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45839</v>
      </c>
      <c r="D810" t="inlineStr">
        <is>
          <t>VÄSTERBOTTENS LÄN</t>
        </is>
      </c>
      <c r="E810" t="inlineStr">
        <is>
          <t>VILHELMINA</t>
        </is>
      </c>
      <c r="F810" t="inlineStr">
        <is>
          <t>Allmännings- och besparingsskogar</t>
        </is>
      </c>
      <c r="G810" t="n">
        <v>213.9</v>
      </c>
      <c r="H810" t="n">
        <v>0</v>
      </c>
      <c r="I810" t="n">
        <v>0</v>
      </c>
      <c r="J810" t="n">
        <v>0</v>
      </c>
      <c r="K810" t="n">
        <v>0</v>
      </c>
      <c r="L810" t="n">
        <v>0</v>
      </c>
      <c r="M810" t="n">
        <v>0</v>
      </c>
      <c r="N810" t="n">
        <v>0</v>
      </c>
      <c r="O810" t="n">
        <v>0</v>
      </c>
      <c r="P810" t="n">
        <v>0</v>
      </c>
      <c r="Q810" t="n">
        <v>0</v>
      </c>
      <c r="R810" s="2" t="inlineStr"/>
    </row>
    <row r="811" ht="15" customHeight="1">
      <c r="A811" t="inlineStr">
        <is>
          <t>A 9170-2023</t>
        </is>
      </c>
      <c r="B811" s="1" t="n">
        <v>44972</v>
      </c>
      <c r="C811" s="1" t="n">
        <v>45839</v>
      </c>
      <c r="D811" t="inlineStr">
        <is>
          <t>VÄSTERBOTTENS LÄN</t>
        </is>
      </c>
      <c r="E811" t="inlineStr">
        <is>
          <t>VILHELMINA</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8916-2023</t>
        </is>
      </c>
      <c r="B812" s="1" t="n">
        <v>44972</v>
      </c>
      <c r="C812" s="1" t="n">
        <v>45839</v>
      </c>
      <c r="D812" t="inlineStr">
        <is>
          <t>VÄSTERBOTTENS LÄN</t>
        </is>
      </c>
      <c r="E812" t="inlineStr">
        <is>
          <t>VILHELMINA</t>
        </is>
      </c>
      <c r="F812" t="inlineStr">
        <is>
          <t>Allmännings- och besparingsskogar</t>
        </is>
      </c>
      <c r="G812" t="n">
        <v>20.9</v>
      </c>
      <c r="H812" t="n">
        <v>0</v>
      </c>
      <c r="I812" t="n">
        <v>0</v>
      </c>
      <c r="J812" t="n">
        <v>0</v>
      </c>
      <c r="K812" t="n">
        <v>0</v>
      </c>
      <c r="L812" t="n">
        <v>0</v>
      </c>
      <c r="M812" t="n">
        <v>0</v>
      </c>
      <c r="N812" t="n">
        <v>0</v>
      </c>
      <c r="O812" t="n">
        <v>0</v>
      </c>
      <c r="P812" t="n">
        <v>0</v>
      </c>
      <c r="Q812" t="n">
        <v>0</v>
      </c>
      <c r="R812" s="2" t="inlineStr"/>
    </row>
    <row r="813" ht="15" customHeight="1">
      <c r="A813" t="inlineStr">
        <is>
          <t>A 9185-2023</t>
        </is>
      </c>
      <c r="B813" s="1" t="n">
        <v>44972</v>
      </c>
      <c r="C813" s="1" t="n">
        <v>45839</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8027-2023</t>
        </is>
      </c>
      <c r="B814" s="1" t="n">
        <v>44973</v>
      </c>
      <c r="C814" s="1" t="n">
        <v>45839</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8652-2023</t>
        </is>
      </c>
      <c r="B815" s="1" t="n">
        <v>44978</v>
      </c>
      <c r="C815" s="1" t="n">
        <v>45839</v>
      </c>
      <c r="D815" t="inlineStr">
        <is>
          <t>VÄSTERBOTTENS LÄN</t>
        </is>
      </c>
      <c r="E815" t="inlineStr">
        <is>
          <t>VILHELMINA</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8653-2023</t>
        </is>
      </c>
      <c r="B816" s="1" t="n">
        <v>44977</v>
      </c>
      <c r="C816" s="1" t="n">
        <v>45839</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8650-2023</t>
        </is>
      </c>
      <c r="B817" s="1" t="n">
        <v>44977</v>
      </c>
      <c r="C817" s="1" t="n">
        <v>45839</v>
      </c>
      <c r="D817" t="inlineStr">
        <is>
          <t>VÄSTERBOTTENS LÄN</t>
        </is>
      </c>
      <c r="E817" t="inlineStr">
        <is>
          <t>VILHELMINA</t>
        </is>
      </c>
      <c r="F817" t="inlineStr">
        <is>
          <t>SCA</t>
        </is>
      </c>
      <c r="G817" t="n">
        <v>48.9</v>
      </c>
      <c r="H817" t="n">
        <v>0</v>
      </c>
      <c r="I817" t="n">
        <v>0</v>
      </c>
      <c r="J817" t="n">
        <v>0</v>
      </c>
      <c r="K817" t="n">
        <v>0</v>
      </c>
      <c r="L817" t="n">
        <v>0</v>
      </c>
      <c r="M817" t="n">
        <v>0</v>
      </c>
      <c r="N817" t="n">
        <v>0</v>
      </c>
      <c r="O817" t="n">
        <v>0</v>
      </c>
      <c r="P817" t="n">
        <v>0</v>
      </c>
      <c r="Q817" t="n">
        <v>0</v>
      </c>
      <c r="R817" s="2" t="inlineStr"/>
    </row>
    <row r="818" ht="15" customHeight="1">
      <c r="A818" t="inlineStr">
        <is>
          <t>A 9197-2023</t>
        </is>
      </c>
      <c r="B818" s="1" t="n">
        <v>44977</v>
      </c>
      <c r="C818" s="1" t="n">
        <v>45839</v>
      </c>
      <c r="D818" t="inlineStr">
        <is>
          <t>VÄSTERBOTTENS LÄN</t>
        </is>
      </c>
      <c r="E818" t="inlineStr">
        <is>
          <t>VILHELMINA</t>
        </is>
      </c>
      <c r="G818" t="n">
        <v>8.9</v>
      </c>
      <c r="H818" t="n">
        <v>0</v>
      </c>
      <c r="I818" t="n">
        <v>0</v>
      </c>
      <c r="J818" t="n">
        <v>0</v>
      </c>
      <c r="K818" t="n">
        <v>0</v>
      </c>
      <c r="L818" t="n">
        <v>0</v>
      </c>
      <c r="M818" t="n">
        <v>0</v>
      </c>
      <c r="N818" t="n">
        <v>0</v>
      </c>
      <c r="O818" t="n">
        <v>0</v>
      </c>
      <c r="P818" t="n">
        <v>0</v>
      </c>
      <c r="Q818" t="n">
        <v>0</v>
      </c>
      <c r="R818" s="2" t="inlineStr"/>
    </row>
    <row r="819" ht="15" customHeight="1">
      <c r="A819" t="inlineStr">
        <is>
          <t>A 8859-2023</t>
        </is>
      </c>
      <c r="B819" s="1" t="n">
        <v>44978</v>
      </c>
      <c r="C819" s="1" t="n">
        <v>45839</v>
      </c>
      <c r="D819" t="inlineStr">
        <is>
          <t>VÄSTERBOTTENS LÄN</t>
        </is>
      </c>
      <c r="E819" t="inlineStr">
        <is>
          <t>VILHELMINA</t>
        </is>
      </c>
      <c r="G819" t="n">
        <v>6.3</v>
      </c>
      <c r="H819" t="n">
        <v>0</v>
      </c>
      <c r="I819" t="n">
        <v>0</v>
      </c>
      <c r="J819" t="n">
        <v>0</v>
      </c>
      <c r="K819" t="n">
        <v>0</v>
      </c>
      <c r="L819" t="n">
        <v>0</v>
      </c>
      <c r="M819" t="n">
        <v>0</v>
      </c>
      <c r="N819" t="n">
        <v>0</v>
      </c>
      <c r="O819" t="n">
        <v>0</v>
      </c>
      <c r="P819" t="n">
        <v>0</v>
      </c>
      <c r="Q819" t="n">
        <v>0</v>
      </c>
      <c r="R819" s="2" t="inlineStr"/>
    </row>
    <row r="820" ht="15" customHeight="1">
      <c r="A820" t="inlineStr">
        <is>
          <t>A 9534-2023</t>
        </is>
      </c>
      <c r="B820" s="1" t="n">
        <v>44981</v>
      </c>
      <c r="C820" s="1" t="n">
        <v>45839</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9844-2023</t>
        </is>
      </c>
      <c r="B821" s="1" t="n">
        <v>44984</v>
      </c>
      <c r="C821" s="1" t="n">
        <v>45839</v>
      </c>
      <c r="D821" t="inlineStr">
        <is>
          <t>VÄSTERBOTTENS LÄN</t>
        </is>
      </c>
      <c r="E821" t="inlineStr">
        <is>
          <t>VILHELMINA</t>
        </is>
      </c>
      <c r="G821" t="n">
        <v>21.8</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45839</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10952-2023</t>
        </is>
      </c>
      <c r="B823" s="1" t="n">
        <v>44985</v>
      </c>
      <c r="C823" s="1" t="n">
        <v>45839</v>
      </c>
      <c r="D823" t="inlineStr">
        <is>
          <t>VÄSTERBOTTENS LÄN</t>
        </is>
      </c>
      <c r="E823" t="inlineStr">
        <is>
          <t>VILHELMINA</t>
        </is>
      </c>
      <c r="G823" t="n">
        <v>10.6</v>
      </c>
      <c r="H823" t="n">
        <v>0</v>
      </c>
      <c r="I823" t="n">
        <v>0</v>
      </c>
      <c r="J823" t="n">
        <v>0</v>
      </c>
      <c r="K823" t="n">
        <v>0</v>
      </c>
      <c r="L823" t="n">
        <v>0</v>
      </c>
      <c r="M823" t="n">
        <v>0</v>
      </c>
      <c r="N823" t="n">
        <v>0</v>
      </c>
      <c r="O823" t="n">
        <v>0</v>
      </c>
      <c r="P823" t="n">
        <v>0</v>
      </c>
      <c r="Q823" t="n">
        <v>0</v>
      </c>
      <c r="R823" s="2" t="inlineStr"/>
    </row>
    <row r="824" ht="15" customHeight="1">
      <c r="A824" t="inlineStr">
        <is>
          <t>A 10937-2023</t>
        </is>
      </c>
      <c r="B824" s="1" t="n">
        <v>44985</v>
      </c>
      <c r="C824" s="1" t="n">
        <v>45839</v>
      </c>
      <c r="D824" t="inlineStr">
        <is>
          <t>VÄSTERBOTTENS LÄN</t>
        </is>
      </c>
      <c r="E824" t="inlineStr">
        <is>
          <t>VILHELMINA</t>
        </is>
      </c>
      <c r="G824" t="n">
        <v>1.9</v>
      </c>
      <c r="H824" t="n">
        <v>0</v>
      </c>
      <c r="I824" t="n">
        <v>0</v>
      </c>
      <c r="J824" t="n">
        <v>0</v>
      </c>
      <c r="K824" t="n">
        <v>0</v>
      </c>
      <c r="L824" t="n">
        <v>0</v>
      </c>
      <c r="M824" t="n">
        <v>0</v>
      </c>
      <c r="N824" t="n">
        <v>0</v>
      </c>
      <c r="O824" t="n">
        <v>0</v>
      </c>
      <c r="P824" t="n">
        <v>0</v>
      </c>
      <c r="Q824" t="n">
        <v>0</v>
      </c>
      <c r="R824" s="2" t="inlineStr"/>
    </row>
    <row r="825" ht="15" customHeight="1">
      <c r="A825" t="inlineStr">
        <is>
          <t>A 10947-2023</t>
        </is>
      </c>
      <c r="B825" s="1" t="n">
        <v>44985</v>
      </c>
      <c r="C825" s="1" t="n">
        <v>45839</v>
      </c>
      <c r="D825" t="inlineStr">
        <is>
          <t>VÄSTERBOTTENS LÄN</t>
        </is>
      </c>
      <c r="E825" t="inlineStr">
        <is>
          <t>VILHELMINA</t>
        </is>
      </c>
      <c r="G825" t="n">
        <v>2.1</v>
      </c>
      <c r="H825" t="n">
        <v>0</v>
      </c>
      <c r="I825" t="n">
        <v>0</v>
      </c>
      <c r="J825" t="n">
        <v>0</v>
      </c>
      <c r="K825" t="n">
        <v>0</v>
      </c>
      <c r="L825" t="n">
        <v>0</v>
      </c>
      <c r="M825" t="n">
        <v>0</v>
      </c>
      <c r="N825" t="n">
        <v>0</v>
      </c>
      <c r="O825" t="n">
        <v>0</v>
      </c>
      <c r="P825" t="n">
        <v>0</v>
      </c>
      <c r="Q825" t="n">
        <v>0</v>
      </c>
      <c r="R825" s="2" t="inlineStr"/>
    </row>
    <row r="826" ht="15" customHeight="1">
      <c r="A826" t="inlineStr">
        <is>
          <t>A 10956-2023</t>
        </is>
      </c>
      <c r="B826" s="1" t="n">
        <v>44985</v>
      </c>
      <c r="C826" s="1" t="n">
        <v>45839</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10933-2023</t>
        </is>
      </c>
      <c r="B827" s="1" t="n">
        <v>44985</v>
      </c>
      <c r="C827" s="1" t="n">
        <v>45839</v>
      </c>
      <c r="D827" t="inlineStr">
        <is>
          <t>VÄSTERBOTTENS LÄN</t>
        </is>
      </c>
      <c r="E827" t="inlineStr">
        <is>
          <t>VILHELMINA</t>
        </is>
      </c>
      <c r="G827" t="n">
        <v>9.5</v>
      </c>
      <c r="H827" t="n">
        <v>0</v>
      </c>
      <c r="I827" t="n">
        <v>0</v>
      </c>
      <c r="J827" t="n">
        <v>0</v>
      </c>
      <c r="K827" t="n">
        <v>0</v>
      </c>
      <c r="L827" t="n">
        <v>0</v>
      </c>
      <c r="M827" t="n">
        <v>0</v>
      </c>
      <c r="N827" t="n">
        <v>0</v>
      </c>
      <c r="O827" t="n">
        <v>0</v>
      </c>
      <c r="P827" t="n">
        <v>0</v>
      </c>
      <c r="Q827" t="n">
        <v>0</v>
      </c>
      <c r="R827" s="2" t="inlineStr"/>
    </row>
    <row r="828" ht="15" customHeight="1">
      <c r="A828" t="inlineStr">
        <is>
          <t>A 10418-2023</t>
        </is>
      </c>
      <c r="B828" s="1" t="n">
        <v>44987</v>
      </c>
      <c r="C828" s="1" t="n">
        <v>45839</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11323-2023</t>
        </is>
      </c>
      <c r="B829" s="1" t="n">
        <v>44993</v>
      </c>
      <c r="C829" s="1" t="n">
        <v>45839</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11544-2023</t>
        </is>
      </c>
      <c r="B830" s="1" t="n">
        <v>44993</v>
      </c>
      <c r="C830" s="1" t="n">
        <v>45839</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11311-2023</t>
        </is>
      </c>
      <c r="B831" s="1" t="n">
        <v>44993</v>
      </c>
      <c r="C831" s="1" t="n">
        <v>45839</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11825-2023</t>
        </is>
      </c>
      <c r="B832" s="1" t="n">
        <v>44994</v>
      </c>
      <c r="C832" s="1" t="n">
        <v>45839</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11833-2023</t>
        </is>
      </c>
      <c r="B833" s="1" t="n">
        <v>44994</v>
      </c>
      <c r="C833" s="1" t="n">
        <v>45839</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12043-2023</t>
        </is>
      </c>
      <c r="B834" s="1" t="n">
        <v>44995</v>
      </c>
      <c r="C834" s="1" t="n">
        <v>45839</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12784-2023</t>
        </is>
      </c>
      <c r="B835" s="1" t="n">
        <v>45000</v>
      </c>
      <c r="C835" s="1" t="n">
        <v>45839</v>
      </c>
      <c r="D835" t="inlineStr">
        <is>
          <t>VÄSTERBOTTENS LÄN</t>
        </is>
      </c>
      <c r="E835" t="inlineStr">
        <is>
          <t>VILHELMINA</t>
        </is>
      </c>
      <c r="G835" t="n">
        <v>18.6</v>
      </c>
      <c r="H835" t="n">
        <v>0</v>
      </c>
      <c r="I835" t="n">
        <v>0</v>
      </c>
      <c r="J835" t="n">
        <v>0</v>
      </c>
      <c r="K835" t="n">
        <v>0</v>
      </c>
      <c r="L835" t="n">
        <v>0</v>
      </c>
      <c r="M835" t="n">
        <v>0</v>
      </c>
      <c r="N835" t="n">
        <v>0</v>
      </c>
      <c r="O835" t="n">
        <v>0</v>
      </c>
      <c r="P835" t="n">
        <v>0</v>
      </c>
      <c r="Q835" t="n">
        <v>0</v>
      </c>
      <c r="R835" s="2" t="inlineStr"/>
    </row>
    <row r="836" ht="15" customHeight="1">
      <c r="A836" t="inlineStr">
        <is>
          <t>A 12866-2023</t>
        </is>
      </c>
      <c r="B836" s="1" t="n">
        <v>45000</v>
      </c>
      <c r="C836" s="1" t="n">
        <v>45839</v>
      </c>
      <c r="D836" t="inlineStr">
        <is>
          <t>VÄSTERBOTTENS LÄN</t>
        </is>
      </c>
      <c r="E836" t="inlineStr">
        <is>
          <t>VILHELMINA</t>
        </is>
      </c>
      <c r="G836" t="n">
        <v>2.6</v>
      </c>
      <c r="H836" t="n">
        <v>0</v>
      </c>
      <c r="I836" t="n">
        <v>0</v>
      </c>
      <c r="J836" t="n">
        <v>0</v>
      </c>
      <c r="K836" t="n">
        <v>0</v>
      </c>
      <c r="L836" t="n">
        <v>0</v>
      </c>
      <c r="M836" t="n">
        <v>0</v>
      </c>
      <c r="N836" t="n">
        <v>0</v>
      </c>
      <c r="O836" t="n">
        <v>0</v>
      </c>
      <c r="P836" t="n">
        <v>0</v>
      </c>
      <c r="Q836" t="n">
        <v>0</v>
      </c>
      <c r="R836" s="2" t="inlineStr"/>
    </row>
    <row r="837" ht="15" customHeight="1">
      <c r="A837" t="inlineStr">
        <is>
          <t>A 12825-2023</t>
        </is>
      </c>
      <c r="B837" s="1" t="n">
        <v>45000</v>
      </c>
      <c r="C837" s="1" t="n">
        <v>45839</v>
      </c>
      <c r="D837" t="inlineStr">
        <is>
          <t>VÄSTERBOTTENS LÄN</t>
        </is>
      </c>
      <c r="E837" t="inlineStr">
        <is>
          <t>VILHELMINA</t>
        </is>
      </c>
      <c r="G837" t="n">
        <v>22.4</v>
      </c>
      <c r="H837" t="n">
        <v>0</v>
      </c>
      <c r="I837" t="n">
        <v>0</v>
      </c>
      <c r="J837" t="n">
        <v>0</v>
      </c>
      <c r="K837" t="n">
        <v>0</v>
      </c>
      <c r="L837" t="n">
        <v>0</v>
      </c>
      <c r="M837" t="n">
        <v>0</v>
      </c>
      <c r="N837" t="n">
        <v>0</v>
      </c>
      <c r="O837" t="n">
        <v>0</v>
      </c>
      <c r="P837" t="n">
        <v>0</v>
      </c>
      <c r="Q837" t="n">
        <v>0</v>
      </c>
      <c r="R837" s="2" t="inlineStr"/>
    </row>
    <row r="838" ht="15" customHeight="1">
      <c r="A838" t="inlineStr">
        <is>
          <t>A 15814-2023</t>
        </is>
      </c>
      <c r="B838" s="1" t="n">
        <v>45021</v>
      </c>
      <c r="C838" s="1" t="n">
        <v>45839</v>
      </c>
      <c r="D838" t="inlineStr">
        <is>
          <t>VÄSTERBOTTENS LÄN</t>
        </is>
      </c>
      <c r="E838" t="inlineStr">
        <is>
          <t>VILHELMINA</t>
        </is>
      </c>
      <c r="F838" t="inlineStr">
        <is>
          <t>SCA</t>
        </is>
      </c>
      <c r="G838" t="n">
        <v>69.7</v>
      </c>
      <c r="H838" t="n">
        <v>0</v>
      </c>
      <c r="I838" t="n">
        <v>0</v>
      </c>
      <c r="J838" t="n">
        <v>0</v>
      </c>
      <c r="K838" t="n">
        <v>0</v>
      </c>
      <c r="L838" t="n">
        <v>0</v>
      </c>
      <c r="M838" t="n">
        <v>0</v>
      </c>
      <c r="N838" t="n">
        <v>0</v>
      </c>
      <c r="O838" t="n">
        <v>0</v>
      </c>
      <c r="P838" t="n">
        <v>0</v>
      </c>
      <c r="Q838" t="n">
        <v>0</v>
      </c>
      <c r="R838" s="2" t="inlineStr"/>
    </row>
    <row r="839" ht="15" customHeight="1">
      <c r="A839" t="inlineStr">
        <is>
          <t>A 18554-2023</t>
        </is>
      </c>
      <c r="B839" s="1" t="n">
        <v>45043</v>
      </c>
      <c r="C839" s="1" t="n">
        <v>45839</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45839</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19060-2023</t>
        </is>
      </c>
      <c r="B841" s="1" t="n">
        <v>45043</v>
      </c>
      <c r="C841" s="1" t="n">
        <v>45839</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19232-2023</t>
        </is>
      </c>
      <c r="B842" s="1" t="n">
        <v>45048</v>
      </c>
      <c r="C842" s="1" t="n">
        <v>45839</v>
      </c>
      <c r="D842" t="inlineStr">
        <is>
          <t>VÄSTERBOTTENS LÄN</t>
        </is>
      </c>
      <c r="E842" t="inlineStr">
        <is>
          <t>VILHELMINA</t>
        </is>
      </c>
      <c r="G842" t="n">
        <v>4.8</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45839</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19397-2023</t>
        </is>
      </c>
      <c r="B844" s="1" t="n">
        <v>45048</v>
      </c>
      <c r="C844" s="1" t="n">
        <v>45839</v>
      </c>
      <c r="D844" t="inlineStr">
        <is>
          <t>VÄSTERBOTTENS LÄN</t>
        </is>
      </c>
      <c r="E844" t="inlineStr">
        <is>
          <t>VILHELMINA</t>
        </is>
      </c>
      <c r="G844" t="n">
        <v>12.8</v>
      </c>
      <c r="H844" t="n">
        <v>0</v>
      </c>
      <c r="I844" t="n">
        <v>0</v>
      </c>
      <c r="J844" t="n">
        <v>0</v>
      </c>
      <c r="K844" t="n">
        <v>0</v>
      </c>
      <c r="L844" t="n">
        <v>0</v>
      </c>
      <c r="M844" t="n">
        <v>0</v>
      </c>
      <c r="N844" t="n">
        <v>0</v>
      </c>
      <c r="O844" t="n">
        <v>0</v>
      </c>
      <c r="P844" t="n">
        <v>0</v>
      </c>
      <c r="Q844" t="n">
        <v>0</v>
      </c>
      <c r="R844" s="2" t="inlineStr"/>
    </row>
    <row r="845" ht="15" customHeight="1">
      <c r="A845" t="inlineStr">
        <is>
          <t>A 20090-2023</t>
        </is>
      </c>
      <c r="B845" s="1" t="n">
        <v>45054</v>
      </c>
      <c r="C845" s="1" t="n">
        <v>45839</v>
      </c>
      <c r="D845" t="inlineStr">
        <is>
          <t>VÄSTERBOTTENS LÄN</t>
        </is>
      </c>
      <c r="E845" t="inlineStr">
        <is>
          <t>VILHELMINA</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20454-2023</t>
        </is>
      </c>
      <c r="B846" s="1" t="n">
        <v>45056</v>
      </c>
      <c r="C846" s="1" t="n">
        <v>45839</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20455-2023</t>
        </is>
      </c>
      <c r="B847" s="1" t="n">
        <v>45056</v>
      </c>
      <c r="C847" s="1" t="n">
        <v>45839</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20595-2023</t>
        </is>
      </c>
      <c r="B848" s="1" t="n">
        <v>45057</v>
      </c>
      <c r="C848" s="1" t="n">
        <v>45839</v>
      </c>
      <c r="D848" t="inlineStr">
        <is>
          <t>VÄSTERBOTTENS LÄN</t>
        </is>
      </c>
      <c r="E848" t="inlineStr">
        <is>
          <t>VILHELMINA</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21334-2023</t>
        </is>
      </c>
      <c r="B849" s="1" t="n">
        <v>45062</v>
      </c>
      <c r="C849" s="1" t="n">
        <v>45839</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24373-2023</t>
        </is>
      </c>
      <c r="B850" s="1" t="n">
        <v>45076</v>
      </c>
      <c r="C850" s="1" t="n">
        <v>45839</v>
      </c>
      <c r="D850" t="inlineStr">
        <is>
          <t>VÄSTERBOTTENS LÄN</t>
        </is>
      </c>
      <c r="E850" t="inlineStr">
        <is>
          <t>VILHELMINA</t>
        </is>
      </c>
      <c r="G850" t="n">
        <v>6.3</v>
      </c>
      <c r="H850" t="n">
        <v>0</v>
      </c>
      <c r="I850" t="n">
        <v>0</v>
      </c>
      <c r="J850" t="n">
        <v>0</v>
      </c>
      <c r="K850" t="n">
        <v>0</v>
      </c>
      <c r="L850" t="n">
        <v>0</v>
      </c>
      <c r="M850" t="n">
        <v>0</v>
      </c>
      <c r="N850" t="n">
        <v>0</v>
      </c>
      <c r="O850" t="n">
        <v>0</v>
      </c>
      <c r="P850" t="n">
        <v>0</v>
      </c>
      <c r="Q850" t="n">
        <v>0</v>
      </c>
      <c r="R850" s="2" t="inlineStr"/>
    </row>
    <row r="851" ht="15" customHeight="1">
      <c r="A851" t="inlineStr">
        <is>
          <t>A 24598-2023</t>
        </is>
      </c>
      <c r="B851" s="1" t="n">
        <v>45084</v>
      </c>
      <c r="C851" s="1" t="n">
        <v>45839</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45839</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25313-2023</t>
        </is>
      </c>
      <c r="B853" s="1" t="n">
        <v>45087</v>
      </c>
      <c r="C853" s="1" t="n">
        <v>45839</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26553-2023</t>
        </is>
      </c>
      <c r="B854" s="1" t="n">
        <v>45089</v>
      </c>
      <c r="C854" s="1" t="n">
        <v>45839</v>
      </c>
      <c r="D854" t="inlineStr">
        <is>
          <t>VÄSTERBOTTENS LÄN</t>
        </is>
      </c>
      <c r="E854" t="inlineStr">
        <is>
          <t>VILHELMINA</t>
        </is>
      </c>
      <c r="G854" t="n">
        <v>5.5</v>
      </c>
      <c r="H854" t="n">
        <v>0</v>
      </c>
      <c r="I854" t="n">
        <v>0</v>
      </c>
      <c r="J854" t="n">
        <v>0</v>
      </c>
      <c r="K854" t="n">
        <v>0</v>
      </c>
      <c r="L854" t="n">
        <v>0</v>
      </c>
      <c r="M854" t="n">
        <v>0</v>
      </c>
      <c r="N854" t="n">
        <v>0</v>
      </c>
      <c r="O854" t="n">
        <v>0</v>
      </c>
      <c r="P854" t="n">
        <v>0</v>
      </c>
      <c r="Q854" t="n">
        <v>0</v>
      </c>
      <c r="R854" s="2" t="inlineStr"/>
    </row>
    <row r="855" ht="15" customHeight="1">
      <c r="A855" t="inlineStr">
        <is>
          <t>A 26564-2023</t>
        </is>
      </c>
      <c r="B855" s="1" t="n">
        <v>45089</v>
      </c>
      <c r="C855" s="1" t="n">
        <v>45839</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45839</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26000-2023</t>
        </is>
      </c>
      <c r="B857" s="1" t="n">
        <v>45090</v>
      </c>
      <c r="C857" s="1" t="n">
        <v>45839</v>
      </c>
      <c r="D857" t="inlineStr">
        <is>
          <t>VÄSTERBOTTENS LÄN</t>
        </is>
      </c>
      <c r="E857" t="inlineStr">
        <is>
          <t>VILHELMINA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25997-2023</t>
        </is>
      </c>
      <c r="B858" s="1" t="n">
        <v>45090</v>
      </c>
      <c r="C858" s="1" t="n">
        <v>45839</v>
      </c>
      <c r="D858" t="inlineStr">
        <is>
          <t>VÄSTERBOTTENS LÄN</t>
        </is>
      </c>
      <c r="E858" t="inlineStr">
        <is>
          <t>VILHELMINA</t>
        </is>
      </c>
      <c r="G858" t="n">
        <v>7.8</v>
      </c>
      <c r="H858" t="n">
        <v>0</v>
      </c>
      <c r="I858" t="n">
        <v>0</v>
      </c>
      <c r="J858" t="n">
        <v>0</v>
      </c>
      <c r="K858" t="n">
        <v>0</v>
      </c>
      <c r="L858" t="n">
        <v>0</v>
      </c>
      <c r="M858" t="n">
        <v>0</v>
      </c>
      <c r="N858" t="n">
        <v>0</v>
      </c>
      <c r="O858" t="n">
        <v>0</v>
      </c>
      <c r="P858" t="n">
        <v>0</v>
      </c>
      <c r="Q858" t="n">
        <v>0</v>
      </c>
      <c r="R858" s="2" t="inlineStr"/>
    </row>
    <row r="859" ht="15" customHeight="1">
      <c r="A859" t="inlineStr">
        <is>
          <t>A 26657-2023</t>
        </is>
      </c>
      <c r="B859" s="1" t="n">
        <v>45092</v>
      </c>
      <c r="C859" s="1" t="n">
        <v>45839</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26663-2023</t>
        </is>
      </c>
      <c r="B860" s="1" t="n">
        <v>45093</v>
      </c>
      <c r="C860" s="1" t="n">
        <v>45839</v>
      </c>
      <c r="D860" t="inlineStr">
        <is>
          <t>VÄSTERBOTTENS LÄN</t>
        </is>
      </c>
      <c r="E860" t="inlineStr">
        <is>
          <t>VILHELMINA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26656-2023</t>
        </is>
      </c>
      <c r="B861" s="1" t="n">
        <v>45092</v>
      </c>
      <c r="C861" s="1" t="n">
        <v>45839</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27601-2023</t>
        </is>
      </c>
      <c r="B862" s="1" t="n">
        <v>45092</v>
      </c>
      <c r="C862" s="1" t="n">
        <v>45839</v>
      </c>
      <c r="D862" t="inlineStr">
        <is>
          <t>VÄSTERBOTTENS LÄN</t>
        </is>
      </c>
      <c r="E862" t="inlineStr">
        <is>
          <t>VILHELMINA</t>
        </is>
      </c>
      <c r="G862" t="n">
        <v>2</v>
      </c>
      <c r="H862" t="n">
        <v>0</v>
      </c>
      <c r="I862" t="n">
        <v>0</v>
      </c>
      <c r="J862" t="n">
        <v>0</v>
      </c>
      <c r="K862" t="n">
        <v>0</v>
      </c>
      <c r="L862" t="n">
        <v>0</v>
      </c>
      <c r="M862" t="n">
        <v>0</v>
      </c>
      <c r="N862" t="n">
        <v>0</v>
      </c>
      <c r="O862" t="n">
        <v>0</v>
      </c>
      <c r="P862" t="n">
        <v>0</v>
      </c>
      <c r="Q862" t="n">
        <v>0</v>
      </c>
      <c r="R862" s="2" t="inlineStr"/>
    </row>
    <row r="863" ht="15" customHeight="1">
      <c r="A863" t="inlineStr">
        <is>
          <t>A 26997-2023</t>
        </is>
      </c>
      <c r="B863" s="1" t="n">
        <v>45093</v>
      </c>
      <c r="C863" s="1" t="n">
        <v>45839</v>
      </c>
      <c r="D863" t="inlineStr">
        <is>
          <t>VÄSTERBOTTENS LÄN</t>
        </is>
      </c>
      <c r="E863" t="inlineStr">
        <is>
          <t>VILHELMINA</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27763-2023</t>
        </is>
      </c>
      <c r="B864" s="1" t="n">
        <v>45093</v>
      </c>
      <c r="C864" s="1" t="n">
        <v>45839</v>
      </c>
      <c r="D864" t="inlineStr">
        <is>
          <t>VÄSTERBOTTENS LÄN</t>
        </is>
      </c>
      <c r="E864" t="inlineStr">
        <is>
          <t>VILHELMINA</t>
        </is>
      </c>
      <c r="G864" t="n">
        <v>21.5</v>
      </c>
      <c r="H864" t="n">
        <v>0</v>
      </c>
      <c r="I864" t="n">
        <v>0</v>
      </c>
      <c r="J864" t="n">
        <v>0</v>
      </c>
      <c r="K864" t="n">
        <v>0</v>
      </c>
      <c r="L864" t="n">
        <v>0</v>
      </c>
      <c r="M864" t="n">
        <v>0</v>
      </c>
      <c r="N864" t="n">
        <v>0</v>
      </c>
      <c r="O864" t="n">
        <v>0</v>
      </c>
      <c r="P864" t="n">
        <v>0</v>
      </c>
      <c r="Q864" t="n">
        <v>0</v>
      </c>
      <c r="R864" s="2" t="inlineStr"/>
    </row>
    <row r="865" ht="15" customHeight="1">
      <c r="A865" t="inlineStr">
        <is>
          <t>A 27357-2023</t>
        </is>
      </c>
      <c r="B865" s="1" t="n">
        <v>45096</v>
      </c>
      <c r="C865" s="1" t="n">
        <v>45839</v>
      </c>
      <c r="D865" t="inlineStr">
        <is>
          <t>VÄSTERBOTTENS LÄN</t>
        </is>
      </c>
      <c r="E865" t="inlineStr">
        <is>
          <t>VILHELMINA</t>
        </is>
      </c>
      <c r="G865" t="n">
        <v>3.1</v>
      </c>
      <c r="H865" t="n">
        <v>0</v>
      </c>
      <c r="I865" t="n">
        <v>0</v>
      </c>
      <c r="J865" t="n">
        <v>0</v>
      </c>
      <c r="K865" t="n">
        <v>0</v>
      </c>
      <c r="L865" t="n">
        <v>0</v>
      </c>
      <c r="M865" t="n">
        <v>0</v>
      </c>
      <c r="N865" t="n">
        <v>0</v>
      </c>
      <c r="O865" t="n">
        <v>0</v>
      </c>
      <c r="P865" t="n">
        <v>0</v>
      </c>
      <c r="Q865" t="n">
        <v>0</v>
      </c>
      <c r="R865" s="2" t="inlineStr"/>
    </row>
    <row r="866" ht="15" customHeight="1">
      <c r="A866" t="inlineStr">
        <is>
          <t>A 27355-2023</t>
        </is>
      </c>
      <c r="B866" s="1" t="n">
        <v>45096</v>
      </c>
      <c r="C866" s="1" t="n">
        <v>45839</v>
      </c>
      <c r="D866" t="inlineStr">
        <is>
          <t>VÄSTERBOTTENS LÄN</t>
        </is>
      </c>
      <c r="E866" t="inlineStr">
        <is>
          <t>VILHELMINA</t>
        </is>
      </c>
      <c r="G866" t="n">
        <v>2.6</v>
      </c>
      <c r="H866" t="n">
        <v>0</v>
      </c>
      <c r="I866" t="n">
        <v>0</v>
      </c>
      <c r="J866" t="n">
        <v>0</v>
      </c>
      <c r="K866" t="n">
        <v>0</v>
      </c>
      <c r="L866" t="n">
        <v>0</v>
      </c>
      <c r="M866" t="n">
        <v>0</v>
      </c>
      <c r="N866" t="n">
        <v>0</v>
      </c>
      <c r="O866" t="n">
        <v>0</v>
      </c>
      <c r="P866" t="n">
        <v>0</v>
      </c>
      <c r="Q866" t="n">
        <v>0</v>
      </c>
      <c r="R866" s="2" t="inlineStr"/>
    </row>
    <row r="867" ht="15" customHeight="1">
      <c r="A867" t="inlineStr">
        <is>
          <t>A 28011-2023</t>
        </is>
      </c>
      <c r="B867" s="1" t="n">
        <v>45098</v>
      </c>
      <c r="C867" s="1" t="n">
        <v>45839</v>
      </c>
      <c r="D867" t="inlineStr">
        <is>
          <t>VÄSTERBOTTENS LÄN</t>
        </is>
      </c>
      <c r="E867" t="inlineStr">
        <is>
          <t>VILHELMINA</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28380-2023</t>
        </is>
      </c>
      <c r="B868" s="1" t="n">
        <v>45099</v>
      </c>
      <c r="C868" s="1" t="n">
        <v>45839</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28718-2023</t>
        </is>
      </c>
      <c r="B869" s="1" t="n">
        <v>45103</v>
      </c>
      <c r="C869" s="1" t="n">
        <v>45839</v>
      </c>
      <c r="D869" t="inlineStr">
        <is>
          <t>VÄSTERBOTTENS LÄN</t>
        </is>
      </c>
      <c r="E869" t="inlineStr">
        <is>
          <t>VILHELMINA</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28982-2023</t>
        </is>
      </c>
      <c r="B870" s="1" t="n">
        <v>45104</v>
      </c>
      <c r="C870" s="1" t="n">
        <v>45839</v>
      </c>
      <c r="D870" t="inlineStr">
        <is>
          <t>VÄSTERBOTTENS LÄN</t>
        </is>
      </c>
      <c r="E870" t="inlineStr">
        <is>
          <t>VILHELMINA</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28986-2023</t>
        </is>
      </c>
      <c r="B871" s="1" t="n">
        <v>45104</v>
      </c>
      <c r="C871" s="1" t="n">
        <v>45839</v>
      </c>
      <c r="D871" t="inlineStr">
        <is>
          <t>VÄSTERBOTTENS LÄN</t>
        </is>
      </c>
      <c r="E871" t="inlineStr">
        <is>
          <t>VILHELMINA</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28991-2023</t>
        </is>
      </c>
      <c r="B872" s="1" t="n">
        <v>45104</v>
      </c>
      <c r="C872" s="1" t="n">
        <v>45839</v>
      </c>
      <c r="D872" t="inlineStr">
        <is>
          <t>VÄSTERBOTTENS LÄN</t>
        </is>
      </c>
      <c r="E872" t="inlineStr">
        <is>
          <t>VILHELMINA</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28984-2023</t>
        </is>
      </c>
      <c r="B873" s="1" t="n">
        <v>45104</v>
      </c>
      <c r="C873" s="1" t="n">
        <v>45839</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29250-2023</t>
        </is>
      </c>
      <c r="B874" s="1" t="n">
        <v>45105</v>
      </c>
      <c r="C874" s="1" t="n">
        <v>45839</v>
      </c>
      <c r="D874" t="inlineStr">
        <is>
          <t>VÄSTERBOTTENS LÄN</t>
        </is>
      </c>
      <c r="E874" t="inlineStr">
        <is>
          <t>VILHELMINA</t>
        </is>
      </c>
      <c r="F874" t="inlineStr">
        <is>
          <t>Sveaskog</t>
        </is>
      </c>
      <c r="G874" t="n">
        <v>11.3</v>
      </c>
      <c r="H874" t="n">
        <v>0</v>
      </c>
      <c r="I874" t="n">
        <v>0</v>
      </c>
      <c r="J874" t="n">
        <v>0</v>
      </c>
      <c r="K874" t="n">
        <v>0</v>
      </c>
      <c r="L874" t="n">
        <v>0</v>
      </c>
      <c r="M874" t="n">
        <v>0</v>
      </c>
      <c r="N874" t="n">
        <v>0</v>
      </c>
      <c r="O874" t="n">
        <v>0</v>
      </c>
      <c r="P874" t="n">
        <v>0</v>
      </c>
      <c r="Q874" t="n">
        <v>0</v>
      </c>
      <c r="R874" s="2" t="inlineStr"/>
    </row>
    <row r="875" ht="15" customHeight="1">
      <c r="A875" t="inlineStr">
        <is>
          <t>A 29608-2023</t>
        </is>
      </c>
      <c r="B875" s="1" t="n">
        <v>45106</v>
      </c>
      <c r="C875" s="1" t="n">
        <v>45839</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29954-2023</t>
        </is>
      </c>
      <c r="B876" s="1" t="n">
        <v>45107</v>
      </c>
      <c r="C876" s="1" t="n">
        <v>45839</v>
      </c>
      <c r="D876" t="inlineStr">
        <is>
          <t>VÄSTERBOTTENS LÄN</t>
        </is>
      </c>
      <c r="E876" t="inlineStr">
        <is>
          <t>VILHELMINA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30846-2023</t>
        </is>
      </c>
      <c r="B877" s="1" t="n">
        <v>45112</v>
      </c>
      <c r="C877" s="1" t="n">
        <v>45839</v>
      </c>
      <c r="D877" t="inlineStr">
        <is>
          <t>VÄSTERBOTTENS LÄN</t>
        </is>
      </c>
      <c r="E877" t="inlineStr">
        <is>
          <t>VILHELMINA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30847-2023</t>
        </is>
      </c>
      <c r="B878" s="1" t="n">
        <v>45112</v>
      </c>
      <c r="C878" s="1" t="n">
        <v>45839</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30940-2023</t>
        </is>
      </c>
      <c r="B879" s="1" t="n">
        <v>45113</v>
      </c>
      <c r="C879" s="1" t="n">
        <v>45839</v>
      </c>
      <c r="D879" t="inlineStr">
        <is>
          <t>VÄSTERBOTTENS LÄN</t>
        </is>
      </c>
      <c r="E879" t="inlineStr">
        <is>
          <t>VILHELMINA</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30934-2023</t>
        </is>
      </c>
      <c r="B880" s="1" t="n">
        <v>45113</v>
      </c>
      <c r="C880" s="1" t="n">
        <v>45839</v>
      </c>
      <c r="D880" t="inlineStr">
        <is>
          <t>VÄSTERBOTTENS LÄN</t>
        </is>
      </c>
      <c r="E880" t="inlineStr">
        <is>
          <t>VILHELMINA</t>
        </is>
      </c>
      <c r="F880" t="inlineStr">
        <is>
          <t>Sveaskog</t>
        </is>
      </c>
      <c r="G880" t="n">
        <v>11.3</v>
      </c>
      <c r="H880" t="n">
        <v>0</v>
      </c>
      <c r="I880" t="n">
        <v>0</v>
      </c>
      <c r="J880" t="n">
        <v>0</v>
      </c>
      <c r="K880" t="n">
        <v>0</v>
      </c>
      <c r="L880" t="n">
        <v>0</v>
      </c>
      <c r="M880" t="n">
        <v>0</v>
      </c>
      <c r="N880" t="n">
        <v>0</v>
      </c>
      <c r="O880" t="n">
        <v>0</v>
      </c>
      <c r="P880" t="n">
        <v>0</v>
      </c>
      <c r="Q880" t="n">
        <v>0</v>
      </c>
      <c r="R880" s="2" t="inlineStr"/>
    </row>
    <row r="881" ht="15" customHeight="1">
      <c r="A881" t="inlineStr">
        <is>
          <t>A 31495-2023</t>
        </is>
      </c>
      <c r="B881" s="1" t="n">
        <v>45115</v>
      </c>
      <c r="C881" s="1" t="n">
        <v>45839</v>
      </c>
      <c r="D881" t="inlineStr">
        <is>
          <t>VÄSTERBOTTENS LÄN</t>
        </is>
      </c>
      <c r="E881" t="inlineStr">
        <is>
          <t>VILHELMINA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31496-2023</t>
        </is>
      </c>
      <c r="B882" s="1" t="n">
        <v>45115</v>
      </c>
      <c r="C882" s="1" t="n">
        <v>45839</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33349-2023</t>
        </is>
      </c>
      <c r="B883" s="1" t="n">
        <v>45117</v>
      </c>
      <c r="C883" s="1" t="n">
        <v>45839</v>
      </c>
      <c r="D883" t="inlineStr">
        <is>
          <t>VÄSTERBOTTENS LÄN</t>
        </is>
      </c>
      <c r="E883" t="inlineStr">
        <is>
          <t>VILHELMINA</t>
        </is>
      </c>
      <c r="G883" t="n">
        <v>1.3</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45839</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33675-2023</t>
        </is>
      </c>
      <c r="B885" s="1" t="n">
        <v>45119</v>
      </c>
      <c r="C885" s="1" t="n">
        <v>45839</v>
      </c>
      <c r="D885" t="inlineStr">
        <is>
          <t>VÄSTERBOTTENS LÄN</t>
        </is>
      </c>
      <c r="E885" t="inlineStr">
        <is>
          <t>VILHELMINA</t>
        </is>
      </c>
      <c r="F885" t="inlineStr">
        <is>
          <t>Allmännings- och besparingsskogar</t>
        </is>
      </c>
      <c r="G885" t="n">
        <v>27.9</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45839</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33679-2023</t>
        </is>
      </c>
      <c r="B887" s="1" t="n">
        <v>45119</v>
      </c>
      <c r="C887" s="1" t="n">
        <v>45839</v>
      </c>
      <c r="D887" t="inlineStr">
        <is>
          <t>VÄSTERBOTTENS LÄN</t>
        </is>
      </c>
      <c r="E887" t="inlineStr">
        <is>
          <t>VILHELMINA</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34074-2023</t>
        </is>
      </c>
      <c r="B888" s="1" t="n">
        <v>45125</v>
      </c>
      <c r="C888" s="1" t="n">
        <v>45839</v>
      </c>
      <c r="D888" t="inlineStr">
        <is>
          <t>VÄSTERBOTTENS LÄN</t>
        </is>
      </c>
      <c r="E888" t="inlineStr">
        <is>
          <t>VILHELMINA</t>
        </is>
      </c>
      <c r="G888" t="n">
        <v>4.6</v>
      </c>
      <c r="H888" t="n">
        <v>0</v>
      </c>
      <c r="I888" t="n">
        <v>0</v>
      </c>
      <c r="J888" t="n">
        <v>0</v>
      </c>
      <c r="K888" t="n">
        <v>0</v>
      </c>
      <c r="L888" t="n">
        <v>0</v>
      </c>
      <c r="M888" t="n">
        <v>0</v>
      </c>
      <c r="N888" t="n">
        <v>0</v>
      </c>
      <c r="O888" t="n">
        <v>0</v>
      </c>
      <c r="P888" t="n">
        <v>0</v>
      </c>
      <c r="Q888" t="n">
        <v>0</v>
      </c>
      <c r="R888" s="2" t="inlineStr"/>
    </row>
    <row r="889" ht="15" customHeight="1">
      <c r="A889" t="inlineStr">
        <is>
          <t>A 34087-2023</t>
        </is>
      </c>
      <c r="B889" s="1" t="n">
        <v>45125</v>
      </c>
      <c r="C889" s="1" t="n">
        <v>45839</v>
      </c>
      <c r="D889" t="inlineStr">
        <is>
          <t>VÄSTERBOTTENS LÄN</t>
        </is>
      </c>
      <c r="E889" t="inlineStr">
        <is>
          <t>VILHELMINA</t>
        </is>
      </c>
      <c r="G889" t="n">
        <v>13.2</v>
      </c>
      <c r="H889" t="n">
        <v>0</v>
      </c>
      <c r="I889" t="n">
        <v>0</v>
      </c>
      <c r="J889" t="n">
        <v>0</v>
      </c>
      <c r="K889" t="n">
        <v>0</v>
      </c>
      <c r="L889" t="n">
        <v>0</v>
      </c>
      <c r="M889" t="n">
        <v>0</v>
      </c>
      <c r="N889" t="n">
        <v>0</v>
      </c>
      <c r="O889" t="n">
        <v>0</v>
      </c>
      <c r="P889" t="n">
        <v>0</v>
      </c>
      <c r="Q889" t="n">
        <v>0</v>
      </c>
      <c r="R889" s="2" t="inlineStr"/>
    </row>
    <row r="890" ht="15" customHeight="1">
      <c r="A890" t="inlineStr">
        <is>
          <t>A 34799-2023</t>
        </is>
      </c>
      <c r="B890" s="1" t="n">
        <v>45140</v>
      </c>
      <c r="C890" s="1" t="n">
        <v>45839</v>
      </c>
      <c r="D890" t="inlineStr">
        <is>
          <t>VÄSTERBOTTENS LÄN</t>
        </is>
      </c>
      <c r="E890" t="inlineStr">
        <is>
          <t>VILHELMINA</t>
        </is>
      </c>
      <c r="G890" t="n">
        <v>17.4</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45839</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34809-2023</t>
        </is>
      </c>
      <c r="B892" s="1" t="n">
        <v>45140</v>
      </c>
      <c r="C892" s="1" t="n">
        <v>45839</v>
      </c>
      <c r="D892" t="inlineStr">
        <is>
          <t>VÄSTERBOTTENS LÄN</t>
        </is>
      </c>
      <c r="E892" t="inlineStr">
        <is>
          <t>VILHELMINA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34805-2023</t>
        </is>
      </c>
      <c r="B893" s="1" t="n">
        <v>45140</v>
      </c>
      <c r="C893" s="1" t="n">
        <v>45839</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35006-2023</t>
        </is>
      </c>
      <c r="B894" s="1" t="n">
        <v>45143</v>
      </c>
      <c r="C894" s="1" t="n">
        <v>45839</v>
      </c>
      <c r="D894" t="inlineStr">
        <is>
          <t>VÄSTERBOTTENS LÄN</t>
        </is>
      </c>
      <c r="E894" t="inlineStr">
        <is>
          <t>VILHELMINA</t>
        </is>
      </c>
      <c r="F894" t="inlineStr">
        <is>
          <t>SCA</t>
        </is>
      </c>
      <c r="G894" t="n">
        <v>11.6</v>
      </c>
      <c r="H894" t="n">
        <v>0</v>
      </c>
      <c r="I894" t="n">
        <v>0</v>
      </c>
      <c r="J894" t="n">
        <v>0</v>
      </c>
      <c r="K894" t="n">
        <v>0</v>
      </c>
      <c r="L894" t="n">
        <v>0</v>
      </c>
      <c r="M894" t="n">
        <v>0</v>
      </c>
      <c r="N894" t="n">
        <v>0</v>
      </c>
      <c r="O894" t="n">
        <v>0</v>
      </c>
      <c r="P894" t="n">
        <v>0</v>
      </c>
      <c r="Q894" t="n">
        <v>0</v>
      </c>
      <c r="R894" s="2" t="inlineStr"/>
    </row>
    <row r="895" ht="15" customHeight="1">
      <c r="A895" t="inlineStr">
        <is>
          <t>A 35018-2023</t>
        </is>
      </c>
      <c r="B895" s="1" t="n">
        <v>45142</v>
      </c>
      <c r="C895" s="1" t="n">
        <v>45839</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35289-2023</t>
        </is>
      </c>
      <c r="B896" s="1" t="n">
        <v>45145</v>
      </c>
      <c r="C896" s="1" t="n">
        <v>45839</v>
      </c>
      <c r="D896" t="inlineStr">
        <is>
          <t>VÄSTERBOTTENS LÄN</t>
        </is>
      </c>
      <c r="E896" t="inlineStr">
        <is>
          <t>VILHELMINA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35758-2023</t>
        </is>
      </c>
      <c r="B897" s="1" t="n">
        <v>45148</v>
      </c>
      <c r="C897" s="1" t="n">
        <v>45839</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35755-2023</t>
        </is>
      </c>
      <c r="B898" s="1" t="n">
        <v>45148</v>
      </c>
      <c r="C898" s="1" t="n">
        <v>45839</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35759-2023</t>
        </is>
      </c>
      <c r="B899" s="1" t="n">
        <v>45147</v>
      </c>
      <c r="C899" s="1" t="n">
        <v>45839</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35752-2023</t>
        </is>
      </c>
      <c r="B900" s="1" t="n">
        <v>45147</v>
      </c>
      <c r="C900" s="1" t="n">
        <v>45839</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35756-2023</t>
        </is>
      </c>
      <c r="B901" s="1" t="n">
        <v>45148</v>
      </c>
      <c r="C901" s="1" t="n">
        <v>45839</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35760-2023</t>
        </is>
      </c>
      <c r="B902" s="1" t="n">
        <v>45147</v>
      </c>
      <c r="C902" s="1" t="n">
        <v>45839</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35753-2023</t>
        </is>
      </c>
      <c r="B903" s="1" t="n">
        <v>45148</v>
      </c>
      <c r="C903" s="1" t="n">
        <v>45839</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35757-2023</t>
        </is>
      </c>
      <c r="B904" s="1" t="n">
        <v>45148</v>
      </c>
      <c r="C904" s="1" t="n">
        <v>45839</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35968-2023</t>
        </is>
      </c>
      <c r="B905" s="1" t="n">
        <v>45149</v>
      </c>
      <c r="C905" s="1" t="n">
        <v>45839</v>
      </c>
      <c r="D905" t="inlineStr">
        <is>
          <t>VÄSTERBOTTENS LÄN</t>
        </is>
      </c>
      <c r="E905" t="inlineStr">
        <is>
          <t>VILHELMINA</t>
        </is>
      </c>
      <c r="G905" t="n">
        <v>0.8</v>
      </c>
      <c r="H905" t="n">
        <v>0</v>
      </c>
      <c r="I905" t="n">
        <v>0</v>
      </c>
      <c r="J905" t="n">
        <v>0</v>
      </c>
      <c r="K905" t="n">
        <v>0</v>
      </c>
      <c r="L905" t="n">
        <v>0</v>
      </c>
      <c r="M905" t="n">
        <v>0</v>
      </c>
      <c r="N905" t="n">
        <v>0</v>
      </c>
      <c r="O905" t="n">
        <v>0</v>
      </c>
      <c r="P905" t="n">
        <v>0</v>
      </c>
      <c r="Q905" t="n">
        <v>0</v>
      </c>
      <c r="R905" s="2" t="inlineStr"/>
    </row>
    <row r="906" ht="15" customHeight="1">
      <c r="A906" t="inlineStr">
        <is>
          <t>A 35984-2023</t>
        </is>
      </c>
      <c r="B906" s="1" t="n">
        <v>45149</v>
      </c>
      <c r="C906" s="1" t="n">
        <v>45839</v>
      </c>
      <c r="D906" t="inlineStr">
        <is>
          <t>VÄSTERBOTTENS LÄN</t>
        </is>
      </c>
      <c r="E906" t="inlineStr">
        <is>
          <t>VILHELMINA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35983-2023</t>
        </is>
      </c>
      <c r="B907" s="1" t="n">
        <v>45149</v>
      </c>
      <c r="C907" s="1" t="n">
        <v>45839</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35985-2023</t>
        </is>
      </c>
      <c r="B908" s="1" t="n">
        <v>45148</v>
      </c>
      <c r="C908" s="1" t="n">
        <v>45839</v>
      </c>
      <c r="D908" t="inlineStr">
        <is>
          <t>VÄSTERBOTTENS LÄN</t>
        </is>
      </c>
      <c r="E908" t="inlineStr">
        <is>
          <t>VILHELMINA</t>
        </is>
      </c>
      <c r="F908" t="inlineStr">
        <is>
          <t>SCA</t>
        </is>
      </c>
      <c r="G908" t="n">
        <v>43.8</v>
      </c>
      <c r="H908" t="n">
        <v>0</v>
      </c>
      <c r="I908" t="n">
        <v>0</v>
      </c>
      <c r="J908" t="n">
        <v>0</v>
      </c>
      <c r="K908" t="n">
        <v>0</v>
      </c>
      <c r="L908" t="n">
        <v>0</v>
      </c>
      <c r="M908" t="n">
        <v>0</v>
      </c>
      <c r="N908" t="n">
        <v>0</v>
      </c>
      <c r="O908" t="n">
        <v>0</v>
      </c>
      <c r="P908" t="n">
        <v>0</v>
      </c>
      <c r="Q908" t="n">
        <v>0</v>
      </c>
      <c r="R908" s="2" t="inlineStr"/>
    </row>
    <row r="909" ht="15" customHeight="1">
      <c r="A909" t="inlineStr">
        <is>
          <t>A 36214-2023</t>
        </is>
      </c>
      <c r="B909" s="1" t="n">
        <v>45150</v>
      </c>
      <c r="C909" s="1" t="n">
        <v>45839</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36219-2023</t>
        </is>
      </c>
      <c r="B910" s="1" t="n">
        <v>45150</v>
      </c>
      <c r="C910" s="1" t="n">
        <v>45839</v>
      </c>
      <c r="D910" t="inlineStr">
        <is>
          <t>VÄSTERBOTTENS LÄN</t>
        </is>
      </c>
      <c r="E910" t="inlineStr">
        <is>
          <t>VILHELMINA</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36215-2023</t>
        </is>
      </c>
      <c r="B911" s="1" t="n">
        <v>45150</v>
      </c>
      <c r="C911" s="1" t="n">
        <v>45839</v>
      </c>
      <c r="D911" t="inlineStr">
        <is>
          <t>VÄSTERBOTTENS LÄN</t>
        </is>
      </c>
      <c r="E911" t="inlineStr">
        <is>
          <t>VILHELMINA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36216-2023</t>
        </is>
      </c>
      <c r="B912" s="1" t="n">
        <v>45150</v>
      </c>
      <c r="C912" s="1" t="n">
        <v>45839</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36221-2023</t>
        </is>
      </c>
      <c r="B913" s="1" t="n">
        <v>45150</v>
      </c>
      <c r="C913" s="1" t="n">
        <v>45839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36217-2023</t>
        </is>
      </c>
      <c r="B914" s="1" t="n">
        <v>45150</v>
      </c>
      <c r="C914" s="1" t="n">
        <v>45839</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36408-2023</t>
        </is>
      </c>
      <c r="B915" s="1" t="n">
        <v>45152</v>
      </c>
      <c r="C915" s="1" t="n">
        <v>45839</v>
      </c>
      <c r="D915" t="inlineStr">
        <is>
          <t>VÄSTERBOTTENS LÄN</t>
        </is>
      </c>
      <c r="E915" t="inlineStr">
        <is>
          <t>VILHELMINA</t>
        </is>
      </c>
      <c r="G915" t="n">
        <v>4.4</v>
      </c>
      <c r="H915" t="n">
        <v>0</v>
      </c>
      <c r="I915" t="n">
        <v>0</v>
      </c>
      <c r="J915" t="n">
        <v>0</v>
      </c>
      <c r="K915" t="n">
        <v>0</v>
      </c>
      <c r="L915" t="n">
        <v>0</v>
      </c>
      <c r="M915" t="n">
        <v>0</v>
      </c>
      <c r="N915" t="n">
        <v>0</v>
      </c>
      <c r="O915" t="n">
        <v>0</v>
      </c>
      <c r="P915" t="n">
        <v>0</v>
      </c>
      <c r="Q915" t="n">
        <v>0</v>
      </c>
      <c r="R915" s="2" t="inlineStr"/>
    </row>
    <row r="916" ht="15" customHeight="1">
      <c r="A916" t="inlineStr">
        <is>
          <t>A 36376-2023</t>
        </is>
      </c>
      <c r="B916" s="1" t="n">
        <v>45152</v>
      </c>
      <c r="C916" s="1" t="n">
        <v>45839</v>
      </c>
      <c r="D916" t="inlineStr">
        <is>
          <t>VÄSTERBOTTENS LÄN</t>
        </is>
      </c>
      <c r="E916" t="inlineStr">
        <is>
          <t>VILHELMINA</t>
        </is>
      </c>
      <c r="G916" t="n">
        <v>12.7</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45155</v>
      </c>
      <c r="C917" s="1" t="n">
        <v>45839</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36972-2023</t>
        </is>
      </c>
      <c r="B918" s="1" t="n">
        <v>45154</v>
      </c>
      <c r="C918" s="1" t="n">
        <v>45839</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36996-2023</t>
        </is>
      </c>
      <c r="B919" s="1" t="n">
        <v>45155</v>
      </c>
      <c r="C919" s="1" t="n">
        <v>45839</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36995-2023</t>
        </is>
      </c>
      <c r="B920" s="1" t="n">
        <v>45154</v>
      </c>
      <c r="C920" s="1" t="n">
        <v>45839</v>
      </c>
      <c r="D920" t="inlineStr">
        <is>
          <t>VÄSTERBOTTENS LÄN</t>
        </is>
      </c>
      <c r="E920" t="inlineStr">
        <is>
          <t>VILHELMINA</t>
        </is>
      </c>
      <c r="F920" t="inlineStr">
        <is>
          <t>SCA</t>
        </is>
      </c>
      <c r="G920" t="n">
        <v>31.7</v>
      </c>
      <c r="H920" t="n">
        <v>0</v>
      </c>
      <c r="I920" t="n">
        <v>0</v>
      </c>
      <c r="J920" t="n">
        <v>0</v>
      </c>
      <c r="K920" t="n">
        <v>0</v>
      </c>
      <c r="L920" t="n">
        <v>0</v>
      </c>
      <c r="M920" t="n">
        <v>0</v>
      </c>
      <c r="N920" t="n">
        <v>0</v>
      </c>
      <c r="O920" t="n">
        <v>0</v>
      </c>
      <c r="P920" t="n">
        <v>0</v>
      </c>
      <c r="Q920" t="n">
        <v>0</v>
      </c>
      <c r="R920" s="2" t="inlineStr"/>
    </row>
    <row r="921" ht="15" customHeight="1">
      <c r="A921" t="inlineStr">
        <is>
          <t>A 37413-2023</t>
        </is>
      </c>
      <c r="B921" s="1" t="n">
        <v>45155</v>
      </c>
      <c r="C921" s="1" t="n">
        <v>45839</v>
      </c>
      <c r="D921" t="inlineStr">
        <is>
          <t>VÄSTERBOTTENS LÄN</t>
        </is>
      </c>
      <c r="E921" t="inlineStr">
        <is>
          <t>VILHELMINA</t>
        </is>
      </c>
      <c r="G921" t="n">
        <v>12.3</v>
      </c>
      <c r="H921" t="n">
        <v>0</v>
      </c>
      <c r="I921" t="n">
        <v>0</v>
      </c>
      <c r="J921" t="n">
        <v>0</v>
      </c>
      <c r="K921" t="n">
        <v>0</v>
      </c>
      <c r="L921" t="n">
        <v>0</v>
      </c>
      <c r="M921" t="n">
        <v>0</v>
      </c>
      <c r="N921" t="n">
        <v>0</v>
      </c>
      <c r="O921" t="n">
        <v>0</v>
      </c>
      <c r="P921" t="n">
        <v>0</v>
      </c>
      <c r="Q921" t="n">
        <v>0</v>
      </c>
      <c r="R921" s="2" t="inlineStr"/>
    </row>
    <row r="922" ht="15" customHeight="1">
      <c r="A922" t="inlineStr">
        <is>
          <t>A 37406-2023</t>
        </is>
      </c>
      <c r="B922" s="1" t="n">
        <v>45155</v>
      </c>
      <c r="C922" s="1" t="n">
        <v>45839</v>
      </c>
      <c r="D922" t="inlineStr">
        <is>
          <t>VÄSTERBOTTENS LÄN</t>
        </is>
      </c>
      <c r="E922" t="inlineStr">
        <is>
          <t>VILHELMINA</t>
        </is>
      </c>
      <c r="G922" t="n">
        <v>13.2</v>
      </c>
      <c r="H922" t="n">
        <v>0</v>
      </c>
      <c r="I922" t="n">
        <v>0</v>
      </c>
      <c r="J922" t="n">
        <v>0</v>
      </c>
      <c r="K922" t="n">
        <v>0</v>
      </c>
      <c r="L922" t="n">
        <v>0</v>
      </c>
      <c r="M922" t="n">
        <v>0</v>
      </c>
      <c r="N922" t="n">
        <v>0</v>
      </c>
      <c r="O922" t="n">
        <v>0</v>
      </c>
      <c r="P922" t="n">
        <v>0</v>
      </c>
      <c r="Q922" t="n">
        <v>0</v>
      </c>
      <c r="R922" s="2" t="inlineStr"/>
    </row>
    <row r="923" ht="15" customHeight="1">
      <c r="A923" t="inlineStr">
        <is>
          <t>A 37773-2023</t>
        </is>
      </c>
      <c r="B923" s="1" t="n">
        <v>45156</v>
      </c>
      <c r="C923" s="1" t="n">
        <v>45839</v>
      </c>
      <c r="D923" t="inlineStr">
        <is>
          <t>VÄSTERBOTTENS LÄN</t>
        </is>
      </c>
      <c r="E923" t="inlineStr">
        <is>
          <t>VILHELMINA</t>
        </is>
      </c>
      <c r="G923" t="n">
        <v>6.5</v>
      </c>
      <c r="H923" t="n">
        <v>0</v>
      </c>
      <c r="I923" t="n">
        <v>0</v>
      </c>
      <c r="J923" t="n">
        <v>0</v>
      </c>
      <c r="K923" t="n">
        <v>0</v>
      </c>
      <c r="L923" t="n">
        <v>0</v>
      </c>
      <c r="M923" t="n">
        <v>0</v>
      </c>
      <c r="N923" t="n">
        <v>0</v>
      </c>
      <c r="O923" t="n">
        <v>0</v>
      </c>
      <c r="P923" t="n">
        <v>0</v>
      </c>
      <c r="Q923" t="n">
        <v>0</v>
      </c>
      <c r="R923" s="2" t="inlineStr"/>
    </row>
    <row r="924" ht="15" customHeight="1">
      <c r="A924" t="inlineStr">
        <is>
          <t>A 37505-2023</t>
        </is>
      </c>
      <c r="B924" s="1" t="n">
        <v>45158</v>
      </c>
      <c r="C924" s="1" t="n">
        <v>45839</v>
      </c>
      <c r="D924" t="inlineStr">
        <is>
          <t>VÄSTERBOTTENS LÄN</t>
        </is>
      </c>
      <c r="E924" t="inlineStr">
        <is>
          <t>VILHELMINA</t>
        </is>
      </c>
      <c r="G924" t="n">
        <v>10.5</v>
      </c>
      <c r="H924" t="n">
        <v>0</v>
      </c>
      <c r="I924" t="n">
        <v>0</v>
      </c>
      <c r="J924" t="n">
        <v>0</v>
      </c>
      <c r="K924" t="n">
        <v>0</v>
      </c>
      <c r="L924" t="n">
        <v>0</v>
      </c>
      <c r="M924" t="n">
        <v>0</v>
      </c>
      <c r="N924" t="n">
        <v>0</v>
      </c>
      <c r="O924" t="n">
        <v>0</v>
      </c>
      <c r="P924" t="n">
        <v>0</v>
      </c>
      <c r="Q924" t="n">
        <v>0</v>
      </c>
      <c r="R924" s="2" t="inlineStr"/>
    </row>
    <row r="925" ht="15" customHeight="1">
      <c r="A925" t="inlineStr">
        <is>
          <t>A 37937-2023</t>
        </is>
      </c>
      <c r="B925" s="1" t="n">
        <v>45159</v>
      </c>
      <c r="C925" s="1" t="n">
        <v>45839</v>
      </c>
      <c r="D925" t="inlineStr">
        <is>
          <t>VÄSTERBOTTENS LÄN</t>
        </is>
      </c>
      <c r="E925" t="inlineStr">
        <is>
          <t>VILHELMINA</t>
        </is>
      </c>
      <c r="G925" t="n">
        <v>2.2</v>
      </c>
      <c r="H925" t="n">
        <v>0</v>
      </c>
      <c r="I925" t="n">
        <v>0</v>
      </c>
      <c r="J925" t="n">
        <v>0</v>
      </c>
      <c r="K925" t="n">
        <v>0</v>
      </c>
      <c r="L925" t="n">
        <v>0</v>
      </c>
      <c r="M925" t="n">
        <v>0</v>
      </c>
      <c r="N925" t="n">
        <v>0</v>
      </c>
      <c r="O925" t="n">
        <v>0</v>
      </c>
      <c r="P925" t="n">
        <v>0</v>
      </c>
      <c r="Q925" t="n">
        <v>0</v>
      </c>
      <c r="R925" s="2" t="inlineStr"/>
    </row>
    <row r="926" ht="15" customHeight="1">
      <c r="A926" t="inlineStr">
        <is>
          <t>A 38363-2023</t>
        </is>
      </c>
      <c r="B926" s="1" t="n">
        <v>45161</v>
      </c>
      <c r="C926" s="1" t="n">
        <v>45839</v>
      </c>
      <c r="D926" t="inlineStr">
        <is>
          <t>VÄSTERBOTTENS LÄN</t>
        </is>
      </c>
      <c r="E926" t="inlineStr">
        <is>
          <t>VILHELMINA</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38364-2023</t>
        </is>
      </c>
      <c r="B927" s="1" t="n">
        <v>45161</v>
      </c>
      <c r="C927" s="1" t="n">
        <v>45839</v>
      </c>
      <c r="D927" t="inlineStr">
        <is>
          <t>VÄSTERBOTTENS LÄN</t>
        </is>
      </c>
      <c r="E927" t="inlineStr">
        <is>
          <t>VILHELMINA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45162</v>
      </c>
      <c r="C928" s="1" t="n">
        <v>45839</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38829-2023</t>
        </is>
      </c>
      <c r="B929" s="1" t="n">
        <v>45161</v>
      </c>
      <c r="C929" s="1" t="n">
        <v>45839</v>
      </c>
      <c r="D929" t="inlineStr">
        <is>
          <t>VÄSTERBOTTENS LÄN</t>
        </is>
      </c>
      <c r="E929" t="inlineStr">
        <is>
          <t>VILHELMINA</t>
        </is>
      </c>
      <c r="G929" t="n">
        <v>9.9</v>
      </c>
      <c r="H929" t="n">
        <v>0</v>
      </c>
      <c r="I929" t="n">
        <v>0</v>
      </c>
      <c r="J929" t="n">
        <v>0</v>
      </c>
      <c r="K929" t="n">
        <v>0</v>
      </c>
      <c r="L929" t="n">
        <v>0</v>
      </c>
      <c r="M929" t="n">
        <v>0</v>
      </c>
      <c r="N929" t="n">
        <v>0</v>
      </c>
      <c r="O929" t="n">
        <v>0</v>
      </c>
      <c r="P929" t="n">
        <v>0</v>
      </c>
      <c r="Q929" t="n">
        <v>0</v>
      </c>
      <c r="R929" s="2" t="inlineStr"/>
    </row>
    <row r="930" ht="15" customHeight="1">
      <c r="A930" t="inlineStr">
        <is>
          <t>A 38674-2023</t>
        </is>
      </c>
      <c r="B930" s="1" t="n">
        <v>45163</v>
      </c>
      <c r="C930" s="1" t="n">
        <v>45839</v>
      </c>
      <c r="D930" t="inlineStr">
        <is>
          <t>VÄSTERBOTTENS LÄN</t>
        </is>
      </c>
      <c r="E930" t="inlineStr">
        <is>
          <t>VILHELMINA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39914-2023</t>
        </is>
      </c>
      <c r="B931" s="1" t="n">
        <v>45166</v>
      </c>
      <c r="C931" s="1" t="n">
        <v>45839</v>
      </c>
      <c r="D931" t="inlineStr">
        <is>
          <t>VÄSTERBOTTENS LÄN</t>
        </is>
      </c>
      <c r="E931" t="inlineStr">
        <is>
          <t>VILHELMINA</t>
        </is>
      </c>
      <c r="G931" t="n">
        <v>27.5</v>
      </c>
      <c r="H931" t="n">
        <v>0</v>
      </c>
      <c r="I931" t="n">
        <v>0</v>
      </c>
      <c r="J931" t="n">
        <v>0</v>
      </c>
      <c r="K931" t="n">
        <v>0</v>
      </c>
      <c r="L931" t="n">
        <v>0</v>
      </c>
      <c r="M931" t="n">
        <v>0</v>
      </c>
      <c r="N931" t="n">
        <v>0</v>
      </c>
      <c r="O931" t="n">
        <v>0</v>
      </c>
      <c r="P931" t="n">
        <v>0</v>
      </c>
      <c r="Q931" t="n">
        <v>0</v>
      </c>
      <c r="R931" s="2" t="inlineStr"/>
    </row>
    <row r="932" ht="15" customHeight="1">
      <c r="A932" t="inlineStr">
        <is>
          <t>A 40431-2023</t>
        </is>
      </c>
      <c r="B932" s="1" t="n">
        <v>45170</v>
      </c>
      <c r="C932" s="1" t="n">
        <v>45839</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40426-2023</t>
        </is>
      </c>
      <c r="B933" s="1" t="n">
        <v>45169</v>
      </c>
      <c r="C933" s="1" t="n">
        <v>45839</v>
      </c>
      <c r="D933" t="inlineStr">
        <is>
          <t>VÄSTERBOTTENS LÄN</t>
        </is>
      </c>
      <c r="E933" t="inlineStr">
        <is>
          <t>VILHELMINA</t>
        </is>
      </c>
      <c r="F933" t="inlineStr">
        <is>
          <t>SCA</t>
        </is>
      </c>
      <c r="G933" t="n">
        <v>12.6</v>
      </c>
      <c r="H933" t="n">
        <v>0</v>
      </c>
      <c r="I933" t="n">
        <v>0</v>
      </c>
      <c r="J933" t="n">
        <v>0</v>
      </c>
      <c r="K933" t="n">
        <v>0</v>
      </c>
      <c r="L933" t="n">
        <v>0</v>
      </c>
      <c r="M933" t="n">
        <v>0</v>
      </c>
      <c r="N933" t="n">
        <v>0</v>
      </c>
      <c r="O933" t="n">
        <v>0</v>
      </c>
      <c r="P933" t="n">
        <v>0</v>
      </c>
      <c r="Q933" t="n">
        <v>0</v>
      </c>
      <c r="R933" s="2" t="inlineStr"/>
    </row>
    <row r="934" ht="15" customHeight="1">
      <c r="A934" t="inlineStr">
        <is>
          <t>A 40649-2023</t>
        </is>
      </c>
      <c r="B934" s="1" t="n">
        <v>45170</v>
      </c>
      <c r="C934" s="1" t="n">
        <v>45839</v>
      </c>
      <c r="D934" t="inlineStr">
        <is>
          <t>VÄSTERBOTTENS LÄN</t>
        </is>
      </c>
      <c r="E934" t="inlineStr">
        <is>
          <t>VILHELMINA</t>
        </is>
      </c>
      <c r="G934" t="n">
        <v>18.5</v>
      </c>
      <c r="H934" t="n">
        <v>0</v>
      </c>
      <c r="I934" t="n">
        <v>0</v>
      </c>
      <c r="J934" t="n">
        <v>0</v>
      </c>
      <c r="K934" t="n">
        <v>0</v>
      </c>
      <c r="L934" t="n">
        <v>0</v>
      </c>
      <c r="M934" t="n">
        <v>0</v>
      </c>
      <c r="N934" t="n">
        <v>0</v>
      </c>
      <c r="O934" t="n">
        <v>0</v>
      </c>
      <c r="P934" t="n">
        <v>0</v>
      </c>
      <c r="Q934" t="n">
        <v>0</v>
      </c>
      <c r="R934" s="2" t="inlineStr"/>
    </row>
    <row r="935" ht="15" customHeight="1">
      <c r="A935" t="inlineStr">
        <is>
          <t>A 40785-2023</t>
        </is>
      </c>
      <c r="B935" s="1" t="n">
        <v>45171</v>
      </c>
      <c r="C935" s="1" t="n">
        <v>45839</v>
      </c>
      <c r="D935" t="inlineStr">
        <is>
          <t>VÄSTERBOTTENS LÄN</t>
        </is>
      </c>
      <c r="E935" t="inlineStr">
        <is>
          <t>VILHELMINA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40781-2023</t>
        </is>
      </c>
      <c r="B936" s="1" t="n">
        <v>45171</v>
      </c>
      <c r="C936" s="1" t="n">
        <v>45839</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40782-2023</t>
        </is>
      </c>
      <c r="B937" s="1" t="n">
        <v>45171</v>
      </c>
      <c r="C937" s="1" t="n">
        <v>45839</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40783-2023</t>
        </is>
      </c>
      <c r="B938" s="1" t="n">
        <v>45171</v>
      </c>
      <c r="C938" s="1" t="n">
        <v>45839</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40787-2023</t>
        </is>
      </c>
      <c r="B939" s="1" t="n">
        <v>45171</v>
      </c>
      <c r="C939" s="1" t="n">
        <v>45839</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40784-2023</t>
        </is>
      </c>
      <c r="B940" s="1" t="n">
        <v>45171</v>
      </c>
      <c r="C940" s="1" t="n">
        <v>45839</v>
      </c>
      <c r="D940" t="inlineStr">
        <is>
          <t>VÄSTERBOTTENS LÄN</t>
        </is>
      </c>
      <c r="E940" t="inlineStr">
        <is>
          <t>VILHELMINA</t>
        </is>
      </c>
      <c r="F940" t="inlineStr">
        <is>
          <t>SCA</t>
        </is>
      </c>
      <c r="G940" t="n">
        <v>9.1</v>
      </c>
      <c r="H940" t="n">
        <v>0</v>
      </c>
      <c r="I940" t="n">
        <v>0</v>
      </c>
      <c r="J940" t="n">
        <v>0</v>
      </c>
      <c r="K940" t="n">
        <v>0</v>
      </c>
      <c r="L940" t="n">
        <v>0</v>
      </c>
      <c r="M940" t="n">
        <v>0</v>
      </c>
      <c r="N940" t="n">
        <v>0</v>
      </c>
      <c r="O940" t="n">
        <v>0</v>
      </c>
      <c r="P940" t="n">
        <v>0</v>
      </c>
      <c r="Q940" t="n">
        <v>0</v>
      </c>
      <c r="R940" s="2" t="inlineStr"/>
    </row>
    <row r="941" ht="15" customHeight="1">
      <c r="A941" t="inlineStr">
        <is>
          <t>A 40780-2023</t>
        </is>
      </c>
      <c r="B941" s="1" t="n">
        <v>45170</v>
      </c>
      <c r="C941" s="1" t="n">
        <v>45839</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40908-2023</t>
        </is>
      </c>
      <c r="B942" s="1" t="n">
        <v>45173</v>
      </c>
      <c r="C942" s="1" t="n">
        <v>45839</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41931-2023</t>
        </is>
      </c>
      <c r="B943" s="1" t="n">
        <v>45177</v>
      </c>
      <c r="C943" s="1" t="n">
        <v>45839</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41930-2023</t>
        </is>
      </c>
      <c r="B944" s="1" t="n">
        <v>45177</v>
      </c>
      <c r="C944" s="1" t="n">
        <v>45839</v>
      </c>
      <c r="D944" t="inlineStr">
        <is>
          <t>VÄSTERBOTTENS LÄN</t>
        </is>
      </c>
      <c r="E944" t="inlineStr">
        <is>
          <t>VILHELMINA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41932-2023</t>
        </is>
      </c>
      <c r="B945" s="1" t="n">
        <v>45177</v>
      </c>
      <c r="C945" s="1" t="n">
        <v>45839</v>
      </c>
      <c r="D945" t="inlineStr">
        <is>
          <t>VÄSTERBOTTENS LÄN</t>
        </is>
      </c>
      <c r="E945" t="inlineStr">
        <is>
          <t>VILHELMINA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43637-2023</t>
        </is>
      </c>
      <c r="B946" s="1" t="n">
        <v>45186</v>
      </c>
      <c r="C946" s="1" t="n">
        <v>45839</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43948-2023</t>
        </is>
      </c>
      <c r="B947" s="1" t="n">
        <v>45187</v>
      </c>
      <c r="C947" s="1" t="n">
        <v>45839</v>
      </c>
      <c r="D947" t="inlineStr">
        <is>
          <t>VÄSTERBOTTENS LÄN</t>
        </is>
      </c>
      <c r="E947" t="inlineStr">
        <is>
          <t>VILHELMINA</t>
        </is>
      </c>
      <c r="G947" t="n">
        <v>3.7</v>
      </c>
      <c r="H947" t="n">
        <v>0</v>
      </c>
      <c r="I947" t="n">
        <v>0</v>
      </c>
      <c r="J947" t="n">
        <v>0</v>
      </c>
      <c r="K947" t="n">
        <v>0</v>
      </c>
      <c r="L947" t="n">
        <v>0</v>
      </c>
      <c r="M947" t="n">
        <v>0</v>
      </c>
      <c r="N947" t="n">
        <v>0</v>
      </c>
      <c r="O947" t="n">
        <v>0</v>
      </c>
      <c r="P947" t="n">
        <v>0</v>
      </c>
      <c r="Q947" t="n">
        <v>0</v>
      </c>
      <c r="R947" s="2" t="inlineStr"/>
    </row>
    <row r="948" ht="15" customHeight="1">
      <c r="A948" t="inlineStr">
        <is>
          <t>A 45219-2023</t>
        </is>
      </c>
      <c r="B948" s="1" t="n">
        <v>45187</v>
      </c>
      <c r="C948" s="1" t="n">
        <v>45839</v>
      </c>
      <c r="D948" t="inlineStr">
        <is>
          <t>VÄSTERBOTTENS LÄN</t>
        </is>
      </c>
      <c r="E948" t="inlineStr">
        <is>
          <t>VILHELMINA</t>
        </is>
      </c>
      <c r="G948" t="n">
        <v>10.6</v>
      </c>
      <c r="H948" t="n">
        <v>0</v>
      </c>
      <c r="I948" t="n">
        <v>0</v>
      </c>
      <c r="J948" t="n">
        <v>0</v>
      </c>
      <c r="K948" t="n">
        <v>0</v>
      </c>
      <c r="L948" t="n">
        <v>0</v>
      </c>
      <c r="M948" t="n">
        <v>0</v>
      </c>
      <c r="N948" t="n">
        <v>0</v>
      </c>
      <c r="O948" t="n">
        <v>0</v>
      </c>
      <c r="P948" t="n">
        <v>0</v>
      </c>
      <c r="Q948" t="n">
        <v>0</v>
      </c>
      <c r="R948" s="2" t="inlineStr"/>
    </row>
    <row r="949" ht="15" customHeight="1">
      <c r="A949" t="inlineStr">
        <is>
          <t>A 43990-2023</t>
        </is>
      </c>
      <c r="B949" s="1" t="n">
        <v>45188</v>
      </c>
      <c r="C949" s="1" t="n">
        <v>45839</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45215-2023</t>
        </is>
      </c>
      <c r="B950" s="1" t="n">
        <v>45187</v>
      </c>
      <c r="C950" s="1" t="n">
        <v>45839</v>
      </c>
      <c r="D950" t="inlineStr">
        <is>
          <t>VÄSTERBOTTENS LÄN</t>
        </is>
      </c>
      <c r="E950" t="inlineStr">
        <is>
          <t>VILHELMINA</t>
        </is>
      </c>
      <c r="F950" t="inlineStr">
        <is>
          <t>Kommuner</t>
        </is>
      </c>
      <c r="G950" t="n">
        <v>8.6</v>
      </c>
      <c r="H950" t="n">
        <v>0</v>
      </c>
      <c r="I950" t="n">
        <v>0</v>
      </c>
      <c r="J950" t="n">
        <v>0</v>
      </c>
      <c r="K950" t="n">
        <v>0</v>
      </c>
      <c r="L950" t="n">
        <v>0</v>
      </c>
      <c r="M950" t="n">
        <v>0</v>
      </c>
      <c r="N950" t="n">
        <v>0</v>
      </c>
      <c r="O950" t="n">
        <v>0</v>
      </c>
      <c r="P950" t="n">
        <v>0</v>
      </c>
      <c r="Q950" t="n">
        <v>0</v>
      </c>
      <c r="R950" s="2" t="inlineStr"/>
    </row>
    <row r="951" ht="15" customHeight="1">
      <c r="A951" t="inlineStr">
        <is>
          <t>A 44371-2023</t>
        </is>
      </c>
      <c r="B951" s="1" t="n">
        <v>45188</v>
      </c>
      <c r="C951" s="1" t="n">
        <v>45839</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44601-2023</t>
        </is>
      </c>
      <c r="B952" s="1" t="n">
        <v>45189</v>
      </c>
      <c r="C952" s="1" t="n">
        <v>45839</v>
      </c>
      <c r="D952" t="inlineStr">
        <is>
          <t>VÄSTERBOTTENS LÄN</t>
        </is>
      </c>
      <c r="E952" t="inlineStr">
        <is>
          <t>VILHELMINA</t>
        </is>
      </c>
      <c r="F952" t="inlineStr">
        <is>
          <t>Kommuner</t>
        </is>
      </c>
      <c r="G952" t="n">
        <v>16.5</v>
      </c>
      <c r="H952" t="n">
        <v>0</v>
      </c>
      <c r="I952" t="n">
        <v>0</v>
      </c>
      <c r="J952" t="n">
        <v>0</v>
      </c>
      <c r="K952" t="n">
        <v>0</v>
      </c>
      <c r="L952" t="n">
        <v>0</v>
      </c>
      <c r="M952" t="n">
        <v>0</v>
      </c>
      <c r="N952" t="n">
        <v>0</v>
      </c>
      <c r="O952" t="n">
        <v>0</v>
      </c>
      <c r="P952" t="n">
        <v>0</v>
      </c>
      <c r="Q952" t="n">
        <v>0</v>
      </c>
      <c r="R952" s="2" t="inlineStr"/>
    </row>
    <row r="953" ht="15" customHeight="1">
      <c r="A953" t="inlineStr">
        <is>
          <t>A 44695-2023</t>
        </is>
      </c>
      <c r="B953" s="1" t="n">
        <v>45190</v>
      </c>
      <c r="C953" s="1" t="n">
        <v>45839</v>
      </c>
      <c r="D953" t="inlineStr">
        <is>
          <t>VÄSTERBOTTENS LÄN</t>
        </is>
      </c>
      <c r="E953" t="inlineStr">
        <is>
          <t>VILHELMINA</t>
        </is>
      </c>
      <c r="G953" t="n">
        <v>15.6</v>
      </c>
      <c r="H953" t="n">
        <v>0</v>
      </c>
      <c r="I953" t="n">
        <v>0</v>
      </c>
      <c r="J953" t="n">
        <v>0</v>
      </c>
      <c r="K953" t="n">
        <v>0</v>
      </c>
      <c r="L953" t="n">
        <v>0</v>
      </c>
      <c r="M953" t="n">
        <v>0</v>
      </c>
      <c r="N953" t="n">
        <v>0</v>
      </c>
      <c r="O953" t="n">
        <v>0</v>
      </c>
      <c r="P953" t="n">
        <v>0</v>
      </c>
      <c r="Q953" t="n">
        <v>0</v>
      </c>
      <c r="R953" s="2" t="inlineStr"/>
    </row>
    <row r="954" ht="15" customHeight="1">
      <c r="A954" t="inlineStr">
        <is>
          <t>A 45022-2023</t>
        </is>
      </c>
      <c r="B954" s="1" t="n">
        <v>45190</v>
      </c>
      <c r="C954" s="1" t="n">
        <v>45839</v>
      </c>
      <c r="D954" t="inlineStr">
        <is>
          <t>VÄSTERBOTTENS LÄN</t>
        </is>
      </c>
      <c r="E954" t="inlineStr">
        <is>
          <t>VILHELMINA</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46177-2023</t>
        </is>
      </c>
      <c r="B955" s="1" t="n">
        <v>45190</v>
      </c>
      <c r="C955" s="1" t="n">
        <v>45839</v>
      </c>
      <c r="D955" t="inlineStr">
        <is>
          <t>VÄSTERBOTTENS LÄN</t>
        </is>
      </c>
      <c r="E955" t="inlineStr">
        <is>
          <t>VILHELMINA</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46164-2023</t>
        </is>
      </c>
      <c r="B956" s="1" t="n">
        <v>45190</v>
      </c>
      <c r="C956" s="1" t="n">
        <v>45839</v>
      </c>
      <c r="D956" t="inlineStr">
        <is>
          <t>VÄSTERBOTTENS LÄN</t>
        </is>
      </c>
      <c r="E956" t="inlineStr">
        <is>
          <t>VILHELMINA</t>
        </is>
      </c>
      <c r="G956" t="n">
        <v>6.3</v>
      </c>
      <c r="H956" t="n">
        <v>0</v>
      </c>
      <c r="I956" t="n">
        <v>0</v>
      </c>
      <c r="J956" t="n">
        <v>0</v>
      </c>
      <c r="K956" t="n">
        <v>0</v>
      </c>
      <c r="L956" t="n">
        <v>0</v>
      </c>
      <c r="M956" t="n">
        <v>0</v>
      </c>
      <c r="N956" t="n">
        <v>0</v>
      </c>
      <c r="O956" t="n">
        <v>0</v>
      </c>
      <c r="P956" t="n">
        <v>0</v>
      </c>
      <c r="Q956" t="n">
        <v>0</v>
      </c>
      <c r="R956" s="2" t="inlineStr"/>
    </row>
    <row r="957" ht="15" customHeight="1">
      <c r="A957" t="inlineStr">
        <is>
          <t>A 46119-2023</t>
        </is>
      </c>
      <c r="B957" s="1" t="n">
        <v>45190</v>
      </c>
      <c r="C957" s="1" t="n">
        <v>45839</v>
      </c>
      <c r="D957" t="inlineStr">
        <is>
          <t>VÄSTERBOTTENS LÄN</t>
        </is>
      </c>
      <c r="E957" t="inlineStr">
        <is>
          <t>VILHELMINA</t>
        </is>
      </c>
      <c r="G957" t="n">
        <v>17.7</v>
      </c>
      <c r="H957" t="n">
        <v>0</v>
      </c>
      <c r="I957" t="n">
        <v>0</v>
      </c>
      <c r="J957" t="n">
        <v>0</v>
      </c>
      <c r="K957" t="n">
        <v>0</v>
      </c>
      <c r="L957" t="n">
        <v>0</v>
      </c>
      <c r="M957" t="n">
        <v>0</v>
      </c>
      <c r="N957" t="n">
        <v>0</v>
      </c>
      <c r="O957" t="n">
        <v>0</v>
      </c>
      <c r="P957" t="n">
        <v>0</v>
      </c>
      <c r="Q957" t="n">
        <v>0</v>
      </c>
      <c r="R957" s="2" t="inlineStr"/>
    </row>
    <row r="958" ht="15" customHeight="1">
      <c r="A958" t="inlineStr">
        <is>
          <t>A 45672-2023</t>
        </is>
      </c>
      <c r="B958" s="1" t="n">
        <v>45194</v>
      </c>
      <c r="C958" s="1" t="n">
        <v>45839</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45673-2023</t>
        </is>
      </c>
      <c r="B959" s="1" t="n">
        <v>45194</v>
      </c>
      <c r="C959" s="1" t="n">
        <v>45839</v>
      </c>
      <c r="D959" t="inlineStr">
        <is>
          <t>VÄSTERBOTTENS LÄN</t>
        </is>
      </c>
      <c r="E959" t="inlineStr">
        <is>
          <t>VILHELMINA</t>
        </is>
      </c>
      <c r="G959" t="n">
        <v>13.4</v>
      </c>
      <c r="H959" t="n">
        <v>0</v>
      </c>
      <c r="I959" t="n">
        <v>0</v>
      </c>
      <c r="J959" t="n">
        <v>0</v>
      </c>
      <c r="K959" t="n">
        <v>0</v>
      </c>
      <c r="L959" t="n">
        <v>0</v>
      </c>
      <c r="M959" t="n">
        <v>0</v>
      </c>
      <c r="N959" t="n">
        <v>0</v>
      </c>
      <c r="O959" t="n">
        <v>0</v>
      </c>
      <c r="P959" t="n">
        <v>0</v>
      </c>
      <c r="Q959" t="n">
        <v>0</v>
      </c>
      <c r="R959" s="2" t="inlineStr"/>
    </row>
    <row r="960" ht="15" customHeight="1">
      <c r="A960" t="inlineStr">
        <is>
          <t>A 45970-2023</t>
        </is>
      </c>
      <c r="B960" s="1" t="n">
        <v>45195</v>
      </c>
      <c r="C960" s="1" t="n">
        <v>45839</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45971-2023</t>
        </is>
      </c>
      <c r="B961" s="1" t="n">
        <v>45195</v>
      </c>
      <c r="C961" s="1" t="n">
        <v>45839</v>
      </c>
      <c r="D961" t="inlineStr">
        <is>
          <t>VÄSTERBOTTENS LÄN</t>
        </is>
      </c>
      <c r="E961" t="inlineStr">
        <is>
          <t>VILHELMINA</t>
        </is>
      </c>
      <c r="F961" t="inlineStr">
        <is>
          <t>SCA</t>
        </is>
      </c>
      <c r="G961" t="n">
        <v>48.3</v>
      </c>
      <c r="H961" t="n">
        <v>0</v>
      </c>
      <c r="I961" t="n">
        <v>0</v>
      </c>
      <c r="J961" t="n">
        <v>0</v>
      </c>
      <c r="K961" t="n">
        <v>0</v>
      </c>
      <c r="L961" t="n">
        <v>0</v>
      </c>
      <c r="M961" t="n">
        <v>0</v>
      </c>
      <c r="N961" t="n">
        <v>0</v>
      </c>
      <c r="O961" t="n">
        <v>0</v>
      </c>
      <c r="P961" t="n">
        <v>0</v>
      </c>
      <c r="Q961" t="n">
        <v>0</v>
      </c>
      <c r="R961" s="2" t="inlineStr"/>
    </row>
    <row r="962" ht="15" customHeight="1">
      <c r="A962" t="inlineStr">
        <is>
          <t>A 45927-2023</t>
        </is>
      </c>
      <c r="B962" s="1" t="n">
        <v>45196</v>
      </c>
      <c r="C962" s="1" t="n">
        <v>45839</v>
      </c>
      <c r="D962" t="inlineStr">
        <is>
          <t>VÄSTERBOTTENS LÄN</t>
        </is>
      </c>
      <c r="E962" t="inlineStr">
        <is>
          <t>VILHELMINA</t>
        </is>
      </c>
      <c r="G962" t="n">
        <v>4.7</v>
      </c>
      <c r="H962" t="n">
        <v>0</v>
      </c>
      <c r="I962" t="n">
        <v>0</v>
      </c>
      <c r="J962" t="n">
        <v>0</v>
      </c>
      <c r="K962" t="n">
        <v>0</v>
      </c>
      <c r="L962" t="n">
        <v>0</v>
      </c>
      <c r="M962" t="n">
        <v>0</v>
      </c>
      <c r="N962" t="n">
        <v>0</v>
      </c>
      <c r="O962" t="n">
        <v>0</v>
      </c>
      <c r="P962" t="n">
        <v>0</v>
      </c>
      <c r="Q962" t="n">
        <v>0</v>
      </c>
      <c r="R962" s="2" t="inlineStr"/>
    </row>
    <row r="963" ht="15" customHeight="1">
      <c r="A963" t="inlineStr">
        <is>
          <t>A 45965-2023</t>
        </is>
      </c>
      <c r="B963" s="1" t="n">
        <v>45196</v>
      </c>
      <c r="C963" s="1" t="n">
        <v>45839</v>
      </c>
      <c r="D963" t="inlineStr">
        <is>
          <t>VÄSTERBOTTENS LÄN</t>
        </is>
      </c>
      <c r="E963" t="inlineStr">
        <is>
          <t>VILHELMINA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45926-2023</t>
        </is>
      </c>
      <c r="B964" s="1" t="n">
        <v>45196</v>
      </c>
      <c r="C964" s="1" t="n">
        <v>45839</v>
      </c>
      <c r="D964" t="inlineStr">
        <is>
          <t>VÄSTERBOTTENS LÄN</t>
        </is>
      </c>
      <c r="E964" t="inlineStr">
        <is>
          <t>VILHELMINA</t>
        </is>
      </c>
      <c r="G964" t="n">
        <v>1.1</v>
      </c>
      <c r="H964" t="n">
        <v>0</v>
      </c>
      <c r="I964" t="n">
        <v>0</v>
      </c>
      <c r="J964" t="n">
        <v>0</v>
      </c>
      <c r="K964" t="n">
        <v>0</v>
      </c>
      <c r="L964" t="n">
        <v>0</v>
      </c>
      <c r="M964" t="n">
        <v>0</v>
      </c>
      <c r="N964" t="n">
        <v>0</v>
      </c>
      <c r="O964" t="n">
        <v>0</v>
      </c>
      <c r="P964" t="n">
        <v>0</v>
      </c>
      <c r="Q964" t="n">
        <v>0</v>
      </c>
      <c r="R964" s="2" t="inlineStr"/>
    </row>
    <row r="965" ht="15" customHeight="1">
      <c r="A965" t="inlineStr">
        <is>
          <t>A 45964-2023</t>
        </is>
      </c>
      <c r="B965" s="1" t="n">
        <v>45195</v>
      </c>
      <c r="C965" s="1" t="n">
        <v>45839</v>
      </c>
      <c r="D965" t="inlineStr">
        <is>
          <t>VÄSTERBOTTENS LÄN</t>
        </is>
      </c>
      <c r="E965" t="inlineStr">
        <is>
          <t>VILHELMINA</t>
        </is>
      </c>
      <c r="F965" t="inlineStr">
        <is>
          <t>SCA</t>
        </is>
      </c>
      <c r="G965" t="n">
        <v>17.2</v>
      </c>
      <c r="H965" t="n">
        <v>0</v>
      </c>
      <c r="I965" t="n">
        <v>0</v>
      </c>
      <c r="J965" t="n">
        <v>0</v>
      </c>
      <c r="K965" t="n">
        <v>0</v>
      </c>
      <c r="L965" t="n">
        <v>0</v>
      </c>
      <c r="M965" t="n">
        <v>0</v>
      </c>
      <c r="N965" t="n">
        <v>0</v>
      </c>
      <c r="O965" t="n">
        <v>0</v>
      </c>
      <c r="P965" t="n">
        <v>0</v>
      </c>
      <c r="Q965" t="n">
        <v>0</v>
      </c>
      <c r="R965" s="2" t="inlineStr"/>
    </row>
    <row r="966" ht="15" customHeight="1">
      <c r="A966" t="inlineStr">
        <is>
          <t>A 45972-2023</t>
        </is>
      </c>
      <c r="B966" s="1" t="n">
        <v>45195</v>
      </c>
      <c r="C966" s="1" t="n">
        <v>45839</v>
      </c>
      <c r="D966" t="inlineStr">
        <is>
          <t>VÄSTERBOTTENS LÄN</t>
        </is>
      </c>
      <c r="E966" t="inlineStr">
        <is>
          <t>VILHELMINA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46547-2023</t>
        </is>
      </c>
      <c r="B967" s="1" t="n">
        <v>45198</v>
      </c>
      <c r="C967" s="1" t="n">
        <v>45839</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46824-2023</t>
        </is>
      </c>
      <c r="B968" s="1" t="n">
        <v>45199</v>
      </c>
      <c r="C968" s="1" t="n">
        <v>45839</v>
      </c>
      <c r="D968" t="inlineStr">
        <is>
          <t>VÄSTERBOTTENS LÄN</t>
        </is>
      </c>
      <c r="E968" t="inlineStr">
        <is>
          <t>VILHELMINA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46823-2023</t>
        </is>
      </c>
      <c r="B969" s="1" t="n">
        <v>45199</v>
      </c>
      <c r="C969" s="1" t="n">
        <v>45839</v>
      </c>
      <c r="D969" t="inlineStr">
        <is>
          <t>VÄSTERBOTTENS LÄN</t>
        </is>
      </c>
      <c r="E969" t="inlineStr">
        <is>
          <t>VILHELMINA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47482-2023</t>
        </is>
      </c>
      <c r="B970" s="1" t="n">
        <v>45203</v>
      </c>
      <c r="C970" s="1" t="n">
        <v>45839</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47481-2023</t>
        </is>
      </c>
      <c r="B971" s="1" t="n">
        <v>45203</v>
      </c>
      <c r="C971" s="1" t="n">
        <v>45839</v>
      </c>
      <c r="D971" t="inlineStr">
        <is>
          <t>VÄSTERBOTTENS LÄN</t>
        </is>
      </c>
      <c r="E971" t="inlineStr">
        <is>
          <t>VILHELMINA</t>
        </is>
      </c>
      <c r="F971" t="inlineStr">
        <is>
          <t>SCA</t>
        </is>
      </c>
      <c r="G971" t="n">
        <v>16.4</v>
      </c>
      <c r="H971" t="n">
        <v>0</v>
      </c>
      <c r="I971" t="n">
        <v>0</v>
      </c>
      <c r="J971" t="n">
        <v>0</v>
      </c>
      <c r="K971" t="n">
        <v>0</v>
      </c>
      <c r="L971" t="n">
        <v>0</v>
      </c>
      <c r="M971" t="n">
        <v>0</v>
      </c>
      <c r="N971" t="n">
        <v>0</v>
      </c>
      <c r="O971" t="n">
        <v>0</v>
      </c>
      <c r="P971" t="n">
        <v>0</v>
      </c>
      <c r="Q971" t="n">
        <v>0</v>
      </c>
      <c r="R971" s="2" t="inlineStr"/>
    </row>
    <row r="972" ht="15" customHeight="1">
      <c r="A972" t="inlineStr">
        <is>
          <t>A 47480-2023</t>
        </is>
      </c>
      <c r="B972" s="1" t="n">
        <v>45203</v>
      </c>
      <c r="C972" s="1" t="n">
        <v>45839</v>
      </c>
      <c r="D972" t="inlineStr">
        <is>
          <t>VÄSTERBOTTENS LÄN</t>
        </is>
      </c>
      <c r="E972" t="inlineStr">
        <is>
          <t>VILHELMINA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47479-2023</t>
        </is>
      </c>
      <c r="B973" s="1" t="n">
        <v>45203</v>
      </c>
      <c r="C973" s="1" t="n">
        <v>45839</v>
      </c>
      <c r="D973" t="inlineStr">
        <is>
          <t>VÄSTERBOTTENS LÄN</t>
        </is>
      </c>
      <c r="E973" t="inlineStr">
        <is>
          <t>VILHELMINA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47483-2023</t>
        </is>
      </c>
      <c r="B974" s="1" t="n">
        <v>45203</v>
      </c>
      <c r="C974" s="1" t="n">
        <v>45839</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48368-2023</t>
        </is>
      </c>
      <c r="B975" s="1" t="n">
        <v>45205</v>
      </c>
      <c r="C975" s="1" t="n">
        <v>45839</v>
      </c>
      <c r="D975" t="inlineStr">
        <is>
          <t>VÄSTERBOTTENS LÄN</t>
        </is>
      </c>
      <c r="E975" t="inlineStr">
        <is>
          <t>VILHELMINA</t>
        </is>
      </c>
      <c r="F975" t="inlineStr">
        <is>
          <t>Sveaskog</t>
        </is>
      </c>
      <c r="G975" t="n">
        <v>16.8</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45839</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48372-2023</t>
        </is>
      </c>
      <c r="B977" s="1" t="n">
        <v>45205</v>
      </c>
      <c r="C977" s="1" t="n">
        <v>45839</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48423-2023</t>
        </is>
      </c>
      <c r="B978" s="1" t="n">
        <v>45205</v>
      </c>
      <c r="C978" s="1" t="n">
        <v>45839</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48422-2023</t>
        </is>
      </c>
      <c r="B979" s="1" t="n">
        <v>45205</v>
      </c>
      <c r="C979" s="1" t="n">
        <v>45839</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48370-2023</t>
        </is>
      </c>
      <c r="B980" s="1" t="n">
        <v>45205</v>
      </c>
      <c r="C980" s="1" t="n">
        <v>45839</v>
      </c>
      <c r="D980" t="inlineStr">
        <is>
          <t>VÄSTERBOTTENS LÄN</t>
        </is>
      </c>
      <c r="E980" t="inlineStr">
        <is>
          <t>VILHELMINA</t>
        </is>
      </c>
      <c r="F980" t="inlineStr">
        <is>
          <t>Sveaskog</t>
        </is>
      </c>
      <c r="G980" t="n">
        <v>7.7</v>
      </c>
      <c r="H980" t="n">
        <v>0</v>
      </c>
      <c r="I980" t="n">
        <v>0</v>
      </c>
      <c r="J980" t="n">
        <v>0</v>
      </c>
      <c r="K980" t="n">
        <v>0</v>
      </c>
      <c r="L980" t="n">
        <v>0</v>
      </c>
      <c r="M980" t="n">
        <v>0</v>
      </c>
      <c r="N980" t="n">
        <v>0</v>
      </c>
      <c r="O980" t="n">
        <v>0</v>
      </c>
      <c r="P980" t="n">
        <v>0</v>
      </c>
      <c r="Q980" t="n">
        <v>0</v>
      </c>
      <c r="R980" s="2" t="inlineStr"/>
    </row>
    <row r="981" ht="15" customHeight="1">
      <c r="A981" t="inlineStr">
        <is>
          <t>A 48471-2023</t>
        </is>
      </c>
      <c r="B981" s="1" t="n">
        <v>45207</v>
      </c>
      <c r="C981" s="1" t="n">
        <v>45839</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48470-2023</t>
        </is>
      </c>
      <c r="B982" s="1" t="n">
        <v>45207</v>
      </c>
      <c r="C982" s="1" t="n">
        <v>45839</v>
      </c>
      <c r="D982" t="inlineStr">
        <is>
          <t>VÄSTERBOTTENS LÄN</t>
        </is>
      </c>
      <c r="E982" t="inlineStr">
        <is>
          <t>VILHELMINA</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48483-2023</t>
        </is>
      </c>
      <c r="B983" s="1" t="n">
        <v>45207</v>
      </c>
      <c r="C983" s="1" t="n">
        <v>45839</v>
      </c>
      <c r="D983" t="inlineStr">
        <is>
          <t>VÄSTERBOTTENS LÄN</t>
        </is>
      </c>
      <c r="E983" t="inlineStr">
        <is>
          <t>VILHELMINA</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48472-2023</t>
        </is>
      </c>
      <c r="B984" s="1" t="n">
        <v>45207</v>
      </c>
      <c r="C984" s="1" t="n">
        <v>45839</v>
      </c>
      <c r="D984" t="inlineStr">
        <is>
          <t>VÄSTERBOTTENS LÄN</t>
        </is>
      </c>
      <c r="E984" t="inlineStr">
        <is>
          <t>VILHELMINA</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48505-2023</t>
        </is>
      </c>
      <c r="B985" s="1" t="n">
        <v>45208</v>
      </c>
      <c r="C985" s="1" t="n">
        <v>45839</v>
      </c>
      <c r="D985" t="inlineStr">
        <is>
          <t>VÄSTERBOTTENS LÄN</t>
        </is>
      </c>
      <c r="E985" t="inlineStr">
        <is>
          <t>VILHELMINA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50347-2023</t>
        </is>
      </c>
      <c r="B986" s="1" t="n">
        <v>45209</v>
      </c>
      <c r="C986" s="1" t="n">
        <v>45839</v>
      </c>
      <c r="D986" t="inlineStr">
        <is>
          <t>VÄSTERBOTTENS LÄN</t>
        </is>
      </c>
      <c r="E986" t="inlineStr">
        <is>
          <t>VILHELMINA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49310-2023</t>
        </is>
      </c>
      <c r="B987" s="1" t="n">
        <v>45210</v>
      </c>
      <c r="C987" s="1" t="n">
        <v>45839</v>
      </c>
      <c r="D987" t="inlineStr">
        <is>
          <t>VÄSTERBOTTENS LÄN</t>
        </is>
      </c>
      <c r="E987" t="inlineStr">
        <is>
          <t>VILHELMINA</t>
        </is>
      </c>
      <c r="G987" t="n">
        <v>25.1</v>
      </c>
      <c r="H987" t="n">
        <v>0</v>
      </c>
      <c r="I987" t="n">
        <v>0</v>
      </c>
      <c r="J987" t="n">
        <v>0</v>
      </c>
      <c r="K987" t="n">
        <v>0</v>
      </c>
      <c r="L987" t="n">
        <v>0</v>
      </c>
      <c r="M987" t="n">
        <v>0</v>
      </c>
      <c r="N987" t="n">
        <v>0</v>
      </c>
      <c r="O987" t="n">
        <v>0</v>
      </c>
      <c r="P987" t="n">
        <v>0</v>
      </c>
      <c r="Q987" t="n">
        <v>0</v>
      </c>
      <c r="R987" s="2" t="inlineStr"/>
    </row>
    <row r="988" ht="15" customHeight="1">
      <c r="A988" t="inlineStr">
        <is>
          <t>A 49642-2023</t>
        </is>
      </c>
      <c r="B988" s="1" t="n">
        <v>45212</v>
      </c>
      <c r="C988" s="1" t="n">
        <v>45839</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49652-2023</t>
        </is>
      </c>
      <c r="B989" s="1" t="n">
        <v>45212</v>
      </c>
      <c r="C989" s="1" t="n">
        <v>45839</v>
      </c>
      <c r="D989" t="inlineStr">
        <is>
          <t>VÄSTERBOTTENS LÄN</t>
        </is>
      </c>
      <c r="E989" t="inlineStr">
        <is>
          <t>VILHELMINA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49860-2023</t>
        </is>
      </c>
      <c r="B990" s="1" t="n">
        <v>45212</v>
      </c>
      <c r="C990" s="1" t="n">
        <v>45839</v>
      </c>
      <c r="D990" t="inlineStr">
        <is>
          <t>VÄSTERBOTTENS LÄN</t>
        </is>
      </c>
      <c r="E990" t="inlineStr">
        <is>
          <t>VILHELMINA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50505-2023</t>
        </is>
      </c>
      <c r="B991" s="1" t="n">
        <v>45217</v>
      </c>
      <c r="C991" s="1" t="n">
        <v>45839</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50502-2023</t>
        </is>
      </c>
      <c r="B992" s="1" t="n">
        <v>45217</v>
      </c>
      <c r="C992" s="1" t="n">
        <v>45839</v>
      </c>
      <c r="D992" t="inlineStr">
        <is>
          <t>VÄSTERBOTTENS LÄN</t>
        </is>
      </c>
      <c r="E992" t="inlineStr">
        <is>
          <t>VILHELMINA</t>
        </is>
      </c>
      <c r="F992" t="inlineStr">
        <is>
          <t>SCA</t>
        </is>
      </c>
      <c r="G992" t="n">
        <v>30.6</v>
      </c>
      <c r="H992" t="n">
        <v>0</v>
      </c>
      <c r="I992" t="n">
        <v>0</v>
      </c>
      <c r="J992" t="n">
        <v>0</v>
      </c>
      <c r="K992" t="n">
        <v>0</v>
      </c>
      <c r="L992" t="n">
        <v>0</v>
      </c>
      <c r="M992" t="n">
        <v>0</v>
      </c>
      <c r="N992" t="n">
        <v>0</v>
      </c>
      <c r="O992" t="n">
        <v>0</v>
      </c>
      <c r="P992" t="n">
        <v>0</v>
      </c>
      <c r="Q992" t="n">
        <v>0</v>
      </c>
      <c r="R992" s="2" t="inlineStr"/>
    </row>
    <row r="993" ht="15" customHeight="1">
      <c r="A993" t="inlineStr">
        <is>
          <t>A 50506-2023</t>
        </is>
      </c>
      <c r="B993" s="1" t="n">
        <v>45217</v>
      </c>
      <c r="C993" s="1" t="n">
        <v>45839</v>
      </c>
      <c r="D993" t="inlineStr">
        <is>
          <t>VÄSTERBOTTENS LÄN</t>
        </is>
      </c>
      <c r="E993" t="inlineStr">
        <is>
          <t>VILHELMINA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50499-2023</t>
        </is>
      </c>
      <c r="B994" s="1" t="n">
        <v>45217</v>
      </c>
      <c r="C994" s="1" t="n">
        <v>45839</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50500-2023</t>
        </is>
      </c>
      <c r="B995" s="1" t="n">
        <v>45217</v>
      </c>
      <c r="C995" s="1" t="n">
        <v>45839</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50494-2023</t>
        </is>
      </c>
      <c r="B996" s="1" t="n">
        <v>45217</v>
      </c>
      <c r="C996" s="1" t="n">
        <v>45839</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50490-2023</t>
        </is>
      </c>
      <c r="B997" s="1" t="n">
        <v>45217</v>
      </c>
      <c r="C997" s="1" t="n">
        <v>45839</v>
      </c>
      <c r="D997" t="inlineStr">
        <is>
          <t>VÄSTERBOTTENS LÄN</t>
        </is>
      </c>
      <c r="E997" t="inlineStr">
        <is>
          <t>VILHELMINA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50482-2023</t>
        </is>
      </c>
      <c r="B998" s="1" t="n">
        <v>45216</v>
      </c>
      <c r="C998" s="1" t="n">
        <v>45839</v>
      </c>
      <c r="D998" t="inlineStr">
        <is>
          <t>VÄSTERBOTTENS LÄN</t>
        </is>
      </c>
      <c r="E998" t="inlineStr">
        <is>
          <t>VILHELMINA</t>
        </is>
      </c>
      <c r="G998" t="n">
        <v>3.5</v>
      </c>
      <c r="H998" t="n">
        <v>0</v>
      </c>
      <c r="I998" t="n">
        <v>0</v>
      </c>
      <c r="J998" t="n">
        <v>0</v>
      </c>
      <c r="K998" t="n">
        <v>0</v>
      </c>
      <c r="L998" t="n">
        <v>0</v>
      </c>
      <c r="M998" t="n">
        <v>0</v>
      </c>
      <c r="N998" t="n">
        <v>0</v>
      </c>
      <c r="O998" t="n">
        <v>0</v>
      </c>
      <c r="P998" t="n">
        <v>0</v>
      </c>
      <c r="Q998" t="n">
        <v>0</v>
      </c>
      <c r="R998" s="2" t="inlineStr"/>
    </row>
    <row r="999" ht="15" customHeight="1">
      <c r="A999" t="inlineStr">
        <is>
          <t>A 50501-2023</t>
        </is>
      </c>
      <c r="B999" s="1" t="n">
        <v>45216</v>
      </c>
      <c r="C999" s="1" t="n">
        <v>45839</v>
      </c>
      <c r="D999" t="inlineStr">
        <is>
          <t>VÄSTERBOTTENS LÄN</t>
        </is>
      </c>
      <c r="E999" t="inlineStr">
        <is>
          <t>VILHELMINA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50489-2023</t>
        </is>
      </c>
      <c r="B1000" s="1" t="n">
        <v>45217</v>
      </c>
      <c r="C1000" s="1" t="n">
        <v>45839</v>
      </c>
      <c r="D1000" t="inlineStr">
        <is>
          <t>VÄSTERBOTTENS LÄN</t>
        </is>
      </c>
      <c r="E1000" t="inlineStr">
        <is>
          <t>VILHELMINA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50655-2023</t>
        </is>
      </c>
      <c r="B1001" s="1" t="n">
        <v>45217</v>
      </c>
      <c r="C1001" s="1" t="n">
        <v>45839</v>
      </c>
      <c r="D1001" t="inlineStr">
        <is>
          <t>VÄSTERBOTTENS LÄN</t>
        </is>
      </c>
      <c r="E1001" t="inlineStr">
        <is>
          <t>VILHELMINA</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50830-2023</t>
        </is>
      </c>
      <c r="B1002" s="1" t="n">
        <v>45218</v>
      </c>
      <c r="C1002" s="1" t="n">
        <v>45839</v>
      </c>
      <c r="D1002" t="inlineStr">
        <is>
          <t>VÄSTERBOTTENS LÄN</t>
        </is>
      </c>
      <c r="E1002" t="inlineStr">
        <is>
          <t>VILHELMINA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51825-2023</t>
        </is>
      </c>
      <c r="B1003" s="1" t="n">
        <v>45222</v>
      </c>
      <c r="C1003" s="1" t="n">
        <v>45839</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51826-2023</t>
        </is>
      </c>
      <c r="B1004" s="1" t="n">
        <v>45223</v>
      </c>
      <c r="C1004" s="1" t="n">
        <v>45839</v>
      </c>
      <c r="D1004" t="inlineStr">
        <is>
          <t>VÄSTERBOTTENS LÄN</t>
        </is>
      </c>
      <c r="E1004" t="inlineStr">
        <is>
          <t>VILHELMINA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52123-2023</t>
        </is>
      </c>
      <c r="B1005" s="1" t="n">
        <v>45224</v>
      </c>
      <c r="C1005" s="1" t="n">
        <v>45839</v>
      </c>
      <c r="D1005" t="inlineStr">
        <is>
          <t>VÄSTERBOTTENS LÄN</t>
        </is>
      </c>
      <c r="E1005" t="inlineStr">
        <is>
          <t>VILHELMINA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52740-2023</t>
        </is>
      </c>
      <c r="B1006" s="1" t="n">
        <v>45225</v>
      </c>
      <c r="C1006" s="1" t="n">
        <v>45839</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52744-2023</t>
        </is>
      </c>
      <c r="B1007" s="1" t="n">
        <v>45226</v>
      </c>
      <c r="C1007" s="1" t="n">
        <v>45839</v>
      </c>
      <c r="D1007" t="inlineStr">
        <is>
          <t>VÄSTERBOTTENS LÄN</t>
        </is>
      </c>
      <c r="E1007" t="inlineStr">
        <is>
          <t>VILHELMINA</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52748-2023</t>
        </is>
      </c>
      <c r="B1008" s="1" t="n">
        <v>45225</v>
      </c>
      <c r="C1008" s="1" t="n">
        <v>45839</v>
      </c>
      <c r="D1008" t="inlineStr">
        <is>
          <t>VÄSTERBOTTENS LÄN</t>
        </is>
      </c>
      <c r="E1008" t="inlineStr">
        <is>
          <t>VILHELMINA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52745-2023</t>
        </is>
      </c>
      <c r="B1009" s="1" t="n">
        <v>45226</v>
      </c>
      <c r="C1009" s="1" t="n">
        <v>45839</v>
      </c>
      <c r="D1009" t="inlineStr">
        <is>
          <t>VÄSTERBOTTENS LÄN</t>
        </is>
      </c>
      <c r="E1009" t="inlineStr">
        <is>
          <t>VILHELMINA</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52749-2023</t>
        </is>
      </c>
      <c r="B1010" s="1" t="n">
        <v>45226</v>
      </c>
      <c r="C1010" s="1" t="n">
        <v>45839</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52746-2023</t>
        </is>
      </c>
      <c r="B1011" s="1" t="n">
        <v>45226</v>
      </c>
      <c r="C1011" s="1" t="n">
        <v>45839</v>
      </c>
      <c r="D1011" t="inlineStr">
        <is>
          <t>VÄSTERBOTTENS LÄN</t>
        </is>
      </c>
      <c r="E1011" t="inlineStr">
        <is>
          <t>VILHELMINA</t>
        </is>
      </c>
      <c r="F1011" t="inlineStr">
        <is>
          <t>SCA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52747-2023</t>
        </is>
      </c>
      <c r="B1012" s="1" t="n">
        <v>45226</v>
      </c>
      <c r="C1012" s="1" t="n">
        <v>45839</v>
      </c>
      <c r="D1012" t="inlineStr">
        <is>
          <t>VÄSTERBOTTENS LÄN</t>
        </is>
      </c>
      <c r="E1012" t="inlineStr">
        <is>
          <t>VILHELMINA</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53034-2023</t>
        </is>
      </c>
      <c r="B1013" s="1" t="n">
        <v>45227</v>
      </c>
      <c r="C1013" s="1" t="n">
        <v>45839</v>
      </c>
      <c r="D1013" t="inlineStr">
        <is>
          <t>VÄSTERBOTTENS LÄN</t>
        </is>
      </c>
      <c r="E1013" t="inlineStr">
        <is>
          <t>VILHELMINA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54931-2023</t>
        </is>
      </c>
      <c r="B1014" s="1" t="n">
        <v>45229</v>
      </c>
      <c r="C1014" s="1" t="n">
        <v>45839</v>
      </c>
      <c r="D1014" t="inlineStr">
        <is>
          <t>VÄSTERBOTTENS LÄN</t>
        </is>
      </c>
      <c r="E1014" t="inlineStr">
        <is>
          <t>VILHELMINA</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55051-2023</t>
        </is>
      </c>
      <c r="B1015" s="1" t="n">
        <v>45229</v>
      </c>
      <c r="C1015" s="1" t="n">
        <v>45839</v>
      </c>
      <c r="D1015" t="inlineStr">
        <is>
          <t>VÄSTERBOTTENS LÄN</t>
        </is>
      </c>
      <c r="E1015" t="inlineStr">
        <is>
          <t>VILHELMINA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55200-2023</t>
        </is>
      </c>
      <c r="B1016" s="1" t="n">
        <v>45230</v>
      </c>
      <c r="C1016" s="1" t="n">
        <v>45839</v>
      </c>
      <c r="D1016" t="inlineStr">
        <is>
          <t>VÄSTERBOTTENS LÄN</t>
        </is>
      </c>
      <c r="E1016" t="inlineStr">
        <is>
          <t>VILHELMINA</t>
        </is>
      </c>
      <c r="G1016" t="n">
        <v>20.8</v>
      </c>
      <c r="H1016" t="n">
        <v>0</v>
      </c>
      <c r="I1016" t="n">
        <v>0</v>
      </c>
      <c r="J1016" t="n">
        <v>0</v>
      </c>
      <c r="K1016" t="n">
        <v>0</v>
      </c>
      <c r="L1016" t="n">
        <v>0</v>
      </c>
      <c r="M1016" t="n">
        <v>0</v>
      </c>
      <c r="N1016" t="n">
        <v>0</v>
      </c>
      <c r="O1016" t="n">
        <v>0</v>
      </c>
      <c r="P1016" t="n">
        <v>0</v>
      </c>
      <c r="Q1016" t="n">
        <v>0</v>
      </c>
      <c r="R1016" s="2" t="inlineStr"/>
    </row>
    <row r="1017" ht="15" customHeight="1">
      <c r="A1017" t="inlineStr">
        <is>
          <t>A 55159-2023</t>
        </is>
      </c>
      <c r="B1017" s="1" t="n">
        <v>45230</v>
      </c>
      <c r="C1017" s="1" t="n">
        <v>45839</v>
      </c>
      <c r="D1017" t="inlineStr">
        <is>
          <t>VÄSTERBOTTENS LÄN</t>
        </is>
      </c>
      <c r="E1017" t="inlineStr">
        <is>
          <t>VILHELMINA</t>
        </is>
      </c>
      <c r="G1017" t="n">
        <v>24.4</v>
      </c>
      <c r="H1017" t="n">
        <v>0</v>
      </c>
      <c r="I1017" t="n">
        <v>0</v>
      </c>
      <c r="J1017" t="n">
        <v>0</v>
      </c>
      <c r="K1017" t="n">
        <v>0</v>
      </c>
      <c r="L1017" t="n">
        <v>0</v>
      </c>
      <c r="M1017" t="n">
        <v>0</v>
      </c>
      <c r="N1017" t="n">
        <v>0</v>
      </c>
      <c r="O1017" t="n">
        <v>0</v>
      </c>
      <c r="P1017" t="n">
        <v>0</v>
      </c>
      <c r="Q1017" t="n">
        <v>0</v>
      </c>
      <c r="R1017" s="2" t="inlineStr"/>
    </row>
    <row r="1018" ht="15" customHeight="1">
      <c r="A1018" t="inlineStr">
        <is>
          <t>A 54316-2023</t>
        </is>
      </c>
      <c r="B1018" s="1" t="n">
        <v>45232</v>
      </c>
      <c r="C1018" s="1" t="n">
        <v>45839</v>
      </c>
      <c r="D1018" t="inlineStr">
        <is>
          <t>VÄSTERBOTTENS LÄN</t>
        </is>
      </c>
      <c r="E1018" t="inlineStr">
        <is>
          <t>VILHELMINA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55714-2023</t>
        </is>
      </c>
      <c r="B1019" s="1" t="n">
        <v>45232</v>
      </c>
      <c r="C1019" s="1" t="n">
        <v>45839</v>
      </c>
      <c r="D1019" t="inlineStr">
        <is>
          <t>VÄSTERBOTTENS LÄN</t>
        </is>
      </c>
      <c r="E1019" t="inlineStr">
        <is>
          <t>VILHELMINA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55688-2023</t>
        </is>
      </c>
      <c r="B1020" s="1" t="n">
        <v>45232</v>
      </c>
      <c r="C1020" s="1" t="n">
        <v>45839</v>
      </c>
      <c r="D1020" t="inlineStr">
        <is>
          <t>VÄSTERBOTTENS LÄN</t>
        </is>
      </c>
      <c r="E1020" t="inlineStr">
        <is>
          <t>VILHELMINA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55722-2023</t>
        </is>
      </c>
      <c r="B1021" s="1" t="n">
        <v>45232</v>
      </c>
      <c r="C1021" s="1" t="n">
        <v>45839</v>
      </c>
      <c r="D1021" t="inlineStr">
        <is>
          <t>VÄSTERBOTTENS LÄN</t>
        </is>
      </c>
      <c r="E1021" t="inlineStr">
        <is>
          <t>VILHELMINA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55706-2023</t>
        </is>
      </c>
      <c r="B1022" s="1" t="n">
        <v>45232</v>
      </c>
      <c r="C1022" s="1" t="n">
        <v>45839</v>
      </c>
      <c r="D1022" t="inlineStr">
        <is>
          <t>VÄSTERBOTTENS LÄN</t>
        </is>
      </c>
      <c r="E1022" t="inlineStr">
        <is>
          <t>VILHELMINA</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54601-2023</t>
        </is>
      </c>
      <c r="B1023" s="1" t="n">
        <v>45233</v>
      </c>
      <c r="C1023" s="1" t="n">
        <v>45839</v>
      </c>
      <c r="D1023" t="inlineStr">
        <is>
          <t>VÄSTERBOTTENS LÄN</t>
        </is>
      </c>
      <c r="E1023" t="inlineStr">
        <is>
          <t>VILHELMINA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54733-2023</t>
        </is>
      </c>
      <c r="B1024" s="1" t="n">
        <v>45236</v>
      </c>
      <c r="C1024" s="1" t="n">
        <v>45839</v>
      </c>
      <c r="D1024" t="inlineStr">
        <is>
          <t>VÄSTERBOTTENS LÄN</t>
        </is>
      </c>
      <c r="E1024" t="inlineStr">
        <is>
          <t>VILHELMINA</t>
        </is>
      </c>
      <c r="F1024" t="inlineStr">
        <is>
          <t>Sveaskog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54983-2023</t>
        </is>
      </c>
      <c r="B1025" s="1" t="n">
        <v>45237</v>
      </c>
      <c r="C1025" s="1" t="n">
        <v>45839</v>
      </c>
      <c r="D1025" t="inlineStr">
        <is>
          <t>VÄSTERBOTTENS LÄN</t>
        </is>
      </c>
      <c r="E1025" t="inlineStr">
        <is>
          <t>VILHELMINA</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54984-2023</t>
        </is>
      </c>
      <c r="B1026" s="1" t="n">
        <v>45236</v>
      </c>
      <c r="C1026" s="1" t="n">
        <v>45839</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54981-2023</t>
        </is>
      </c>
      <c r="B1027" s="1" t="n">
        <v>45237</v>
      </c>
      <c r="C1027" s="1" t="n">
        <v>45839</v>
      </c>
      <c r="D1027" t="inlineStr">
        <is>
          <t>VÄSTERBOTTENS LÄN</t>
        </is>
      </c>
      <c r="E1027" t="inlineStr">
        <is>
          <t>VILHELMINA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54985-2023</t>
        </is>
      </c>
      <c r="B1028" s="1" t="n">
        <v>45236</v>
      </c>
      <c r="C1028" s="1" t="n">
        <v>45839</v>
      </c>
      <c r="D1028" t="inlineStr">
        <is>
          <t>VÄSTERBOTTENS LÄN</t>
        </is>
      </c>
      <c r="E1028" t="inlineStr">
        <is>
          <t>VILHELMINA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55325-2023</t>
        </is>
      </c>
      <c r="B1029" s="1" t="n">
        <v>45237</v>
      </c>
      <c r="C1029" s="1" t="n">
        <v>45839</v>
      </c>
      <c r="D1029" t="inlineStr">
        <is>
          <t>VÄSTERBOTTENS LÄN</t>
        </is>
      </c>
      <c r="E1029" t="inlineStr">
        <is>
          <t>VILHELMINA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55326-2023</t>
        </is>
      </c>
      <c r="B1030" s="1" t="n">
        <v>45238</v>
      </c>
      <c r="C1030" s="1" t="n">
        <v>45839</v>
      </c>
      <c r="D1030" t="inlineStr">
        <is>
          <t>VÄSTERBOTTENS LÄN</t>
        </is>
      </c>
      <c r="E1030" t="inlineStr">
        <is>
          <t>VILHELMINA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55327-2023</t>
        </is>
      </c>
      <c r="B1031" s="1" t="n">
        <v>45238</v>
      </c>
      <c r="C1031" s="1" t="n">
        <v>45839</v>
      </c>
      <c r="D1031" t="inlineStr">
        <is>
          <t>VÄSTERBOTTENS LÄN</t>
        </is>
      </c>
      <c r="E1031" t="inlineStr">
        <is>
          <t>VILHELMINA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55335-2023</t>
        </is>
      </c>
      <c r="B1032" s="1" t="n">
        <v>45238</v>
      </c>
      <c r="C1032" s="1" t="n">
        <v>45839</v>
      </c>
      <c r="D1032" t="inlineStr">
        <is>
          <t>VÄSTERBOTTENS LÄN</t>
        </is>
      </c>
      <c r="E1032" t="inlineStr">
        <is>
          <t>VILHELMINA</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56754-2023</t>
        </is>
      </c>
      <c r="B1033" s="1" t="n">
        <v>45238</v>
      </c>
      <c r="C1033" s="1" t="n">
        <v>45839</v>
      </c>
      <c r="D1033" t="inlineStr">
        <is>
          <t>VÄSTERBOTTENS LÄN</t>
        </is>
      </c>
      <c r="E1033" t="inlineStr">
        <is>
          <t>VILHELMINA</t>
        </is>
      </c>
      <c r="F1033" t="inlineStr">
        <is>
          <t>Allmännings- och besparingsskogar</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56763-2023</t>
        </is>
      </c>
      <c r="B1034" s="1" t="n">
        <v>45238</v>
      </c>
      <c r="C1034" s="1" t="n">
        <v>45839</v>
      </c>
      <c r="D1034" t="inlineStr">
        <is>
          <t>VÄSTERBOTTENS LÄN</t>
        </is>
      </c>
      <c r="E1034" t="inlineStr">
        <is>
          <t>VILHELMINA</t>
        </is>
      </c>
      <c r="F1034" t="inlineStr">
        <is>
          <t>Allmännings- och besparingsskogar</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56823-2023</t>
        </is>
      </c>
      <c r="B1035" s="1" t="n">
        <v>45238</v>
      </c>
      <c r="C1035" s="1" t="n">
        <v>45839</v>
      </c>
      <c r="D1035" t="inlineStr">
        <is>
          <t>VÄSTERBOTTENS LÄN</t>
        </is>
      </c>
      <c r="E1035" t="inlineStr">
        <is>
          <t>VILHELMINA</t>
        </is>
      </c>
      <c r="F1035" t="inlineStr">
        <is>
          <t>Allmännings- och besparingsskogar</t>
        </is>
      </c>
      <c r="G1035" t="n">
        <v>81.40000000000001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56847-2023</t>
        </is>
      </c>
      <c r="B1036" s="1" t="n">
        <v>45238</v>
      </c>
      <c r="C1036" s="1" t="n">
        <v>45839</v>
      </c>
      <c r="D1036" t="inlineStr">
        <is>
          <t>VÄSTERBOTTENS LÄN</t>
        </is>
      </c>
      <c r="E1036" t="inlineStr">
        <is>
          <t>VILHELMINA</t>
        </is>
      </c>
      <c r="F1036" t="inlineStr">
        <is>
          <t>Allmännings- och besparingsskogar</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56758-2023</t>
        </is>
      </c>
      <c r="B1037" s="1" t="n">
        <v>45238</v>
      </c>
      <c r="C1037" s="1" t="n">
        <v>45839</v>
      </c>
      <c r="D1037" t="inlineStr">
        <is>
          <t>VÄSTERBOTTENS LÄN</t>
        </is>
      </c>
      <c r="E1037" t="inlineStr">
        <is>
          <t>VILHELMINA</t>
        </is>
      </c>
      <c r="F1037" t="inlineStr">
        <is>
          <t>Allmännings- och besparingsskogar</t>
        </is>
      </c>
      <c r="G1037" t="n">
        <v>371.4</v>
      </c>
      <c r="H1037" t="n">
        <v>0</v>
      </c>
      <c r="I1037" t="n">
        <v>0</v>
      </c>
      <c r="J1037" t="n">
        <v>0</v>
      </c>
      <c r="K1037" t="n">
        <v>0</v>
      </c>
      <c r="L1037" t="n">
        <v>0</v>
      </c>
      <c r="M1037" t="n">
        <v>0</v>
      </c>
      <c r="N1037" t="n">
        <v>0</v>
      </c>
      <c r="O1037" t="n">
        <v>0</v>
      </c>
      <c r="P1037" t="n">
        <v>0</v>
      </c>
      <c r="Q1037" t="n">
        <v>0</v>
      </c>
      <c r="R1037" s="2" t="inlineStr"/>
    </row>
    <row r="1038" ht="15" customHeight="1">
      <c r="A1038" t="inlineStr">
        <is>
          <t>A 56830-2023</t>
        </is>
      </c>
      <c r="B1038" s="1" t="n">
        <v>45238</v>
      </c>
      <c r="C1038" s="1" t="n">
        <v>45839</v>
      </c>
      <c r="D1038" t="inlineStr">
        <is>
          <t>VÄSTERBOTTENS LÄN</t>
        </is>
      </c>
      <c r="E1038" t="inlineStr">
        <is>
          <t>VILHELMINA</t>
        </is>
      </c>
      <c r="F1038" t="inlineStr">
        <is>
          <t>Allmännings- och besparingsskogar</t>
        </is>
      </c>
      <c r="G1038" t="n">
        <v>66.90000000000001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55643-2023</t>
        </is>
      </c>
      <c r="B1039" s="1" t="n">
        <v>45238</v>
      </c>
      <c r="C1039" s="1" t="n">
        <v>45839</v>
      </c>
      <c r="D1039" t="inlineStr">
        <is>
          <t>VÄSTERBOTTENS LÄN</t>
        </is>
      </c>
      <c r="E1039" t="inlineStr">
        <is>
          <t>VILHELMINA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56747-2023</t>
        </is>
      </c>
      <c r="B1040" s="1" t="n">
        <v>45238</v>
      </c>
      <c r="C1040" s="1" t="n">
        <v>45839</v>
      </c>
      <c r="D1040" t="inlineStr">
        <is>
          <t>VÄSTERBOTTENS LÄN</t>
        </is>
      </c>
      <c r="E1040" t="inlineStr">
        <is>
          <t>VILHELMINA</t>
        </is>
      </c>
      <c r="F1040" t="inlineStr">
        <is>
          <t>Allmännings- och besparingsskogar</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57137-2023</t>
        </is>
      </c>
      <c r="B1041" s="1" t="n">
        <v>45239</v>
      </c>
      <c r="C1041" s="1" t="n">
        <v>45839</v>
      </c>
      <c r="D1041" t="inlineStr">
        <is>
          <t>VÄSTERBOTTENS LÄN</t>
        </is>
      </c>
      <c r="E1041" t="inlineStr">
        <is>
          <t>VILHELMINA</t>
        </is>
      </c>
      <c r="G1041" t="n">
        <v>38.8</v>
      </c>
      <c r="H1041" t="n">
        <v>0</v>
      </c>
      <c r="I1041" t="n">
        <v>0</v>
      </c>
      <c r="J1041" t="n">
        <v>0</v>
      </c>
      <c r="K1041" t="n">
        <v>0</v>
      </c>
      <c r="L1041" t="n">
        <v>0</v>
      </c>
      <c r="M1041" t="n">
        <v>0</v>
      </c>
      <c r="N1041" t="n">
        <v>0</v>
      </c>
      <c r="O1041" t="n">
        <v>0</v>
      </c>
      <c r="P1041" t="n">
        <v>0</v>
      </c>
      <c r="Q1041" t="n">
        <v>0</v>
      </c>
      <c r="R1041" s="2" t="inlineStr"/>
    </row>
    <row r="1042" ht="15" customHeight="1">
      <c r="A1042" t="inlineStr">
        <is>
          <t>A 57108-2023</t>
        </is>
      </c>
      <c r="B1042" s="1" t="n">
        <v>45239</v>
      </c>
      <c r="C1042" s="1" t="n">
        <v>45839</v>
      </c>
      <c r="D1042" t="inlineStr">
        <is>
          <t>VÄSTERBOTTENS LÄN</t>
        </is>
      </c>
      <c r="E1042" t="inlineStr">
        <is>
          <t>VILHELMINA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56891-2023</t>
        </is>
      </c>
      <c r="B1043" s="1" t="n">
        <v>45239</v>
      </c>
      <c r="C1043" s="1" t="n">
        <v>45839</v>
      </c>
      <c r="D1043" t="inlineStr">
        <is>
          <t>VÄSTERBOTTENS LÄN</t>
        </is>
      </c>
      <c r="E1043" t="inlineStr">
        <is>
          <t>VILHELMINA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57123-2023</t>
        </is>
      </c>
      <c r="B1044" s="1" t="n">
        <v>45239</v>
      </c>
      <c r="C1044" s="1" t="n">
        <v>45839</v>
      </c>
      <c r="D1044" t="inlineStr">
        <is>
          <t>VÄSTERBOTTENS LÄN</t>
        </is>
      </c>
      <c r="E1044" t="inlineStr">
        <is>
          <t>VILHELMINA</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57246-2023</t>
        </is>
      </c>
      <c r="B1045" s="1" t="n">
        <v>45239</v>
      </c>
      <c r="C1045" s="1" t="n">
        <v>45839</v>
      </c>
      <c r="D1045" t="inlineStr">
        <is>
          <t>VÄSTERBOTTENS LÄN</t>
        </is>
      </c>
      <c r="E1045" t="inlineStr">
        <is>
          <t>VILHELMINA</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56245-2023</t>
        </is>
      </c>
      <c r="B1046" s="1" t="n">
        <v>45240</v>
      </c>
      <c r="C1046" s="1" t="n">
        <v>45839</v>
      </c>
      <c r="D1046" t="inlineStr">
        <is>
          <t>VÄSTERBOTTENS LÄN</t>
        </is>
      </c>
      <c r="E1046" t="inlineStr">
        <is>
          <t>VILHELMINA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56246-2023</t>
        </is>
      </c>
      <c r="B1047" s="1" t="n">
        <v>45240</v>
      </c>
      <c r="C1047" s="1" t="n">
        <v>45839</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56236-2023</t>
        </is>
      </c>
      <c r="B1048" s="1" t="n">
        <v>45240</v>
      </c>
      <c r="C1048" s="1" t="n">
        <v>45839</v>
      </c>
      <c r="D1048" t="inlineStr">
        <is>
          <t>VÄSTERBOTTENS LÄN</t>
        </is>
      </c>
      <c r="E1048" t="inlineStr">
        <is>
          <t>VILHELMINA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56235-2023</t>
        </is>
      </c>
      <c r="B1049" s="1" t="n">
        <v>45240</v>
      </c>
      <c r="C1049" s="1" t="n">
        <v>45839</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56617-2023</t>
        </is>
      </c>
      <c r="B1050" s="1" t="n">
        <v>45243</v>
      </c>
      <c r="C1050" s="1" t="n">
        <v>45839</v>
      </c>
      <c r="D1050" t="inlineStr">
        <is>
          <t>VÄSTERBOTTENS LÄN</t>
        </is>
      </c>
      <c r="E1050" t="inlineStr">
        <is>
          <t>VILHELMINA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56622-2023</t>
        </is>
      </c>
      <c r="B1051" s="1" t="n">
        <v>45243</v>
      </c>
      <c r="C1051" s="1" t="n">
        <v>45839</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57691-2023</t>
        </is>
      </c>
      <c r="B1052" s="1" t="n">
        <v>45243</v>
      </c>
      <c r="C1052" s="1" t="n">
        <v>45839</v>
      </c>
      <c r="D1052" t="inlineStr">
        <is>
          <t>VÄSTERBOTTENS LÄN</t>
        </is>
      </c>
      <c r="E1052" t="inlineStr">
        <is>
          <t>VILHELMINA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57058-2023</t>
        </is>
      </c>
      <c r="B1053" s="1" t="n">
        <v>45244</v>
      </c>
      <c r="C1053" s="1" t="n">
        <v>45839</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57057-2023</t>
        </is>
      </c>
      <c r="B1054" s="1" t="n">
        <v>45244</v>
      </c>
      <c r="C1054" s="1" t="n">
        <v>45839</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58362-2023</t>
        </is>
      </c>
      <c r="B1055" s="1" t="n">
        <v>45245</v>
      </c>
      <c r="C1055" s="1" t="n">
        <v>45839</v>
      </c>
      <c r="D1055" t="inlineStr">
        <is>
          <t>VÄSTERBOTTENS LÄN</t>
        </is>
      </c>
      <c r="E1055" t="inlineStr">
        <is>
          <t>VILHELMINA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57795-2023</t>
        </is>
      </c>
      <c r="B1056" s="1" t="n">
        <v>45247</v>
      </c>
      <c r="C1056" s="1" t="n">
        <v>45839</v>
      </c>
      <c r="D1056" t="inlineStr">
        <is>
          <t>VÄSTERBOTTENS LÄN</t>
        </is>
      </c>
      <c r="E1056" t="inlineStr">
        <is>
          <t>VILHELMINA</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58833-2023</t>
        </is>
      </c>
      <c r="B1057" s="1" t="n">
        <v>45248</v>
      </c>
      <c r="C1057" s="1" t="n">
        <v>45839</v>
      </c>
      <c r="D1057" t="inlineStr">
        <is>
          <t>VÄSTERBOTTENS LÄN</t>
        </is>
      </c>
      <c r="E1057" t="inlineStr">
        <is>
          <t>VILHELMINA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58456-2023</t>
        </is>
      </c>
      <c r="B1058" s="1" t="n">
        <v>45251</v>
      </c>
      <c r="C1058" s="1" t="n">
        <v>45839</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58756-2023</t>
        </is>
      </c>
      <c r="B1059" s="1" t="n">
        <v>45251</v>
      </c>
      <c r="C1059" s="1" t="n">
        <v>45839</v>
      </c>
      <c r="D1059" t="inlineStr">
        <is>
          <t>VÄSTERBOTTENS LÄN</t>
        </is>
      </c>
      <c r="E1059" t="inlineStr">
        <is>
          <t>VILHELMINA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59117-2023</t>
        </is>
      </c>
      <c r="B1060" s="1" t="n">
        <v>45251</v>
      </c>
      <c r="C1060" s="1" t="n">
        <v>45839</v>
      </c>
      <c r="D1060" t="inlineStr">
        <is>
          <t>VÄSTERBOTTENS LÄN</t>
        </is>
      </c>
      <c r="E1060" t="inlineStr">
        <is>
          <t>VILHELMINA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58749-2023</t>
        </is>
      </c>
      <c r="B1061" s="1" t="n">
        <v>45251</v>
      </c>
      <c r="C1061" s="1" t="n">
        <v>45839</v>
      </c>
      <c r="D1061" t="inlineStr">
        <is>
          <t>VÄSTERBOTTENS LÄN</t>
        </is>
      </c>
      <c r="E1061" t="inlineStr">
        <is>
          <t>VILHELMINA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59110-2023</t>
        </is>
      </c>
      <c r="B1062" s="1" t="n">
        <v>45251</v>
      </c>
      <c r="C1062" s="1" t="n">
        <v>45839</v>
      </c>
      <c r="D1062" t="inlineStr">
        <is>
          <t>VÄSTERBOTTENS LÄN</t>
        </is>
      </c>
      <c r="E1062" t="inlineStr">
        <is>
          <t>VILHELMINA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59083-2023</t>
        </is>
      </c>
      <c r="B1063" s="1" t="n">
        <v>45252</v>
      </c>
      <c r="C1063" s="1" t="n">
        <v>45839</v>
      </c>
      <c r="D1063" t="inlineStr">
        <is>
          <t>VÄSTERBOTTENS LÄN</t>
        </is>
      </c>
      <c r="E1063" t="inlineStr">
        <is>
          <t>VILHELMINA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60035-2023</t>
        </is>
      </c>
      <c r="B1064" s="1" t="n">
        <v>45254</v>
      </c>
      <c r="C1064" s="1" t="n">
        <v>45839</v>
      </c>
      <c r="D1064" t="inlineStr">
        <is>
          <t>VÄSTERBOTTENS LÄN</t>
        </is>
      </c>
      <c r="E1064" t="inlineStr">
        <is>
          <t>VILHELMINA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59663-2023</t>
        </is>
      </c>
      <c r="B1065" s="1" t="n">
        <v>45254</v>
      </c>
      <c r="C1065" s="1" t="n">
        <v>45839</v>
      </c>
      <c r="D1065" t="inlineStr">
        <is>
          <t>VÄSTERBOTTENS LÄN</t>
        </is>
      </c>
      <c r="E1065" t="inlineStr">
        <is>
          <t>VILHELMINA</t>
        </is>
      </c>
      <c r="F1065" t="inlineStr">
        <is>
          <t>SCA</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59671-2023</t>
        </is>
      </c>
      <c r="B1066" s="1" t="n">
        <v>45255</v>
      </c>
      <c r="C1066" s="1" t="n">
        <v>45839</v>
      </c>
      <c r="D1066" t="inlineStr">
        <is>
          <t>VÄSTERBOTTENS LÄN</t>
        </is>
      </c>
      <c r="E1066" t="inlineStr">
        <is>
          <t>VILHELMINA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60782-2023</t>
        </is>
      </c>
      <c r="B1067" s="1" t="n">
        <v>45259</v>
      </c>
      <c r="C1067" s="1" t="n">
        <v>45839</v>
      </c>
      <c r="D1067" t="inlineStr">
        <is>
          <t>VÄSTERBOTTENS LÄN</t>
        </is>
      </c>
      <c r="E1067" t="inlineStr">
        <is>
          <t>VILHELMINA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60842-2023</t>
        </is>
      </c>
      <c r="B1068" s="1" t="n">
        <v>45260</v>
      </c>
      <c r="C1068" s="1" t="n">
        <v>45839</v>
      </c>
      <c r="D1068" t="inlineStr">
        <is>
          <t>VÄSTERBOTTENS LÄN</t>
        </is>
      </c>
      <c r="E1068" t="inlineStr">
        <is>
          <t>VILHELMINA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60841-2023</t>
        </is>
      </c>
      <c r="B1069" s="1" t="n">
        <v>45260</v>
      </c>
      <c r="C1069" s="1" t="n">
        <v>45839</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61778-2023</t>
        </is>
      </c>
      <c r="B1070" s="1" t="n">
        <v>45265</v>
      </c>
      <c r="C1070" s="1" t="n">
        <v>45839</v>
      </c>
      <c r="D1070" t="inlineStr">
        <is>
          <t>VÄSTERBOTTENS LÄN</t>
        </is>
      </c>
      <c r="E1070" t="inlineStr">
        <is>
          <t>VILHELMINA</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61777-2023</t>
        </is>
      </c>
      <c r="B1071" s="1" t="n">
        <v>45265</v>
      </c>
      <c r="C1071" s="1" t="n">
        <v>45839</v>
      </c>
      <c r="D1071" t="inlineStr">
        <is>
          <t>VÄSTERBOTTENS LÄN</t>
        </is>
      </c>
      <c r="E1071" t="inlineStr">
        <is>
          <t>VILHELMINA</t>
        </is>
      </c>
      <c r="F1071" t="inlineStr">
        <is>
          <t>SCA</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61780-2023</t>
        </is>
      </c>
      <c r="B1072" s="1" t="n">
        <v>45265</v>
      </c>
      <c r="C1072" s="1" t="n">
        <v>45839</v>
      </c>
      <c r="D1072" t="inlineStr">
        <is>
          <t>VÄSTERBOTTENS LÄN</t>
        </is>
      </c>
      <c r="E1072" t="inlineStr">
        <is>
          <t>VILHELMINA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61779-2023</t>
        </is>
      </c>
      <c r="B1073" s="1" t="n">
        <v>45265</v>
      </c>
      <c r="C1073" s="1" t="n">
        <v>45839</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62015-2023</t>
        </is>
      </c>
      <c r="B1074" s="1" t="n">
        <v>45265</v>
      </c>
      <c r="C1074" s="1" t="n">
        <v>45839</v>
      </c>
      <c r="D1074" t="inlineStr">
        <is>
          <t>VÄSTERBOTTENS LÄN</t>
        </is>
      </c>
      <c r="E1074" t="inlineStr">
        <is>
          <t>VILHELMINA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61973-2023</t>
        </is>
      </c>
      <c r="B1075" s="1" t="n">
        <v>45265</v>
      </c>
      <c r="C1075" s="1" t="n">
        <v>45839</v>
      </c>
      <c r="D1075" t="inlineStr">
        <is>
          <t>VÄSTERBOTTENS LÄN</t>
        </is>
      </c>
      <c r="E1075" t="inlineStr">
        <is>
          <t>VILHELMINA</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62021-2023</t>
        </is>
      </c>
      <c r="B1076" s="1" t="n">
        <v>45265</v>
      </c>
      <c r="C1076" s="1" t="n">
        <v>45839</v>
      </c>
      <c r="D1076" t="inlineStr">
        <is>
          <t>VÄSTERBOTTENS LÄN</t>
        </is>
      </c>
      <c r="E1076" t="inlineStr">
        <is>
          <t>VILHELMINA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62663-2023</t>
        </is>
      </c>
      <c r="B1077" s="1" t="n">
        <v>45267</v>
      </c>
      <c r="C1077" s="1" t="n">
        <v>45839</v>
      </c>
      <c r="D1077" t="inlineStr">
        <is>
          <t>VÄSTERBOTTENS LÄN</t>
        </is>
      </c>
      <c r="E1077" t="inlineStr">
        <is>
          <t>VILHELMINA</t>
        </is>
      </c>
      <c r="F1077" t="inlineStr">
        <is>
          <t>Allmännings- och besparingsskogar</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62673-2023</t>
        </is>
      </c>
      <c r="B1078" s="1" t="n">
        <v>45267</v>
      </c>
      <c r="C1078" s="1" t="n">
        <v>45839</v>
      </c>
      <c r="D1078" t="inlineStr">
        <is>
          <t>VÄSTERBOTTENS LÄN</t>
        </is>
      </c>
      <c r="E1078" t="inlineStr">
        <is>
          <t>VILHELMINA</t>
        </is>
      </c>
      <c r="F1078" t="inlineStr">
        <is>
          <t>Allmännings- och besparingsskogar</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63050-2023</t>
        </is>
      </c>
      <c r="B1079" s="1" t="n">
        <v>45272</v>
      </c>
      <c r="C1079" s="1" t="n">
        <v>45839</v>
      </c>
      <c r="D1079" t="inlineStr">
        <is>
          <t>VÄSTERBOTTENS LÄN</t>
        </is>
      </c>
      <c r="E1079" t="inlineStr">
        <is>
          <t>VILHELMINA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63049-2023</t>
        </is>
      </c>
      <c r="B1080" s="1" t="n">
        <v>45272</v>
      </c>
      <c r="C1080" s="1" t="n">
        <v>45839</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63053-2023</t>
        </is>
      </c>
      <c r="B1081" s="1" t="n">
        <v>45272</v>
      </c>
      <c r="C1081" s="1" t="n">
        <v>45839</v>
      </c>
      <c r="D1081" t="inlineStr">
        <is>
          <t>VÄSTERBOTTENS LÄN</t>
        </is>
      </c>
      <c r="E1081" t="inlineStr">
        <is>
          <t>VILHELMINA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63563-2023</t>
        </is>
      </c>
      <c r="B1082" s="1" t="n">
        <v>45274</v>
      </c>
      <c r="C1082" s="1" t="n">
        <v>45839</v>
      </c>
      <c r="D1082" t="inlineStr">
        <is>
          <t>VÄSTERBOTTENS LÄN</t>
        </is>
      </c>
      <c r="E1082" t="inlineStr">
        <is>
          <t>VILHELMINA</t>
        </is>
      </c>
      <c r="F1082" t="inlineStr">
        <is>
          <t>Övriga Aktiebolag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63877-2023</t>
        </is>
      </c>
      <c r="B1083" s="1" t="n">
        <v>45278</v>
      </c>
      <c r="C1083" s="1" t="n">
        <v>45839</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64029-2023</t>
        </is>
      </c>
      <c r="B1084" s="1" t="n">
        <v>45278</v>
      </c>
      <c r="C1084" s="1" t="n">
        <v>45839</v>
      </c>
      <c r="D1084" t="inlineStr">
        <is>
          <t>VÄSTERBOTTENS LÄN</t>
        </is>
      </c>
      <c r="E1084" t="inlineStr">
        <is>
          <t>VILHELMINA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64028-2023</t>
        </is>
      </c>
      <c r="B1085" s="1" t="n">
        <v>45278</v>
      </c>
      <c r="C1085" s="1" t="n">
        <v>45839</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64027-2023</t>
        </is>
      </c>
      <c r="B1086" s="1" t="n">
        <v>45278</v>
      </c>
      <c r="C1086" s="1" t="n">
        <v>45839</v>
      </c>
      <c r="D1086" t="inlineStr">
        <is>
          <t>VÄSTERBOTTENS LÄN</t>
        </is>
      </c>
      <c r="E1086" t="inlineStr">
        <is>
          <t>VILHELMINA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64362-2023</t>
        </is>
      </c>
      <c r="B1087" s="1" t="n">
        <v>45280</v>
      </c>
      <c r="C1087" s="1" t="n">
        <v>45839</v>
      </c>
      <c r="D1087" t="inlineStr">
        <is>
          <t>VÄSTERBOTTENS LÄN</t>
        </is>
      </c>
      <c r="E1087" t="inlineStr">
        <is>
          <t>VILHELMINA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64495-2023</t>
        </is>
      </c>
      <c r="B1088" s="1" t="n">
        <v>45280</v>
      </c>
      <c r="C1088" s="1" t="n">
        <v>45839</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64421-2023</t>
        </is>
      </c>
      <c r="B1089" s="1" t="n">
        <v>45280</v>
      </c>
      <c r="C1089" s="1" t="n">
        <v>45839</v>
      </c>
      <c r="D1089" t="inlineStr">
        <is>
          <t>VÄSTERBOTTENS LÄN</t>
        </is>
      </c>
      <c r="E1089" t="inlineStr">
        <is>
          <t>VILHELMINA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64592-2023</t>
        </is>
      </c>
      <c r="B1090" s="1" t="n">
        <v>45281</v>
      </c>
      <c r="C1090" s="1" t="n">
        <v>45839</v>
      </c>
      <c r="D1090" t="inlineStr">
        <is>
          <t>VÄSTERBOTTENS LÄN</t>
        </is>
      </c>
      <c r="E1090" t="inlineStr">
        <is>
          <t>VILHELMINA</t>
        </is>
      </c>
      <c r="F1090" t="inlineStr">
        <is>
          <t>Kommuner</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65042-2023</t>
        </is>
      </c>
      <c r="B1091" s="1" t="n">
        <v>45282</v>
      </c>
      <c r="C1091" s="1" t="n">
        <v>45839</v>
      </c>
      <c r="D1091" t="inlineStr">
        <is>
          <t>VÄSTERBOTTENS LÄN</t>
        </is>
      </c>
      <c r="E1091" t="inlineStr">
        <is>
          <t>VILHELMINA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367-2024</t>
        </is>
      </c>
      <c r="B1092" s="1" t="n">
        <v>45295</v>
      </c>
      <c r="C1092" s="1" t="n">
        <v>45839</v>
      </c>
      <c r="D1092" t="inlineStr">
        <is>
          <t>VÄSTERBOTTENS LÄN</t>
        </is>
      </c>
      <c r="E1092" t="inlineStr">
        <is>
          <t>VILHELMINA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370-2024</t>
        </is>
      </c>
      <c r="B1093" s="1" t="n">
        <v>45296</v>
      </c>
      <c r="C1093" s="1" t="n">
        <v>45839</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475-2024</t>
        </is>
      </c>
      <c r="B1094" s="1" t="n">
        <v>45297</v>
      </c>
      <c r="C1094" s="1" t="n">
        <v>45839</v>
      </c>
      <c r="D1094" t="inlineStr">
        <is>
          <t>VÄSTERBOTTENS LÄN</t>
        </is>
      </c>
      <c r="E1094" t="inlineStr">
        <is>
          <t>VILHELMINA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468-2024</t>
        </is>
      </c>
      <c r="B1095" s="1" t="n">
        <v>45297</v>
      </c>
      <c r="C1095" s="1" t="n">
        <v>45839</v>
      </c>
      <c r="D1095" t="inlineStr">
        <is>
          <t>VÄSTERBOTTENS LÄN</t>
        </is>
      </c>
      <c r="E1095" t="inlineStr">
        <is>
          <t>VILHELMINA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706-2024</t>
        </is>
      </c>
      <c r="B1096" s="1" t="n">
        <v>45300</v>
      </c>
      <c r="C1096" s="1" t="n">
        <v>45839</v>
      </c>
      <c r="D1096" t="inlineStr">
        <is>
          <t>VÄSTERBOTTENS LÄN</t>
        </is>
      </c>
      <c r="E1096" t="inlineStr">
        <is>
          <t>VILHELMINA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1780-2024</t>
        </is>
      </c>
      <c r="B1097" s="1" t="n">
        <v>45307</v>
      </c>
      <c r="C1097" s="1" t="n">
        <v>45839</v>
      </c>
      <c r="D1097" t="inlineStr">
        <is>
          <t>VÄSTERBOTTENS LÄN</t>
        </is>
      </c>
      <c r="E1097" t="inlineStr">
        <is>
          <t>VILHELMINA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1854-2024</t>
        </is>
      </c>
      <c r="B1098" s="1" t="n">
        <v>45307</v>
      </c>
      <c r="C1098" s="1" t="n">
        <v>45839</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1940-2024</t>
        </is>
      </c>
      <c r="B1099" s="1" t="n">
        <v>45308</v>
      </c>
      <c r="C1099" s="1" t="n">
        <v>45839</v>
      </c>
      <c r="D1099" t="inlineStr">
        <is>
          <t>VÄSTERBOTTENS LÄN</t>
        </is>
      </c>
      <c r="E1099" t="inlineStr">
        <is>
          <t>VILHELMINA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2022-2024</t>
        </is>
      </c>
      <c r="B1100" s="1" t="n">
        <v>45308</v>
      </c>
      <c r="C1100" s="1" t="n">
        <v>45839</v>
      </c>
      <c r="D1100" t="inlineStr">
        <is>
          <t>VÄSTERBOTTENS LÄN</t>
        </is>
      </c>
      <c r="E1100" t="inlineStr">
        <is>
          <t>VILHELMINA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2023-2024</t>
        </is>
      </c>
      <c r="B1101" s="1" t="n">
        <v>45308</v>
      </c>
      <c r="C1101" s="1" t="n">
        <v>45839</v>
      </c>
      <c r="D1101" t="inlineStr">
        <is>
          <t>VÄSTERBOTTENS LÄN</t>
        </is>
      </c>
      <c r="E1101" t="inlineStr">
        <is>
          <t>VILHELMINA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3237-2024</t>
        </is>
      </c>
      <c r="B1102" s="1" t="n">
        <v>45316</v>
      </c>
      <c r="C1102" s="1" t="n">
        <v>45839</v>
      </c>
      <c r="D1102" t="inlineStr">
        <is>
          <t>VÄSTERBOTTENS LÄN</t>
        </is>
      </c>
      <c r="E1102" t="inlineStr">
        <is>
          <t>VILHELMINA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3620-2024</t>
        </is>
      </c>
      <c r="B1103" s="1" t="n">
        <v>45320</v>
      </c>
      <c r="C1103" s="1" t="n">
        <v>45839</v>
      </c>
      <c r="D1103" t="inlineStr">
        <is>
          <t>VÄSTERBOTTENS LÄN</t>
        </is>
      </c>
      <c r="E1103" t="inlineStr">
        <is>
          <t>VILHELMINA</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4291-2024</t>
        </is>
      </c>
      <c r="B1104" s="1" t="n">
        <v>45324</v>
      </c>
      <c r="C1104" s="1" t="n">
        <v>45839</v>
      </c>
      <c r="D1104" t="inlineStr">
        <is>
          <t>VÄSTERBOTTENS LÄN</t>
        </is>
      </c>
      <c r="E1104" t="inlineStr">
        <is>
          <t>VILHELMINA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5435-2024</t>
        </is>
      </c>
      <c r="B1105" s="1" t="n">
        <v>45331</v>
      </c>
      <c r="C1105" s="1" t="n">
        <v>45839</v>
      </c>
      <c r="D1105" t="inlineStr">
        <is>
          <t>VÄSTERBOTTENS LÄN</t>
        </is>
      </c>
      <c r="E1105" t="inlineStr">
        <is>
          <t>VILHELMINA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5434-2024</t>
        </is>
      </c>
      <c r="B1106" s="1" t="n">
        <v>45331</v>
      </c>
      <c r="C1106" s="1" t="n">
        <v>45839</v>
      </c>
      <c r="D1106" t="inlineStr">
        <is>
          <t>VÄSTERBOTTENS LÄN</t>
        </is>
      </c>
      <c r="E1106" t="inlineStr">
        <is>
          <t>VILHELMINA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5432-2024</t>
        </is>
      </c>
      <c r="B1107" s="1" t="n">
        <v>45331</v>
      </c>
      <c r="C1107" s="1" t="n">
        <v>45839</v>
      </c>
      <c r="D1107" t="inlineStr">
        <is>
          <t>VÄSTERBOTTENS LÄN</t>
        </is>
      </c>
      <c r="E1107" t="inlineStr">
        <is>
          <t>VILHELMINA</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5549-2024</t>
        </is>
      </c>
      <c r="B1108" s="1" t="n">
        <v>45332</v>
      </c>
      <c r="C1108" s="1" t="n">
        <v>45839</v>
      </c>
      <c r="D1108" t="inlineStr">
        <is>
          <t>VÄSTERBOTTENS LÄN</t>
        </is>
      </c>
      <c r="E1108" t="inlineStr">
        <is>
          <t>VILHELMINA</t>
        </is>
      </c>
      <c r="G1108" t="n">
        <v>25.8</v>
      </c>
      <c r="H1108" t="n">
        <v>0</v>
      </c>
      <c r="I1108" t="n">
        <v>0</v>
      </c>
      <c r="J1108" t="n">
        <v>0</v>
      </c>
      <c r="K1108" t="n">
        <v>0</v>
      </c>
      <c r="L1108" t="n">
        <v>0</v>
      </c>
      <c r="M1108" t="n">
        <v>0</v>
      </c>
      <c r="N1108" t="n">
        <v>0</v>
      </c>
      <c r="O1108" t="n">
        <v>0</v>
      </c>
      <c r="P1108" t="n">
        <v>0</v>
      </c>
      <c r="Q1108" t="n">
        <v>0</v>
      </c>
      <c r="R1108" s="2" t="inlineStr"/>
    </row>
    <row r="1109" ht="15" customHeight="1">
      <c r="A1109" t="inlineStr">
        <is>
          <t>A 5552-2024</t>
        </is>
      </c>
      <c r="B1109" s="1" t="n">
        <v>45332</v>
      </c>
      <c r="C1109" s="1" t="n">
        <v>45839</v>
      </c>
      <c r="D1109" t="inlineStr">
        <is>
          <t>VÄSTERBOTTENS LÄN</t>
        </is>
      </c>
      <c r="E1109" t="inlineStr">
        <is>
          <t>VILHELMINA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5482-2024</t>
        </is>
      </c>
      <c r="B1110" s="1" t="n">
        <v>45333</v>
      </c>
      <c r="C1110" s="1" t="n">
        <v>45839</v>
      </c>
      <c r="D1110" t="inlineStr">
        <is>
          <t>VÄSTERBOTTENS LÄN</t>
        </is>
      </c>
      <c r="E1110" t="inlineStr">
        <is>
          <t>VILHELMINA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5497-2024</t>
        </is>
      </c>
      <c r="B1111" s="1" t="n">
        <v>45334</v>
      </c>
      <c r="C1111" s="1" t="n">
        <v>45839</v>
      </c>
      <c r="D1111" t="inlineStr">
        <is>
          <t>VÄSTERBOTTENS LÄN</t>
        </is>
      </c>
      <c r="E1111" t="inlineStr">
        <is>
          <t>VILHELMINA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6281-2024</t>
        </is>
      </c>
      <c r="B1112" s="1" t="n">
        <v>45337</v>
      </c>
      <c r="C1112" s="1" t="n">
        <v>45839</v>
      </c>
      <c r="D1112" t="inlineStr">
        <is>
          <t>VÄSTERBOTTENS LÄN</t>
        </is>
      </c>
      <c r="E1112" t="inlineStr">
        <is>
          <t>VILHELMINA</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6280-2024</t>
        </is>
      </c>
      <c r="B1113" s="1" t="n">
        <v>45337</v>
      </c>
      <c r="C1113" s="1" t="n">
        <v>45839</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6369-2024</t>
        </is>
      </c>
      <c r="B1114" s="1" t="n">
        <v>45338</v>
      </c>
      <c r="C1114" s="1" t="n">
        <v>45839</v>
      </c>
      <c r="D1114" t="inlineStr">
        <is>
          <t>VÄSTERBOTTENS LÄN</t>
        </is>
      </c>
      <c r="E1114" t="inlineStr">
        <is>
          <t>VILHELMINA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6358-2024</t>
        </is>
      </c>
      <c r="B1115" s="1" t="n">
        <v>45338</v>
      </c>
      <c r="C1115" s="1" t="n">
        <v>45839</v>
      </c>
      <c r="D1115" t="inlineStr">
        <is>
          <t>VÄSTERBOTTENS LÄN</t>
        </is>
      </c>
      <c r="E1115" t="inlineStr">
        <is>
          <t>VILHELMINA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7102-2024</t>
        </is>
      </c>
      <c r="B1116" s="1" t="n">
        <v>45343</v>
      </c>
      <c r="C1116" s="1" t="n">
        <v>45839</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7259-2024</t>
        </is>
      </c>
      <c r="B1117" s="1" t="n">
        <v>45344</v>
      </c>
      <c r="C1117" s="1" t="n">
        <v>45839</v>
      </c>
      <c r="D1117" t="inlineStr">
        <is>
          <t>VÄSTERBOTTENS LÄN</t>
        </is>
      </c>
      <c r="E1117" t="inlineStr">
        <is>
          <t>VILHELMINA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7777-2024</t>
        </is>
      </c>
      <c r="B1118" s="1" t="n">
        <v>45349</v>
      </c>
      <c r="C1118" s="1" t="n">
        <v>45839</v>
      </c>
      <c r="D1118" t="inlineStr">
        <is>
          <t>VÄSTERBOTTENS LÄN</t>
        </is>
      </c>
      <c r="E1118" t="inlineStr">
        <is>
          <t>VILHELMINA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8544-2024</t>
        </is>
      </c>
      <c r="B1119" s="1" t="n">
        <v>45351</v>
      </c>
      <c r="C1119" s="1" t="n">
        <v>45839</v>
      </c>
      <c r="D1119" t="inlineStr">
        <is>
          <t>VÄSTERBOTTENS LÄN</t>
        </is>
      </c>
      <c r="E1119" t="inlineStr">
        <is>
          <t>VILHELMINA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8664-2024</t>
        </is>
      </c>
      <c r="B1120" s="1" t="n">
        <v>45356</v>
      </c>
      <c r="C1120" s="1" t="n">
        <v>45839</v>
      </c>
      <c r="D1120" t="inlineStr">
        <is>
          <t>VÄSTERBOTTENS LÄN</t>
        </is>
      </c>
      <c r="E1120" t="inlineStr">
        <is>
          <t>VILHELMINA</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9815-2024</t>
        </is>
      </c>
      <c r="B1121" s="1" t="n">
        <v>45363</v>
      </c>
      <c r="C1121" s="1" t="n">
        <v>45839</v>
      </c>
      <c r="D1121" t="inlineStr">
        <is>
          <t>VÄSTERBOTTENS LÄN</t>
        </is>
      </c>
      <c r="E1121" t="inlineStr">
        <is>
          <t>VILHELMINA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10617-2024</t>
        </is>
      </c>
      <c r="B1122" s="1" t="n">
        <v>45367</v>
      </c>
      <c r="C1122" s="1" t="n">
        <v>45839</v>
      </c>
      <c r="D1122" t="inlineStr">
        <is>
          <t>VÄSTERBOTTENS LÄN</t>
        </is>
      </c>
      <c r="E1122" t="inlineStr">
        <is>
          <t>VILHELMINA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11538-2024</t>
        </is>
      </c>
      <c r="B1123" s="1" t="n">
        <v>45372</v>
      </c>
      <c r="C1123" s="1" t="n">
        <v>45839</v>
      </c>
      <c r="D1123" t="inlineStr">
        <is>
          <t>VÄSTERBOTTENS LÄN</t>
        </is>
      </c>
      <c r="E1123" t="inlineStr">
        <is>
          <t>VILHELMINA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11806-2024</t>
        </is>
      </c>
      <c r="B1124" s="1" t="n">
        <v>45375</v>
      </c>
      <c r="C1124" s="1" t="n">
        <v>45839</v>
      </c>
      <c r="D1124" t="inlineStr">
        <is>
          <t>VÄSTERBOTTENS LÄN</t>
        </is>
      </c>
      <c r="E1124" t="inlineStr">
        <is>
          <t>VILHELMINA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12118-2024</t>
        </is>
      </c>
      <c r="B1125" s="1" t="n">
        <v>45376</v>
      </c>
      <c r="C1125" s="1" t="n">
        <v>45839</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12189-2024</t>
        </is>
      </c>
      <c r="B1126" s="1" t="n">
        <v>45377</v>
      </c>
      <c r="C1126" s="1" t="n">
        <v>45839</v>
      </c>
      <c r="D1126" t="inlineStr">
        <is>
          <t>VÄSTERBOTTENS LÄN</t>
        </is>
      </c>
      <c r="E1126" t="inlineStr">
        <is>
          <t>VILHELMINA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12192-2024</t>
        </is>
      </c>
      <c r="B1127" s="1" t="n">
        <v>45377</v>
      </c>
      <c r="C1127" s="1" t="n">
        <v>45839</v>
      </c>
      <c r="D1127" t="inlineStr">
        <is>
          <t>VÄSTERBOTTENS LÄN</t>
        </is>
      </c>
      <c r="E1127" t="inlineStr">
        <is>
          <t>VILHELMINA</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12190-2024</t>
        </is>
      </c>
      <c r="B1128" s="1" t="n">
        <v>45377</v>
      </c>
      <c r="C1128" s="1" t="n">
        <v>45839</v>
      </c>
      <c r="D1128" t="inlineStr">
        <is>
          <t>VÄSTERBOTTENS LÄN</t>
        </is>
      </c>
      <c r="E1128" t="inlineStr">
        <is>
          <t>VILHELMINA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12191-2024</t>
        </is>
      </c>
      <c r="B1129" s="1" t="n">
        <v>45377</v>
      </c>
      <c r="C1129" s="1" t="n">
        <v>45839</v>
      </c>
      <c r="D1129" t="inlineStr">
        <is>
          <t>VÄSTERBOTTENS LÄN</t>
        </is>
      </c>
      <c r="E1129" t="inlineStr">
        <is>
          <t>VILHELMINA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12373-2024</t>
        </is>
      </c>
      <c r="B1130" s="1" t="n">
        <v>45378</v>
      </c>
      <c r="C1130" s="1" t="n">
        <v>45839</v>
      </c>
      <c r="D1130" t="inlineStr">
        <is>
          <t>VÄSTERBOTTENS LÄN</t>
        </is>
      </c>
      <c r="E1130" t="inlineStr">
        <is>
          <t>VILHELMINA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12583-2024</t>
        </is>
      </c>
      <c r="B1131" s="1" t="n">
        <v>45379</v>
      </c>
      <c r="C1131" s="1" t="n">
        <v>45839</v>
      </c>
      <c r="D1131" t="inlineStr">
        <is>
          <t>VÄSTERBOTTENS LÄN</t>
        </is>
      </c>
      <c r="E1131" t="inlineStr">
        <is>
          <t>VILHELMINA</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13557-2024</t>
        </is>
      </c>
      <c r="B1132" s="1" t="n">
        <v>45388</v>
      </c>
      <c r="C1132" s="1" t="n">
        <v>45839</v>
      </c>
      <c r="D1132" t="inlineStr">
        <is>
          <t>VÄSTERBOTTENS LÄN</t>
        </is>
      </c>
      <c r="E1132" t="inlineStr">
        <is>
          <t>VILHELMINA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13768-2024</t>
        </is>
      </c>
      <c r="B1133" s="1" t="n">
        <v>45391</v>
      </c>
      <c r="C1133" s="1" t="n">
        <v>45839</v>
      </c>
      <c r="D1133" t="inlineStr">
        <is>
          <t>VÄSTERBOTTENS LÄN</t>
        </is>
      </c>
      <c r="E1133" t="inlineStr">
        <is>
          <t>VILHELMINA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14366-2024</t>
        </is>
      </c>
      <c r="B1134" s="1" t="n">
        <v>45394</v>
      </c>
      <c r="C1134" s="1" t="n">
        <v>45839</v>
      </c>
      <c r="D1134" t="inlineStr">
        <is>
          <t>VÄSTERBOTTENS LÄN</t>
        </is>
      </c>
      <c r="E1134" t="inlineStr">
        <is>
          <t>VILHELMINA</t>
        </is>
      </c>
      <c r="F1134" t="inlineStr">
        <is>
          <t>SCA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14816-2024</t>
        </is>
      </c>
      <c r="B1135" s="1" t="n">
        <v>45397</v>
      </c>
      <c r="C1135" s="1" t="n">
        <v>45839</v>
      </c>
      <c r="D1135" t="inlineStr">
        <is>
          <t>VÄSTERBOTTENS LÄN</t>
        </is>
      </c>
      <c r="E1135" t="inlineStr">
        <is>
          <t>VILHELMINA</t>
        </is>
      </c>
      <c r="F1135" t="inlineStr">
        <is>
          <t>SCA</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14817-2024</t>
        </is>
      </c>
      <c r="B1136" s="1" t="n">
        <v>45398</v>
      </c>
      <c r="C1136" s="1" t="n">
        <v>45839</v>
      </c>
      <c r="D1136" t="inlineStr">
        <is>
          <t>VÄSTERBOTTENS LÄN</t>
        </is>
      </c>
      <c r="E1136" t="inlineStr">
        <is>
          <t>VILHELMINA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15059-2024</t>
        </is>
      </c>
      <c r="B1137" s="1" t="n">
        <v>45399</v>
      </c>
      <c r="C1137" s="1" t="n">
        <v>45839</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15050-2024</t>
        </is>
      </c>
      <c r="B1138" s="1" t="n">
        <v>45399</v>
      </c>
      <c r="C1138" s="1" t="n">
        <v>45839</v>
      </c>
      <c r="D1138" t="inlineStr">
        <is>
          <t>VÄSTERBOTTENS LÄN</t>
        </is>
      </c>
      <c r="E1138" t="inlineStr">
        <is>
          <t>VILHELMINA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15062-2024</t>
        </is>
      </c>
      <c r="B1139" s="1" t="n">
        <v>45399</v>
      </c>
      <c r="C1139" s="1" t="n">
        <v>45839</v>
      </c>
      <c r="D1139" t="inlineStr">
        <is>
          <t>VÄSTERBOTTENS LÄN</t>
        </is>
      </c>
      <c r="E1139" t="inlineStr">
        <is>
          <t>VILHELMINA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15066-2024</t>
        </is>
      </c>
      <c r="B1140" s="1" t="n">
        <v>45399</v>
      </c>
      <c r="C1140" s="1" t="n">
        <v>45839</v>
      </c>
      <c r="D1140" t="inlineStr">
        <is>
          <t>VÄSTERBOTTENS LÄN</t>
        </is>
      </c>
      <c r="E1140" t="inlineStr">
        <is>
          <t>VILHELMINA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15326-2024</t>
        </is>
      </c>
      <c r="B1141" s="1" t="n">
        <v>45400</v>
      </c>
      <c r="C1141" s="1" t="n">
        <v>45839</v>
      </c>
      <c r="D1141" t="inlineStr">
        <is>
          <t>VÄSTERBOTTENS LÄN</t>
        </is>
      </c>
      <c r="E1141" t="inlineStr">
        <is>
          <t>VILHELMINA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15615-2024</t>
        </is>
      </c>
      <c r="B1142" s="1" t="n">
        <v>45402</v>
      </c>
      <c r="C1142" s="1" t="n">
        <v>45839</v>
      </c>
      <c r="D1142" t="inlineStr">
        <is>
          <t>VÄSTERBOTTENS LÄN</t>
        </is>
      </c>
      <c r="E1142" t="inlineStr">
        <is>
          <t>VILHELMINA</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15617-2024</t>
        </is>
      </c>
      <c r="B1143" s="1" t="n">
        <v>45402</v>
      </c>
      <c r="C1143" s="1" t="n">
        <v>45839</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15639-2024</t>
        </is>
      </c>
      <c r="B1144" s="1" t="n">
        <v>45403</v>
      </c>
      <c r="C1144" s="1" t="n">
        <v>45839</v>
      </c>
      <c r="D1144" t="inlineStr">
        <is>
          <t>VÄSTERBOTTENS LÄN</t>
        </is>
      </c>
      <c r="E1144" t="inlineStr">
        <is>
          <t>VILHELMINA</t>
        </is>
      </c>
      <c r="G1144" t="n">
        <v>81.90000000000001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15969-2024</t>
        </is>
      </c>
      <c r="B1145" s="1" t="n">
        <v>45405</v>
      </c>
      <c r="C1145" s="1" t="n">
        <v>45839</v>
      </c>
      <c r="D1145" t="inlineStr">
        <is>
          <t>VÄSTERBOTTENS LÄN</t>
        </is>
      </c>
      <c r="E1145" t="inlineStr">
        <is>
          <t>VILHELMINA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16608-2024</t>
        </is>
      </c>
      <c r="B1146" s="1" t="n">
        <v>45408</v>
      </c>
      <c r="C1146" s="1" t="n">
        <v>45839</v>
      </c>
      <c r="D1146" t="inlineStr">
        <is>
          <t>VÄSTERBOTTENS LÄN</t>
        </is>
      </c>
      <c r="E1146" t="inlineStr">
        <is>
          <t>VILHELMINA</t>
        </is>
      </c>
      <c r="G1146" t="n">
        <v>17.5</v>
      </c>
      <c r="H1146" t="n">
        <v>0</v>
      </c>
      <c r="I1146" t="n">
        <v>0</v>
      </c>
      <c r="J1146" t="n">
        <v>0</v>
      </c>
      <c r="K1146" t="n">
        <v>0</v>
      </c>
      <c r="L1146" t="n">
        <v>0</v>
      </c>
      <c r="M1146" t="n">
        <v>0</v>
      </c>
      <c r="N1146" t="n">
        <v>0</v>
      </c>
      <c r="O1146" t="n">
        <v>0</v>
      </c>
      <c r="P1146" t="n">
        <v>0</v>
      </c>
      <c r="Q1146" t="n">
        <v>0</v>
      </c>
      <c r="R1146" s="2" t="inlineStr"/>
    </row>
    <row r="1147" ht="15" customHeight="1">
      <c r="A1147" t="inlineStr">
        <is>
          <t>A 16626-2024</t>
        </is>
      </c>
      <c r="B1147" s="1" t="n">
        <v>45408</v>
      </c>
      <c r="C1147" s="1" t="n">
        <v>45839</v>
      </c>
      <c r="D1147" t="inlineStr">
        <is>
          <t>VÄSTERBOTTENS LÄN</t>
        </is>
      </c>
      <c r="E1147" t="inlineStr">
        <is>
          <t>VILHELMINA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16712-2024</t>
        </is>
      </c>
      <c r="B1148" s="1" t="n">
        <v>45409</v>
      </c>
      <c r="C1148" s="1" t="n">
        <v>45839</v>
      </c>
      <c r="D1148" t="inlineStr">
        <is>
          <t>VÄSTERBOTTENS LÄN</t>
        </is>
      </c>
      <c r="E1148" t="inlineStr">
        <is>
          <t>VILHELMINA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16713-2024</t>
        </is>
      </c>
      <c r="B1149" s="1" t="n">
        <v>45409</v>
      </c>
      <c r="C1149" s="1" t="n">
        <v>45839</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17002-2024</t>
        </is>
      </c>
      <c r="B1150" s="1" t="n">
        <v>45411</v>
      </c>
      <c r="C1150" s="1" t="n">
        <v>45839</v>
      </c>
      <c r="D1150" t="inlineStr">
        <is>
          <t>VÄSTERBOTTENS LÄN</t>
        </is>
      </c>
      <c r="E1150" t="inlineStr">
        <is>
          <t>VILHELMINA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16979-2024</t>
        </is>
      </c>
      <c r="B1151" s="1" t="n">
        <v>45412</v>
      </c>
      <c r="C1151" s="1" t="n">
        <v>45839</v>
      </c>
      <c r="D1151" t="inlineStr">
        <is>
          <t>VÄSTERBOTTENS LÄN</t>
        </is>
      </c>
      <c r="E1151" t="inlineStr">
        <is>
          <t>VILHELMINA</t>
        </is>
      </c>
      <c r="F1151" t="inlineStr">
        <is>
          <t>SCA</t>
        </is>
      </c>
      <c r="G1151" t="n">
        <v>34.1</v>
      </c>
      <c r="H1151" t="n">
        <v>0</v>
      </c>
      <c r="I1151" t="n">
        <v>0</v>
      </c>
      <c r="J1151" t="n">
        <v>0</v>
      </c>
      <c r="K1151" t="n">
        <v>0</v>
      </c>
      <c r="L1151" t="n">
        <v>0</v>
      </c>
      <c r="M1151" t="n">
        <v>0</v>
      </c>
      <c r="N1151" t="n">
        <v>0</v>
      </c>
      <c r="O1151" t="n">
        <v>0</v>
      </c>
      <c r="P1151" t="n">
        <v>0</v>
      </c>
      <c r="Q1151" t="n">
        <v>0</v>
      </c>
      <c r="R1151" s="2" t="inlineStr"/>
    </row>
    <row r="1152" ht="15" customHeight="1">
      <c r="A1152" t="inlineStr">
        <is>
          <t>A 17586-2024</t>
        </is>
      </c>
      <c r="B1152" s="1" t="n">
        <v>45415</v>
      </c>
      <c r="C1152" s="1" t="n">
        <v>45839</v>
      </c>
      <c r="D1152" t="inlineStr">
        <is>
          <t>VÄSTERBOTTENS LÄN</t>
        </is>
      </c>
      <c r="E1152" t="inlineStr">
        <is>
          <t>VILHELMINA</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17587-2024</t>
        </is>
      </c>
      <c r="B1153" s="1" t="n">
        <v>45416</v>
      </c>
      <c r="C1153" s="1" t="n">
        <v>45839</v>
      </c>
      <c r="D1153" t="inlineStr">
        <is>
          <t>VÄSTERBOTTENS LÄN</t>
        </is>
      </c>
      <c r="E1153" t="inlineStr">
        <is>
          <t>VILHELMINA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17723-2024</t>
        </is>
      </c>
      <c r="B1154" s="1" t="n">
        <v>45415</v>
      </c>
      <c r="C1154" s="1" t="n">
        <v>45839</v>
      </c>
      <c r="D1154" t="inlineStr">
        <is>
          <t>VÄSTERBOTTENS LÄN</t>
        </is>
      </c>
      <c r="E1154" t="inlineStr">
        <is>
          <t>VILHELMINA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17732-2024</t>
        </is>
      </c>
      <c r="B1155" s="1" t="n">
        <v>45415</v>
      </c>
      <c r="C1155" s="1" t="n">
        <v>45839</v>
      </c>
      <c r="D1155" t="inlineStr">
        <is>
          <t>VÄSTERBOTTENS LÄN</t>
        </is>
      </c>
      <c r="E1155" t="inlineStr">
        <is>
          <t>VILHELMINA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17722-2024</t>
        </is>
      </c>
      <c r="B1156" s="1" t="n">
        <v>45415</v>
      </c>
      <c r="C1156" s="1" t="n">
        <v>45839</v>
      </c>
      <c r="D1156" t="inlineStr">
        <is>
          <t>VÄSTERBOTTENS LÄN</t>
        </is>
      </c>
      <c r="E1156" t="inlineStr">
        <is>
          <t>VILHELMINA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17823-2024</t>
        </is>
      </c>
      <c r="B1157" s="1" t="n">
        <v>45419</v>
      </c>
      <c r="C1157" s="1" t="n">
        <v>45839</v>
      </c>
      <c r="D1157" t="inlineStr">
        <is>
          <t>VÄSTERBOTTENS LÄN</t>
        </is>
      </c>
      <c r="E1157" t="inlineStr">
        <is>
          <t>VILHELMINA</t>
        </is>
      </c>
      <c r="F1157" t="inlineStr">
        <is>
          <t>SCA</t>
        </is>
      </c>
      <c r="G1157" t="n">
        <v>18.7</v>
      </c>
      <c r="H1157" t="n">
        <v>0</v>
      </c>
      <c r="I1157" t="n">
        <v>0</v>
      </c>
      <c r="J1157" t="n">
        <v>0</v>
      </c>
      <c r="K1157" t="n">
        <v>0</v>
      </c>
      <c r="L1157" t="n">
        <v>0</v>
      </c>
      <c r="M1157" t="n">
        <v>0</v>
      </c>
      <c r="N1157" t="n">
        <v>0</v>
      </c>
      <c r="O1157" t="n">
        <v>0</v>
      </c>
      <c r="P1157" t="n">
        <v>0</v>
      </c>
      <c r="Q1157" t="n">
        <v>0</v>
      </c>
      <c r="R1157" s="2" t="inlineStr"/>
    </row>
    <row r="1158" ht="15" customHeight="1">
      <c r="A1158" t="inlineStr">
        <is>
          <t>A 17996-2024</t>
        </is>
      </c>
      <c r="B1158" s="1" t="n">
        <v>45419</v>
      </c>
      <c r="C1158" s="1" t="n">
        <v>45839</v>
      </c>
      <c r="D1158" t="inlineStr">
        <is>
          <t>VÄSTERBOTTENS LÄN</t>
        </is>
      </c>
      <c r="E1158" t="inlineStr">
        <is>
          <t>VILHELMINA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19088-2024</t>
        </is>
      </c>
      <c r="B1159" s="1" t="n">
        <v>45428</v>
      </c>
      <c r="C1159" s="1" t="n">
        <v>45839</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19083-2024</t>
        </is>
      </c>
      <c r="B1160" s="1" t="n">
        <v>45428</v>
      </c>
      <c r="C1160" s="1" t="n">
        <v>45839</v>
      </c>
      <c r="D1160" t="inlineStr">
        <is>
          <t>VÄSTERBOTTENS LÄN</t>
        </is>
      </c>
      <c r="E1160" t="inlineStr">
        <is>
          <t>VILHELMINA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19349-2024</t>
        </is>
      </c>
      <c r="B1161" s="1" t="n">
        <v>45429</v>
      </c>
      <c r="C1161" s="1" t="n">
        <v>45839</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19585-2024</t>
        </is>
      </c>
      <c r="B1162" s="1" t="n">
        <v>45429</v>
      </c>
      <c r="C1162" s="1" t="n">
        <v>45839</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19873-2024</t>
        </is>
      </c>
      <c r="B1163" s="1" t="n">
        <v>45433</v>
      </c>
      <c r="C1163" s="1" t="n">
        <v>45839</v>
      </c>
      <c r="D1163" t="inlineStr">
        <is>
          <t>VÄSTERBOTTENS LÄN</t>
        </is>
      </c>
      <c r="E1163" t="inlineStr">
        <is>
          <t>VILHELMINA</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20259-2024</t>
        </is>
      </c>
      <c r="B1164" s="1" t="n">
        <v>45435</v>
      </c>
      <c r="C1164" s="1" t="n">
        <v>45839</v>
      </c>
      <c r="D1164" t="inlineStr">
        <is>
          <t>VÄSTERBOTTENS LÄN</t>
        </is>
      </c>
      <c r="E1164" t="inlineStr">
        <is>
          <t>VILHELMINA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20521-2024</t>
        </is>
      </c>
      <c r="B1165" s="1" t="n">
        <v>45436</v>
      </c>
      <c r="C1165" s="1" t="n">
        <v>45839</v>
      </c>
      <c r="D1165" t="inlineStr">
        <is>
          <t>VÄSTERBOTTENS LÄN</t>
        </is>
      </c>
      <c r="E1165" t="inlineStr">
        <is>
          <t>VILHELMINA</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20511-2024</t>
        </is>
      </c>
      <c r="B1166" s="1" t="n">
        <v>45435</v>
      </c>
      <c r="C1166" s="1" t="n">
        <v>45839</v>
      </c>
      <c r="D1166" t="inlineStr">
        <is>
          <t>VÄSTERBOTTENS LÄN</t>
        </is>
      </c>
      <c r="E1166" t="inlineStr">
        <is>
          <t>VILHELMINA</t>
        </is>
      </c>
      <c r="F1166" t="inlineStr">
        <is>
          <t>SCA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20523-2024</t>
        </is>
      </c>
      <c r="B1167" s="1" t="n">
        <v>45436</v>
      </c>
      <c r="C1167" s="1" t="n">
        <v>45839</v>
      </c>
      <c r="D1167" t="inlineStr">
        <is>
          <t>VÄSTERBOTTENS LÄN</t>
        </is>
      </c>
      <c r="E1167" t="inlineStr">
        <is>
          <t>VILHELMINA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20510-2024</t>
        </is>
      </c>
      <c r="B1168" s="1" t="n">
        <v>45436</v>
      </c>
      <c r="C1168" s="1" t="n">
        <v>45839</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20522-2024</t>
        </is>
      </c>
      <c r="B1169" s="1" t="n">
        <v>45435</v>
      </c>
      <c r="C1169" s="1" t="n">
        <v>45839</v>
      </c>
      <c r="D1169" t="inlineStr">
        <is>
          <t>VÄSTERBOTTENS LÄN</t>
        </is>
      </c>
      <c r="E1169" t="inlineStr">
        <is>
          <t>VILHELMINA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20524-2024</t>
        </is>
      </c>
      <c r="B1170" s="1" t="n">
        <v>45436</v>
      </c>
      <c r="C1170" s="1" t="n">
        <v>45839</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20769-2024</t>
        </is>
      </c>
      <c r="B1171" s="1" t="n">
        <v>45437</v>
      </c>
      <c r="C1171" s="1" t="n">
        <v>45839</v>
      </c>
      <c r="D1171" t="inlineStr">
        <is>
          <t>VÄSTERBOTTENS LÄN</t>
        </is>
      </c>
      <c r="E1171" t="inlineStr">
        <is>
          <t>VILHELMINA</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20796-2024</t>
        </is>
      </c>
      <c r="B1172" s="1" t="n">
        <v>45439</v>
      </c>
      <c r="C1172" s="1" t="n">
        <v>45839</v>
      </c>
      <c r="D1172" t="inlineStr">
        <is>
          <t>VÄSTERBOTTENS LÄN</t>
        </is>
      </c>
      <c r="E1172" t="inlineStr">
        <is>
          <t>VILHELMINA</t>
        </is>
      </c>
      <c r="F1172" t="inlineStr">
        <is>
          <t>SCA</t>
        </is>
      </c>
      <c r="G1172" t="n">
        <v>22.4</v>
      </c>
      <c r="H1172" t="n">
        <v>0</v>
      </c>
      <c r="I1172" t="n">
        <v>0</v>
      </c>
      <c r="J1172" t="n">
        <v>0</v>
      </c>
      <c r="K1172" t="n">
        <v>0</v>
      </c>
      <c r="L1172" t="n">
        <v>0</v>
      </c>
      <c r="M1172" t="n">
        <v>0</v>
      </c>
      <c r="N1172" t="n">
        <v>0</v>
      </c>
      <c r="O1172" t="n">
        <v>0</v>
      </c>
      <c r="P1172" t="n">
        <v>0</v>
      </c>
      <c r="Q1172" t="n">
        <v>0</v>
      </c>
      <c r="R1172" s="2" t="inlineStr"/>
    </row>
    <row r="1173" ht="15" customHeight="1">
      <c r="A1173" t="inlineStr">
        <is>
          <t>A 20797-2024</t>
        </is>
      </c>
      <c r="B1173" s="1" t="n">
        <v>45438</v>
      </c>
      <c r="C1173" s="1" t="n">
        <v>45839</v>
      </c>
      <c r="D1173" t="inlineStr">
        <is>
          <t>VÄSTERBOTTENS LÄN</t>
        </is>
      </c>
      <c r="E1173" t="inlineStr">
        <is>
          <t>VILHELMINA</t>
        </is>
      </c>
      <c r="F1173" t="inlineStr">
        <is>
          <t>SCA</t>
        </is>
      </c>
      <c r="G1173" t="n">
        <v>26.9</v>
      </c>
      <c r="H1173" t="n">
        <v>0</v>
      </c>
      <c r="I1173" t="n">
        <v>0</v>
      </c>
      <c r="J1173" t="n">
        <v>0</v>
      </c>
      <c r="K1173" t="n">
        <v>0</v>
      </c>
      <c r="L1173" t="n">
        <v>0</v>
      </c>
      <c r="M1173" t="n">
        <v>0</v>
      </c>
      <c r="N1173" t="n">
        <v>0</v>
      </c>
      <c r="O1173" t="n">
        <v>0</v>
      </c>
      <c r="P1173" t="n">
        <v>0</v>
      </c>
      <c r="Q1173" t="n">
        <v>0</v>
      </c>
      <c r="R1173" s="2" t="inlineStr"/>
    </row>
    <row r="1174" ht="15" customHeight="1">
      <c r="A1174" t="inlineStr">
        <is>
          <t>A 21370-2024</t>
        </is>
      </c>
      <c r="B1174" s="1" t="n">
        <v>45441</v>
      </c>
      <c r="C1174" s="1" t="n">
        <v>45839</v>
      </c>
      <c r="D1174" t="inlineStr">
        <is>
          <t>VÄSTERBOTTENS LÄN</t>
        </is>
      </c>
      <c r="E1174" t="inlineStr">
        <is>
          <t>VILHELMINA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21348-2024</t>
        </is>
      </c>
      <c r="B1175" s="1" t="n">
        <v>45440</v>
      </c>
      <c r="C1175" s="1" t="n">
        <v>45839</v>
      </c>
      <c r="D1175" t="inlineStr">
        <is>
          <t>VÄSTERBOTTENS LÄN</t>
        </is>
      </c>
      <c r="E1175" t="inlineStr">
        <is>
          <t>VILHELMINA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21368-2024</t>
        </is>
      </c>
      <c r="B1176" s="1" t="n">
        <v>45441</v>
      </c>
      <c r="C1176" s="1" t="n">
        <v>45839</v>
      </c>
      <c r="D1176" t="inlineStr">
        <is>
          <t>VÄSTERBOTTENS LÄN</t>
        </is>
      </c>
      <c r="E1176" t="inlineStr">
        <is>
          <t>VILHELMINA</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21345-2024</t>
        </is>
      </c>
      <c r="B1177" s="1" t="n">
        <v>45441</v>
      </c>
      <c r="C1177" s="1" t="n">
        <v>45839</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21349-2024</t>
        </is>
      </c>
      <c r="B1178" s="1" t="n">
        <v>45440</v>
      </c>
      <c r="C1178" s="1" t="n">
        <v>45839</v>
      </c>
      <c r="D1178" t="inlineStr">
        <is>
          <t>VÄSTERBOTTENS LÄN</t>
        </is>
      </c>
      <c r="E1178" t="inlineStr">
        <is>
          <t>VILHELMINA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21369-2024</t>
        </is>
      </c>
      <c r="B1179" s="1" t="n">
        <v>45441</v>
      </c>
      <c r="C1179" s="1" t="n">
        <v>45839</v>
      </c>
      <c r="D1179" t="inlineStr">
        <is>
          <t>VÄSTERBOTTENS LÄN</t>
        </is>
      </c>
      <c r="E1179" t="inlineStr">
        <is>
          <t>VILHELMINA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21367-2024</t>
        </is>
      </c>
      <c r="B1180" s="1" t="n">
        <v>45441</v>
      </c>
      <c r="C1180" s="1" t="n">
        <v>45839</v>
      </c>
      <c r="D1180" t="inlineStr">
        <is>
          <t>VÄSTERBOTTENS LÄN</t>
        </is>
      </c>
      <c r="E1180" t="inlineStr">
        <is>
          <t>VILHELMINA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21371-2024</t>
        </is>
      </c>
      <c r="B1181" s="1" t="n">
        <v>45441</v>
      </c>
      <c r="C1181" s="1" t="n">
        <v>45839</v>
      </c>
      <c r="D1181" t="inlineStr">
        <is>
          <t>VÄSTERBOTTENS LÄN</t>
        </is>
      </c>
      <c r="E1181" t="inlineStr">
        <is>
          <t>VILHELMINA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21841-2024</t>
        </is>
      </c>
      <c r="B1182" s="1" t="n">
        <v>45443</v>
      </c>
      <c r="C1182" s="1" t="n">
        <v>45839</v>
      </c>
      <c r="D1182" t="inlineStr">
        <is>
          <t>VÄSTERBOTTENS LÄN</t>
        </is>
      </c>
      <c r="E1182" t="inlineStr">
        <is>
          <t>VILHELMINA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21844-2024</t>
        </is>
      </c>
      <c r="B1183" s="1" t="n">
        <v>45442</v>
      </c>
      <c r="C1183" s="1" t="n">
        <v>45839</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21842-2024</t>
        </is>
      </c>
      <c r="B1184" s="1" t="n">
        <v>45443</v>
      </c>
      <c r="C1184" s="1" t="n">
        <v>45839</v>
      </c>
      <c r="D1184" t="inlineStr">
        <is>
          <t>VÄSTERBOTTENS LÄN</t>
        </is>
      </c>
      <c r="E1184" t="inlineStr">
        <is>
          <t>VILHELMINA</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21843-2024</t>
        </is>
      </c>
      <c r="B1185" s="1" t="n">
        <v>45443</v>
      </c>
      <c r="C1185" s="1" t="n">
        <v>45839</v>
      </c>
      <c r="D1185" t="inlineStr">
        <is>
          <t>VÄSTERBOTTENS LÄN</t>
        </is>
      </c>
      <c r="E1185" t="inlineStr">
        <is>
          <t>VILHELMINA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22104-2024</t>
        </is>
      </c>
      <c r="B1186" s="1" t="n">
        <v>45443</v>
      </c>
      <c r="C1186" s="1" t="n">
        <v>45839</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22108-2024</t>
        </is>
      </c>
      <c r="B1187" s="1" t="n">
        <v>45443</v>
      </c>
      <c r="C1187" s="1" t="n">
        <v>45839</v>
      </c>
      <c r="D1187" t="inlineStr">
        <is>
          <t>VÄSTERBOTTENS LÄN</t>
        </is>
      </c>
      <c r="E1187" t="inlineStr">
        <is>
          <t>VILHELMINA</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22105-2024</t>
        </is>
      </c>
      <c r="B1188" s="1" t="n">
        <v>45443</v>
      </c>
      <c r="C1188" s="1" t="n">
        <v>45839</v>
      </c>
      <c r="D1188" t="inlineStr">
        <is>
          <t>VÄSTERBOTTENS LÄN</t>
        </is>
      </c>
      <c r="E1188" t="inlineStr">
        <is>
          <t>VILHELMINA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22109-2024</t>
        </is>
      </c>
      <c r="B1189" s="1" t="n">
        <v>45443</v>
      </c>
      <c r="C1189" s="1" t="n">
        <v>45839</v>
      </c>
      <c r="D1189" t="inlineStr">
        <is>
          <t>VÄSTERBOTTENS LÄN</t>
        </is>
      </c>
      <c r="E1189" t="inlineStr">
        <is>
          <t>VILHELMINA</t>
        </is>
      </c>
      <c r="F1189" t="inlineStr">
        <is>
          <t>SCA</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22107-2024</t>
        </is>
      </c>
      <c r="B1190" s="1" t="n">
        <v>45443</v>
      </c>
      <c r="C1190" s="1" t="n">
        <v>45839</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22106-2024</t>
        </is>
      </c>
      <c r="B1191" s="1" t="n">
        <v>45444</v>
      </c>
      <c r="C1191" s="1" t="n">
        <v>45839</v>
      </c>
      <c r="D1191" t="inlineStr">
        <is>
          <t>VÄSTERBOTTENS LÄN</t>
        </is>
      </c>
      <c r="E1191" t="inlineStr">
        <is>
          <t>VILHELMINA</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22751-2024</t>
        </is>
      </c>
      <c r="B1192" s="1" t="n">
        <v>45448</v>
      </c>
      <c r="C1192" s="1" t="n">
        <v>45839</v>
      </c>
      <c r="D1192" t="inlineStr">
        <is>
          <t>VÄSTERBOTTENS LÄN</t>
        </is>
      </c>
      <c r="E1192" t="inlineStr">
        <is>
          <t>VILHELMINA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23176-2024</t>
        </is>
      </c>
      <c r="B1193" s="1" t="n">
        <v>45451</v>
      </c>
      <c r="C1193" s="1" t="n">
        <v>45839</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23180-2024</t>
        </is>
      </c>
      <c r="B1194" s="1" t="n">
        <v>45451</v>
      </c>
      <c r="C1194" s="1" t="n">
        <v>45839</v>
      </c>
      <c r="D1194" t="inlineStr">
        <is>
          <t>VÄSTERBOTTENS LÄN</t>
        </is>
      </c>
      <c r="E1194" t="inlineStr">
        <is>
          <t>VILHELMINA</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23550-2024</t>
        </is>
      </c>
      <c r="B1195" s="1" t="n">
        <v>45454</v>
      </c>
      <c r="C1195" s="1" t="n">
        <v>45839</v>
      </c>
      <c r="D1195" t="inlineStr">
        <is>
          <t>VÄSTERBOTTENS LÄN</t>
        </is>
      </c>
      <c r="E1195" t="inlineStr">
        <is>
          <t>VILHELMINA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23538-2024</t>
        </is>
      </c>
      <c r="B1196" s="1" t="n">
        <v>45453</v>
      </c>
      <c r="C1196" s="1" t="n">
        <v>45839</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23548-2024</t>
        </is>
      </c>
      <c r="B1197" s="1" t="n">
        <v>45454</v>
      </c>
      <c r="C1197" s="1" t="n">
        <v>45839</v>
      </c>
      <c r="D1197" t="inlineStr">
        <is>
          <t>VÄSTERBOTTENS LÄN</t>
        </is>
      </c>
      <c r="E1197" t="inlineStr">
        <is>
          <t>VILHELMINA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23544-2024</t>
        </is>
      </c>
      <c r="B1198" s="1" t="n">
        <v>45454</v>
      </c>
      <c r="C1198" s="1" t="n">
        <v>45839</v>
      </c>
      <c r="D1198" t="inlineStr">
        <is>
          <t>VÄSTERBOTTENS LÄN</t>
        </is>
      </c>
      <c r="E1198" t="inlineStr">
        <is>
          <t>VILHELMINA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23536-2024</t>
        </is>
      </c>
      <c r="B1199" s="1" t="n">
        <v>45454</v>
      </c>
      <c r="C1199" s="1" t="n">
        <v>45839</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23543-2024</t>
        </is>
      </c>
      <c r="B1200" s="1" t="n">
        <v>45453</v>
      </c>
      <c r="C1200" s="1" t="n">
        <v>45839</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23545-2024</t>
        </is>
      </c>
      <c r="B1201" s="1" t="n">
        <v>45454</v>
      </c>
      <c r="C1201" s="1" t="n">
        <v>45839</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23549-2024</t>
        </is>
      </c>
      <c r="B1202" s="1" t="n">
        <v>45454</v>
      </c>
      <c r="C1202" s="1" t="n">
        <v>45839</v>
      </c>
      <c r="D1202" t="inlineStr">
        <is>
          <t>VÄSTERBOTTENS LÄN</t>
        </is>
      </c>
      <c r="E1202" t="inlineStr">
        <is>
          <t>VILHELMINA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23657-2024</t>
        </is>
      </c>
      <c r="B1203" s="1" t="n">
        <v>45454</v>
      </c>
      <c r="C1203" s="1" t="n">
        <v>45839</v>
      </c>
      <c r="D1203" t="inlineStr">
        <is>
          <t>VÄSTERBOTTENS LÄN</t>
        </is>
      </c>
      <c r="E1203" t="inlineStr">
        <is>
          <t>VILHELMINA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24428-2024</t>
        </is>
      </c>
      <c r="B1204" s="1" t="n">
        <v>45458</v>
      </c>
      <c r="C1204" s="1" t="n">
        <v>45839</v>
      </c>
      <c r="D1204" t="inlineStr">
        <is>
          <t>VÄSTERBOTTENS LÄN</t>
        </is>
      </c>
      <c r="E1204" t="inlineStr">
        <is>
          <t>VILHELMINA</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24454-2024</t>
        </is>
      </c>
      <c r="B1205" s="1" t="n">
        <v>45458</v>
      </c>
      <c r="C1205" s="1" t="n">
        <v>45839</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24427-2024</t>
        </is>
      </c>
      <c r="B1206" s="1" t="n">
        <v>45457</v>
      </c>
      <c r="C1206" s="1" t="n">
        <v>45839</v>
      </c>
      <c r="D1206" t="inlineStr">
        <is>
          <t>VÄSTERBOTTENS LÄN</t>
        </is>
      </c>
      <c r="E1206" t="inlineStr">
        <is>
          <t>VILHELMINA</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24457-2024</t>
        </is>
      </c>
      <c r="B1207" s="1" t="n">
        <v>45458</v>
      </c>
      <c r="C1207" s="1" t="n">
        <v>45839</v>
      </c>
      <c r="D1207" t="inlineStr">
        <is>
          <t>VÄSTERBOTTENS LÄN</t>
        </is>
      </c>
      <c r="E1207" t="inlineStr">
        <is>
          <t>VILHELMINA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24426-2024</t>
        </is>
      </c>
      <c r="B1208" s="1" t="n">
        <v>45457</v>
      </c>
      <c r="C1208" s="1" t="n">
        <v>45839</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24455-2024</t>
        </is>
      </c>
      <c r="B1209" s="1" t="n">
        <v>45458</v>
      </c>
      <c r="C1209" s="1" t="n">
        <v>45839</v>
      </c>
      <c r="D1209" t="inlineStr">
        <is>
          <t>VÄSTERBOTTENS LÄN</t>
        </is>
      </c>
      <c r="E1209" t="inlineStr">
        <is>
          <t>VILHELMINA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25078-2024</t>
        </is>
      </c>
      <c r="B1210" s="1" t="n">
        <v>45462</v>
      </c>
      <c r="C1210" s="1" t="n">
        <v>45839</v>
      </c>
      <c r="D1210" t="inlineStr">
        <is>
          <t>VÄSTERBOTTENS LÄN</t>
        </is>
      </c>
      <c r="E1210" t="inlineStr">
        <is>
          <t>VILHELMINA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25551-2024</t>
        </is>
      </c>
      <c r="B1211" s="1" t="n">
        <v>45463</v>
      </c>
      <c r="C1211" s="1" t="n">
        <v>45839</v>
      </c>
      <c r="D1211" t="inlineStr">
        <is>
          <t>VÄSTERBOTTENS LÄN</t>
        </is>
      </c>
      <c r="E1211" t="inlineStr">
        <is>
          <t>VILHELMINA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25701-2024</t>
        </is>
      </c>
      <c r="B1212" s="1" t="n">
        <v>45464</v>
      </c>
      <c r="C1212" s="1" t="n">
        <v>45839</v>
      </c>
      <c r="D1212" t="inlineStr">
        <is>
          <t>VÄSTERBOTTENS LÄN</t>
        </is>
      </c>
      <c r="E1212" t="inlineStr">
        <is>
          <t>VILHELMINA</t>
        </is>
      </c>
      <c r="F1212" t="inlineStr">
        <is>
          <t>SCA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25819-2024</t>
        </is>
      </c>
      <c r="B1213" s="1" t="n">
        <v>45467</v>
      </c>
      <c r="C1213" s="1" t="n">
        <v>45839</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25810-2024</t>
        </is>
      </c>
      <c r="B1214" s="1" t="n">
        <v>45467</v>
      </c>
      <c r="C1214" s="1" t="n">
        <v>45839</v>
      </c>
      <c r="D1214" t="inlineStr">
        <is>
          <t>VÄSTERBOTTENS LÄN</t>
        </is>
      </c>
      <c r="E1214" t="inlineStr">
        <is>
          <t>VILHELMINA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25814-2024</t>
        </is>
      </c>
      <c r="B1215" s="1" t="n">
        <v>45467</v>
      </c>
      <c r="C1215" s="1" t="n">
        <v>45839</v>
      </c>
      <c r="D1215" t="inlineStr">
        <is>
          <t>VÄSTERBOTTENS LÄN</t>
        </is>
      </c>
      <c r="E1215" t="inlineStr">
        <is>
          <t>VILHELMINA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26287-2024</t>
        </is>
      </c>
      <c r="B1216" s="1" t="n">
        <v>45468</v>
      </c>
      <c r="C1216" s="1" t="n">
        <v>45839</v>
      </c>
      <c r="D1216" t="inlineStr">
        <is>
          <t>VÄSTERBOTTENS LÄN</t>
        </is>
      </c>
      <c r="E1216" t="inlineStr">
        <is>
          <t>VILHELMINA</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26137-2024</t>
        </is>
      </c>
      <c r="B1217" s="1" t="n">
        <v>45468</v>
      </c>
      <c r="C1217" s="1" t="n">
        <v>45839</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26381-2024</t>
        </is>
      </c>
      <c r="B1218" s="1" t="n">
        <v>45469</v>
      </c>
      <c r="C1218" s="1" t="n">
        <v>45839</v>
      </c>
      <c r="D1218" t="inlineStr">
        <is>
          <t>VÄSTERBOTTENS LÄN</t>
        </is>
      </c>
      <c r="E1218" t="inlineStr">
        <is>
          <t>VILHELMINA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26499-2024</t>
        </is>
      </c>
      <c r="B1219" s="1" t="n">
        <v>45469</v>
      </c>
      <c r="C1219" s="1" t="n">
        <v>45839</v>
      </c>
      <c r="D1219" t="inlineStr">
        <is>
          <t>VÄSTERBOTTENS LÄN</t>
        </is>
      </c>
      <c r="E1219" t="inlineStr">
        <is>
          <t>VILHELMINA</t>
        </is>
      </c>
      <c r="F1219" t="inlineStr">
        <is>
          <t>Sveaskog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26660-2024</t>
        </is>
      </c>
      <c r="B1220" s="1" t="n">
        <v>45470</v>
      </c>
      <c r="C1220" s="1" t="n">
        <v>45839</v>
      </c>
      <c r="D1220" t="inlineStr">
        <is>
          <t>VÄSTERBOTTENS LÄN</t>
        </is>
      </c>
      <c r="E1220" t="inlineStr">
        <is>
          <t>VILHELMINA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26947-2024</t>
        </is>
      </c>
      <c r="B1221" s="1" t="n">
        <v>45471</v>
      </c>
      <c r="C1221" s="1" t="n">
        <v>45839</v>
      </c>
      <c r="D1221" t="inlineStr">
        <is>
          <t>VÄSTERBOTTENS LÄN</t>
        </is>
      </c>
      <c r="E1221" t="inlineStr">
        <is>
          <t>VILHELMINA</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26748-2024</t>
        </is>
      </c>
      <c r="B1222" s="1" t="n">
        <v>45470</v>
      </c>
      <c r="C1222" s="1" t="n">
        <v>45839</v>
      </c>
      <c r="D1222" t="inlineStr">
        <is>
          <t>VÄSTERBOTTENS LÄN</t>
        </is>
      </c>
      <c r="E1222" t="inlineStr">
        <is>
          <t>VILHELMINA</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27194-2024</t>
        </is>
      </c>
      <c r="B1223" s="1" t="n">
        <v>45471</v>
      </c>
      <c r="C1223" s="1" t="n">
        <v>45839</v>
      </c>
      <c r="D1223" t="inlineStr">
        <is>
          <t>VÄSTERBOTTENS LÄN</t>
        </is>
      </c>
      <c r="E1223" t="inlineStr">
        <is>
          <t>VILHELMINA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27271-2024</t>
        </is>
      </c>
      <c r="B1224" s="1" t="n">
        <v>45471</v>
      </c>
      <c r="C1224" s="1" t="n">
        <v>45839</v>
      </c>
      <c r="D1224" t="inlineStr">
        <is>
          <t>VÄSTERBOTTENS LÄN</t>
        </is>
      </c>
      <c r="E1224" t="inlineStr">
        <is>
          <t>VILHELMINA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27917-2024</t>
        </is>
      </c>
      <c r="B1225" s="1" t="n">
        <v>45476</v>
      </c>
      <c r="C1225" s="1" t="n">
        <v>45839</v>
      </c>
      <c r="D1225" t="inlineStr">
        <is>
          <t>VÄSTERBOTTENS LÄN</t>
        </is>
      </c>
      <c r="E1225" t="inlineStr">
        <is>
          <t>VILHELMINA</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28695-2024</t>
        </is>
      </c>
      <c r="B1226" s="1" t="n">
        <v>45478</v>
      </c>
      <c r="C1226" s="1" t="n">
        <v>45839</v>
      </c>
      <c r="D1226" t="inlineStr">
        <is>
          <t>VÄSTERBOTTENS LÄN</t>
        </is>
      </c>
      <c r="E1226" t="inlineStr">
        <is>
          <t>VILHELMINA</t>
        </is>
      </c>
      <c r="F1226" t="inlineStr">
        <is>
          <t>Allmännings- och besparingsskogar</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28869-2024</t>
        </is>
      </c>
      <c r="B1227" s="1" t="n">
        <v>45479</v>
      </c>
      <c r="C1227" s="1" t="n">
        <v>45839</v>
      </c>
      <c r="D1227" t="inlineStr">
        <is>
          <t>VÄSTERBOTTENS LÄN</t>
        </is>
      </c>
      <c r="E1227" t="inlineStr">
        <is>
          <t>VILHELMINA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28729-2024</t>
        </is>
      </c>
      <c r="B1228" s="1" t="n">
        <v>45478</v>
      </c>
      <c r="C1228" s="1" t="n">
        <v>45839</v>
      </c>
      <c r="D1228" t="inlineStr">
        <is>
          <t>VÄSTERBOTTENS LÄN</t>
        </is>
      </c>
      <c r="E1228" t="inlineStr">
        <is>
          <t>VILHELMINA</t>
        </is>
      </c>
      <c r="F1228" t="inlineStr">
        <is>
          <t>Allmännings- och besparingsskogar</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28870-2024</t>
        </is>
      </c>
      <c r="B1229" s="1" t="n">
        <v>45479</v>
      </c>
      <c r="C1229" s="1" t="n">
        <v>45839</v>
      </c>
      <c r="D1229" t="inlineStr">
        <is>
          <t>VÄSTERBOTTENS LÄN</t>
        </is>
      </c>
      <c r="E1229" t="inlineStr">
        <is>
          <t>VILHELMINA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28656-2024</t>
        </is>
      </c>
      <c r="B1230" s="1" t="n">
        <v>45478</v>
      </c>
      <c r="C1230" s="1" t="n">
        <v>45839</v>
      </c>
      <c r="D1230" t="inlineStr">
        <is>
          <t>VÄSTERBOTTENS LÄN</t>
        </is>
      </c>
      <c r="E1230" t="inlineStr">
        <is>
          <t>VILHELMINA</t>
        </is>
      </c>
      <c r="F1230" t="inlineStr">
        <is>
          <t>Allmännings- och besparingsskogar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28726-2024</t>
        </is>
      </c>
      <c r="B1231" s="1" t="n">
        <v>45478</v>
      </c>
      <c r="C1231" s="1" t="n">
        <v>45839</v>
      </c>
      <c r="D1231" t="inlineStr">
        <is>
          <t>VÄSTERBOTTENS LÄN</t>
        </is>
      </c>
      <c r="E1231" t="inlineStr">
        <is>
          <t>VILHELMINA</t>
        </is>
      </c>
      <c r="F1231" t="inlineStr">
        <is>
          <t>Allmännings- och besparingsskogar</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28863-2024</t>
        </is>
      </c>
      <c r="B1232" s="1" t="n">
        <v>45479</v>
      </c>
      <c r="C1232" s="1" t="n">
        <v>45839</v>
      </c>
      <c r="D1232" t="inlineStr">
        <is>
          <t>VÄSTERBOTTENS LÄN</t>
        </is>
      </c>
      <c r="E1232" t="inlineStr">
        <is>
          <t>VILHELMINA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28871-2024</t>
        </is>
      </c>
      <c r="B1233" s="1" t="n">
        <v>45479</v>
      </c>
      <c r="C1233" s="1" t="n">
        <v>45839</v>
      </c>
      <c r="D1233" t="inlineStr">
        <is>
          <t>VÄSTERBOTTENS LÄN</t>
        </is>
      </c>
      <c r="E1233" t="inlineStr">
        <is>
          <t>VILHELMINA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28868-2024</t>
        </is>
      </c>
      <c r="B1234" s="1" t="n">
        <v>45479</v>
      </c>
      <c r="C1234" s="1" t="n">
        <v>45839</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29104-2024</t>
        </is>
      </c>
      <c r="B1235" s="1" t="n">
        <v>45482</v>
      </c>
      <c r="C1235" s="1" t="n">
        <v>45839</v>
      </c>
      <c r="D1235" t="inlineStr">
        <is>
          <t>VÄSTERBOTTENS LÄN</t>
        </is>
      </c>
      <c r="E1235" t="inlineStr">
        <is>
          <t>VILHELMINA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28949-2024</t>
        </is>
      </c>
      <c r="B1236" s="1" t="n">
        <v>45481</v>
      </c>
      <c r="C1236" s="1" t="n">
        <v>45839</v>
      </c>
      <c r="D1236" t="inlineStr">
        <is>
          <t>VÄSTERBOTTENS LÄN</t>
        </is>
      </c>
      <c r="E1236" t="inlineStr">
        <is>
          <t>VILHELMINA</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29105-2024</t>
        </is>
      </c>
      <c r="B1237" s="1" t="n">
        <v>45482</v>
      </c>
      <c r="C1237" s="1" t="n">
        <v>45839</v>
      </c>
      <c r="D1237" t="inlineStr">
        <is>
          <t>VÄSTERBOTTENS LÄN</t>
        </is>
      </c>
      <c r="E1237" t="inlineStr">
        <is>
          <t>VILHELMINA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29472-2024</t>
        </is>
      </c>
      <c r="B1238" s="1" t="n">
        <v>45484</v>
      </c>
      <c r="C1238" s="1" t="n">
        <v>45839</v>
      </c>
      <c r="D1238" t="inlineStr">
        <is>
          <t>VÄSTERBOTTENS LÄN</t>
        </is>
      </c>
      <c r="E1238" t="inlineStr">
        <is>
          <t>VILHELMINA</t>
        </is>
      </c>
      <c r="F1238" t="inlineStr">
        <is>
          <t>SCA</t>
        </is>
      </c>
      <c r="G1238" t="n">
        <v>23.6</v>
      </c>
      <c r="H1238" t="n">
        <v>0</v>
      </c>
      <c r="I1238" t="n">
        <v>0</v>
      </c>
      <c r="J1238" t="n">
        <v>0</v>
      </c>
      <c r="K1238" t="n">
        <v>0</v>
      </c>
      <c r="L1238" t="n">
        <v>0</v>
      </c>
      <c r="M1238" t="n">
        <v>0</v>
      </c>
      <c r="N1238" t="n">
        <v>0</v>
      </c>
      <c r="O1238" t="n">
        <v>0</v>
      </c>
      <c r="P1238" t="n">
        <v>0</v>
      </c>
      <c r="Q1238" t="n">
        <v>0</v>
      </c>
      <c r="R1238" s="2" t="inlineStr"/>
    </row>
    <row r="1239" ht="15" customHeight="1">
      <c r="A1239" t="inlineStr">
        <is>
          <t>A 29463-2024</t>
        </is>
      </c>
      <c r="B1239" s="1" t="n">
        <v>45484</v>
      </c>
      <c r="C1239" s="1" t="n">
        <v>45839</v>
      </c>
      <c r="D1239" t="inlineStr">
        <is>
          <t>VÄSTERBOTTENS LÄN</t>
        </is>
      </c>
      <c r="E1239" t="inlineStr">
        <is>
          <t>VILHELMINA</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29503-2024</t>
        </is>
      </c>
      <c r="B1240" s="1" t="n">
        <v>45484</v>
      </c>
      <c r="C1240" s="1" t="n">
        <v>45839</v>
      </c>
      <c r="D1240" t="inlineStr">
        <is>
          <t>VÄSTERBOTTENS LÄN</t>
        </is>
      </c>
      <c r="E1240" t="inlineStr">
        <is>
          <t>VILHELMINA</t>
        </is>
      </c>
      <c r="F1240" t="inlineStr">
        <is>
          <t>Sveaskog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29722-2024</t>
        </is>
      </c>
      <c r="B1241" s="1" t="n">
        <v>45485</v>
      </c>
      <c r="C1241" s="1" t="n">
        <v>45839</v>
      </c>
      <c r="D1241" t="inlineStr">
        <is>
          <t>VÄSTERBOTTENS LÄN</t>
        </is>
      </c>
      <c r="E1241" t="inlineStr">
        <is>
          <t>VILHELMINA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29732-2024</t>
        </is>
      </c>
      <c r="B1242" s="1" t="n">
        <v>45485</v>
      </c>
      <c r="C1242" s="1" t="n">
        <v>45839</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29922-2024</t>
        </is>
      </c>
      <c r="B1243" s="1" t="n">
        <v>45488</v>
      </c>
      <c r="C1243" s="1" t="n">
        <v>45839</v>
      </c>
      <c r="D1243" t="inlineStr">
        <is>
          <t>VÄSTERBOTTENS LÄN</t>
        </is>
      </c>
      <c r="E1243" t="inlineStr">
        <is>
          <t>VILHELMINA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30331-2024</t>
        </is>
      </c>
      <c r="B1244" s="1" t="n">
        <v>45491</v>
      </c>
      <c r="C1244" s="1" t="n">
        <v>45839</v>
      </c>
      <c r="D1244" t="inlineStr">
        <is>
          <t>VÄSTERBOTTENS LÄN</t>
        </is>
      </c>
      <c r="E1244" t="inlineStr">
        <is>
          <t>VILHELMINA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30340-2024</t>
        </is>
      </c>
      <c r="B1245" s="1" t="n">
        <v>45491</v>
      </c>
      <c r="C1245" s="1" t="n">
        <v>45839</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30341-2024</t>
        </is>
      </c>
      <c r="B1246" s="1" t="n">
        <v>45491</v>
      </c>
      <c r="C1246" s="1" t="n">
        <v>45839</v>
      </c>
      <c r="D1246" t="inlineStr">
        <is>
          <t>VÄSTERBOTTENS LÄN</t>
        </is>
      </c>
      <c r="E1246" t="inlineStr">
        <is>
          <t>VILHELMINA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30583-2024</t>
        </is>
      </c>
      <c r="B1247" s="1" t="n">
        <v>45493</v>
      </c>
      <c r="C1247" s="1" t="n">
        <v>45839</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30577-2024</t>
        </is>
      </c>
      <c r="B1248" s="1" t="n">
        <v>45493</v>
      </c>
      <c r="C1248" s="1" t="n">
        <v>45839</v>
      </c>
      <c r="D1248" t="inlineStr">
        <is>
          <t>VÄSTERBOTTENS LÄN</t>
        </is>
      </c>
      <c r="E1248" t="inlineStr">
        <is>
          <t>VILHELMINA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30574-2024</t>
        </is>
      </c>
      <c r="B1249" s="1" t="n">
        <v>45493</v>
      </c>
      <c r="C1249" s="1" t="n">
        <v>45839</v>
      </c>
      <c r="D1249" t="inlineStr">
        <is>
          <t>VÄSTERBOTTENS LÄN</t>
        </is>
      </c>
      <c r="E1249" t="inlineStr">
        <is>
          <t>VILHELMINA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30578-2024</t>
        </is>
      </c>
      <c r="B1250" s="1" t="n">
        <v>45493</v>
      </c>
      <c r="C1250" s="1" t="n">
        <v>45839</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30582-2024</t>
        </is>
      </c>
      <c r="B1251" s="1" t="n">
        <v>45492</v>
      </c>
      <c r="C1251" s="1" t="n">
        <v>45839</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30575-2024</t>
        </is>
      </c>
      <c r="B1252" s="1" t="n">
        <v>45493</v>
      </c>
      <c r="C1252" s="1" t="n">
        <v>45839</v>
      </c>
      <c r="D1252" t="inlineStr">
        <is>
          <t>VÄSTERBOTTENS LÄN</t>
        </is>
      </c>
      <c r="E1252" t="inlineStr">
        <is>
          <t>VILHELMINA</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30572-2024</t>
        </is>
      </c>
      <c r="B1253" s="1" t="n">
        <v>45493</v>
      </c>
      <c r="C1253" s="1" t="n">
        <v>45839</v>
      </c>
      <c r="D1253" t="inlineStr">
        <is>
          <t>VÄSTERBOTTENS LÄN</t>
        </is>
      </c>
      <c r="E1253" t="inlineStr">
        <is>
          <t>VILHELMINA</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30576-2024</t>
        </is>
      </c>
      <c r="B1254" s="1" t="n">
        <v>45493</v>
      </c>
      <c r="C1254" s="1" t="n">
        <v>45839</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30580-2024</t>
        </is>
      </c>
      <c r="B1255" s="1" t="n">
        <v>45493</v>
      </c>
      <c r="C1255" s="1" t="n">
        <v>45839</v>
      </c>
      <c r="D1255" t="inlineStr">
        <is>
          <t>VÄSTERBOTTENS LÄN</t>
        </is>
      </c>
      <c r="E1255" t="inlineStr">
        <is>
          <t>VILHELMINA</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30681-2024</t>
        </is>
      </c>
      <c r="B1256" s="1" t="n">
        <v>45496</v>
      </c>
      <c r="C1256" s="1" t="n">
        <v>45839</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30817-2024</t>
        </is>
      </c>
      <c r="B1257" s="1" t="n">
        <v>45497</v>
      </c>
      <c r="C1257" s="1" t="n">
        <v>45839</v>
      </c>
      <c r="D1257" t="inlineStr">
        <is>
          <t>VÄSTERBOTTENS LÄN</t>
        </is>
      </c>
      <c r="E1257" t="inlineStr">
        <is>
          <t>VILHELMINA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31095-2024</t>
        </is>
      </c>
      <c r="B1258" s="1" t="n">
        <v>45502</v>
      </c>
      <c r="C1258" s="1" t="n">
        <v>45839</v>
      </c>
      <c r="D1258" t="inlineStr">
        <is>
          <t>VÄSTERBOTTENS LÄN</t>
        </is>
      </c>
      <c r="E1258" t="inlineStr">
        <is>
          <t>VILHELMINA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31458-2024</t>
        </is>
      </c>
      <c r="B1259" s="1" t="n">
        <v>45506</v>
      </c>
      <c r="C1259" s="1" t="n">
        <v>45839</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31449-2024</t>
        </is>
      </c>
      <c r="B1260" s="1" t="n">
        <v>45506</v>
      </c>
      <c r="C1260" s="1" t="n">
        <v>45839</v>
      </c>
      <c r="D1260" t="inlineStr">
        <is>
          <t>VÄSTERBOTTENS LÄN</t>
        </is>
      </c>
      <c r="E1260" t="inlineStr">
        <is>
          <t>VILHELMINA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31461-2024</t>
        </is>
      </c>
      <c r="B1261" s="1" t="n">
        <v>45506</v>
      </c>
      <c r="C1261" s="1" t="n">
        <v>45839</v>
      </c>
      <c r="D1261" t="inlineStr">
        <is>
          <t>VÄSTERBOTTENS LÄN</t>
        </is>
      </c>
      <c r="E1261" t="inlineStr">
        <is>
          <t>VILHELMINA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31455-2024</t>
        </is>
      </c>
      <c r="B1262" s="1" t="n">
        <v>45506</v>
      </c>
      <c r="C1262" s="1" t="n">
        <v>45839</v>
      </c>
      <c r="D1262" t="inlineStr">
        <is>
          <t>VÄSTERBOTTENS LÄN</t>
        </is>
      </c>
      <c r="E1262" t="inlineStr">
        <is>
          <t>VILHELMINA</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31696-2024</t>
        </is>
      </c>
      <c r="B1263" s="1" t="n">
        <v>45508</v>
      </c>
      <c r="C1263" s="1" t="n">
        <v>45839</v>
      </c>
      <c r="D1263" t="inlineStr">
        <is>
          <t>VÄSTERBOTTENS LÄN</t>
        </is>
      </c>
      <c r="E1263" t="inlineStr">
        <is>
          <t>VILHELMINA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31851-2024</t>
        </is>
      </c>
      <c r="B1264" s="1" t="n">
        <v>45509</v>
      </c>
      <c r="C1264" s="1" t="n">
        <v>45839</v>
      </c>
      <c r="D1264" t="inlineStr">
        <is>
          <t>VÄSTERBOTTENS LÄN</t>
        </is>
      </c>
      <c r="E1264" t="inlineStr">
        <is>
          <t>VILHELMINA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31868-2024</t>
        </is>
      </c>
      <c r="B1265" s="1" t="n">
        <v>45509</v>
      </c>
      <c r="C1265" s="1" t="n">
        <v>45839</v>
      </c>
      <c r="D1265" t="inlineStr">
        <is>
          <t>VÄSTERBOTTENS LÄN</t>
        </is>
      </c>
      <c r="E1265" t="inlineStr">
        <is>
          <t>VILHELMINA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31896-2024</t>
        </is>
      </c>
      <c r="B1266" s="1" t="n">
        <v>45510</v>
      </c>
      <c r="C1266" s="1" t="n">
        <v>45839</v>
      </c>
      <c r="D1266" t="inlineStr">
        <is>
          <t>VÄSTERBOTTENS LÄN</t>
        </is>
      </c>
      <c r="E1266" t="inlineStr">
        <is>
          <t>VILHELMINA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31895-2024</t>
        </is>
      </c>
      <c r="B1267" s="1" t="n">
        <v>45510</v>
      </c>
      <c r="C1267" s="1" t="n">
        <v>45839</v>
      </c>
      <c r="D1267" t="inlineStr">
        <is>
          <t>VÄSTERBOTTENS LÄN</t>
        </is>
      </c>
      <c r="E1267" t="inlineStr">
        <is>
          <t>VILHELMINA</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31897-2024</t>
        </is>
      </c>
      <c r="B1268" s="1" t="n">
        <v>45509</v>
      </c>
      <c r="C1268" s="1" t="n">
        <v>45839</v>
      </c>
      <c r="D1268" t="inlineStr">
        <is>
          <t>VÄSTERBOTTENS LÄN</t>
        </is>
      </c>
      <c r="E1268" t="inlineStr">
        <is>
          <t>VILHELMINA</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32252-2024</t>
        </is>
      </c>
      <c r="B1269" s="1" t="n">
        <v>45511</v>
      </c>
      <c r="C1269" s="1" t="n">
        <v>45839</v>
      </c>
      <c r="D1269" t="inlineStr">
        <is>
          <t>VÄSTERBOTTENS LÄN</t>
        </is>
      </c>
      <c r="E1269" t="inlineStr">
        <is>
          <t>VILHELMINA</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32253-2024</t>
        </is>
      </c>
      <c r="B1270" s="1" t="n">
        <v>45512</v>
      </c>
      <c r="C1270" s="1" t="n">
        <v>45839</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32455-2024</t>
        </is>
      </c>
      <c r="B1271" s="1" t="n">
        <v>45513</v>
      </c>
      <c r="C1271" s="1" t="n">
        <v>45839</v>
      </c>
      <c r="D1271" t="inlineStr">
        <is>
          <t>VÄSTERBOTTENS LÄN</t>
        </is>
      </c>
      <c r="E1271" t="inlineStr">
        <is>
          <t>VILHELMINA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32683-2024</t>
        </is>
      </c>
      <c r="B1272" s="1" t="n">
        <v>45515</v>
      </c>
      <c r="C1272" s="1" t="n">
        <v>45839</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32901-2024</t>
        </is>
      </c>
      <c r="B1273" s="1" t="n">
        <v>45517</v>
      </c>
      <c r="C1273" s="1" t="n">
        <v>45839</v>
      </c>
      <c r="D1273" t="inlineStr">
        <is>
          <t>VÄSTERBOTTENS LÄN</t>
        </is>
      </c>
      <c r="E1273" t="inlineStr">
        <is>
          <t>VILHELMINA</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32926-2024</t>
        </is>
      </c>
      <c r="B1274" s="1" t="n">
        <v>45517</v>
      </c>
      <c r="C1274" s="1" t="n">
        <v>45839</v>
      </c>
      <c r="D1274" t="inlineStr">
        <is>
          <t>VÄSTERBOTTENS LÄN</t>
        </is>
      </c>
      <c r="E1274" t="inlineStr">
        <is>
          <t>VILHELMINA</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32921-2024</t>
        </is>
      </c>
      <c r="B1275" s="1" t="n">
        <v>45517</v>
      </c>
      <c r="C1275" s="1" t="n">
        <v>45839</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32925-2024</t>
        </is>
      </c>
      <c r="B1276" s="1" t="n">
        <v>45517</v>
      </c>
      <c r="C1276" s="1" t="n">
        <v>45839</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33319-2024</t>
        </is>
      </c>
      <c r="B1277" s="1" t="n">
        <v>45518</v>
      </c>
      <c r="C1277" s="1" t="n">
        <v>45839</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33320-2024</t>
        </is>
      </c>
      <c r="B1278" s="1" t="n">
        <v>45518</v>
      </c>
      <c r="C1278" s="1" t="n">
        <v>45839</v>
      </c>
      <c r="D1278" t="inlineStr">
        <is>
          <t>VÄSTERBOTTENS LÄN</t>
        </is>
      </c>
      <c r="E1278" t="inlineStr">
        <is>
          <t>VILHELMINA</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33321-2024</t>
        </is>
      </c>
      <c r="B1279" s="1" t="n">
        <v>45519</v>
      </c>
      <c r="C1279" s="1" t="n">
        <v>45839</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33322-2024</t>
        </is>
      </c>
      <c r="B1280" s="1" t="n">
        <v>45518</v>
      </c>
      <c r="C1280" s="1" t="n">
        <v>45839</v>
      </c>
      <c r="D1280" t="inlineStr">
        <is>
          <t>VÄSTERBOTTENS LÄN</t>
        </is>
      </c>
      <c r="E1280" t="inlineStr">
        <is>
          <t>VILHELMINA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33318-2024</t>
        </is>
      </c>
      <c r="B1281" s="1" t="n">
        <v>45519</v>
      </c>
      <c r="C1281" s="1" t="n">
        <v>45839</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33630-2024</t>
        </is>
      </c>
      <c r="B1282" s="1" t="n">
        <v>45520</v>
      </c>
      <c r="C1282" s="1" t="n">
        <v>45839</v>
      </c>
      <c r="D1282" t="inlineStr">
        <is>
          <t>VÄSTERBOTTENS LÄN</t>
        </is>
      </c>
      <c r="E1282" t="inlineStr">
        <is>
          <t>VILHELMINA</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33755-2024</t>
        </is>
      </c>
      <c r="B1283" s="1" t="n">
        <v>45520</v>
      </c>
      <c r="C1283" s="1" t="n">
        <v>45839</v>
      </c>
      <c r="D1283" t="inlineStr">
        <is>
          <t>VÄSTERBOTTENS LÄN</t>
        </is>
      </c>
      <c r="E1283" t="inlineStr">
        <is>
          <t>VILHELMINA</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33828-2024</t>
        </is>
      </c>
      <c r="B1284" s="1" t="n">
        <v>45520</v>
      </c>
      <c r="C1284" s="1" t="n">
        <v>45839</v>
      </c>
      <c r="D1284" t="inlineStr">
        <is>
          <t>VÄSTERBOTTENS LÄN</t>
        </is>
      </c>
      <c r="E1284" t="inlineStr">
        <is>
          <t>VILHELMINA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33786-2024</t>
        </is>
      </c>
      <c r="B1285" s="1" t="n">
        <v>45520</v>
      </c>
      <c r="C1285" s="1" t="n">
        <v>45839</v>
      </c>
      <c r="D1285" t="inlineStr">
        <is>
          <t>VÄSTERBOTTENS LÄN</t>
        </is>
      </c>
      <c r="E1285" t="inlineStr">
        <is>
          <t>VILHELMINA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33823-2024</t>
        </is>
      </c>
      <c r="B1286" s="1" t="n">
        <v>45520</v>
      </c>
      <c r="C1286" s="1" t="n">
        <v>45839</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34135-2024</t>
        </is>
      </c>
      <c r="B1287" s="1" t="n">
        <v>45524</v>
      </c>
      <c r="C1287" s="1" t="n">
        <v>45839</v>
      </c>
      <c r="D1287" t="inlineStr">
        <is>
          <t>VÄSTERBOTTENS LÄN</t>
        </is>
      </c>
      <c r="E1287" t="inlineStr">
        <is>
          <t>VILHELMINA</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34130-2024</t>
        </is>
      </c>
      <c r="B1288" s="1" t="n">
        <v>45524</v>
      </c>
      <c r="C1288" s="1" t="n">
        <v>45839</v>
      </c>
      <c r="D1288" t="inlineStr">
        <is>
          <t>VÄSTERBOTTENS LÄN</t>
        </is>
      </c>
      <c r="E1288" t="inlineStr">
        <is>
          <t>VILHELMINA</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34762-2024</t>
        </is>
      </c>
      <c r="B1289" s="1" t="n">
        <v>45526</v>
      </c>
      <c r="C1289" s="1" t="n">
        <v>45839</v>
      </c>
      <c r="D1289" t="inlineStr">
        <is>
          <t>VÄSTERBOTTENS LÄN</t>
        </is>
      </c>
      <c r="E1289" t="inlineStr">
        <is>
          <t>VILHELMINA</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34819-2024</t>
        </is>
      </c>
      <c r="B1290" s="1" t="n">
        <v>45526</v>
      </c>
      <c r="C1290" s="1" t="n">
        <v>45839</v>
      </c>
      <c r="D1290" t="inlineStr">
        <is>
          <t>VÄSTERBOTTENS LÄN</t>
        </is>
      </c>
      <c r="E1290" t="inlineStr">
        <is>
          <t>VILHELMINA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34743-2024</t>
        </is>
      </c>
      <c r="B1291" s="1" t="n">
        <v>45526</v>
      </c>
      <c r="C1291" s="1" t="n">
        <v>45839</v>
      </c>
      <c r="D1291" t="inlineStr">
        <is>
          <t>VÄSTERBOTTENS LÄN</t>
        </is>
      </c>
      <c r="E1291" t="inlineStr">
        <is>
          <t>VILHELMINA</t>
        </is>
      </c>
      <c r="F1291" t="inlineStr">
        <is>
          <t>SCA</t>
        </is>
      </c>
      <c r="G1291" t="n">
        <v>28.2</v>
      </c>
      <c r="H1291" t="n">
        <v>0</v>
      </c>
      <c r="I1291" t="n">
        <v>0</v>
      </c>
      <c r="J1291" t="n">
        <v>0</v>
      </c>
      <c r="K1291" t="n">
        <v>0</v>
      </c>
      <c r="L1291" t="n">
        <v>0</v>
      </c>
      <c r="M1291" t="n">
        <v>0</v>
      </c>
      <c r="N1291" t="n">
        <v>0</v>
      </c>
      <c r="O1291" t="n">
        <v>0</v>
      </c>
      <c r="P1291" t="n">
        <v>0</v>
      </c>
      <c r="Q1291" t="n">
        <v>0</v>
      </c>
      <c r="R1291" s="2" t="inlineStr"/>
    </row>
    <row r="1292" ht="15" customHeight="1">
      <c r="A1292" t="inlineStr">
        <is>
          <t>A 34763-2024</t>
        </is>
      </c>
      <c r="B1292" s="1" t="n">
        <v>45526</v>
      </c>
      <c r="C1292" s="1" t="n">
        <v>45839</v>
      </c>
      <c r="D1292" t="inlineStr">
        <is>
          <t>VÄSTERBOTTENS LÄN</t>
        </is>
      </c>
      <c r="E1292" t="inlineStr">
        <is>
          <t>VILHELMINA</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34630-2024</t>
        </is>
      </c>
      <c r="B1293" s="1" t="n">
        <v>45526</v>
      </c>
      <c r="C1293" s="1" t="n">
        <v>45839</v>
      </c>
      <c r="D1293" t="inlineStr">
        <is>
          <t>VÄSTERBOTTENS LÄN</t>
        </is>
      </c>
      <c r="E1293" t="inlineStr">
        <is>
          <t>VILHELMINA</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34719-2024</t>
        </is>
      </c>
      <c r="B1294" s="1" t="n">
        <v>45526</v>
      </c>
      <c r="C1294" s="1" t="n">
        <v>45839</v>
      </c>
      <c r="D1294" t="inlineStr">
        <is>
          <t>VÄSTERBOTTENS LÄN</t>
        </is>
      </c>
      <c r="E1294" t="inlineStr">
        <is>
          <t>VILHELMINA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34764-2024</t>
        </is>
      </c>
      <c r="B1295" s="1" t="n">
        <v>45526</v>
      </c>
      <c r="C1295" s="1" t="n">
        <v>45839</v>
      </c>
      <c r="D1295" t="inlineStr">
        <is>
          <t>VÄSTERBOTTENS LÄN</t>
        </is>
      </c>
      <c r="E1295" t="inlineStr">
        <is>
          <t>VILHELMINA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35156-2024</t>
        </is>
      </c>
      <c r="B1296" s="1" t="n">
        <v>45530</v>
      </c>
      <c r="C1296" s="1" t="n">
        <v>45839</v>
      </c>
      <c r="D1296" t="inlineStr">
        <is>
          <t>VÄSTERBOTTENS LÄN</t>
        </is>
      </c>
      <c r="E1296" t="inlineStr">
        <is>
          <t>VILHELMINA</t>
        </is>
      </c>
      <c r="F1296" t="inlineStr">
        <is>
          <t>Övriga Aktiebolag</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35372-2024</t>
        </is>
      </c>
      <c r="B1297" s="1" t="n">
        <v>45531</v>
      </c>
      <c r="C1297" s="1" t="n">
        <v>45839</v>
      </c>
      <c r="D1297" t="inlineStr">
        <is>
          <t>VÄSTERBOTTENS LÄN</t>
        </is>
      </c>
      <c r="E1297" t="inlineStr">
        <is>
          <t>VILHELMINA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35377-2024</t>
        </is>
      </c>
      <c r="B1298" s="1" t="n">
        <v>45531</v>
      </c>
      <c r="C1298" s="1" t="n">
        <v>45839</v>
      </c>
      <c r="D1298" t="inlineStr">
        <is>
          <t>VÄSTERBOTTENS LÄN</t>
        </is>
      </c>
      <c r="E1298" t="inlineStr">
        <is>
          <t>VILHELMINA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35409-2024</t>
        </is>
      </c>
      <c r="B1299" s="1" t="n">
        <v>45531</v>
      </c>
      <c r="C1299" s="1" t="n">
        <v>45839</v>
      </c>
      <c r="D1299" t="inlineStr">
        <is>
          <t>VÄSTERBOTTENS LÄN</t>
        </is>
      </c>
      <c r="E1299" t="inlineStr">
        <is>
          <t>VILHELMINA</t>
        </is>
      </c>
      <c r="F1299" t="inlineStr">
        <is>
          <t>SCA</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35473-2024</t>
        </is>
      </c>
      <c r="B1300" s="1" t="n">
        <v>45531</v>
      </c>
      <c r="C1300" s="1" t="n">
        <v>45839</v>
      </c>
      <c r="D1300" t="inlineStr">
        <is>
          <t>VÄSTERBOTTENS LÄN</t>
        </is>
      </c>
      <c r="E1300" t="inlineStr">
        <is>
          <t>VILHELMINA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35412-2024</t>
        </is>
      </c>
      <c r="B1301" s="1" t="n">
        <v>45531</v>
      </c>
      <c r="C1301" s="1" t="n">
        <v>45839</v>
      </c>
      <c r="D1301" t="inlineStr">
        <is>
          <t>VÄSTERBOTTENS LÄN</t>
        </is>
      </c>
      <c r="E1301" t="inlineStr">
        <is>
          <t>VILHELMINA</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36320-2024</t>
        </is>
      </c>
      <c r="B1302" s="1" t="n">
        <v>45534</v>
      </c>
      <c r="C1302" s="1" t="n">
        <v>45839</v>
      </c>
      <c r="D1302" t="inlineStr">
        <is>
          <t>VÄSTERBOTTENS LÄN</t>
        </is>
      </c>
      <c r="E1302" t="inlineStr">
        <is>
          <t>VILHELMINA</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36301-2024</t>
        </is>
      </c>
      <c r="B1303" s="1" t="n">
        <v>45534</v>
      </c>
      <c r="C1303" s="1" t="n">
        <v>45839</v>
      </c>
      <c r="D1303" t="inlineStr">
        <is>
          <t>VÄSTERBOTTENS LÄN</t>
        </is>
      </c>
      <c r="E1303" t="inlineStr">
        <is>
          <t>VILHELMINA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36333-2024</t>
        </is>
      </c>
      <c r="B1304" s="1" t="n">
        <v>45534</v>
      </c>
      <c r="C1304" s="1" t="n">
        <v>45839</v>
      </c>
      <c r="D1304" t="inlineStr">
        <is>
          <t>VÄSTERBOTTENS LÄN</t>
        </is>
      </c>
      <c r="E1304" t="inlineStr">
        <is>
          <t>VILHELMINA</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36323-2024</t>
        </is>
      </c>
      <c r="B1305" s="1" t="n">
        <v>45534</v>
      </c>
      <c r="C1305" s="1" t="n">
        <v>45839</v>
      </c>
      <c r="D1305" t="inlineStr">
        <is>
          <t>VÄSTERBOTTENS LÄN</t>
        </is>
      </c>
      <c r="E1305" t="inlineStr">
        <is>
          <t>VILHELMINA</t>
        </is>
      </c>
      <c r="F1305" t="inlineStr">
        <is>
          <t>SCA</t>
        </is>
      </c>
      <c r="G1305" t="n">
        <v>29.7</v>
      </c>
      <c r="H1305" t="n">
        <v>0</v>
      </c>
      <c r="I1305" t="n">
        <v>0</v>
      </c>
      <c r="J1305" t="n">
        <v>0</v>
      </c>
      <c r="K1305" t="n">
        <v>0</v>
      </c>
      <c r="L1305" t="n">
        <v>0</v>
      </c>
      <c r="M1305" t="n">
        <v>0</v>
      </c>
      <c r="N1305" t="n">
        <v>0</v>
      </c>
      <c r="O1305" t="n">
        <v>0</v>
      </c>
      <c r="P1305" t="n">
        <v>0</v>
      </c>
      <c r="Q1305" t="n">
        <v>0</v>
      </c>
      <c r="R1305" s="2" t="inlineStr"/>
    </row>
    <row r="1306" ht="15" customHeight="1">
      <c r="A1306" t="inlineStr">
        <is>
          <t>A 36355-2024</t>
        </is>
      </c>
      <c r="B1306" s="1" t="n">
        <v>45534</v>
      </c>
      <c r="C1306" s="1" t="n">
        <v>45839</v>
      </c>
      <c r="D1306" t="inlineStr">
        <is>
          <t>VÄSTERBOTTENS LÄN</t>
        </is>
      </c>
      <c r="E1306" t="inlineStr">
        <is>
          <t>VILHELMINA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36349-2024</t>
        </is>
      </c>
      <c r="B1307" s="1" t="n">
        <v>45534</v>
      </c>
      <c r="C1307" s="1" t="n">
        <v>45839</v>
      </c>
      <c r="D1307" t="inlineStr">
        <is>
          <t>VÄSTERBOTTENS LÄN</t>
        </is>
      </c>
      <c r="E1307" t="inlineStr">
        <is>
          <t>VILHELMINA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36348-2024</t>
        </is>
      </c>
      <c r="B1308" s="1" t="n">
        <v>45534</v>
      </c>
      <c r="C1308" s="1" t="n">
        <v>45839</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36788-2024</t>
        </is>
      </c>
      <c r="B1309" s="1" t="n">
        <v>45538</v>
      </c>
      <c r="C1309" s="1" t="n">
        <v>45839</v>
      </c>
      <c r="D1309" t="inlineStr">
        <is>
          <t>VÄSTERBOTTENS LÄN</t>
        </is>
      </c>
      <c r="E1309" t="inlineStr">
        <is>
          <t>VILHELMINA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36909-2024</t>
        </is>
      </c>
      <c r="B1310" s="1" t="n">
        <v>45538</v>
      </c>
      <c r="C1310" s="1" t="n">
        <v>45839</v>
      </c>
      <c r="D1310" t="inlineStr">
        <is>
          <t>VÄSTERBOTTENS LÄN</t>
        </is>
      </c>
      <c r="E1310" t="inlineStr">
        <is>
          <t>VILHELMINA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37272-2024</t>
        </is>
      </c>
      <c r="B1311" s="1" t="n">
        <v>45540</v>
      </c>
      <c r="C1311" s="1" t="n">
        <v>45839</v>
      </c>
      <c r="D1311" t="inlineStr">
        <is>
          <t>VÄSTERBOTTENS LÄN</t>
        </is>
      </c>
      <c r="E1311" t="inlineStr">
        <is>
          <t>VILHELMINA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37346-2024</t>
        </is>
      </c>
      <c r="B1312" s="1" t="n">
        <v>45540</v>
      </c>
      <c r="C1312" s="1" t="n">
        <v>45839</v>
      </c>
      <c r="D1312" t="inlineStr">
        <is>
          <t>VÄSTERBOTTENS LÄN</t>
        </is>
      </c>
      <c r="E1312" t="inlineStr">
        <is>
          <t>VILHELMINA</t>
        </is>
      </c>
      <c r="G1312" t="n">
        <v>100.3</v>
      </c>
      <c r="H1312" t="n">
        <v>0</v>
      </c>
      <c r="I1312" t="n">
        <v>0</v>
      </c>
      <c r="J1312" t="n">
        <v>0</v>
      </c>
      <c r="K1312" t="n">
        <v>0</v>
      </c>
      <c r="L1312" t="n">
        <v>0</v>
      </c>
      <c r="M1312" t="n">
        <v>0</v>
      </c>
      <c r="N1312" t="n">
        <v>0</v>
      </c>
      <c r="O1312" t="n">
        <v>0</v>
      </c>
      <c r="P1312" t="n">
        <v>0</v>
      </c>
      <c r="Q1312" t="n">
        <v>0</v>
      </c>
      <c r="R1312" s="2" t="inlineStr"/>
    </row>
    <row r="1313" ht="15" customHeight="1">
      <c r="A1313" t="inlineStr">
        <is>
          <t>A 37514-2024</t>
        </is>
      </c>
      <c r="B1313" s="1" t="n">
        <v>45541</v>
      </c>
      <c r="C1313" s="1" t="n">
        <v>45839</v>
      </c>
      <c r="D1313" t="inlineStr">
        <is>
          <t>VÄSTERBOTTENS LÄN</t>
        </is>
      </c>
      <c r="E1313" t="inlineStr">
        <is>
          <t>VILHELMINA</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37715-2024</t>
        </is>
      </c>
      <c r="B1314" s="1" t="n">
        <v>45541</v>
      </c>
      <c r="C1314" s="1" t="n">
        <v>45839</v>
      </c>
      <c r="D1314" t="inlineStr">
        <is>
          <t>VÄSTERBOTTENS LÄN</t>
        </is>
      </c>
      <c r="E1314" t="inlineStr">
        <is>
          <t>VILHELMINA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37714-2024</t>
        </is>
      </c>
      <c r="B1315" s="1" t="n">
        <v>45541</v>
      </c>
      <c r="C1315" s="1" t="n">
        <v>45839</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37717-2024</t>
        </is>
      </c>
      <c r="B1316" s="1" t="n">
        <v>45541</v>
      </c>
      <c r="C1316" s="1" t="n">
        <v>45839</v>
      </c>
      <c r="D1316" t="inlineStr">
        <is>
          <t>VÄSTERBOTTENS LÄN</t>
        </is>
      </c>
      <c r="E1316" t="inlineStr">
        <is>
          <t>VILHELMINA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37716-2024</t>
        </is>
      </c>
      <c r="B1317" s="1" t="n">
        <v>45541</v>
      </c>
      <c r="C1317" s="1" t="n">
        <v>45839</v>
      </c>
      <c r="D1317" t="inlineStr">
        <is>
          <t>VÄSTERBOTTENS LÄN</t>
        </is>
      </c>
      <c r="E1317" t="inlineStr">
        <is>
          <t>VILHELMINA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38125-2024</t>
        </is>
      </c>
      <c r="B1318" s="1" t="n">
        <v>45545</v>
      </c>
      <c r="C1318" s="1" t="n">
        <v>45839</v>
      </c>
      <c r="D1318" t="inlineStr">
        <is>
          <t>VÄSTERBOTTENS LÄN</t>
        </is>
      </c>
      <c r="E1318" t="inlineStr">
        <is>
          <t>VILHELMINA</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38130-2024</t>
        </is>
      </c>
      <c r="B1319" s="1" t="n">
        <v>45545</v>
      </c>
      <c r="C1319" s="1" t="n">
        <v>45839</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38126-2024</t>
        </is>
      </c>
      <c r="B1320" s="1" t="n">
        <v>45545</v>
      </c>
      <c r="C1320" s="1" t="n">
        <v>45839</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38187-2024</t>
        </is>
      </c>
      <c r="B1321" s="1" t="n">
        <v>45545</v>
      </c>
      <c r="C1321" s="1" t="n">
        <v>45839</v>
      </c>
      <c r="D1321" t="inlineStr">
        <is>
          <t>VÄSTERBOTTENS LÄN</t>
        </is>
      </c>
      <c r="E1321" t="inlineStr">
        <is>
          <t>VILHELMINA</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38173-2024</t>
        </is>
      </c>
      <c r="B1322" s="1" t="n">
        <v>45545</v>
      </c>
      <c r="C1322" s="1" t="n">
        <v>45839</v>
      </c>
      <c r="D1322" t="inlineStr">
        <is>
          <t>VÄSTERBOTTENS LÄN</t>
        </is>
      </c>
      <c r="E1322" t="inlineStr">
        <is>
          <t>VILHELMINA</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38297-2024</t>
        </is>
      </c>
      <c r="B1323" s="1" t="n">
        <v>45545</v>
      </c>
      <c r="C1323" s="1" t="n">
        <v>45839</v>
      </c>
      <c r="D1323" t="inlineStr">
        <is>
          <t>VÄSTERBOTTENS LÄN</t>
        </is>
      </c>
      <c r="E1323" t="inlineStr">
        <is>
          <t>VILHELMINA</t>
        </is>
      </c>
      <c r="G1323" t="n">
        <v>139.8</v>
      </c>
      <c r="H1323" t="n">
        <v>0</v>
      </c>
      <c r="I1323" t="n">
        <v>0</v>
      </c>
      <c r="J1323" t="n">
        <v>0</v>
      </c>
      <c r="K1323" t="n">
        <v>0</v>
      </c>
      <c r="L1323" t="n">
        <v>0</v>
      </c>
      <c r="M1323" t="n">
        <v>0</v>
      </c>
      <c r="N1323" t="n">
        <v>0</v>
      </c>
      <c r="O1323" t="n">
        <v>0</v>
      </c>
      <c r="P1323" t="n">
        <v>0</v>
      </c>
      <c r="Q1323" t="n">
        <v>0</v>
      </c>
      <c r="R1323" s="2" t="inlineStr"/>
    </row>
    <row r="1324" ht="15" customHeight="1">
      <c r="A1324" t="inlineStr">
        <is>
          <t>A 38222-2024</t>
        </is>
      </c>
      <c r="B1324" s="1" t="n">
        <v>45545</v>
      </c>
      <c r="C1324" s="1" t="n">
        <v>45839</v>
      </c>
      <c r="D1324" t="inlineStr">
        <is>
          <t>VÄSTERBOTTENS LÄN</t>
        </is>
      </c>
      <c r="E1324" t="inlineStr">
        <is>
          <t>VILHELMINA</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38569-2024</t>
        </is>
      </c>
      <c r="B1325" s="1" t="n">
        <v>45546</v>
      </c>
      <c r="C1325" s="1" t="n">
        <v>45839</v>
      </c>
      <c r="D1325" t="inlineStr">
        <is>
          <t>VÄSTERBOTTENS LÄN</t>
        </is>
      </c>
      <c r="E1325" t="inlineStr">
        <is>
          <t>VILHELMINA</t>
        </is>
      </c>
      <c r="G1325" t="n">
        <v>31.5</v>
      </c>
      <c r="H1325" t="n">
        <v>0</v>
      </c>
      <c r="I1325" t="n">
        <v>0</v>
      </c>
      <c r="J1325" t="n">
        <v>0</v>
      </c>
      <c r="K1325" t="n">
        <v>0</v>
      </c>
      <c r="L1325" t="n">
        <v>0</v>
      </c>
      <c r="M1325" t="n">
        <v>0</v>
      </c>
      <c r="N1325" t="n">
        <v>0</v>
      </c>
      <c r="O1325" t="n">
        <v>0</v>
      </c>
      <c r="P1325" t="n">
        <v>0</v>
      </c>
      <c r="Q1325" t="n">
        <v>0</v>
      </c>
      <c r="R1325" s="2" t="inlineStr"/>
    </row>
    <row r="1326" ht="15" customHeight="1">
      <c r="A1326" t="inlineStr">
        <is>
          <t>A 38555-2024</t>
        </is>
      </c>
      <c r="B1326" s="1" t="n">
        <v>45546</v>
      </c>
      <c r="C1326" s="1" t="n">
        <v>45839</v>
      </c>
      <c r="D1326" t="inlineStr">
        <is>
          <t>VÄSTERBOTTENS LÄN</t>
        </is>
      </c>
      <c r="E1326" t="inlineStr">
        <is>
          <t>VILHELMINA</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39035-2024</t>
        </is>
      </c>
      <c r="B1327" s="1" t="n">
        <v>45548</v>
      </c>
      <c r="C1327" s="1" t="n">
        <v>45839</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39613-2024</t>
        </is>
      </c>
      <c r="B1328" s="1" t="n">
        <v>45552</v>
      </c>
      <c r="C1328" s="1" t="n">
        <v>45839</v>
      </c>
      <c r="D1328" t="inlineStr">
        <is>
          <t>VÄSTERBOTTENS LÄN</t>
        </is>
      </c>
      <c r="E1328" t="inlineStr">
        <is>
          <t>VILHELMINA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39643-2024</t>
        </is>
      </c>
      <c r="B1329" s="1" t="n">
        <v>45552</v>
      </c>
      <c r="C1329" s="1" t="n">
        <v>45839</v>
      </c>
      <c r="D1329" t="inlineStr">
        <is>
          <t>VÄSTERBOTTENS LÄN</t>
        </is>
      </c>
      <c r="E1329" t="inlineStr">
        <is>
          <t>VILHELMINA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39679-2024</t>
        </is>
      </c>
      <c r="B1330" s="1" t="n">
        <v>45552</v>
      </c>
      <c r="C1330" s="1" t="n">
        <v>45839</v>
      </c>
      <c r="D1330" t="inlineStr">
        <is>
          <t>VÄSTERBOTTENS LÄN</t>
        </is>
      </c>
      <c r="E1330" t="inlineStr">
        <is>
          <t>VILHELMINA</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39677-2024</t>
        </is>
      </c>
      <c r="B1331" s="1" t="n">
        <v>45552</v>
      </c>
      <c r="C1331" s="1" t="n">
        <v>45839</v>
      </c>
      <c r="D1331" t="inlineStr">
        <is>
          <t>VÄSTERBOTTENS LÄN</t>
        </is>
      </c>
      <c r="E1331" t="inlineStr">
        <is>
          <t>VILHELMINA</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39681-2024</t>
        </is>
      </c>
      <c r="B1332" s="1" t="n">
        <v>45552</v>
      </c>
      <c r="C1332" s="1" t="n">
        <v>45839</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39670-2024</t>
        </is>
      </c>
      <c r="B1333" s="1" t="n">
        <v>45552</v>
      </c>
      <c r="C1333" s="1" t="n">
        <v>45839</v>
      </c>
      <c r="D1333" t="inlineStr">
        <is>
          <t>VÄSTERBOTTENS LÄN</t>
        </is>
      </c>
      <c r="E1333" t="inlineStr">
        <is>
          <t>VILHELMINA</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39676-2024</t>
        </is>
      </c>
      <c r="B1334" s="1" t="n">
        <v>45552</v>
      </c>
      <c r="C1334" s="1" t="n">
        <v>45839</v>
      </c>
      <c r="D1334" t="inlineStr">
        <is>
          <t>VÄSTERBOTTENS LÄN</t>
        </is>
      </c>
      <c r="E1334" t="inlineStr">
        <is>
          <t>VILHELMINA</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39680-2024</t>
        </is>
      </c>
      <c r="B1335" s="1" t="n">
        <v>45552</v>
      </c>
      <c r="C1335" s="1" t="n">
        <v>45839</v>
      </c>
      <c r="D1335" t="inlineStr">
        <is>
          <t>VÄSTERBOTTENS LÄN</t>
        </is>
      </c>
      <c r="E1335" t="inlineStr">
        <is>
          <t>VILHELMINA</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40505-2024</t>
        </is>
      </c>
      <c r="B1336" s="1" t="n">
        <v>45555</v>
      </c>
      <c r="C1336" s="1" t="n">
        <v>45839</v>
      </c>
      <c r="D1336" t="inlineStr">
        <is>
          <t>VÄSTERBOTTENS LÄN</t>
        </is>
      </c>
      <c r="E1336" t="inlineStr">
        <is>
          <t>VILHELMINA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40462-2024</t>
        </is>
      </c>
      <c r="B1337" s="1" t="n">
        <v>45555</v>
      </c>
      <c r="C1337" s="1" t="n">
        <v>45839</v>
      </c>
      <c r="D1337" t="inlineStr">
        <is>
          <t>VÄSTERBOTTENS LÄN</t>
        </is>
      </c>
      <c r="E1337" t="inlineStr">
        <is>
          <t>VILHELMINA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40726-2024</t>
        </is>
      </c>
      <c r="B1338" s="1" t="n">
        <v>45558</v>
      </c>
      <c r="C1338" s="1" t="n">
        <v>45839</v>
      </c>
      <c r="D1338" t="inlineStr">
        <is>
          <t>VÄSTERBOTTENS LÄN</t>
        </is>
      </c>
      <c r="E1338" t="inlineStr">
        <is>
          <t>VILHELMINA</t>
        </is>
      </c>
      <c r="F1338" t="inlineStr">
        <is>
          <t>Allmännings- och besparingsskogar</t>
        </is>
      </c>
      <c r="G1338" t="n">
        <v>73.59999999999999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40796-2024</t>
        </is>
      </c>
      <c r="B1339" s="1" t="n">
        <v>45558</v>
      </c>
      <c r="C1339" s="1" t="n">
        <v>45839</v>
      </c>
      <c r="D1339" t="inlineStr">
        <is>
          <t>VÄSTERBOTTENS LÄN</t>
        </is>
      </c>
      <c r="E1339" t="inlineStr">
        <is>
          <t>VILHELMINA</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40732-2024</t>
        </is>
      </c>
      <c r="B1340" s="1" t="n">
        <v>45558</v>
      </c>
      <c r="C1340" s="1" t="n">
        <v>45839</v>
      </c>
      <c r="D1340" t="inlineStr">
        <is>
          <t>VÄSTERBOTTENS LÄN</t>
        </is>
      </c>
      <c r="E1340" t="inlineStr">
        <is>
          <t>VILHELMINA</t>
        </is>
      </c>
      <c r="F1340" t="inlineStr">
        <is>
          <t>Allmännings- och besparingsskogar</t>
        </is>
      </c>
      <c r="G1340" t="n">
        <v>89.59999999999999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41644-2024</t>
        </is>
      </c>
      <c r="B1341" s="1" t="n">
        <v>45560</v>
      </c>
      <c r="C1341" s="1" t="n">
        <v>45839</v>
      </c>
      <c r="D1341" t="inlineStr">
        <is>
          <t>VÄSTERBOTTENS LÄN</t>
        </is>
      </c>
      <c r="E1341" t="inlineStr">
        <is>
          <t>VILHELMINA</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42674-2024</t>
        </is>
      </c>
      <c r="B1342" s="1" t="n">
        <v>45565</v>
      </c>
      <c r="C1342" s="1" t="n">
        <v>45839</v>
      </c>
      <c r="D1342" t="inlineStr">
        <is>
          <t>VÄSTERBOTTENS LÄN</t>
        </is>
      </c>
      <c r="E1342" t="inlineStr">
        <is>
          <t>VILHELMINA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42478-2024</t>
        </is>
      </c>
      <c r="B1343" s="1" t="n">
        <v>45565</v>
      </c>
      <c r="C1343" s="1" t="n">
        <v>45839</v>
      </c>
      <c r="D1343" t="inlineStr">
        <is>
          <t>VÄSTERBOTTENS LÄN</t>
        </is>
      </c>
      <c r="E1343" t="inlineStr">
        <is>
          <t>VILHELMINA</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42976-2024</t>
        </is>
      </c>
      <c r="B1344" s="1" t="n">
        <v>45567</v>
      </c>
      <c r="C1344" s="1" t="n">
        <v>45839</v>
      </c>
      <c r="D1344" t="inlineStr">
        <is>
          <t>VÄSTERBOTTENS LÄN</t>
        </is>
      </c>
      <c r="E1344" t="inlineStr">
        <is>
          <t>VILHELMINA</t>
        </is>
      </c>
      <c r="F1344" t="inlineStr">
        <is>
          <t>SCA</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43251-2024</t>
        </is>
      </c>
      <c r="B1345" s="1" t="n">
        <v>45568</v>
      </c>
      <c r="C1345" s="1" t="n">
        <v>45839</v>
      </c>
      <c r="D1345" t="inlineStr">
        <is>
          <t>VÄSTERBOTTENS LÄN</t>
        </is>
      </c>
      <c r="E1345" t="inlineStr">
        <is>
          <t>VILHELMINA</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43792-2024</t>
        </is>
      </c>
      <c r="B1346" s="1" t="n">
        <v>45571</v>
      </c>
      <c r="C1346" s="1" t="n">
        <v>45839</v>
      </c>
      <c r="D1346" t="inlineStr">
        <is>
          <t>VÄSTERBOTTENS LÄN</t>
        </is>
      </c>
      <c r="E1346" t="inlineStr">
        <is>
          <t>VILHELMINA</t>
        </is>
      </c>
      <c r="G1346" t="n">
        <v>25.3</v>
      </c>
      <c r="H1346" t="n">
        <v>0</v>
      </c>
      <c r="I1346" t="n">
        <v>0</v>
      </c>
      <c r="J1346" t="n">
        <v>0</v>
      </c>
      <c r="K1346" t="n">
        <v>0</v>
      </c>
      <c r="L1346" t="n">
        <v>0</v>
      </c>
      <c r="M1346" t="n">
        <v>0</v>
      </c>
      <c r="N1346" t="n">
        <v>0</v>
      </c>
      <c r="O1346" t="n">
        <v>0</v>
      </c>
      <c r="P1346" t="n">
        <v>0</v>
      </c>
      <c r="Q1346" t="n">
        <v>0</v>
      </c>
      <c r="R1346" s="2" t="inlineStr"/>
    </row>
    <row r="1347" ht="15" customHeight="1">
      <c r="A1347" t="inlineStr">
        <is>
          <t>A 43791-2024</t>
        </is>
      </c>
      <c r="B1347" s="1" t="n">
        <v>45571</v>
      </c>
      <c r="C1347" s="1" t="n">
        <v>45839</v>
      </c>
      <c r="D1347" t="inlineStr">
        <is>
          <t>VÄSTERBOTTENS LÄN</t>
        </is>
      </c>
      <c r="E1347" t="inlineStr">
        <is>
          <t>VILHELMINA</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43907-2024</t>
        </is>
      </c>
      <c r="B1348" s="1" t="n">
        <v>45572</v>
      </c>
      <c r="C1348" s="1" t="n">
        <v>45839</v>
      </c>
      <c r="D1348" t="inlineStr">
        <is>
          <t>VÄSTERBOTTENS LÄN</t>
        </is>
      </c>
      <c r="E1348" t="inlineStr">
        <is>
          <t>VILHELMINA</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43987-2024</t>
        </is>
      </c>
      <c r="B1349" s="1" t="n">
        <v>45572</v>
      </c>
      <c r="C1349" s="1" t="n">
        <v>45839</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44373-2024</t>
        </is>
      </c>
      <c r="B1350" s="1" t="n">
        <v>45573</v>
      </c>
      <c r="C1350" s="1" t="n">
        <v>45839</v>
      </c>
      <c r="D1350" t="inlineStr">
        <is>
          <t>VÄSTERBOTTENS LÄN</t>
        </is>
      </c>
      <c r="E1350" t="inlineStr">
        <is>
          <t>VILHELMINA</t>
        </is>
      </c>
      <c r="F1350" t="inlineStr">
        <is>
          <t>SCA</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44368-2024</t>
        </is>
      </c>
      <c r="B1351" s="1" t="n">
        <v>45573</v>
      </c>
      <c r="C1351" s="1" t="n">
        <v>45839</v>
      </c>
      <c r="D1351" t="inlineStr">
        <is>
          <t>VÄSTERBOTTENS LÄN</t>
        </is>
      </c>
      <c r="E1351" t="inlineStr">
        <is>
          <t>VILHELMINA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44374-2024</t>
        </is>
      </c>
      <c r="B1352" s="1" t="n">
        <v>45573</v>
      </c>
      <c r="C1352" s="1" t="n">
        <v>45839</v>
      </c>
      <c r="D1352" t="inlineStr">
        <is>
          <t>VÄSTERBOTTENS LÄN</t>
        </is>
      </c>
      <c r="E1352" t="inlineStr">
        <is>
          <t>VILHELMINA</t>
        </is>
      </c>
      <c r="F1352" t="inlineStr">
        <is>
          <t>SCA</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44370-2024</t>
        </is>
      </c>
      <c r="B1353" s="1" t="n">
        <v>45573</v>
      </c>
      <c r="C1353" s="1" t="n">
        <v>45839</v>
      </c>
      <c r="D1353" t="inlineStr">
        <is>
          <t>VÄSTERBOTTENS LÄN</t>
        </is>
      </c>
      <c r="E1353" t="inlineStr">
        <is>
          <t>VILHELMINA</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44285-2024</t>
        </is>
      </c>
      <c r="B1354" s="1" t="n">
        <v>45573</v>
      </c>
      <c r="C1354" s="1" t="n">
        <v>45839</v>
      </c>
      <c r="D1354" t="inlineStr">
        <is>
          <t>VÄSTERBOTTENS LÄN</t>
        </is>
      </c>
      <c r="E1354" t="inlineStr">
        <is>
          <t>VILHELMINA</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44375-2024</t>
        </is>
      </c>
      <c r="B1355" s="1" t="n">
        <v>45573</v>
      </c>
      <c r="C1355" s="1" t="n">
        <v>45839</v>
      </c>
      <c r="D1355" t="inlineStr">
        <is>
          <t>VÄSTERBOTTENS LÄN</t>
        </is>
      </c>
      <c r="E1355" t="inlineStr">
        <is>
          <t>VILHELMINA</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44371-2024</t>
        </is>
      </c>
      <c r="B1356" s="1" t="n">
        <v>45573</v>
      </c>
      <c r="C1356" s="1" t="n">
        <v>45839</v>
      </c>
      <c r="D1356" t="inlineStr">
        <is>
          <t>VÄSTERBOTTENS LÄN</t>
        </is>
      </c>
      <c r="E1356" t="inlineStr">
        <is>
          <t>VILHELMINA</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44516-2024</t>
        </is>
      </c>
      <c r="B1357" s="1" t="n">
        <v>45574</v>
      </c>
      <c r="C1357" s="1" t="n">
        <v>45839</v>
      </c>
      <c r="D1357" t="inlineStr">
        <is>
          <t>VÄSTERBOTTENS LÄN</t>
        </is>
      </c>
      <c r="E1357" t="inlineStr">
        <is>
          <t>VILHELMINA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44444-2024</t>
        </is>
      </c>
      <c r="B1358" s="1" t="n">
        <v>45574</v>
      </c>
      <c r="C1358" s="1" t="n">
        <v>45839</v>
      </c>
      <c r="D1358" t="inlineStr">
        <is>
          <t>VÄSTERBOTTENS LÄN</t>
        </is>
      </c>
      <c r="E1358" t="inlineStr">
        <is>
          <t>VILHELMINA</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44505-2024</t>
        </is>
      </c>
      <c r="B1359" s="1" t="n">
        <v>45574</v>
      </c>
      <c r="C1359" s="1" t="n">
        <v>45839</v>
      </c>
      <c r="D1359" t="inlineStr">
        <is>
          <t>VÄSTERBOTTENS LÄN</t>
        </is>
      </c>
      <c r="E1359" t="inlineStr">
        <is>
          <t>VILHELMINA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44828-2024</t>
        </is>
      </c>
      <c r="B1360" s="1" t="n">
        <v>45574</v>
      </c>
      <c r="C1360" s="1" t="n">
        <v>45839</v>
      </c>
      <c r="D1360" t="inlineStr">
        <is>
          <t>VÄSTERBOTTENS LÄN</t>
        </is>
      </c>
      <c r="E1360" t="inlineStr">
        <is>
          <t>VILHELMINA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44634-2024</t>
        </is>
      </c>
      <c r="B1361" s="1" t="n">
        <v>45574</v>
      </c>
      <c r="C1361" s="1" t="n">
        <v>45839</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45108-2024</t>
        </is>
      </c>
      <c r="B1362" s="1" t="n">
        <v>45575</v>
      </c>
      <c r="C1362" s="1" t="n">
        <v>45839</v>
      </c>
      <c r="D1362" t="inlineStr">
        <is>
          <t>VÄSTERBOTTENS LÄN</t>
        </is>
      </c>
      <c r="E1362" t="inlineStr">
        <is>
          <t>VILHELMINA</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45153-2024</t>
        </is>
      </c>
      <c r="B1363" s="1" t="n">
        <v>45575</v>
      </c>
      <c r="C1363" s="1" t="n">
        <v>45839</v>
      </c>
      <c r="D1363" t="inlineStr">
        <is>
          <t>VÄSTERBOTTENS LÄN</t>
        </is>
      </c>
      <c r="E1363" t="inlineStr">
        <is>
          <t>VILHELMINA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45007-2024</t>
        </is>
      </c>
      <c r="B1364" s="1" t="n">
        <v>45575</v>
      </c>
      <c r="C1364" s="1" t="n">
        <v>45839</v>
      </c>
      <c r="D1364" t="inlineStr">
        <is>
          <t>VÄSTERBOTTENS LÄN</t>
        </is>
      </c>
      <c r="E1364" t="inlineStr">
        <is>
          <t>VILHELMINA</t>
        </is>
      </c>
      <c r="F1364" t="inlineStr">
        <is>
          <t>SCA</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45004-2024</t>
        </is>
      </c>
      <c r="B1365" s="1" t="n">
        <v>45575</v>
      </c>
      <c r="C1365" s="1" t="n">
        <v>45839</v>
      </c>
      <c r="D1365" t="inlineStr">
        <is>
          <t>VÄSTERBOTTENS LÄN</t>
        </is>
      </c>
      <c r="E1365" t="inlineStr">
        <is>
          <t>VILHELMINA</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44926-2024</t>
        </is>
      </c>
      <c r="B1366" s="1" t="n">
        <v>45575</v>
      </c>
      <c r="C1366" s="1" t="n">
        <v>45839</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45258-2024</t>
        </is>
      </c>
      <c r="B1367" s="1" t="n">
        <v>45576</v>
      </c>
      <c r="C1367" s="1" t="n">
        <v>45839</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45308-2024</t>
        </is>
      </c>
      <c r="B1368" s="1" t="n">
        <v>45576</v>
      </c>
      <c r="C1368" s="1" t="n">
        <v>45839</v>
      </c>
      <c r="D1368" t="inlineStr">
        <is>
          <t>VÄSTERBOTTENS LÄN</t>
        </is>
      </c>
      <c r="E1368" t="inlineStr">
        <is>
          <t>VILHELMINA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45764-2024</t>
        </is>
      </c>
      <c r="B1369" s="1" t="n">
        <v>45579</v>
      </c>
      <c r="C1369" s="1" t="n">
        <v>45839</v>
      </c>
      <c r="D1369" t="inlineStr">
        <is>
          <t>VÄSTERBOTTENS LÄN</t>
        </is>
      </c>
      <c r="E1369" t="inlineStr">
        <is>
          <t>VILHELMINA</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45593-2024</t>
        </is>
      </c>
      <c r="B1370" s="1" t="n">
        <v>45579</v>
      </c>
      <c r="C1370" s="1" t="n">
        <v>45839</v>
      </c>
      <c r="D1370" t="inlineStr">
        <is>
          <t>VÄSTERBOTTENS LÄN</t>
        </is>
      </c>
      <c r="E1370" t="inlineStr">
        <is>
          <t>VILHELMINA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46014-2024</t>
        </is>
      </c>
      <c r="B1371" s="1" t="n">
        <v>45580</v>
      </c>
      <c r="C1371" s="1" t="n">
        <v>45839</v>
      </c>
      <c r="D1371" t="inlineStr">
        <is>
          <t>VÄSTERBOTTENS LÄN</t>
        </is>
      </c>
      <c r="E1371" t="inlineStr">
        <is>
          <t>VILHELMINA</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46404-2024</t>
        </is>
      </c>
      <c r="B1372" s="1" t="n">
        <v>45582</v>
      </c>
      <c r="C1372" s="1" t="n">
        <v>45839</v>
      </c>
      <c r="D1372" t="inlineStr">
        <is>
          <t>VÄSTERBOTTENS LÄN</t>
        </is>
      </c>
      <c r="E1372" t="inlineStr">
        <is>
          <t>VILHELMINA</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46392-2024</t>
        </is>
      </c>
      <c r="B1373" s="1" t="n">
        <v>45582</v>
      </c>
      <c r="C1373" s="1" t="n">
        <v>45839</v>
      </c>
      <c r="D1373" t="inlineStr">
        <is>
          <t>VÄSTERBOTTENS LÄN</t>
        </is>
      </c>
      <c r="E1373" t="inlineStr">
        <is>
          <t>VILHELMINA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46908-2024</t>
        </is>
      </c>
      <c r="B1374" s="1" t="n">
        <v>45583</v>
      </c>
      <c r="C1374" s="1" t="n">
        <v>45839</v>
      </c>
      <c r="D1374" t="inlineStr">
        <is>
          <t>VÄSTERBOTTENS LÄN</t>
        </is>
      </c>
      <c r="E1374" t="inlineStr">
        <is>
          <t>VILHELMINA</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47010-2024</t>
        </is>
      </c>
      <c r="B1375" s="1" t="n">
        <v>45586</v>
      </c>
      <c r="C1375" s="1" t="n">
        <v>45839</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47011-2024</t>
        </is>
      </c>
      <c r="B1376" s="1" t="n">
        <v>45586</v>
      </c>
      <c r="C1376" s="1" t="n">
        <v>45839</v>
      </c>
      <c r="D1376" t="inlineStr">
        <is>
          <t>VÄSTERBOTTENS LÄN</t>
        </is>
      </c>
      <c r="E1376" t="inlineStr">
        <is>
          <t>VILHELMINA</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47242-2024</t>
        </is>
      </c>
      <c r="B1377" s="1" t="n">
        <v>45586</v>
      </c>
      <c r="C1377" s="1" t="n">
        <v>45839</v>
      </c>
      <c r="D1377" t="inlineStr">
        <is>
          <t>VÄSTERBOTTENS LÄN</t>
        </is>
      </c>
      <c r="E1377" t="inlineStr">
        <is>
          <t>VILHELMINA</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47548-2024</t>
        </is>
      </c>
      <c r="B1378" s="1" t="n">
        <v>45587</v>
      </c>
      <c r="C1378" s="1" t="n">
        <v>45839</v>
      </c>
      <c r="D1378" t="inlineStr">
        <is>
          <t>VÄSTERBOTTENS LÄN</t>
        </is>
      </c>
      <c r="E1378" t="inlineStr">
        <is>
          <t>VILHELMINA</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47297-2024</t>
        </is>
      </c>
      <c r="B1379" s="1" t="n">
        <v>45587</v>
      </c>
      <c r="C1379" s="1" t="n">
        <v>45839</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47440-2024</t>
        </is>
      </c>
      <c r="B1380" s="1" t="n">
        <v>45587</v>
      </c>
      <c r="C1380" s="1" t="n">
        <v>45839</v>
      </c>
      <c r="D1380" t="inlineStr">
        <is>
          <t>VÄSTERBOTTENS LÄN</t>
        </is>
      </c>
      <c r="E1380" t="inlineStr">
        <is>
          <t>VILHELMINA</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48062-2024</t>
        </is>
      </c>
      <c r="B1381" s="1" t="n">
        <v>45589</v>
      </c>
      <c r="C1381" s="1" t="n">
        <v>45839</v>
      </c>
      <c r="D1381" t="inlineStr">
        <is>
          <t>VÄSTERBOTTENS LÄN</t>
        </is>
      </c>
      <c r="E1381" t="inlineStr">
        <is>
          <t>VILHELMINA</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48088-2024</t>
        </is>
      </c>
      <c r="B1382" s="1" t="n">
        <v>45589</v>
      </c>
      <c r="C1382" s="1" t="n">
        <v>45839</v>
      </c>
      <c r="D1382" t="inlineStr">
        <is>
          <t>VÄSTERBOTTENS LÄN</t>
        </is>
      </c>
      <c r="E1382" t="inlineStr">
        <is>
          <t>VILHELMINA</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48098-2024</t>
        </is>
      </c>
      <c r="B1383" s="1" t="n">
        <v>45589</v>
      </c>
      <c r="C1383" s="1" t="n">
        <v>45839</v>
      </c>
      <c r="D1383" t="inlineStr">
        <is>
          <t>VÄSTERBOTTENS LÄN</t>
        </is>
      </c>
      <c r="E1383" t="inlineStr">
        <is>
          <t>VILHELMINA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48455-2024</t>
        </is>
      </c>
      <c r="B1384" s="1" t="n">
        <v>45590</v>
      </c>
      <c r="C1384" s="1" t="n">
        <v>45839</v>
      </c>
      <c r="D1384" t="inlineStr">
        <is>
          <t>VÄSTERBOTTENS LÄN</t>
        </is>
      </c>
      <c r="E1384" t="inlineStr">
        <is>
          <t>VILHELMINA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48229-2024</t>
        </is>
      </c>
      <c r="B1385" s="1" t="n">
        <v>45590</v>
      </c>
      <c r="C1385" s="1" t="n">
        <v>45839</v>
      </c>
      <c r="D1385" t="inlineStr">
        <is>
          <t>VÄSTERBOTTENS LÄN</t>
        </is>
      </c>
      <c r="E1385" t="inlineStr">
        <is>
          <t>VILHELMINA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48387-2024</t>
        </is>
      </c>
      <c r="B1386" s="1" t="n">
        <v>45590</v>
      </c>
      <c r="C1386" s="1" t="n">
        <v>45839</v>
      </c>
      <c r="D1386" t="inlineStr">
        <is>
          <t>VÄSTERBOTTENS LÄN</t>
        </is>
      </c>
      <c r="E1386" t="inlineStr">
        <is>
          <t>VILHELMINA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49184-2024</t>
        </is>
      </c>
      <c r="B1387" s="1" t="n">
        <v>45595</v>
      </c>
      <c r="C1387" s="1" t="n">
        <v>45839</v>
      </c>
      <c r="D1387" t="inlineStr">
        <is>
          <t>VÄSTERBOTTENS LÄN</t>
        </is>
      </c>
      <c r="E1387" t="inlineStr">
        <is>
          <t>VILHELMINA</t>
        </is>
      </c>
      <c r="F1387" t="inlineStr">
        <is>
          <t>SCA</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49221-2024</t>
        </is>
      </c>
      <c r="B1388" s="1" t="n">
        <v>45595</v>
      </c>
      <c r="C1388" s="1" t="n">
        <v>45839</v>
      </c>
      <c r="D1388" t="inlineStr">
        <is>
          <t>VÄSTERBOTTENS LÄN</t>
        </is>
      </c>
      <c r="E1388" t="inlineStr">
        <is>
          <t>VILHELMINA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49236-2024</t>
        </is>
      </c>
      <c r="B1389" s="1" t="n">
        <v>45595</v>
      </c>
      <c r="C1389" s="1" t="n">
        <v>45839</v>
      </c>
      <c r="D1389" t="inlineStr">
        <is>
          <t>VÄSTERBOTTENS LÄN</t>
        </is>
      </c>
      <c r="E1389" t="inlineStr">
        <is>
          <t>VILHELMINA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49246-2024</t>
        </is>
      </c>
      <c r="B1390" s="1" t="n">
        <v>45595</v>
      </c>
      <c r="C1390" s="1" t="n">
        <v>45839</v>
      </c>
      <c r="D1390" t="inlineStr">
        <is>
          <t>VÄSTERBOTTENS LÄN</t>
        </is>
      </c>
      <c r="E1390" t="inlineStr">
        <is>
          <t>VILHELMINA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49241-2024</t>
        </is>
      </c>
      <c r="B1391" s="1" t="n">
        <v>45595</v>
      </c>
      <c r="C1391" s="1" t="n">
        <v>45839</v>
      </c>
      <c r="D1391" t="inlineStr">
        <is>
          <t>VÄSTERBOTTENS LÄN</t>
        </is>
      </c>
      <c r="E1391" t="inlineStr">
        <is>
          <t>VILHELMINA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49888-2024</t>
        </is>
      </c>
      <c r="B1392" s="1" t="n">
        <v>45597</v>
      </c>
      <c r="C1392" s="1" t="n">
        <v>45839</v>
      </c>
      <c r="D1392" t="inlineStr">
        <is>
          <t>VÄSTERBOTTENS LÄN</t>
        </is>
      </c>
      <c r="E1392" t="inlineStr">
        <is>
          <t>VILHELMINA</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49886-2024</t>
        </is>
      </c>
      <c r="B1393" s="1" t="n">
        <v>45597</v>
      </c>
      <c r="C1393" s="1" t="n">
        <v>45839</v>
      </c>
      <c r="D1393" t="inlineStr">
        <is>
          <t>VÄSTERBOTTENS LÄN</t>
        </is>
      </c>
      <c r="E1393" t="inlineStr">
        <is>
          <t>VILHELMINA</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50885-2024</t>
        </is>
      </c>
      <c r="B1394" s="1" t="n">
        <v>45602</v>
      </c>
      <c r="C1394" s="1" t="n">
        <v>45839</v>
      </c>
      <c r="D1394" t="inlineStr">
        <is>
          <t>VÄSTERBOTTENS LÄN</t>
        </is>
      </c>
      <c r="E1394" t="inlineStr">
        <is>
          <t>VILHELMINA</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51134-2024</t>
        </is>
      </c>
      <c r="B1395" s="1" t="n">
        <v>45603</v>
      </c>
      <c r="C1395" s="1" t="n">
        <v>45839</v>
      </c>
      <c r="D1395" t="inlineStr">
        <is>
          <t>VÄSTERBOTTENS LÄN</t>
        </is>
      </c>
      <c r="E1395" t="inlineStr">
        <is>
          <t>VILHELMINA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51131-2024</t>
        </is>
      </c>
      <c r="B1396" s="1" t="n">
        <v>45603</v>
      </c>
      <c r="C1396" s="1" t="n">
        <v>45839</v>
      </c>
      <c r="D1396" t="inlineStr">
        <is>
          <t>VÄSTERBOTTENS LÄN</t>
        </is>
      </c>
      <c r="E1396" t="inlineStr">
        <is>
          <t>VILHELMINA</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51850-2024</t>
        </is>
      </c>
      <c r="B1397" s="1" t="n">
        <v>45605</v>
      </c>
      <c r="C1397" s="1" t="n">
        <v>45839</v>
      </c>
      <c r="D1397" t="inlineStr">
        <is>
          <t>VÄSTERBOTTENS LÄN</t>
        </is>
      </c>
      <c r="E1397" t="inlineStr">
        <is>
          <t>VILHELMINA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52155-2024</t>
        </is>
      </c>
      <c r="B1398" s="1" t="n">
        <v>45608</v>
      </c>
      <c r="C1398" s="1" t="n">
        <v>45839</v>
      </c>
      <c r="D1398" t="inlineStr">
        <is>
          <t>VÄSTERBOTTENS LÄN</t>
        </is>
      </c>
      <c r="E1398" t="inlineStr">
        <is>
          <t>VILHELMINA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52457-2024</t>
        </is>
      </c>
      <c r="B1399" s="1" t="n">
        <v>45609</v>
      </c>
      <c r="C1399" s="1" t="n">
        <v>45839</v>
      </c>
      <c r="D1399" t="inlineStr">
        <is>
          <t>VÄSTERBOTTENS LÄN</t>
        </is>
      </c>
      <c r="E1399" t="inlineStr">
        <is>
          <t>VILHELMINA</t>
        </is>
      </c>
      <c r="G1399" t="n">
        <v>33.7</v>
      </c>
      <c r="H1399" t="n">
        <v>0</v>
      </c>
      <c r="I1399" t="n">
        <v>0</v>
      </c>
      <c r="J1399" t="n">
        <v>0</v>
      </c>
      <c r="K1399" t="n">
        <v>0</v>
      </c>
      <c r="L1399" t="n">
        <v>0</v>
      </c>
      <c r="M1399" t="n">
        <v>0</v>
      </c>
      <c r="N1399" t="n">
        <v>0</v>
      </c>
      <c r="O1399" t="n">
        <v>0</v>
      </c>
      <c r="P1399" t="n">
        <v>0</v>
      </c>
      <c r="Q1399" t="n">
        <v>0</v>
      </c>
      <c r="R1399" s="2" t="inlineStr"/>
    </row>
    <row r="1400" ht="15" customHeight="1">
      <c r="A1400" t="inlineStr">
        <is>
          <t>A 52646-2024</t>
        </is>
      </c>
      <c r="B1400" s="1" t="n">
        <v>45610</v>
      </c>
      <c r="C1400" s="1" t="n">
        <v>45839</v>
      </c>
      <c r="D1400" t="inlineStr">
        <is>
          <t>VÄSTERBOTTENS LÄN</t>
        </is>
      </c>
      <c r="E1400" t="inlineStr">
        <is>
          <t>VILHELMINA</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52866-2024</t>
        </is>
      </c>
      <c r="B1401" s="1" t="n">
        <v>45610</v>
      </c>
      <c r="C1401" s="1" t="n">
        <v>45839</v>
      </c>
      <c r="D1401" t="inlineStr">
        <is>
          <t>VÄSTERBOTTENS LÄN</t>
        </is>
      </c>
      <c r="E1401" t="inlineStr">
        <is>
          <t>VILHELMINA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53081-2024</t>
        </is>
      </c>
      <c r="B1402" s="1" t="n">
        <v>45611</v>
      </c>
      <c r="C1402" s="1" t="n">
        <v>45839</v>
      </c>
      <c r="D1402" t="inlineStr">
        <is>
          <t>VÄSTERBOTTENS LÄN</t>
        </is>
      </c>
      <c r="E1402" t="inlineStr">
        <is>
          <t>VILHELMINA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53606-2024</t>
        </is>
      </c>
      <c r="B1403" s="1" t="n">
        <v>45614</v>
      </c>
      <c r="C1403" s="1" t="n">
        <v>45839</v>
      </c>
      <c r="D1403" t="inlineStr">
        <is>
          <t>VÄSTERBOTTENS LÄN</t>
        </is>
      </c>
      <c r="E1403" t="inlineStr">
        <is>
          <t>VILHELMINA</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54430-2024</t>
        </is>
      </c>
      <c r="B1404" s="1" t="n">
        <v>45617</v>
      </c>
      <c r="C1404" s="1" t="n">
        <v>45839</v>
      </c>
      <c r="D1404" t="inlineStr">
        <is>
          <t>VÄSTERBOTTENS LÄN</t>
        </is>
      </c>
      <c r="E1404" t="inlineStr">
        <is>
          <t>VILHELMINA</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54387-2024</t>
        </is>
      </c>
      <c r="B1405" s="1" t="n">
        <v>45617</v>
      </c>
      <c r="C1405" s="1" t="n">
        <v>45839</v>
      </c>
      <c r="D1405" t="inlineStr">
        <is>
          <t>VÄSTERBOTTENS LÄN</t>
        </is>
      </c>
      <c r="E1405" t="inlineStr">
        <is>
          <t>VILHELMINA</t>
        </is>
      </c>
      <c r="F1405" t="inlineStr">
        <is>
          <t>SCA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54459-2024</t>
        </is>
      </c>
      <c r="B1406" s="1" t="n">
        <v>45617</v>
      </c>
      <c r="C1406" s="1" t="n">
        <v>45839</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54457-2024</t>
        </is>
      </c>
      <c r="B1407" s="1" t="n">
        <v>45617</v>
      </c>
      <c r="C1407" s="1" t="n">
        <v>45839</v>
      </c>
      <c r="D1407" t="inlineStr">
        <is>
          <t>VÄSTERBOTTENS LÄN</t>
        </is>
      </c>
      <c r="E1407" t="inlineStr">
        <is>
          <t>VILHELMINA</t>
        </is>
      </c>
      <c r="F1407" t="inlineStr">
        <is>
          <t>SCA</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54804-2024</t>
        </is>
      </c>
      <c r="B1408" s="1" t="n">
        <v>45618</v>
      </c>
      <c r="C1408" s="1" t="n">
        <v>45839</v>
      </c>
      <c r="D1408" t="inlineStr">
        <is>
          <t>VÄSTERBOTTENS LÄN</t>
        </is>
      </c>
      <c r="E1408" t="inlineStr">
        <is>
          <t>VILHELMINA</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54727-2024</t>
        </is>
      </c>
      <c r="B1409" s="1" t="n">
        <v>45618</v>
      </c>
      <c r="C1409" s="1" t="n">
        <v>45839</v>
      </c>
      <c r="D1409" t="inlineStr">
        <is>
          <t>VÄSTERBOTTENS LÄN</t>
        </is>
      </c>
      <c r="E1409" t="inlineStr">
        <is>
          <t>VILHELMINA</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54724-2024</t>
        </is>
      </c>
      <c r="B1410" s="1" t="n">
        <v>45618</v>
      </c>
      <c r="C1410" s="1" t="n">
        <v>45839</v>
      </c>
      <c r="D1410" t="inlineStr">
        <is>
          <t>VÄSTERBOTTENS LÄN</t>
        </is>
      </c>
      <c r="E1410" t="inlineStr">
        <is>
          <t>VILHELMINA</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55695-2024</t>
        </is>
      </c>
      <c r="B1411" s="1" t="n">
        <v>45622</v>
      </c>
      <c r="C1411" s="1" t="n">
        <v>45839</v>
      </c>
      <c r="D1411" t="inlineStr">
        <is>
          <t>VÄSTERBOTTENS LÄN</t>
        </is>
      </c>
      <c r="E1411" t="inlineStr">
        <is>
          <t>VILHELMINA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55620-2024</t>
        </is>
      </c>
      <c r="B1412" s="1" t="n">
        <v>45622</v>
      </c>
      <c r="C1412" s="1" t="n">
        <v>45839</v>
      </c>
      <c r="D1412" t="inlineStr">
        <is>
          <t>VÄSTERBOTTENS LÄN</t>
        </is>
      </c>
      <c r="E1412" t="inlineStr">
        <is>
          <t>VILHELMINA</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55697-2024</t>
        </is>
      </c>
      <c r="B1413" s="1" t="n">
        <v>45622</v>
      </c>
      <c r="C1413" s="1" t="n">
        <v>45839</v>
      </c>
      <c r="D1413" t="inlineStr">
        <is>
          <t>VÄSTERBOTTENS LÄN</t>
        </is>
      </c>
      <c r="E1413" t="inlineStr">
        <is>
          <t>VILHELMINA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55978-2024</t>
        </is>
      </c>
      <c r="B1414" s="1" t="n">
        <v>45623</v>
      </c>
      <c r="C1414" s="1" t="n">
        <v>45839</v>
      </c>
      <c r="D1414" t="inlineStr">
        <is>
          <t>VÄSTERBOTTENS LÄN</t>
        </is>
      </c>
      <c r="E1414" t="inlineStr">
        <is>
          <t>VILHELMINA</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56624-2024</t>
        </is>
      </c>
      <c r="B1415" s="1" t="n">
        <v>45625</v>
      </c>
      <c r="C1415" s="1" t="n">
        <v>45839</v>
      </c>
      <c r="D1415" t="inlineStr">
        <is>
          <t>VÄSTERBOTTENS LÄN</t>
        </is>
      </c>
      <c r="E1415" t="inlineStr">
        <is>
          <t>VILHELMINA</t>
        </is>
      </c>
      <c r="F1415" t="inlineStr">
        <is>
          <t>Allmännings- och besparingsskogar</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56627-2024</t>
        </is>
      </c>
      <c r="B1416" s="1" t="n">
        <v>45625</v>
      </c>
      <c r="C1416" s="1" t="n">
        <v>45839</v>
      </c>
      <c r="D1416" t="inlineStr">
        <is>
          <t>VÄSTERBOTTENS LÄN</t>
        </is>
      </c>
      <c r="E1416" t="inlineStr">
        <is>
          <t>VILHELMINA</t>
        </is>
      </c>
      <c r="F1416" t="inlineStr">
        <is>
          <t>Allmännings- och besparingsskogar</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56629-2024</t>
        </is>
      </c>
      <c r="B1417" s="1" t="n">
        <v>45625</v>
      </c>
      <c r="C1417" s="1" t="n">
        <v>45839</v>
      </c>
      <c r="D1417" t="inlineStr">
        <is>
          <t>VÄSTERBOTTENS LÄN</t>
        </is>
      </c>
      <c r="E1417" t="inlineStr">
        <is>
          <t>VILHELMINA</t>
        </is>
      </c>
      <c r="F1417" t="inlineStr">
        <is>
          <t>Allmännings- och besparingsskogar</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57470-2024</t>
        </is>
      </c>
      <c r="B1418" s="1" t="n">
        <v>45630</v>
      </c>
      <c r="C1418" s="1" t="n">
        <v>45839</v>
      </c>
      <c r="D1418" t="inlineStr">
        <is>
          <t>VÄSTERBOTTENS LÄN</t>
        </is>
      </c>
      <c r="E1418" t="inlineStr">
        <is>
          <t>VILHELMINA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57853-2024</t>
        </is>
      </c>
      <c r="B1419" s="1" t="n">
        <v>45631</v>
      </c>
      <c r="C1419" s="1" t="n">
        <v>45839</v>
      </c>
      <c r="D1419" t="inlineStr">
        <is>
          <t>VÄSTERBOTTENS LÄN</t>
        </is>
      </c>
      <c r="E1419" t="inlineStr">
        <is>
          <t>VILHELMINA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58234-2024</t>
        </is>
      </c>
      <c r="B1420" s="1" t="n">
        <v>45632</v>
      </c>
      <c r="C1420" s="1" t="n">
        <v>45839</v>
      </c>
      <c r="D1420" t="inlineStr">
        <is>
          <t>VÄSTERBOTTENS LÄN</t>
        </is>
      </c>
      <c r="E1420" t="inlineStr">
        <is>
          <t>VILHELMINA</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58179-2024</t>
        </is>
      </c>
      <c r="B1421" s="1" t="n">
        <v>45632</v>
      </c>
      <c r="C1421" s="1" t="n">
        <v>45839</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58624-2024</t>
        </is>
      </c>
      <c r="B1422" s="1" t="n">
        <v>45632</v>
      </c>
      <c r="C1422" s="1" t="n">
        <v>45839</v>
      </c>
      <c r="D1422" t="inlineStr">
        <is>
          <t>VÄSTERBOTTENS LÄN</t>
        </is>
      </c>
      <c r="E1422" t="inlineStr">
        <is>
          <t>VILHELMINA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58450-2024</t>
        </is>
      </c>
      <c r="B1423" s="1" t="n">
        <v>45635</v>
      </c>
      <c r="C1423" s="1" t="n">
        <v>45839</v>
      </c>
      <c r="D1423" t="inlineStr">
        <is>
          <t>VÄSTERBOTTENS LÄN</t>
        </is>
      </c>
      <c r="E1423" t="inlineStr">
        <is>
          <t>VILHELMINA</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58505-2024</t>
        </is>
      </c>
      <c r="B1424" s="1" t="n">
        <v>45635</v>
      </c>
      <c r="C1424" s="1" t="n">
        <v>45839</v>
      </c>
      <c r="D1424" t="inlineStr">
        <is>
          <t>VÄSTERBOTTENS LÄN</t>
        </is>
      </c>
      <c r="E1424" t="inlineStr">
        <is>
          <t>VILHELMINA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58946-2024</t>
        </is>
      </c>
      <c r="B1425" s="1" t="n">
        <v>45636</v>
      </c>
      <c r="C1425" s="1" t="n">
        <v>45839</v>
      </c>
      <c r="D1425" t="inlineStr">
        <is>
          <t>VÄSTERBOTTENS LÄN</t>
        </is>
      </c>
      <c r="E1425" t="inlineStr">
        <is>
          <t>VILHELMINA</t>
        </is>
      </c>
      <c r="F1425" t="inlineStr">
        <is>
          <t>Kommuner</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58999-2024</t>
        </is>
      </c>
      <c r="B1426" s="1" t="n">
        <v>45636</v>
      </c>
      <c r="C1426" s="1" t="n">
        <v>45839</v>
      </c>
      <c r="D1426" t="inlineStr">
        <is>
          <t>VÄSTERBOTTENS LÄN</t>
        </is>
      </c>
      <c r="E1426" t="inlineStr">
        <is>
          <t>VILHELMINA</t>
        </is>
      </c>
      <c r="F1426" t="inlineStr">
        <is>
          <t>Allmännings- och besparingsskogar</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59003-2024</t>
        </is>
      </c>
      <c r="B1427" s="1" t="n">
        <v>45636</v>
      </c>
      <c r="C1427" s="1" t="n">
        <v>45839</v>
      </c>
      <c r="D1427" t="inlineStr">
        <is>
          <t>VÄSTERBOTTENS LÄN</t>
        </is>
      </c>
      <c r="E1427" t="inlineStr">
        <is>
          <t>VILHELMINA</t>
        </is>
      </c>
      <c r="F1427" t="inlineStr">
        <is>
          <t>Allmännings- och besparingsskogar</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58943-2024</t>
        </is>
      </c>
      <c r="B1428" s="1" t="n">
        <v>45636</v>
      </c>
      <c r="C1428" s="1" t="n">
        <v>45839</v>
      </c>
      <c r="D1428" t="inlineStr">
        <is>
          <t>VÄSTERBOTTENS LÄN</t>
        </is>
      </c>
      <c r="E1428" t="inlineStr">
        <is>
          <t>VILHELMINA</t>
        </is>
      </c>
      <c r="F1428" t="inlineStr">
        <is>
          <t>Kommuner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58927-2024</t>
        </is>
      </c>
      <c r="B1429" s="1" t="n">
        <v>45636</v>
      </c>
      <c r="C1429" s="1" t="n">
        <v>45839</v>
      </c>
      <c r="D1429" t="inlineStr">
        <is>
          <t>VÄSTERBOTTENS LÄN</t>
        </is>
      </c>
      <c r="E1429" t="inlineStr">
        <is>
          <t>VILHELMINA</t>
        </is>
      </c>
      <c r="F1429" t="inlineStr">
        <is>
          <t>Kommuner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58824-2024</t>
        </is>
      </c>
      <c r="B1430" s="1" t="n">
        <v>45636</v>
      </c>
      <c r="C1430" s="1" t="n">
        <v>45839</v>
      </c>
      <c r="D1430" t="inlineStr">
        <is>
          <t>VÄSTERBOTTENS LÄN</t>
        </is>
      </c>
      <c r="E1430" t="inlineStr">
        <is>
          <t>VILHELMINA</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59031-2024</t>
        </is>
      </c>
      <c r="B1431" s="1" t="n">
        <v>45636</v>
      </c>
      <c r="C1431" s="1" t="n">
        <v>45839</v>
      </c>
      <c r="D1431" t="inlineStr">
        <is>
          <t>VÄSTERBOTTENS LÄN</t>
        </is>
      </c>
      <c r="E1431" t="inlineStr">
        <is>
          <t>VILHELMINA</t>
        </is>
      </c>
      <c r="G1431" t="n">
        <v>38.9</v>
      </c>
      <c r="H1431" t="n">
        <v>0</v>
      </c>
      <c r="I1431" t="n">
        <v>0</v>
      </c>
      <c r="J1431" t="n">
        <v>0</v>
      </c>
      <c r="K1431" t="n">
        <v>0</v>
      </c>
      <c r="L1431" t="n">
        <v>0</v>
      </c>
      <c r="M1431" t="n">
        <v>0</v>
      </c>
      <c r="N1431" t="n">
        <v>0</v>
      </c>
      <c r="O1431" t="n">
        <v>0</v>
      </c>
      <c r="P1431" t="n">
        <v>0</v>
      </c>
      <c r="Q1431" t="n">
        <v>0</v>
      </c>
      <c r="R1431" s="2" t="inlineStr"/>
    </row>
    <row r="1432" ht="15" customHeight="1">
      <c r="A1432" t="inlineStr">
        <is>
          <t>A 59011-2024</t>
        </is>
      </c>
      <c r="B1432" s="1" t="n">
        <v>45636</v>
      </c>
      <c r="C1432" s="1" t="n">
        <v>45839</v>
      </c>
      <c r="D1432" t="inlineStr">
        <is>
          <t>VÄSTERBOTTENS LÄN</t>
        </is>
      </c>
      <c r="E1432" t="inlineStr">
        <is>
          <t>VILHELMINA</t>
        </is>
      </c>
      <c r="F1432" t="inlineStr">
        <is>
          <t>Allmännings- och besparingsskogar</t>
        </is>
      </c>
      <c r="G1432" t="n">
        <v>35.2</v>
      </c>
      <c r="H1432" t="n">
        <v>0</v>
      </c>
      <c r="I1432" t="n">
        <v>0</v>
      </c>
      <c r="J1432" t="n">
        <v>0</v>
      </c>
      <c r="K1432" t="n">
        <v>0</v>
      </c>
      <c r="L1432" t="n">
        <v>0</v>
      </c>
      <c r="M1432" t="n">
        <v>0</v>
      </c>
      <c r="N1432" t="n">
        <v>0</v>
      </c>
      <c r="O1432" t="n">
        <v>0</v>
      </c>
      <c r="P1432" t="n">
        <v>0</v>
      </c>
      <c r="Q1432" t="n">
        <v>0</v>
      </c>
      <c r="R1432" s="2" t="inlineStr"/>
    </row>
    <row r="1433" ht="15" customHeight="1">
      <c r="A1433" t="inlineStr">
        <is>
          <t>A 59022-2024</t>
        </is>
      </c>
      <c r="B1433" s="1" t="n">
        <v>45636</v>
      </c>
      <c r="C1433" s="1" t="n">
        <v>45839</v>
      </c>
      <c r="D1433" t="inlineStr">
        <is>
          <t>VÄSTERBOTTENS LÄN</t>
        </is>
      </c>
      <c r="E1433" t="inlineStr">
        <is>
          <t>VILHELMINA</t>
        </is>
      </c>
      <c r="F1433" t="inlineStr">
        <is>
          <t>Allmännings- och besparingsskogar</t>
        </is>
      </c>
      <c r="G1433" t="n">
        <v>35.1</v>
      </c>
      <c r="H1433" t="n">
        <v>0</v>
      </c>
      <c r="I1433" t="n">
        <v>0</v>
      </c>
      <c r="J1433" t="n">
        <v>0</v>
      </c>
      <c r="K1433" t="n">
        <v>0</v>
      </c>
      <c r="L1433" t="n">
        <v>0</v>
      </c>
      <c r="M1433" t="n">
        <v>0</v>
      </c>
      <c r="N1433" t="n">
        <v>0</v>
      </c>
      <c r="O1433" t="n">
        <v>0</v>
      </c>
      <c r="P1433" t="n">
        <v>0</v>
      </c>
      <c r="Q1433" t="n">
        <v>0</v>
      </c>
      <c r="R1433" s="2" t="inlineStr"/>
    </row>
    <row r="1434" ht="15" customHeight="1">
      <c r="A1434" t="inlineStr">
        <is>
          <t>A 59018-2024</t>
        </is>
      </c>
      <c r="B1434" s="1" t="n">
        <v>45636</v>
      </c>
      <c r="C1434" s="1" t="n">
        <v>45839</v>
      </c>
      <c r="D1434" t="inlineStr">
        <is>
          <t>VÄSTERBOTTENS LÄN</t>
        </is>
      </c>
      <c r="E1434" t="inlineStr">
        <is>
          <t>VILHELMINA</t>
        </is>
      </c>
      <c r="F1434" t="inlineStr">
        <is>
          <t>Allmännings- och besparingsskogar</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58934-2024</t>
        </is>
      </c>
      <c r="B1435" s="1" t="n">
        <v>45636</v>
      </c>
      <c r="C1435" s="1" t="n">
        <v>45839</v>
      </c>
      <c r="D1435" t="inlineStr">
        <is>
          <t>VÄSTERBOTTENS LÄN</t>
        </is>
      </c>
      <c r="E1435" t="inlineStr">
        <is>
          <t>VILHELMINA</t>
        </is>
      </c>
      <c r="F1435" t="inlineStr">
        <is>
          <t>Allmännings- och besparingsskogar</t>
        </is>
      </c>
      <c r="G1435" t="n">
        <v>45.6</v>
      </c>
      <c r="H1435" t="n">
        <v>0</v>
      </c>
      <c r="I1435" t="n">
        <v>0</v>
      </c>
      <c r="J1435" t="n">
        <v>0</v>
      </c>
      <c r="K1435" t="n">
        <v>0</v>
      </c>
      <c r="L1435" t="n">
        <v>0</v>
      </c>
      <c r="M1435" t="n">
        <v>0</v>
      </c>
      <c r="N1435" t="n">
        <v>0</v>
      </c>
      <c r="O1435" t="n">
        <v>0</v>
      </c>
      <c r="P1435" t="n">
        <v>0</v>
      </c>
      <c r="Q1435" t="n">
        <v>0</v>
      </c>
      <c r="R1435" s="2" t="inlineStr"/>
    </row>
    <row r="1436" ht="15" customHeight="1">
      <c r="A1436" t="inlineStr">
        <is>
          <t>A 58937-2024</t>
        </is>
      </c>
      <c r="B1436" s="1" t="n">
        <v>45636</v>
      </c>
      <c r="C1436" s="1" t="n">
        <v>45839</v>
      </c>
      <c r="D1436" t="inlineStr">
        <is>
          <t>VÄSTERBOTTENS LÄN</t>
        </is>
      </c>
      <c r="E1436" t="inlineStr">
        <is>
          <t>VILHELMINA</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59240-2024</t>
        </is>
      </c>
      <c r="B1437" s="1" t="n">
        <v>45637</v>
      </c>
      <c r="C1437" s="1" t="n">
        <v>45839</v>
      </c>
      <c r="D1437" t="inlineStr">
        <is>
          <t>VÄSTERBOTTENS LÄN</t>
        </is>
      </c>
      <c r="E1437" t="inlineStr">
        <is>
          <t>VILHELMINA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59693-2024</t>
        </is>
      </c>
      <c r="B1438" s="1" t="n">
        <v>45639</v>
      </c>
      <c r="C1438" s="1" t="n">
        <v>45839</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59850-2024</t>
        </is>
      </c>
      <c r="B1439" s="1" t="n">
        <v>45639</v>
      </c>
      <c r="C1439" s="1" t="n">
        <v>45839</v>
      </c>
      <c r="D1439" t="inlineStr">
        <is>
          <t>VÄSTERBOTTENS LÄN</t>
        </is>
      </c>
      <c r="E1439" t="inlineStr">
        <is>
          <t>VILHELMINA</t>
        </is>
      </c>
      <c r="F1439" t="inlineStr">
        <is>
          <t>Kommuner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60326-2024</t>
        </is>
      </c>
      <c r="B1440" s="1" t="n">
        <v>45641</v>
      </c>
      <c r="C1440" s="1" t="n">
        <v>45839</v>
      </c>
      <c r="D1440" t="inlineStr">
        <is>
          <t>VÄSTERBOTTENS LÄN</t>
        </is>
      </c>
      <c r="E1440" t="inlineStr">
        <is>
          <t>VILHELMINA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60332-2024</t>
        </is>
      </c>
      <c r="B1441" s="1" t="n">
        <v>45641</v>
      </c>
      <c r="C1441" s="1" t="n">
        <v>45839</v>
      </c>
      <c r="D1441" t="inlineStr">
        <is>
          <t>VÄSTERBOTTENS LÄN</t>
        </is>
      </c>
      <c r="E1441" t="inlineStr">
        <is>
          <t>VILHELMINA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60151-2024</t>
        </is>
      </c>
      <c r="B1442" s="1" t="n">
        <v>45642</v>
      </c>
      <c r="C1442" s="1" t="n">
        <v>45839</v>
      </c>
      <c r="D1442" t="inlineStr">
        <is>
          <t>VÄSTERBOTTENS LÄN</t>
        </is>
      </c>
      <c r="E1442" t="inlineStr">
        <is>
          <t>VILHELMINA</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60377-2024</t>
        </is>
      </c>
      <c r="B1443" s="1" t="n">
        <v>45643</v>
      </c>
      <c r="C1443" s="1" t="n">
        <v>45839</v>
      </c>
      <c r="D1443" t="inlineStr">
        <is>
          <t>VÄSTERBOTTENS LÄN</t>
        </is>
      </c>
      <c r="E1443" t="inlineStr">
        <is>
          <t>VILHELMINA</t>
        </is>
      </c>
      <c r="F1443" t="inlineStr">
        <is>
          <t>SCA</t>
        </is>
      </c>
      <c r="G1443" t="n">
        <v>16.2</v>
      </c>
      <c r="H1443" t="n">
        <v>0</v>
      </c>
      <c r="I1443" t="n">
        <v>0</v>
      </c>
      <c r="J1443" t="n">
        <v>0</v>
      </c>
      <c r="K1443" t="n">
        <v>0</v>
      </c>
      <c r="L1443" t="n">
        <v>0</v>
      </c>
      <c r="M1443" t="n">
        <v>0</v>
      </c>
      <c r="N1443" t="n">
        <v>0</v>
      </c>
      <c r="O1443" t="n">
        <v>0</v>
      </c>
      <c r="P1443" t="n">
        <v>0</v>
      </c>
      <c r="Q1443" t="n">
        <v>0</v>
      </c>
      <c r="R1443" s="2" t="inlineStr"/>
    </row>
    <row r="1444" ht="15" customHeight="1">
      <c r="A1444" t="inlineStr">
        <is>
          <t>A 60311-2024</t>
        </is>
      </c>
      <c r="B1444" s="1" t="n">
        <v>45643</v>
      </c>
      <c r="C1444" s="1" t="n">
        <v>45839</v>
      </c>
      <c r="D1444" t="inlineStr">
        <is>
          <t>VÄSTERBOTTENS LÄN</t>
        </is>
      </c>
      <c r="E1444" t="inlineStr">
        <is>
          <t>VILHELMINA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60376-2024</t>
        </is>
      </c>
      <c r="B1445" s="1" t="n">
        <v>45643</v>
      </c>
      <c r="C1445" s="1" t="n">
        <v>45839</v>
      </c>
      <c r="D1445" t="inlineStr">
        <is>
          <t>VÄSTERBOTTENS LÄN</t>
        </is>
      </c>
      <c r="E1445" t="inlineStr">
        <is>
          <t>VILHELMINA</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60614-2024</t>
        </is>
      </c>
      <c r="B1446" s="1" t="n">
        <v>45644</v>
      </c>
      <c r="C1446" s="1" t="n">
        <v>45839</v>
      </c>
      <c r="D1446" t="inlineStr">
        <is>
          <t>VÄSTERBOTTENS LÄN</t>
        </is>
      </c>
      <c r="E1446" t="inlineStr">
        <is>
          <t>VILHELMINA</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61536-2024</t>
        </is>
      </c>
      <c r="B1447" s="1" t="n">
        <v>45646</v>
      </c>
      <c r="C1447" s="1" t="n">
        <v>45839</v>
      </c>
      <c r="D1447" t="inlineStr">
        <is>
          <t>VÄSTERBOTTENS LÄN</t>
        </is>
      </c>
      <c r="E1447" t="inlineStr">
        <is>
          <t>VILHELMINA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61660-2024</t>
        </is>
      </c>
      <c r="B1448" s="1" t="n">
        <v>45646</v>
      </c>
      <c r="C1448" s="1" t="n">
        <v>45839</v>
      </c>
      <c r="D1448" t="inlineStr">
        <is>
          <t>VÄSTERBOTTENS LÄN</t>
        </is>
      </c>
      <c r="E1448" t="inlineStr">
        <is>
          <t>VILHELMINA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62128-2024</t>
        </is>
      </c>
      <c r="B1449" s="1" t="n">
        <v>45646</v>
      </c>
      <c r="C1449" s="1" t="n">
        <v>45839</v>
      </c>
      <c r="D1449" t="inlineStr">
        <is>
          <t>VÄSTERBOTTENS LÄN</t>
        </is>
      </c>
      <c r="E1449" t="inlineStr">
        <is>
          <t>VILHELMINA</t>
        </is>
      </c>
      <c r="F1449" t="inlineStr">
        <is>
          <t>Övriga Aktiebolag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61547-2024</t>
        </is>
      </c>
      <c r="B1450" s="1" t="n">
        <v>45646</v>
      </c>
      <c r="C1450" s="1" t="n">
        <v>45839</v>
      </c>
      <c r="D1450" t="inlineStr">
        <is>
          <t>VÄSTERBOTTENS LÄN</t>
        </is>
      </c>
      <c r="E1450" t="inlineStr">
        <is>
          <t>VILHELMINA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61797-2024</t>
        </is>
      </c>
      <c r="B1451" s="1" t="n">
        <v>45649</v>
      </c>
      <c r="C1451" s="1" t="n">
        <v>45839</v>
      </c>
      <c r="D1451" t="inlineStr">
        <is>
          <t>VÄSTERBOTTENS LÄN</t>
        </is>
      </c>
      <c r="E1451" t="inlineStr">
        <is>
          <t>VILHELMINA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61801-2024</t>
        </is>
      </c>
      <c r="B1452" s="1" t="n">
        <v>45649</v>
      </c>
      <c r="C1452" s="1" t="n">
        <v>45839</v>
      </c>
      <c r="D1452" t="inlineStr">
        <is>
          <t>VÄSTERBOTTENS LÄN</t>
        </is>
      </c>
      <c r="E1452" t="inlineStr">
        <is>
          <t>VILHELMINA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61953-2024</t>
        </is>
      </c>
      <c r="B1453" s="1" t="n">
        <v>45653</v>
      </c>
      <c r="C1453" s="1" t="n">
        <v>45839</v>
      </c>
      <c r="D1453" t="inlineStr">
        <is>
          <t>VÄSTERBOTTENS LÄN</t>
        </is>
      </c>
      <c r="E1453" t="inlineStr">
        <is>
          <t>VILHELMINA</t>
        </is>
      </c>
      <c r="F1453" t="inlineStr">
        <is>
          <t>Kommuner</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62101-2024</t>
        </is>
      </c>
      <c r="B1454" s="1" t="n">
        <v>45656</v>
      </c>
      <c r="C1454" s="1" t="n">
        <v>45839</v>
      </c>
      <c r="D1454" t="inlineStr">
        <is>
          <t>VÄSTERBOTTENS LÄN</t>
        </is>
      </c>
      <c r="E1454" t="inlineStr">
        <is>
          <t>VILHELMINA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62100-2024</t>
        </is>
      </c>
      <c r="B1455" s="1" t="n">
        <v>45656</v>
      </c>
      <c r="C1455" s="1" t="n">
        <v>45839</v>
      </c>
      <c r="D1455" t="inlineStr">
        <is>
          <t>VÄSTERBOTTENS LÄN</t>
        </is>
      </c>
      <c r="E1455" t="inlineStr">
        <is>
          <t>VILHELMINA</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146-2025</t>
        </is>
      </c>
      <c r="B1456" s="1" t="n">
        <v>45659</v>
      </c>
      <c r="C1456" s="1" t="n">
        <v>45839</v>
      </c>
      <c r="D1456" t="inlineStr">
        <is>
          <t>VÄSTERBOTTENS LÄN</t>
        </is>
      </c>
      <c r="E1456" t="inlineStr">
        <is>
          <t>VILHELMINA</t>
        </is>
      </c>
      <c r="F1456" t="inlineStr">
        <is>
          <t>SCA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248-2025</t>
        </is>
      </c>
      <c r="B1457" s="1" t="n">
        <v>45660</v>
      </c>
      <c r="C1457" s="1" t="n">
        <v>45839</v>
      </c>
      <c r="D1457" t="inlineStr">
        <is>
          <t>VÄSTERBOTTENS LÄN</t>
        </is>
      </c>
      <c r="E1457" t="inlineStr">
        <is>
          <t>VILHELMINA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237-2025</t>
        </is>
      </c>
      <c r="B1458" s="1" t="n">
        <v>45660</v>
      </c>
      <c r="C1458" s="1" t="n">
        <v>45839</v>
      </c>
      <c r="D1458" t="inlineStr">
        <is>
          <t>VÄSTERBOTTENS LÄN</t>
        </is>
      </c>
      <c r="E1458" t="inlineStr">
        <is>
          <t>VILHELMINA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242-2025</t>
        </is>
      </c>
      <c r="B1459" s="1" t="n">
        <v>45660</v>
      </c>
      <c r="C1459" s="1" t="n">
        <v>45839</v>
      </c>
      <c r="D1459" t="inlineStr">
        <is>
          <t>VÄSTERBOTTENS LÄN</t>
        </is>
      </c>
      <c r="E1459" t="inlineStr">
        <is>
          <t>VILHELMINA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252-2025</t>
        </is>
      </c>
      <c r="B1460" s="1" t="n">
        <v>45660</v>
      </c>
      <c r="C1460" s="1" t="n">
        <v>45839</v>
      </c>
      <c r="D1460" t="inlineStr">
        <is>
          <t>VÄSTERBOTTENS LÄN</t>
        </is>
      </c>
      <c r="E1460" t="inlineStr">
        <is>
          <t>VILHELMINA</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296-2025</t>
        </is>
      </c>
      <c r="B1461" s="1" t="n">
        <v>45660</v>
      </c>
      <c r="C1461" s="1" t="n">
        <v>45839</v>
      </c>
      <c r="D1461" t="inlineStr">
        <is>
          <t>VÄSTERBOTTENS LÄN</t>
        </is>
      </c>
      <c r="E1461" t="inlineStr">
        <is>
          <t>VILHELMINA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977-2025</t>
        </is>
      </c>
      <c r="B1462" s="1" t="n">
        <v>45666</v>
      </c>
      <c r="C1462" s="1" t="n">
        <v>45839</v>
      </c>
      <c r="D1462" t="inlineStr">
        <is>
          <t>VÄSTERBOTTENS LÄN</t>
        </is>
      </c>
      <c r="E1462" t="inlineStr">
        <is>
          <t>VILHELMINA</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997-2025</t>
        </is>
      </c>
      <c r="B1463" s="1" t="n">
        <v>45666</v>
      </c>
      <c r="C1463" s="1" t="n">
        <v>45839</v>
      </c>
      <c r="D1463" t="inlineStr">
        <is>
          <t>VÄSTERBOTTENS LÄN</t>
        </is>
      </c>
      <c r="E1463" t="inlineStr">
        <is>
          <t>VILHELMINA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1318-2025</t>
        </is>
      </c>
      <c r="B1464" s="1" t="n">
        <v>45667</v>
      </c>
      <c r="C1464" s="1" t="n">
        <v>45839</v>
      </c>
      <c r="D1464" t="inlineStr">
        <is>
          <t>VÄSTERBOTTENS LÄN</t>
        </is>
      </c>
      <c r="E1464" t="inlineStr">
        <is>
          <t>VILHELMINA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1668-2025</t>
        </is>
      </c>
      <c r="B1465" s="1" t="n">
        <v>45670</v>
      </c>
      <c r="C1465" s="1" t="n">
        <v>45839</v>
      </c>
      <c r="D1465" t="inlineStr">
        <is>
          <t>VÄSTERBOTTENS LÄN</t>
        </is>
      </c>
      <c r="E1465" t="inlineStr">
        <is>
          <t>VILHELMINA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2008-2025</t>
        </is>
      </c>
      <c r="B1466" s="1" t="n">
        <v>45672</v>
      </c>
      <c r="C1466" s="1" t="n">
        <v>45839</v>
      </c>
      <c r="D1466" t="inlineStr">
        <is>
          <t>VÄSTERBOTTENS LÄN</t>
        </is>
      </c>
      <c r="E1466" t="inlineStr">
        <is>
          <t>VILHELMINA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2996-2025</t>
        </is>
      </c>
      <c r="B1467" s="1" t="n">
        <v>45678</v>
      </c>
      <c r="C1467" s="1" t="n">
        <v>45839</v>
      </c>
      <c r="D1467" t="inlineStr">
        <is>
          <t>VÄSTERBOTTENS LÄN</t>
        </is>
      </c>
      <c r="E1467" t="inlineStr">
        <is>
          <t>VILHELMINA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4275-2025</t>
        </is>
      </c>
      <c r="B1468" s="1" t="n">
        <v>45685</v>
      </c>
      <c r="C1468" s="1" t="n">
        <v>45839</v>
      </c>
      <c r="D1468" t="inlineStr">
        <is>
          <t>VÄSTERBOTTENS LÄN</t>
        </is>
      </c>
      <c r="E1468" t="inlineStr">
        <is>
          <t>VILHELMINA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4821-2025</t>
        </is>
      </c>
      <c r="B1469" s="1" t="n">
        <v>45688</v>
      </c>
      <c r="C1469" s="1" t="n">
        <v>45839</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5403-2025</t>
        </is>
      </c>
      <c r="B1470" s="1" t="n">
        <v>45692</v>
      </c>
      <c r="C1470" s="1" t="n">
        <v>45839</v>
      </c>
      <c r="D1470" t="inlineStr">
        <is>
          <t>VÄSTERBOTTENS LÄN</t>
        </is>
      </c>
      <c r="E1470" t="inlineStr">
        <is>
          <t>VILHELMINA</t>
        </is>
      </c>
      <c r="F1470" t="inlineStr">
        <is>
          <t>Kommuner</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5575-2025</t>
        </is>
      </c>
      <c r="B1471" s="1" t="n">
        <v>45693</v>
      </c>
      <c r="C1471" s="1" t="n">
        <v>45839</v>
      </c>
      <c r="D1471" t="inlineStr">
        <is>
          <t>VÄSTERBOTTENS LÄN</t>
        </is>
      </c>
      <c r="E1471" t="inlineStr">
        <is>
          <t>VILHELMINA</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6638-2025</t>
        </is>
      </c>
      <c r="B1472" s="1" t="n">
        <v>45700</v>
      </c>
      <c r="C1472" s="1" t="n">
        <v>45839</v>
      </c>
      <c r="D1472" t="inlineStr">
        <is>
          <t>VÄSTERBOTTENS LÄN</t>
        </is>
      </c>
      <c r="E1472" t="inlineStr">
        <is>
          <t>VILHELMINA</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7035-2025</t>
        </is>
      </c>
      <c r="B1473" s="1" t="n">
        <v>45701</v>
      </c>
      <c r="C1473" s="1" t="n">
        <v>45839</v>
      </c>
      <c r="D1473" t="inlineStr">
        <is>
          <t>VÄSTERBOTTENS LÄN</t>
        </is>
      </c>
      <c r="E1473" t="inlineStr">
        <is>
          <t>VILHELMINA</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6956-2025</t>
        </is>
      </c>
      <c r="B1474" s="1" t="n">
        <v>45701</v>
      </c>
      <c r="C1474" s="1" t="n">
        <v>45839</v>
      </c>
      <c r="D1474" t="inlineStr">
        <is>
          <t>VÄSTERBOTTENS LÄN</t>
        </is>
      </c>
      <c r="E1474" t="inlineStr">
        <is>
          <t>VILHELMINA</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7262-2025</t>
        </is>
      </c>
      <c r="B1475" s="1" t="n">
        <v>45702</v>
      </c>
      <c r="C1475" s="1" t="n">
        <v>45839</v>
      </c>
      <c r="D1475" t="inlineStr">
        <is>
          <t>VÄSTERBOTTENS LÄN</t>
        </is>
      </c>
      <c r="E1475" t="inlineStr">
        <is>
          <t>VILHELMINA</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7620-2025</t>
        </is>
      </c>
      <c r="B1476" s="1" t="n">
        <v>45705</v>
      </c>
      <c r="C1476" s="1" t="n">
        <v>45839</v>
      </c>
      <c r="D1476" t="inlineStr">
        <is>
          <t>VÄSTERBOTTENS LÄN</t>
        </is>
      </c>
      <c r="E1476" t="inlineStr">
        <is>
          <t>VILHELMINA</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7481-2025</t>
        </is>
      </c>
      <c r="B1477" s="1" t="n">
        <v>45705</v>
      </c>
      <c r="C1477" s="1" t="n">
        <v>45839</v>
      </c>
      <c r="D1477" t="inlineStr">
        <is>
          <t>VÄSTERBOTTENS LÄN</t>
        </is>
      </c>
      <c r="E1477" t="inlineStr">
        <is>
          <t>VILHELMINA</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7982-2025</t>
        </is>
      </c>
      <c r="B1478" s="1" t="n">
        <v>45707</v>
      </c>
      <c r="C1478" s="1" t="n">
        <v>45839</v>
      </c>
      <c r="D1478" t="inlineStr">
        <is>
          <t>VÄSTERBOTTENS LÄN</t>
        </is>
      </c>
      <c r="E1478" t="inlineStr">
        <is>
          <t>VILHELMINA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8566-2025</t>
        </is>
      </c>
      <c r="B1479" s="1" t="n">
        <v>45709</v>
      </c>
      <c r="C1479" s="1" t="n">
        <v>45839</v>
      </c>
      <c r="D1479" t="inlineStr">
        <is>
          <t>VÄSTERBOTTENS LÄN</t>
        </is>
      </c>
      <c r="E1479" t="inlineStr">
        <is>
          <t>VILHELMINA</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8556-2025</t>
        </is>
      </c>
      <c r="B1480" s="1" t="n">
        <v>45709</v>
      </c>
      <c r="C1480" s="1" t="n">
        <v>45839</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8585-2025</t>
        </is>
      </c>
      <c r="B1481" s="1" t="n">
        <v>45709</v>
      </c>
      <c r="C1481" s="1" t="n">
        <v>45839</v>
      </c>
      <c r="D1481" t="inlineStr">
        <is>
          <t>VÄSTERBOTTENS LÄN</t>
        </is>
      </c>
      <c r="E1481" t="inlineStr">
        <is>
          <t>VILHELMINA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8578-2025</t>
        </is>
      </c>
      <c r="B1482" s="1" t="n">
        <v>45709</v>
      </c>
      <c r="C1482" s="1" t="n">
        <v>45839</v>
      </c>
      <c r="D1482" t="inlineStr">
        <is>
          <t>VÄSTERBOTTENS LÄN</t>
        </is>
      </c>
      <c r="E1482" t="inlineStr">
        <is>
          <t>VILHELMINA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8718-2025</t>
        </is>
      </c>
      <c r="B1483" s="1" t="n">
        <v>45712</v>
      </c>
      <c r="C1483" s="1" t="n">
        <v>45839</v>
      </c>
      <c r="D1483" t="inlineStr">
        <is>
          <t>VÄSTERBOTTENS LÄN</t>
        </is>
      </c>
      <c r="E1483" t="inlineStr">
        <is>
          <t>VILHELMINA</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9061-2025</t>
        </is>
      </c>
      <c r="B1484" s="1" t="n">
        <v>45713</v>
      </c>
      <c r="C1484" s="1" t="n">
        <v>45839</v>
      </c>
      <c r="D1484" t="inlineStr">
        <is>
          <t>VÄSTERBOTTENS LÄN</t>
        </is>
      </c>
      <c r="E1484" t="inlineStr">
        <is>
          <t>VILHELMINA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8934-2025</t>
        </is>
      </c>
      <c r="B1485" s="1" t="n">
        <v>45713</v>
      </c>
      <c r="C1485" s="1" t="n">
        <v>45839</v>
      </c>
      <c r="D1485" t="inlineStr">
        <is>
          <t>VÄSTERBOTTENS LÄN</t>
        </is>
      </c>
      <c r="E1485" t="inlineStr">
        <is>
          <t>VILHELMINA</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9497-2025</t>
        </is>
      </c>
      <c r="B1486" s="1" t="n">
        <v>45715</v>
      </c>
      <c r="C1486" s="1" t="n">
        <v>45839</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10268-2025</t>
        </is>
      </c>
      <c r="B1487" s="1" t="n">
        <v>45720</v>
      </c>
      <c r="C1487" s="1" t="n">
        <v>45839</v>
      </c>
      <c r="D1487" t="inlineStr">
        <is>
          <t>VÄSTERBOTTENS LÄN</t>
        </is>
      </c>
      <c r="E1487" t="inlineStr">
        <is>
          <t>VILHELMINA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10755-2025</t>
        </is>
      </c>
      <c r="B1488" s="1" t="n">
        <v>45722</v>
      </c>
      <c r="C1488" s="1" t="n">
        <v>45839</v>
      </c>
      <c r="D1488" t="inlineStr">
        <is>
          <t>VÄSTERBOTTENS LÄN</t>
        </is>
      </c>
      <c r="E1488" t="inlineStr">
        <is>
          <t>VILHELMINA</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10966-2025</t>
        </is>
      </c>
      <c r="B1489" s="1" t="n">
        <v>45723</v>
      </c>
      <c r="C1489" s="1" t="n">
        <v>45839</v>
      </c>
      <c r="D1489" t="inlineStr">
        <is>
          <t>VÄSTERBOTTENS LÄN</t>
        </is>
      </c>
      <c r="E1489" t="inlineStr">
        <is>
          <t>VILHELMINA</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11793-2025</t>
        </is>
      </c>
      <c r="B1490" s="1" t="n">
        <v>45727</v>
      </c>
      <c r="C1490" s="1" t="n">
        <v>45839</v>
      </c>
      <c r="D1490" t="inlineStr">
        <is>
          <t>VÄSTERBOTTENS LÄN</t>
        </is>
      </c>
      <c r="E1490" t="inlineStr">
        <is>
          <t>VILHELMINA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12362-2025</t>
        </is>
      </c>
      <c r="B1491" s="1" t="n">
        <v>45730</v>
      </c>
      <c r="C1491" s="1" t="n">
        <v>45839</v>
      </c>
      <c r="D1491" t="inlineStr">
        <is>
          <t>VÄSTERBOTTENS LÄN</t>
        </is>
      </c>
      <c r="E1491" t="inlineStr">
        <is>
          <t>VILHELMINA</t>
        </is>
      </c>
      <c r="F1491" t="inlineStr">
        <is>
          <t>Övriga statliga verk och myndigheter</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12371-2025</t>
        </is>
      </c>
      <c r="B1492" s="1" t="n">
        <v>45730</v>
      </c>
      <c r="C1492" s="1" t="n">
        <v>45839</v>
      </c>
      <c r="D1492" t="inlineStr">
        <is>
          <t>VÄSTERBOTTENS LÄN</t>
        </is>
      </c>
      <c r="E1492" t="inlineStr">
        <is>
          <t>VILHELMINA</t>
        </is>
      </c>
      <c r="F1492" t="inlineStr">
        <is>
          <t>Övriga statliga verk och myndigheter</t>
        </is>
      </c>
      <c r="G1492" t="n">
        <v>37.1</v>
      </c>
      <c r="H1492" t="n">
        <v>0</v>
      </c>
      <c r="I1492" t="n">
        <v>0</v>
      </c>
      <c r="J1492" t="n">
        <v>0</v>
      </c>
      <c r="K1492" t="n">
        <v>0</v>
      </c>
      <c r="L1492" t="n">
        <v>0</v>
      </c>
      <c r="M1492" t="n">
        <v>0</v>
      </c>
      <c r="N1492" t="n">
        <v>0</v>
      </c>
      <c r="O1492" t="n">
        <v>0</v>
      </c>
      <c r="P1492" t="n">
        <v>0</v>
      </c>
      <c r="Q1492" t="n">
        <v>0</v>
      </c>
      <c r="R1492" s="2" t="inlineStr"/>
    </row>
    <row r="1493" ht="15" customHeight="1">
      <c r="A1493" t="inlineStr">
        <is>
          <t>A 12375-2025</t>
        </is>
      </c>
      <c r="B1493" s="1" t="n">
        <v>45730</v>
      </c>
      <c r="C1493" s="1" t="n">
        <v>45839</v>
      </c>
      <c r="D1493" t="inlineStr">
        <is>
          <t>VÄSTERBOTTENS LÄN</t>
        </is>
      </c>
      <c r="E1493" t="inlineStr">
        <is>
          <t>VILHELMINA</t>
        </is>
      </c>
      <c r="F1493" t="inlineStr">
        <is>
          <t>Övriga statliga verk och myndigheter</t>
        </is>
      </c>
      <c r="G1493" t="n">
        <v>22.3</v>
      </c>
      <c r="H1493" t="n">
        <v>0</v>
      </c>
      <c r="I1493" t="n">
        <v>0</v>
      </c>
      <c r="J1493" t="n">
        <v>0</v>
      </c>
      <c r="K1493" t="n">
        <v>0</v>
      </c>
      <c r="L1493" t="n">
        <v>0</v>
      </c>
      <c r="M1493" t="n">
        <v>0</v>
      </c>
      <c r="N1493" t="n">
        <v>0</v>
      </c>
      <c r="O1493" t="n">
        <v>0</v>
      </c>
      <c r="P1493" t="n">
        <v>0</v>
      </c>
      <c r="Q1493" t="n">
        <v>0</v>
      </c>
      <c r="R1493" s="2" t="inlineStr"/>
    </row>
    <row r="1494" ht="15" customHeight="1">
      <c r="A1494" t="inlineStr">
        <is>
          <t>A 12377-2025</t>
        </is>
      </c>
      <c r="B1494" s="1" t="n">
        <v>45730</v>
      </c>
      <c r="C1494" s="1" t="n">
        <v>45839</v>
      </c>
      <c r="D1494" t="inlineStr">
        <is>
          <t>VÄSTERBOTTENS LÄN</t>
        </is>
      </c>
      <c r="E1494" t="inlineStr">
        <is>
          <t>VILHELMINA</t>
        </is>
      </c>
      <c r="F1494" t="inlineStr">
        <is>
          <t>Övriga statliga verk och myndigheter</t>
        </is>
      </c>
      <c r="G1494" t="n">
        <v>37.1</v>
      </c>
      <c r="H1494" t="n">
        <v>0</v>
      </c>
      <c r="I1494" t="n">
        <v>0</v>
      </c>
      <c r="J1494" t="n">
        <v>0</v>
      </c>
      <c r="K1494" t="n">
        <v>0</v>
      </c>
      <c r="L1494" t="n">
        <v>0</v>
      </c>
      <c r="M1494" t="n">
        <v>0</v>
      </c>
      <c r="N1494" t="n">
        <v>0</v>
      </c>
      <c r="O1494" t="n">
        <v>0</v>
      </c>
      <c r="P1494" t="n">
        <v>0</v>
      </c>
      <c r="Q1494" t="n">
        <v>0</v>
      </c>
      <c r="R1494" s="2" t="inlineStr"/>
    </row>
    <row r="1495" ht="15" customHeight="1">
      <c r="A1495" t="inlineStr">
        <is>
          <t>A 12370-2025</t>
        </is>
      </c>
      <c r="B1495" s="1" t="n">
        <v>45730</v>
      </c>
      <c r="C1495" s="1" t="n">
        <v>45839</v>
      </c>
      <c r="D1495" t="inlineStr">
        <is>
          <t>VÄSTERBOTTENS LÄN</t>
        </is>
      </c>
      <c r="E1495" t="inlineStr">
        <is>
          <t>VILHELMINA</t>
        </is>
      </c>
      <c r="F1495" t="inlineStr">
        <is>
          <t>Övriga statliga verk och myndigheter</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12374-2025</t>
        </is>
      </c>
      <c r="B1496" s="1" t="n">
        <v>45730</v>
      </c>
      <c r="C1496" s="1" t="n">
        <v>45839</v>
      </c>
      <c r="D1496" t="inlineStr">
        <is>
          <t>VÄSTERBOTTENS LÄN</t>
        </is>
      </c>
      <c r="E1496" t="inlineStr">
        <is>
          <t>VILHELMINA</t>
        </is>
      </c>
      <c r="F1496" t="inlineStr">
        <is>
          <t>Övriga statliga verk och myndigheter</t>
        </is>
      </c>
      <c r="G1496" t="n">
        <v>18.7</v>
      </c>
      <c r="H1496" t="n">
        <v>0</v>
      </c>
      <c r="I1496" t="n">
        <v>0</v>
      </c>
      <c r="J1496" t="n">
        <v>0</v>
      </c>
      <c r="K1496" t="n">
        <v>0</v>
      </c>
      <c r="L1496" t="n">
        <v>0</v>
      </c>
      <c r="M1496" t="n">
        <v>0</v>
      </c>
      <c r="N1496" t="n">
        <v>0</v>
      </c>
      <c r="O1496" t="n">
        <v>0</v>
      </c>
      <c r="P1496" t="n">
        <v>0</v>
      </c>
      <c r="Q1496" t="n">
        <v>0</v>
      </c>
      <c r="R1496" s="2" t="inlineStr"/>
    </row>
    <row r="1497" ht="15" customHeight="1">
      <c r="A1497" t="inlineStr">
        <is>
          <t>A 12365-2025</t>
        </is>
      </c>
      <c r="B1497" s="1" t="n">
        <v>45730</v>
      </c>
      <c r="C1497" s="1" t="n">
        <v>45839</v>
      </c>
      <c r="D1497" t="inlineStr">
        <is>
          <t>VÄSTERBOTTENS LÄN</t>
        </is>
      </c>
      <c r="E1497" t="inlineStr">
        <is>
          <t>VILHELMINA</t>
        </is>
      </c>
      <c r="F1497" t="inlineStr">
        <is>
          <t>Övriga statliga verk och myndigheter</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12364-2025</t>
        </is>
      </c>
      <c r="B1498" s="1" t="n">
        <v>45730</v>
      </c>
      <c r="C1498" s="1" t="n">
        <v>45839</v>
      </c>
      <c r="D1498" t="inlineStr">
        <is>
          <t>VÄSTERBOTTENS LÄN</t>
        </is>
      </c>
      <c r="E1498" t="inlineStr">
        <is>
          <t>VILHELMINA</t>
        </is>
      </c>
      <c r="F1498" t="inlineStr">
        <is>
          <t>Övriga statliga verk och myndigheter</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12373-2025</t>
        </is>
      </c>
      <c r="B1499" s="1" t="n">
        <v>45730</v>
      </c>
      <c r="C1499" s="1" t="n">
        <v>45839</v>
      </c>
      <c r="D1499" t="inlineStr">
        <is>
          <t>VÄSTERBOTTENS LÄN</t>
        </is>
      </c>
      <c r="E1499" t="inlineStr">
        <is>
          <t>VILHELMINA</t>
        </is>
      </c>
      <c r="F1499" t="inlineStr">
        <is>
          <t>Övriga statliga verk och myndigheter</t>
        </is>
      </c>
      <c r="G1499" t="n">
        <v>25.5</v>
      </c>
      <c r="H1499" t="n">
        <v>0</v>
      </c>
      <c r="I1499" t="n">
        <v>0</v>
      </c>
      <c r="J1499" t="n">
        <v>0</v>
      </c>
      <c r="K1499" t="n">
        <v>0</v>
      </c>
      <c r="L1499" t="n">
        <v>0</v>
      </c>
      <c r="M1499" t="n">
        <v>0</v>
      </c>
      <c r="N1499" t="n">
        <v>0</v>
      </c>
      <c r="O1499" t="n">
        <v>0</v>
      </c>
      <c r="P1499" t="n">
        <v>0</v>
      </c>
      <c r="Q1499" t="n">
        <v>0</v>
      </c>
      <c r="R1499" s="2" t="inlineStr"/>
    </row>
    <row r="1500" ht="15" customHeight="1">
      <c r="A1500" t="inlineStr">
        <is>
          <t>A 12368-2025</t>
        </is>
      </c>
      <c r="B1500" s="1" t="n">
        <v>45730</v>
      </c>
      <c r="C1500" s="1" t="n">
        <v>45839</v>
      </c>
      <c r="D1500" t="inlineStr">
        <is>
          <t>VÄSTERBOTTENS LÄN</t>
        </is>
      </c>
      <c r="E1500" t="inlineStr">
        <is>
          <t>VILHELMINA</t>
        </is>
      </c>
      <c r="F1500" t="inlineStr">
        <is>
          <t>Övriga statliga verk och myndigheter</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12763-2025</t>
        </is>
      </c>
      <c r="B1501" s="1" t="n">
        <v>45733</v>
      </c>
      <c r="C1501" s="1" t="n">
        <v>45839</v>
      </c>
      <c r="D1501" t="inlineStr">
        <is>
          <t>VÄSTERBOTTENS LÄN</t>
        </is>
      </c>
      <c r="E1501" t="inlineStr">
        <is>
          <t>VILHELMINA</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12765-2025</t>
        </is>
      </c>
      <c r="B1502" s="1" t="n">
        <v>45733</v>
      </c>
      <c r="C1502" s="1" t="n">
        <v>45839</v>
      </c>
      <c r="D1502" t="inlineStr">
        <is>
          <t>VÄSTERBOTTENS LÄN</t>
        </is>
      </c>
      <c r="E1502" t="inlineStr">
        <is>
          <t>VILHELMINA</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13030-2025</t>
        </is>
      </c>
      <c r="B1503" s="1" t="n">
        <v>45734</v>
      </c>
      <c r="C1503" s="1" t="n">
        <v>45839</v>
      </c>
      <c r="D1503" t="inlineStr">
        <is>
          <t>VÄSTERBOTTENS LÄN</t>
        </is>
      </c>
      <c r="E1503" t="inlineStr">
        <is>
          <t>VILHELMINA</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12990-2025</t>
        </is>
      </c>
      <c r="B1504" s="1" t="n">
        <v>45734</v>
      </c>
      <c r="C1504" s="1" t="n">
        <v>45839</v>
      </c>
      <c r="D1504" t="inlineStr">
        <is>
          <t>VÄSTERBOTTENS LÄN</t>
        </is>
      </c>
      <c r="E1504" t="inlineStr">
        <is>
          <t>VILHELMINA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13092-2025</t>
        </is>
      </c>
      <c r="B1505" s="1" t="n">
        <v>45734</v>
      </c>
      <c r="C1505" s="1" t="n">
        <v>45839</v>
      </c>
      <c r="D1505" t="inlineStr">
        <is>
          <t>VÄSTERBOTTENS LÄN</t>
        </is>
      </c>
      <c r="E1505" t="inlineStr">
        <is>
          <t>VILHELMINA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13200-2025</t>
        </is>
      </c>
      <c r="B1506" s="1" t="n">
        <v>45735</v>
      </c>
      <c r="C1506" s="1" t="n">
        <v>45839</v>
      </c>
      <c r="D1506" t="inlineStr">
        <is>
          <t>VÄSTERBOTTENS LÄN</t>
        </is>
      </c>
      <c r="E1506" t="inlineStr">
        <is>
          <t>VILHELMINA</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13829-2025</t>
        </is>
      </c>
      <c r="B1507" s="1" t="n">
        <v>45737</v>
      </c>
      <c r="C1507" s="1" t="n">
        <v>45839</v>
      </c>
      <c r="D1507" t="inlineStr">
        <is>
          <t>VÄSTERBOTTENS LÄN</t>
        </is>
      </c>
      <c r="E1507" t="inlineStr">
        <is>
          <t>VILHELMINA</t>
        </is>
      </c>
      <c r="F1507" t="inlineStr">
        <is>
          <t>Övriga statliga verk och myndigheter</t>
        </is>
      </c>
      <c r="G1507" t="n">
        <v>39.7</v>
      </c>
      <c r="H1507" t="n">
        <v>0</v>
      </c>
      <c r="I1507" t="n">
        <v>0</v>
      </c>
      <c r="J1507" t="n">
        <v>0</v>
      </c>
      <c r="K1507" t="n">
        <v>0</v>
      </c>
      <c r="L1507" t="n">
        <v>0</v>
      </c>
      <c r="M1507" t="n">
        <v>0</v>
      </c>
      <c r="N1507" t="n">
        <v>0</v>
      </c>
      <c r="O1507" t="n">
        <v>0</v>
      </c>
      <c r="P1507" t="n">
        <v>0</v>
      </c>
      <c r="Q1507" t="n">
        <v>0</v>
      </c>
      <c r="R1507" s="2" t="inlineStr"/>
    </row>
    <row r="1508" ht="15" customHeight="1">
      <c r="A1508" t="inlineStr">
        <is>
          <t>A 14254-2025</t>
        </is>
      </c>
      <c r="B1508" s="1" t="n">
        <v>45740</v>
      </c>
      <c r="C1508" s="1" t="n">
        <v>45839</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14775-2025</t>
        </is>
      </c>
      <c r="B1509" s="1" t="n">
        <v>45742</v>
      </c>
      <c r="C1509" s="1" t="n">
        <v>45839</v>
      </c>
      <c r="D1509" t="inlineStr">
        <is>
          <t>VÄSTERBOTTENS LÄN</t>
        </is>
      </c>
      <c r="E1509" t="inlineStr">
        <is>
          <t>VILHELMINA</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14993-2025</t>
        </is>
      </c>
      <c r="B1510" s="1" t="n">
        <v>45743</v>
      </c>
      <c r="C1510" s="1" t="n">
        <v>45839</v>
      </c>
      <c r="D1510" t="inlineStr">
        <is>
          <t>VÄSTERBOTTENS LÄN</t>
        </is>
      </c>
      <c r="E1510" t="inlineStr">
        <is>
          <t>VILHELMINA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15786-2025</t>
        </is>
      </c>
      <c r="B1511" s="1" t="n">
        <v>45748</v>
      </c>
      <c r="C1511" s="1" t="n">
        <v>45839</v>
      </c>
      <c r="D1511" t="inlineStr">
        <is>
          <t>VÄSTERBOTTENS LÄN</t>
        </is>
      </c>
      <c r="E1511" t="inlineStr">
        <is>
          <t>VILHELMINA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15792-2025</t>
        </is>
      </c>
      <c r="B1512" s="1" t="n">
        <v>45748</v>
      </c>
      <c r="C1512" s="1" t="n">
        <v>45839</v>
      </c>
      <c r="D1512" t="inlineStr">
        <is>
          <t>VÄSTERBOTTENS LÄN</t>
        </is>
      </c>
      <c r="E1512" t="inlineStr">
        <is>
          <t>VILHELMINA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15805-2025</t>
        </is>
      </c>
      <c r="B1513" s="1" t="n">
        <v>45748</v>
      </c>
      <c r="C1513" s="1" t="n">
        <v>45839</v>
      </c>
      <c r="D1513" t="inlineStr">
        <is>
          <t>VÄSTERBOTTENS LÄN</t>
        </is>
      </c>
      <c r="E1513" t="inlineStr">
        <is>
          <t>VILHELMINA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15782-2025</t>
        </is>
      </c>
      <c r="B1514" s="1" t="n">
        <v>45748</v>
      </c>
      <c r="C1514" s="1" t="n">
        <v>45839</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15884-2025</t>
        </is>
      </c>
      <c r="B1515" s="1" t="n">
        <v>45749</v>
      </c>
      <c r="C1515" s="1" t="n">
        <v>45839</v>
      </c>
      <c r="D1515" t="inlineStr">
        <is>
          <t>VÄSTERBOTTENS LÄN</t>
        </is>
      </c>
      <c r="E1515" t="inlineStr">
        <is>
          <t>VILHELMINA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16719-2025</t>
        </is>
      </c>
      <c r="B1516" s="1" t="n">
        <v>45754</v>
      </c>
      <c r="C1516" s="1" t="n">
        <v>45839</v>
      </c>
      <c r="D1516" t="inlineStr">
        <is>
          <t>VÄSTERBOTTENS LÄN</t>
        </is>
      </c>
      <c r="E1516" t="inlineStr">
        <is>
          <t>VILHELMINA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16720-2025</t>
        </is>
      </c>
      <c r="B1517" s="1" t="n">
        <v>45754</v>
      </c>
      <c r="C1517" s="1" t="n">
        <v>45839</v>
      </c>
      <c r="D1517" t="inlineStr">
        <is>
          <t>VÄSTERBOTTENS LÄN</t>
        </is>
      </c>
      <c r="E1517" t="inlineStr">
        <is>
          <t>VILHELMINA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16721-2025</t>
        </is>
      </c>
      <c r="B1518" s="1" t="n">
        <v>45754</v>
      </c>
      <c r="C1518" s="1" t="n">
        <v>45839</v>
      </c>
      <c r="D1518" t="inlineStr">
        <is>
          <t>VÄSTERBOTTENS LÄN</t>
        </is>
      </c>
      <c r="E1518" t="inlineStr">
        <is>
          <t>VILHELMINA</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17314-2025</t>
        </is>
      </c>
      <c r="B1519" s="1" t="n">
        <v>45756</v>
      </c>
      <c r="C1519" s="1" t="n">
        <v>45839</v>
      </c>
      <c r="D1519" t="inlineStr">
        <is>
          <t>VÄSTERBOTTENS LÄN</t>
        </is>
      </c>
      <c r="E1519" t="inlineStr">
        <is>
          <t>VILHELMINA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17307-2025</t>
        </is>
      </c>
      <c r="B1520" s="1" t="n">
        <v>45756</v>
      </c>
      <c r="C1520" s="1" t="n">
        <v>45839</v>
      </c>
      <c r="D1520" t="inlineStr">
        <is>
          <t>VÄSTERBOTTENS LÄN</t>
        </is>
      </c>
      <c r="E1520" t="inlineStr">
        <is>
          <t>VILHELMINA</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17186-2025</t>
        </is>
      </c>
      <c r="B1521" s="1" t="n">
        <v>45756</v>
      </c>
      <c r="C1521" s="1" t="n">
        <v>45839</v>
      </c>
      <c r="D1521" t="inlineStr">
        <is>
          <t>VÄSTERBOTTENS LÄN</t>
        </is>
      </c>
      <c r="E1521" t="inlineStr">
        <is>
          <t>VILHELMINA</t>
        </is>
      </c>
      <c r="F1521" t="inlineStr">
        <is>
          <t>SCA</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17302-2025</t>
        </is>
      </c>
      <c r="B1522" s="1" t="n">
        <v>45756</v>
      </c>
      <c r="C1522" s="1" t="n">
        <v>45839</v>
      </c>
      <c r="D1522" t="inlineStr">
        <is>
          <t>VÄSTERBOTTENS LÄN</t>
        </is>
      </c>
      <c r="E1522" t="inlineStr">
        <is>
          <t>VILHELMINA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17467-2025</t>
        </is>
      </c>
      <c r="B1523" s="1" t="n">
        <v>45757</v>
      </c>
      <c r="C1523" s="1" t="n">
        <v>45839</v>
      </c>
      <c r="D1523" t="inlineStr">
        <is>
          <t>VÄSTERBOTTENS LÄN</t>
        </is>
      </c>
      <c r="E1523" t="inlineStr">
        <is>
          <t>VILHELMINA</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17432-2025</t>
        </is>
      </c>
      <c r="B1524" s="1" t="n">
        <v>45757</v>
      </c>
      <c r="C1524" s="1" t="n">
        <v>45839</v>
      </c>
      <c r="D1524" t="inlineStr">
        <is>
          <t>VÄSTERBOTTENS LÄN</t>
        </is>
      </c>
      <c r="E1524" t="inlineStr">
        <is>
          <t>VILHELMINA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18396-2025</t>
        </is>
      </c>
      <c r="B1525" s="1" t="n">
        <v>45762</v>
      </c>
      <c r="C1525" s="1" t="n">
        <v>45839</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18398-2025</t>
        </is>
      </c>
      <c r="B1526" s="1" t="n">
        <v>45762</v>
      </c>
      <c r="C1526" s="1" t="n">
        <v>45839</v>
      </c>
      <c r="D1526" t="inlineStr">
        <is>
          <t>VÄSTERBOTTENS LÄN</t>
        </is>
      </c>
      <c r="E1526" t="inlineStr">
        <is>
          <t>VILHELMINA</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18397-2025</t>
        </is>
      </c>
      <c r="B1527" s="1" t="n">
        <v>45762</v>
      </c>
      <c r="C1527" s="1" t="n">
        <v>45839</v>
      </c>
      <c r="D1527" t="inlineStr">
        <is>
          <t>VÄSTERBOTTENS LÄN</t>
        </is>
      </c>
      <c r="E1527" t="inlineStr">
        <is>
          <t>VILHELMINA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18394-2025</t>
        </is>
      </c>
      <c r="B1528" s="1" t="n">
        <v>45762</v>
      </c>
      <c r="C1528" s="1" t="n">
        <v>45839</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18848-2025</t>
        </is>
      </c>
      <c r="B1529" s="1" t="n">
        <v>45764</v>
      </c>
      <c r="C1529" s="1" t="n">
        <v>45839</v>
      </c>
      <c r="D1529" t="inlineStr">
        <is>
          <t>VÄSTERBOTTENS LÄN</t>
        </is>
      </c>
      <c r="E1529" t="inlineStr">
        <is>
          <t>VILHELMINA</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18873-2025</t>
        </is>
      </c>
      <c r="B1530" s="1" t="n">
        <v>45764</v>
      </c>
      <c r="C1530" s="1" t="n">
        <v>45839</v>
      </c>
      <c r="D1530" t="inlineStr">
        <is>
          <t>VÄSTERBOTTENS LÄN</t>
        </is>
      </c>
      <c r="E1530" t="inlineStr">
        <is>
          <t>VILHELMINA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19414-2025</t>
        </is>
      </c>
      <c r="B1531" s="1" t="n">
        <v>45769</v>
      </c>
      <c r="C1531" s="1" t="n">
        <v>45839</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19223-2025</t>
        </is>
      </c>
      <c r="B1532" s="1" t="n">
        <v>45769</v>
      </c>
      <c r="C1532" s="1" t="n">
        <v>45839</v>
      </c>
      <c r="D1532" t="inlineStr">
        <is>
          <t>VÄSTERBOTTENS LÄN</t>
        </is>
      </c>
      <c r="E1532" t="inlineStr">
        <is>
          <t>VILHELMINA</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19221-2025</t>
        </is>
      </c>
      <c r="B1533" s="1" t="n">
        <v>45769</v>
      </c>
      <c r="C1533" s="1" t="n">
        <v>45839</v>
      </c>
      <c r="D1533" t="inlineStr">
        <is>
          <t>VÄSTERBOTTENS LÄN</t>
        </is>
      </c>
      <c r="E1533" t="inlineStr">
        <is>
          <t>VILHELMINA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19464-2025</t>
        </is>
      </c>
      <c r="B1534" s="1" t="n">
        <v>45770</v>
      </c>
      <c r="C1534" s="1" t="n">
        <v>45839</v>
      </c>
      <c r="D1534" t="inlineStr">
        <is>
          <t>VÄSTERBOTTENS LÄN</t>
        </is>
      </c>
      <c r="E1534" t="inlineStr">
        <is>
          <t>VILHELMINA</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19546-2025</t>
        </is>
      </c>
      <c r="B1535" s="1" t="n">
        <v>45770</v>
      </c>
      <c r="C1535" s="1" t="n">
        <v>45839</v>
      </c>
      <c r="D1535" t="inlineStr">
        <is>
          <t>VÄSTERBOTTENS LÄN</t>
        </is>
      </c>
      <c r="E1535" t="inlineStr">
        <is>
          <t>VILHELMINA</t>
        </is>
      </c>
      <c r="G1535" t="n">
        <v>35.9</v>
      </c>
      <c r="H1535" t="n">
        <v>0</v>
      </c>
      <c r="I1535" t="n">
        <v>0</v>
      </c>
      <c r="J1535" t="n">
        <v>0</v>
      </c>
      <c r="K1535" t="n">
        <v>0</v>
      </c>
      <c r="L1535" t="n">
        <v>0</v>
      </c>
      <c r="M1535" t="n">
        <v>0</v>
      </c>
      <c r="N1535" t="n">
        <v>0</v>
      </c>
      <c r="O1535" t="n">
        <v>0</v>
      </c>
      <c r="P1535" t="n">
        <v>0</v>
      </c>
      <c r="Q1535" t="n">
        <v>0</v>
      </c>
      <c r="R1535" s="2" t="inlineStr"/>
    </row>
    <row r="1536" ht="15" customHeight="1">
      <c r="A1536" t="inlineStr">
        <is>
          <t>A 19506-2025</t>
        </is>
      </c>
      <c r="B1536" s="1" t="n">
        <v>45770</v>
      </c>
      <c r="C1536" s="1" t="n">
        <v>45839</v>
      </c>
      <c r="D1536" t="inlineStr">
        <is>
          <t>VÄSTERBOTTENS LÄN</t>
        </is>
      </c>
      <c r="E1536" t="inlineStr">
        <is>
          <t>VILHELMINA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19465-2025</t>
        </is>
      </c>
      <c r="B1537" s="1" t="n">
        <v>45770</v>
      </c>
      <c r="C1537" s="1" t="n">
        <v>45839</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19600-2025</t>
        </is>
      </c>
      <c r="B1538" s="1" t="n">
        <v>45770</v>
      </c>
      <c r="C1538" s="1" t="n">
        <v>45839</v>
      </c>
      <c r="D1538" t="inlineStr">
        <is>
          <t>VÄSTERBOTTENS LÄN</t>
        </is>
      </c>
      <c r="E1538" t="inlineStr">
        <is>
          <t>VILHELMINA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19738-2025</t>
        </is>
      </c>
      <c r="B1539" s="1" t="n">
        <v>45771</v>
      </c>
      <c r="C1539" s="1" t="n">
        <v>45839</v>
      </c>
      <c r="D1539" t="inlineStr">
        <is>
          <t>VÄSTERBOTTENS LÄN</t>
        </is>
      </c>
      <c r="E1539" t="inlineStr">
        <is>
          <t>VILHELMINA</t>
        </is>
      </c>
      <c r="G1539" t="n">
        <v>22.5</v>
      </c>
      <c r="H1539" t="n">
        <v>0</v>
      </c>
      <c r="I1539" t="n">
        <v>0</v>
      </c>
      <c r="J1539" t="n">
        <v>0</v>
      </c>
      <c r="K1539" t="n">
        <v>0</v>
      </c>
      <c r="L1539" t="n">
        <v>0</v>
      </c>
      <c r="M1539" t="n">
        <v>0</v>
      </c>
      <c r="N1539" t="n">
        <v>0</v>
      </c>
      <c r="O1539" t="n">
        <v>0</v>
      </c>
      <c r="P1539" t="n">
        <v>0</v>
      </c>
      <c r="Q1539" t="n">
        <v>0</v>
      </c>
      <c r="R1539" s="2" t="inlineStr"/>
    </row>
    <row r="1540" ht="15" customHeight="1">
      <c r="A1540" t="inlineStr">
        <is>
          <t>A 19909-2025</t>
        </is>
      </c>
      <c r="B1540" s="1" t="n">
        <v>45771</v>
      </c>
      <c r="C1540" s="1" t="n">
        <v>45839</v>
      </c>
      <c r="D1540" t="inlineStr">
        <is>
          <t>VÄSTERBOTTENS LÄN</t>
        </is>
      </c>
      <c r="E1540" t="inlineStr">
        <is>
          <t>VILHELMINA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20534-2025</t>
        </is>
      </c>
      <c r="B1541" s="1" t="n">
        <v>45775</v>
      </c>
      <c r="C1541" s="1" t="n">
        <v>45839</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20324-2025</t>
        </is>
      </c>
      <c r="B1542" s="1" t="n">
        <v>45775</v>
      </c>
      <c r="C1542" s="1" t="n">
        <v>45839</v>
      </c>
      <c r="D1542" t="inlineStr">
        <is>
          <t>VÄSTERBOTTENS LÄN</t>
        </is>
      </c>
      <c r="E1542" t="inlineStr">
        <is>
          <t>VILHELMINA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20591-2025</t>
        </is>
      </c>
      <c r="B1543" s="1" t="n">
        <v>45775</v>
      </c>
      <c r="C1543" s="1" t="n">
        <v>45839</v>
      </c>
      <c r="D1543" t="inlineStr">
        <is>
          <t>VÄSTERBOTTENS LÄN</t>
        </is>
      </c>
      <c r="E1543" t="inlineStr">
        <is>
          <t>VILHELMINA</t>
        </is>
      </c>
      <c r="F1543" t="inlineStr">
        <is>
          <t>SCA</t>
        </is>
      </c>
      <c r="G1543" t="n">
        <v>27.4</v>
      </c>
      <c r="H1543" t="n">
        <v>0</v>
      </c>
      <c r="I1543" t="n">
        <v>0</v>
      </c>
      <c r="J1543" t="n">
        <v>0</v>
      </c>
      <c r="K1543" t="n">
        <v>0</v>
      </c>
      <c r="L1543" t="n">
        <v>0</v>
      </c>
      <c r="M1543" t="n">
        <v>0</v>
      </c>
      <c r="N1543" t="n">
        <v>0</v>
      </c>
      <c r="O1543" t="n">
        <v>0</v>
      </c>
      <c r="P1543" t="n">
        <v>0</v>
      </c>
      <c r="Q1543" t="n">
        <v>0</v>
      </c>
      <c r="R1543" s="2" t="inlineStr"/>
    </row>
    <row r="1544" ht="15" customHeight="1">
      <c r="A1544" t="inlineStr">
        <is>
          <t>A 20336-2025</t>
        </is>
      </c>
      <c r="B1544" s="1" t="n">
        <v>45775</v>
      </c>
      <c r="C1544" s="1" t="n">
        <v>45839</v>
      </c>
      <c r="D1544" t="inlineStr">
        <is>
          <t>VÄSTERBOTTENS LÄN</t>
        </is>
      </c>
      <c r="E1544" t="inlineStr">
        <is>
          <t>VILHELMINA</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20846-2025</t>
        </is>
      </c>
      <c r="B1545" s="1" t="n">
        <v>45777</v>
      </c>
      <c r="C1545" s="1" t="n">
        <v>45839</v>
      </c>
      <c r="D1545" t="inlineStr">
        <is>
          <t>VÄSTERBOTTENS LÄN</t>
        </is>
      </c>
      <c r="E1545" t="inlineStr">
        <is>
          <t>VILHELMINA</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21069-2025</t>
        </is>
      </c>
      <c r="B1546" s="1" t="n">
        <v>45777</v>
      </c>
      <c r="C1546" s="1" t="n">
        <v>45839</v>
      </c>
      <c r="D1546" t="inlineStr">
        <is>
          <t>VÄSTERBOTTENS LÄN</t>
        </is>
      </c>
      <c r="E1546" t="inlineStr">
        <is>
          <t>VILHELMINA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20983-2025</t>
        </is>
      </c>
      <c r="B1547" s="1" t="n">
        <v>45777</v>
      </c>
      <c r="C1547" s="1" t="n">
        <v>45839</v>
      </c>
      <c r="D1547" t="inlineStr">
        <is>
          <t>VÄSTERBOTTENS LÄN</t>
        </is>
      </c>
      <c r="E1547" t="inlineStr">
        <is>
          <t>VILHELMINA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21035-2025</t>
        </is>
      </c>
      <c r="B1548" s="1" t="n">
        <v>45777</v>
      </c>
      <c r="C1548" s="1" t="n">
        <v>45839</v>
      </c>
      <c r="D1548" t="inlineStr">
        <is>
          <t>VÄSTERBOTTENS LÄN</t>
        </is>
      </c>
      <c r="E1548" t="inlineStr">
        <is>
          <t>VILHELMINA</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21205-2025</t>
        </is>
      </c>
      <c r="B1549" s="1" t="n">
        <v>45779</v>
      </c>
      <c r="C1549" s="1" t="n">
        <v>45839</v>
      </c>
      <c r="D1549" t="inlineStr">
        <is>
          <t>VÄSTERBOTTENS LÄN</t>
        </is>
      </c>
      <c r="E1549" t="inlineStr">
        <is>
          <t>VILHELMINA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21204-2025</t>
        </is>
      </c>
      <c r="B1550" s="1" t="n">
        <v>45779</v>
      </c>
      <c r="C1550" s="1" t="n">
        <v>45839</v>
      </c>
      <c r="D1550" t="inlineStr">
        <is>
          <t>VÄSTERBOTTENS LÄN</t>
        </is>
      </c>
      <c r="E1550" t="inlineStr">
        <is>
          <t>VILHELMINA</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21410-2025</t>
        </is>
      </c>
      <c r="B1551" s="1" t="n">
        <v>45782</v>
      </c>
      <c r="C1551" s="1" t="n">
        <v>45839</v>
      </c>
      <c r="D1551" t="inlineStr">
        <is>
          <t>VÄSTERBOTTENS LÄN</t>
        </is>
      </c>
      <c r="E1551" t="inlineStr">
        <is>
          <t>VILHELMINA</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21448-2025</t>
        </is>
      </c>
      <c r="B1552" s="1" t="n">
        <v>45782</v>
      </c>
      <c r="C1552" s="1" t="n">
        <v>45839</v>
      </c>
      <c r="D1552" t="inlineStr">
        <is>
          <t>VÄSTERBOTTENS LÄN</t>
        </is>
      </c>
      <c r="E1552" t="inlineStr">
        <is>
          <t>VILHELMINA</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21623-2025</t>
        </is>
      </c>
      <c r="B1553" s="1" t="n">
        <v>45783</v>
      </c>
      <c r="C1553" s="1" t="n">
        <v>45839</v>
      </c>
      <c r="D1553" t="inlineStr">
        <is>
          <t>VÄSTERBOTTENS LÄN</t>
        </is>
      </c>
      <c r="E1553" t="inlineStr">
        <is>
          <t>VILHELMINA</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21670-2025</t>
        </is>
      </c>
      <c r="B1554" s="1" t="n">
        <v>45783</v>
      </c>
      <c r="C1554" s="1" t="n">
        <v>45839</v>
      </c>
      <c r="D1554" t="inlineStr">
        <is>
          <t>VÄSTERBOTTENS LÄN</t>
        </is>
      </c>
      <c r="E1554" t="inlineStr">
        <is>
          <t>VILHELMINA</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21999-2025</t>
        </is>
      </c>
      <c r="B1555" s="1" t="n">
        <v>45784</v>
      </c>
      <c r="C1555" s="1" t="n">
        <v>45839</v>
      </c>
      <c r="D1555" t="inlineStr">
        <is>
          <t>VÄSTERBOTTENS LÄN</t>
        </is>
      </c>
      <c r="E1555" t="inlineStr">
        <is>
          <t>VILHELMINA</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21965-2025</t>
        </is>
      </c>
      <c r="B1556" s="1" t="n">
        <v>45784</v>
      </c>
      <c r="C1556" s="1" t="n">
        <v>45839</v>
      </c>
      <c r="D1556" t="inlineStr">
        <is>
          <t>VÄSTERBOTTENS LÄN</t>
        </is>
      </c>
      <c r="E1556" t="inlineStr">
        <is>
          <t>VILHELMINA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21972-2025</t>
        </is>
      </c>
      <c r="B1557" s="1" t="n">
        <v>45784</v>
      </c>
      <c r="C1557" s="1" t="n">
        <v>45839</v>
      </c>
      <c r="D1557" t="inlineStr">
        <is>
          <t>VÄSTERBOTTENS LÄN</t>
        </is>
      </c>
      <c r="E1557" t="inlineStr">
        <is>
          <t>VILHELMINA</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21924-2025</t>
        </is>
      </c>
      <c r="B1558" s="1" t="n">
        <v>45784</v>
      </c>
      <c r="C1558" s="1" t="n">
        <v>45839</v>
      </c>
      <c r="D1558" t="inlineStr">
        <is>
          <t>VÄSTERBOTTENS LÄN</t>
        </is>
      </c>
      <c r="E1558" t="inlineStr">
        <is>
          <t>VILHELMINA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21950-2025</t>
        </is>
      </c>
      <c r="B1559" s="1" t="n">
        <v>45784</v>
      </c>
      <c r="C1559" s="1" t="n">
        <v>45839</v>
      </c>
      <c r="D1559" t="inlineStr">
        <is>
          <t>VÄSTERBOTTENS LÄN</t>
        </is>
      </c>
      <c r="E1559" t="inlineStr">
        <is>
          <t>VILHELMINA</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22048-2025</t>
        </is>
      </c>
      <c r="B1560" s="1" t="n">
        <v>45785</v>
      </c>
      <c r="C1560" s="1" t="n">
        <v>45839</v>
      </c>
      <c r="D1560" t="inlineStr">
        <is>
          <t>VÄSTERBOTTENS LÄN</t>
        </is>
      </c>
      <c r="E1560" t="inlineStr">
        <is>
          <t>VILHELMINA</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22496-2025</t>
        </is>
      </c>
      <c r="B1561" s="1" t="n">
        <v>45786</v>
      </c>
      <c r="C1561" s="1" t="n">
        <v>45839</v>
      </c>
      <c r="D1561" t="inlineStr">
        <is>
          <t>VÄSTERBOTTENS LÄN</t>
        </is>
      </c>
      <c r="E1561" t="inlineStr">
        <is>
          <t>VILHELMINA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22440-2025</t>
        </is>
      </c>
      <c r="B1562" s="1" t="n">
        <v>45786</v>
      </c>
      <c r="C1562" s="1" t="n">
        <v>45839</v>
      </c>
      <c r="D1562" t="inlineStr">
        <is>
          <t>VÄSTERBOTTENS LÄN</t>
        </is>
      </c>
      <c r="E1562" t="inlineStr">
        <is>
          <t>VILHELMINA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22457-2025</t>
        </is>
      </c>
      <c r="B1563" s="1" t="n">
        <v>45786</v>
      </c>
      <c r="C1563" s="1" t="n">
        <v>45839</v>
      </c>
      <c r="D1563" t="inlineStr">
        <is>
          <t>VÄSTERBOTTENS LÄN</t>
        </is>
      </c>
      <c r="E1563" t="inlineStr">
        <is>
          <t>VILHELMINA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22617-2025</t>
        </is>
      </c>
      <c r="B1564" s="1" t="n">
        <v>45789</v>
      </c>
      <c r="C1564" s="1" t="n">
        <v>45839</v>
      </c>
      <c r="D1564" t="inlineStr">
        <is>
          <t>VÄSTERBOTTENS LÄN</t>
        </is>
      </c>
      <c r="E1564" t="inlineStr">
        <is>
          <t>VILHELMINA</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22945-2025</t>
        </is>
      </c>
      <c r="B1565" s="1" t="n">
        <v>45790</v>
      </c>
      <c r="C1565" s="1" t="n">
        <v>45839</v>
      </c>
      <c r="D1565" t="inlineStr">
        <is>
          <t>VÄSTERBOTTENS LÄN</t>
        </is>
      </c>
      <c r="E1565" t="inlineStr">
        <is>
          <t>VILHELMINA</t>
        </is>
      </c>
      <c r="G1565" t="n">
        <v>22.6</v>
      </c>
      <c r="H1565" t="n">
        <v>0</v>
      </c>
      <c r="I1565" t="n">
        <v>0</v>
      </c>
      <c r="J1565" t="n">
        <v>0</v>
      </c>
      <c r="K1565" t="n">
        <v>0</v>
      </c>
      <c r="L1565" t="n">
        <v>0</v>
      </c>
      <c r="M1565" t="n">
        <v>0</v>
      </c>
      <c r="N1565" t="n">
        <v>0</v>
      </c>
      <c r="O1565" t="n">
        <v>0</v>
      </c>
      <c r="P1565" t="n">
        <v>0</v>
      </c>
      <c r="Q1565" t="n">
        <v>0</v>
      </c>
      <c r="R1565" s="2" t="inlineStr"/>
    </row>
    <row r="1566" ht="15" customHeight="1">
      <c r="A1566" t="inlineStr">
        <is>
          <t>A 23360-2025</t>
        </is>
      </c>
      <c r="B1566" s="1" t="n">
        <v>45791</v>
      </c>
      <c r="C1566" s="1" t="n">
        <v>45839</v>
      </c>
      <c r="D1566" t="inlineStr">
        <is>
          <t>VÄSTERBOTTENS LÄN</t>
        </is>
      </c>
      <c r="E1566" t="inlineStr">
        <is>
          <t>VILHELMINA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23209-2025</t>
        </is>
      </c>
      <c r="B1567" s="1" t="n">
        <v>45791</v>
      </c>
      <c r="C1567" s="1" t="n">
        <v>45839</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23281-2025</t>
        </is>
      </c>
      <c r="B1568" s="1" t="n">
        <v>45791</v>
      </c>
      <c r="C1568" s="1" t="n">
        <v>45839</v>
      </c>
      <c r="D1568" t="inlineStr">
        <is>
          <t>VÄSTERBOTTENS LÄN</t>
        </is>
      </c>
      <c r="E1568" t="inlineStr">
        <is>
          <t>VILHELMINA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23415-2025</t>
        </is>
      </c>
      <c r="B1569" s="1" t="n">
        <v>45792</v>
      </c>
      <c r="C1569" s="1" t="n">
        <v>45839</v>
      </c>
      <c r="D1569" t="inlineStr">
        <is>
          <t>VÄSTERBOTTENS LÄN</t>
        </is>
      </c>
      <c r="E1569" t="inlineStr">
        <is>
          <t>VILHELMINA</t>
        </is>
      </c>
      <c r="F1569" t="inlineStr">
        <is>
          <t>SCA</t>
        </is>
      </c>
      <c r="G1569" t="n">
        <v>36.9</v>
      </c>
      <c r="H1569" t="n">
        <v>0</v>
      </c>
      <c r="I1569" t="n">
        <v>0</v>
      </c>
      <c r="J1569" t="n">
        <v>0</v>
      </c>
      <c r="K1569" t="n">
        <v>0</v>
      </c>
      <c r="L1569" t="n">
        <v>0</v>
      </c>
      <c r="M1569" t="n">
        <v>0</v>
      </c>
      <c r="N1569" t="n">
        <v>0</v>
      </c>
      <c r="O1569" t="n">
        <v>0</v>
      </c>
      <c r="P1569" t="n">
        <v>0</v>
      </c>
      <c r="Q1569" t="n">
        <v>0</v>
      </c>
      <c r="R1569" s="2" t="inlineStr"/>
    </row>
    <row r="1570" ht="15" customHeight="1">
      <c r="A1570" t="inlineStr">
        <is>
          <t>A 23461-2025</t>
        </is>
      </c>
      <c r="B1570" s="1" t="n">
        <v>45792</v>
      </c>
      <c r="C1570" s="1" t="n">
        <v>45839</v>
      </c>
      <c r="D1570" t="inlineStr">
        <is>
          <t>VÄSTERBOTTENS LÄN</t>
        </is>
      </c>
      <c r="E1570" t="inlineStr">
        <is>
          <t>VILHELMINA</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23406-2025</t>
        </is>
      </c>
      <c r="B1571" s="1" t="n">
        <v>45792</v>
      </c>
      <c r="C1571" s="1" t="n">
        <v>45839</v>
      </c>
      <c r="D1571" t="inlineStr">
        <is>
          <t>VÄSTERBOTTENS LÄN</t>
        </is>
      </c>
      <c r="E1571" t="inlineStr">
        <is>
          <t>VILHELMINA</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23412-2025</t>
        </is>
      </c>
      <c r="B1572" s="1" t="n">
        <v>45792</v>
      </c>
      <c r="C1572" s="1" t="n">
        <v>45839</v>
      </c>
      <c r="D1572" t="inlineStr">
        <is>
          <t>VÄSTERBOTTENS LÄN</t>
        </is>
      </c>
      <c r="E1572" t="inlineStr">
        <is>
          <t>VILHELMINA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23459-2025</t>
        </is>
      </c>
      <c r="B1573" s="1" t="n">
        <v>45792</v>
      </c>
      <c r="C1573" s="1" t="n">
        <v>45839</v>
      </c>
      <c r="D1573" t="inlineStr">
        <is>
          <t>VÄSTERBOTTENS LÄN</t>
        </is>
      </c>
      <c r="E1573" t="inlineStr">
        <is>
          <t>VILHELMINA</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23686-2025</t>
        </is>
      </c>
      <c r="B1574" s="1" t="n">
        <v>45793</v>
      </c>
      <c r="C1574" s="1" t="n">
        <v>45839</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23764-2025</t>
        </is>
      </c>
      <c r="B1575" s="1" t="n">
        <v>45793</v>
      </c>
      <c r="C1575" s="1" t="n">
        <v>45839</v>
      </c>
      <c r="D1575" t="inlineStr">
        <is>
          <t>VÄSTERBOTTENS LÄN</t>
        </is>
      </c>
      <c r="E1575" t="inlineStr">
        <is>
          <t>VILHELMINA</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23826-2025</t>
        </is>
      </c>
      <c r="B1576" s="1" t="n">
        <v>45793</v>
      </c>
      <c r="C1576" s="1" t="n">
        <v>45839</v>
      </c>
      <c r="D1576" t="inlineStr">
        <is>
          <t>VÄSTERBOTTENS LÄN</t>
        </is>
      </c>
      <c r="E1576" t="inlineStr">
        <is>
          <t>VILHELMINA</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24224-2025</t>
        </is>
      </c>
      <c r="B1577" s="1" t="n">
        <v>45797</v>
      </c>
      <c r="C1577" s="1" t="n">
        <v>45839</v>
      </c>
      <c r="D1577" t="inlineStr">
        <is>
          <t>VÄSTERBOTTENS LÄN</t>
        </is>
      </c>
      <c r="E1577" t="inlineStr">
        <is>
          <t>VILHELMINA</t>
        </is>
      </c>
      <c r="G1577" t="n">
        <v>27.2</v>
      </c>
      <c r="H1577" t="n">
        <v>0</v>
      </c>
      <c r="I1577" t="n">
        <v>0</v>
      </c>
      <c r="J1577" t="n">
        <v>0</v>
      </c>
      <c r="K1577" t="n">
        <v>0</v>
      </c>
      <c r="L1577" t="n">
        <v>0</v>
      </c>
      <c r="M1577" t="n">
        <v>0</v>
      </c>
      <c r="N1577" t="n">
        <v>0</v>
      </c>
      <c r="O1577" t="n">
        <v>0</v>
      </c>
      <c r="P1577" t="n">
        <v>0</v>
      </c>
      <c r="Q1577" t="n">
        <v>0</v>
      </c>
      <c r="R1577" s="2" t="inlineStr"/>
    </row>
    <row r="1578" ht="15" customHeight="1">
      <c r="A1578" t="inlineStr">
        <is>
          <t>A 25062-2025</t>
        </is>
      </c>
      <c r="B1578" s="1" t="n">
        <v>45799</v>
      </c>
      <c r="C1578" s="1" t="n">
        <v>45839</v>
      </c>
      <c r="D1578" t="inlineStr">
        <is>
          <t>VÄSTERBOTTENS LÄN</t>
        </is>
      </c>
      <c r="E1578" t="inlineStr">
        <is>
          <t>VILHELMINA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24870-2025</t>
        </is>
      </c>
      <c r="B1579" s="1" t="n">
        <v>45799</v>
      </c>
      <c r="C1579" s="1" t="n">
        <v>45839</v>
      </c>
      <c r="D1579" t="inlineStr">
        <is>
          <t>VÄSTERBOTTENS LÄN</t>
        </is>
      </c>
      <c r="E1579" t="inlineStr">
        <is>
          <t>VILHELMINA</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25040-2025</t>
        </is>
      </c>
      <c r="B1580" s="1" t="n">
        <v>45799</v>
      </c>
      <c r="C1580" s="1" t="n">
        <v>45839</v>
      </c>
      <c r="D1580" t="inlineStr">
        <is>
          <t>VÄSTERBOTTENS LÄN</t>
        </is>
      </c>
      <c r="E1580" t="inlineStr">
        <is>
          <t>VILHELMINA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24871-2025</t>
        </is>
      </c>
      <c r="B1581" s="1" t="n">
        <v>45799</v>
      </c>
      <c r="C1581" s="1" t="n">
        <v>45839</v>
      </c>
      <c r="D1581" t="inlineStr">
        <is>
          <t>VÄSTERBOTTENS LÄN</t>
        </is>
      </c>
      <c r="E1581" t="inlineStr">
        <is>
          <t>VILHELMINA</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24988-2025</t>
        </is>
      </c>
      <c r="B1582" s="1" t="n">
        <v>45799</v>
      </c>
      <c r="C1582" s="1" t="n">
        <v>45839</v>
      </c>
      <c r="D1582" t="inlineStr">
        <is>
          <t>VÄSTERBOTTENS LÄN</t>
        </is>
      </c>
      <c r="E1582" t="inlineStr">
        <is>
          <t>VILHELMINA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45839</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45839</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45839</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45839</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25176-2025</t>
        </is>
      </c>
      <c r="B1587" s="1" t="n">
        <v>45800</v>
      </c>
      <c r="C1587" s="1" t="n">
        <v>45839</v>
      </c>
      <c r="D1587" t="inlineStr">
        <is>
          <t>VÄSTERBOTTENS LÄN</t>
        </is>
      </c>
      <c r="E1587" t="inlineStr">
        <is>
          <t>VILHELMINA</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25524-2025</t>
        </is>
      </c>
      <c r="B1588" s="1" t="n">
        <v>45803</v>
      </c>
      <c r="C1588" s="1" t="n">
        <v>45839</v>
      </c>
      <c r="D1588" t="inlineStr">
        <is>
          <t>VÄSTERBOTTENS LÄN</t>
        </is>
      </c>
      <c r="E1588" t="inlineStr">
        <is>
          <t>VILHELMINA</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25942-2025</t>
        </is>
      </c>
      <c r="B1589" s="1" t="n">
        <v>45804</v>
      </c>
      <c r="C1589" s="1" t="n">
        <v>45839</v>
      </c>
      <c r="D1589" t="inlineStr">
        <is>
          <t>VÄSTERBOTTENS LÄN</t>
        </is>
      </c>
      <c r="E1589" t="inlineStr">
        <is>
          <t>VILHELMINA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26018-2025</t>
        </is>
      </c>
      <c r="B1590" s="1" t="n">
        <v>45804</v>
      </c>
      <c r="C1590" s="1" t="n">
        <v>45839</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25770-2025</t>
        </is>
      </c>
      <c r="B1591" s="1" t="n">
        <v>45804</v>
      </c>
      <c r="C1591" s="1" t="n">
        <v>45839</v>
      </c>
      <c r="D1591" t="inlineStr">
        <is>
          <t>VÄSTERBOTTENS LÄN</t>
        </is>
      </c>
      <c r="E1591" t="inlineStr">
        <is>
          <t>VILHELMINA</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45839</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26143-2025</t>
        </is>
      </c>
      <c r="B1593" s="1" t="n">
        <v>45805</v>
      </c>
      <c r="C1593" s="1" t="n">
        <v>45839</v>
      </c>
      <c r="D1593" t="inlineStr">
        <is>
          <t>VÄSTERBOTTENS LÄN</t>
        </is>
      </c>
      <c r="E1593" t="inlineStr">
        <is>
          <t>VILHELMINA</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26745-2025</t>
        </is>
      </c>
      <c r="B1594" s="1" t="n">
        <v>45810</v>
      </c>
      <c r="C1594" s="1" t="n">
        <v>45839</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45839</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45839</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45839</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27601-2025</t>
        </is>
      </c>
      <c r="B1598" s="1" t="n">
        <v>45813</v>
      </c>
      <c r="C1598" s="1" t="n">
        <v>45839</v>
      </c>
      <c r="D1598" t="inlineStr">
        <is>
          <t>VÄSTERBOTTENS LÄN</t>
        </is>
      </c>
      <c r="E1598" t="inlineStr">
        <is>
          <t>VILHELMINA</t>
        </is>
      </c>
      <c r="F1598" t="inlineStr">
        <is>
          <t>Övriga statliga verk och myndigheter</t>
        </is>
      </c>
      <c r="G1598" t="n">
        <v>36.5</v>
      </c>
      <c r="H1598" t="n">
        <v>0</v>
      </c>
      <c r="I1598" t="n">
        <v>0</v>
      </c>
      <c r="J1598" t="n">
        <v>0</v>
      </c>
      <c r="K1598" t="n">
        <v>0</v>
      </c>
      <c r="L1598" t="n">
        <v>0</v>
      </c>
      <c r="M1598" t="n">
        <v>0</v>
      </c>
      <c r="N1598" t="n">
        <v>0</v>
      </c>
      <c r="O1598" t="n">
        <v>0</v>
      </c>
      <c r="P1598" t="n">
        <v>0</v>
      </c>
      <c r="Q1598" t="n">
        <v>0</v>
      </c>
      <c r="R1598" s="2" t="inlineStr"/>
    </row>
    <row r="1599" ht="15" customHeight="1">
      <c r="A1599" t="inlineStr">
        <is>
          <t>A 27943-2025</t>
        </is>
      </c>
      <c r="B1599" s="1" t="n">
        <v>45817</v>
      </c>
      <c r="C1599" s="1" t="n">
        <v>45839</v>
      </c>
      <c r="D1599" t="inlineStr">
        <is>
          <t>VÄSTERBOTTENS LÄN</t>
        </is>
      </c>
      <c r="E1599" t="inlineStr">
        <is>
          <t>VILHELMINA</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28071-2025</t>
        </is>
      </c>
      <c r="B1600" s="1" t="n">
        <v>45817</v>
      </c>
      <c r="C1600" s="1" t="n">
        <v>45839</v>
      </c>
      <c r="D1600" t="inlineStr">
        <is>
          <t>VÄSTERBOTTENS LÄN</t>
        </is>
      </c>
      <c r="E1600" t="inlineStr">
        <is>
          <t>VILHELMINA</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45839</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27952-2025</t>
        </is>
      </c>
      <c r="B1602" s="1" t="n">
        <v>45817</v>
      </c>
      <c r="C1602" s="1" t="n">
        <v>45839</v>
      </c>
      <c r="D1602" t="inlineStr">
        <is>
          <t>VÄSTERBOTTENS LÄN</t>
        </is>
      </c>
      <c r="E1602" t="inlineStr">
        <is>
          <t>VILHELMINA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45839</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28016-2025</t>
        </is>
      </c>
      <c r="B1604" s="1" t="n">
        <v>45817</v>
      </c>
      <c r="C1604" s="1" t="n">
        <v>45839</v>
      </c>
      <c r="D1604" t="inlineStr">
        <is>
          <t>VÄSTERBOTTENS LÄN</t>
        </is>
      </c>
      <c r="E1604" t="inlineStr">
        <is>
          <t>VILHELMINA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45839</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28144-2025</t>
        </is>
      </c>
      <c r="B1606" s="1" t="n">
        <v>45818</v>
      </c>
      <c r="C1606" s="1" t="n">
        <v>45839</v>
      </c>
      <c r="D1606" t="inlineStr">
        <is>
          <t>VÄSTERBOTTENS LÄN</t>
        </is>
      </c>
      <c r="E1606" t="inlineStr">
        <is>
          <t>VILHELMINA</t>
        </is>
      </c>
      <c r="F1606" t="inlineStr">
        <is>
          <t>SCA</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28897-2025</t>
        </is>
      </c>
      <c r="B1607" s="1" t="n">
        <v>45820</v>
      </c>
      <c r="C1607" s="1" t="n">
        <v>45839</v>
      </c>
      <c r="D1607" t="inlineStr">
        <is>
          <t>VÄSTERBOTTENS LÄN</t>
        </is>
      </c>
      <c r="E1607" t="inlineStr">
        <is>
          <t>VILHELMINA</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29120-2025</t>
        </is>
      </c>
      <c r="B1608" s="1" t="n">
        <v>45821</v>
      </c>
      <c r="C1608" s="1" t="n">
        <v>45839</v>
      </c>
      <c r="D1608" t="inlineStr">
        <is>
          <t>VÄSTERBOTTENS LÄN</t>
        </is>
      </c>
      <c r="E1608" t="inlineStr">
        <is>
          <t>VILHELMINA</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45839</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45839</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45839</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45839</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45839</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29942-2025</t>
        </is>
      </c>
      <c r="B1614" s="1" t="n">
        <v>45826</v>
      </c>
      <c r="C1614" s="1" t="n">
        <v>45839</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30746-2025</t>
        </is>
      </c>
      <c r="B1615" s="1" t="n">
        <v>45831</v>
      </c>
      <c r="C1615" s="1" t="n">
        <v>45839</v>
      </c>
      <c r="D1615" t="inlineStr">
        <is>
          <t>VÄSTERBOTTENS LÄN</t>
        </is>
      </c>
      <c r="E1615" t="inlineStr">
        <is>
          <t>VILHELMINA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30553-2025</t>
        </is>
      </c>
      <c r="B1616" s="1" t="n">
        <v>45831</v>
      </c>
      <c r="C1616" s="1" t="n">
        <v>45839</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31307-2025</t>
        </is>
      </c>
      <c r="B1617" s="1" t="n">
        <v>45833</v>
      </c>
      <c r="C1617" s="1" t="n">
        <v>45839</v>
      </c>
      <c r="D1617" t="inlineStr">
        <is>
          <t>VÄSTERBOTTENS LÄN</t>
        </is>
      </c>
      <c r="E1617" t="inlineStr">
        <is>
          <t>VILHELMINA</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45839</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31733-2025</t>
        </is>
      </c>
      <c r="B1619" s="1" t="n">
        <v>45834</v>
      </c>
      <c r="C1619" s="1" t="n">
        <v>45839</v>
      </c>
      <c r="D1619" t="inlineStr">
        <is>
          <t>VÄSTERBOTTENS LÄN</t>
        </is>
      </c>
      <c r="E1619" t="inlineStr">
        <is>
          <t>VILHELMINA</t>
        </is>
      </c>
      <c r="F1619" t="inlineStr">
        <is>
          <t>SCA</t>
        </is>
      </c>
      <c r="G1619" t="n">
        <v>1.6</v>
      </c>
      <c r="H1619" t="n">
        <v>0</v>
      </c>
      <c r="I1619" t="n">
        <v>0</v>
      </c>
      <c r="J1619" t="n">
        <v>0</v>
      </c>
      <c r="K1619" t="n">
        <v>0</v>
      </c>
      <c r="L1619" t="n">
        <v>0</v>
      </c>
      <c r="M1619" t="n">
        <v>0</v>
      </c>
      <c r="N1619" t="n">
        <v>0</v>
      </c>
      <c r="O1619" t="n">
        <v>0</v>
      </c>
      <c r="P1619" t="n">
        <v>0</v>
      </c>
      <c r="Q1619" t="n">
        <v>0</v>
      </c>
      <c r="R1619" s="2" t="inlineStr"/>
    </row>
    <row r="1620">
      <c r="A1620" t="inlineStr">
        <is>
          <t>A 31730-2025</t>
        </is>
      </c>
      <c r="B1620" s="1" t="n">
        <v>45834</v>
      </c>
      <c r="C1620" s="1" t="n">
        <v>45839</v>
      </c>
      <c r="D1620" t="inlineStr">
        <is>
          <t>VÄSTERBOTTENS LÄN</t>
        </is>
      </c>
      <c r="E1620" t="inlineStr">
        <is>
          <t>VILHELMINA</t>
        </is>
      </c>
      <c r="F1620" t="inlineStr">
        <is>
          <t>SCA</t>
        </is>
      </c>
      <c r="G1620" t="n">
        <v>2.5</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2025-07-01T18:53:56Z</dcterms:created>
  <dcterms:modified xmlns:dcterms="http://purl.org/dc/terms/" xmlns:xsi="http://www.w3.org/2001/XMLSchema-instance" xsi:type="dcterms:W3CDTF">2025-07-01T18:53:57Z</dcterms:modified>
</cp:coreProperties>
</file>