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45899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45899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45899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45899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45899</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45899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45899</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45899</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45899</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45899</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45899</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45899</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45899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45899</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36958-2023</t>
        </is>
      </c>
      <c r="B19" s="1" t="n">
        <v>45154</v>
      </c>
      <c r="C19" s="1" t="n">
        <v>45899</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45899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63165-2020</t>
        </is>
      </c>
      <c r="B21" s="1" t="n">
        <v>44162</v>
      </c>
      <c r="C21" s="1" t="n">
        <v>45899</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54734-2022</t>
        </is>
      </c>
      <c r="B22" s="1" t="n">
        <v>44881</v>
      </c>
      <c r="C22" s="1" t="n">
        <v>45899</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45899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11282-2021</t>
        </is>
      </c>
      <c r="B24" s="1" t="n">
        <v>44263</v>
      </c>
      <c r="C24" s="1" t="n">
        <v>45899</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45899</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48248-2023</t>
        </is>
      </c>
      <c r="B26" s="1" t="n">
        <v>45201</v>
      </c>
      <c r="C26" s="1" t="n">
        <v>45899</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42064-2024</t>
        </is>
      </c>
      <c r="B27" s="1" t="n">
        <v>45561</v>
      </c>
      <c r="C27" s="1" t="n">
        <v>45899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9048-2023</t>
        </is>
      </c>
      <c r="B28" s="1" t="n">
        <v>44972</v>
      </c>
      <c r="C28" s="1" t="n">
        <v>45899</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46776-2024</t>
        </is>
      </c>
      <c r="B29" s="1" t="n">
        <v>45583</v>
      </c>
      <c r="C29" s="1" t="n">
        <v>45899</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9057-2023</t>
        </is>
      </c>
      <c r="B30" s="1" t="n">
        <v>44972</v>
      </c>
      <c r="C30" s="1" t="n">
        <v>45899</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66998-2021</t>
        </is>
      </c>
      <c r="B31" s="1" t="n">
        <v>44522</v>
      </c>
      <c r="C31" s="1" t="n">
        <v>45899</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45899</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45899</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45899</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45899</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47881-2020</t>
        </is>
      </c>
      <c r="B36" s="1" t="n">
        <v>44095</v>
      </c>
      <c r="C36" s="1" t="n">
        <v>45899</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45899</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15049-2024</t>
        </is>
      </c>
      <c r="B38" s="1" t="n">
        <v>45399</v>
      </c>
      <c r="C38" s="1" t="n">
        <v>45899</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18848-2025</t>
        </is>
      </c>
      <c r="B39" s="1" t="n">
        <v>45764</v>
      </c>
      <c r="C39" s="1" t="n">
        <v>45899</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3140-2023</t>
        </is>
      </c>
      <c r="B40" s="1" t="n">
        <v>44945</v>
      </c>
      <c r="C40" s="1" t="n">
        <v>45899</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59019-2024</t>
        </is>
      </c>
      <c r="B41" s="1" t="n">
        <v>45636</v>
      </c>
      <c r="C41" s="1" t="n">
        <v>45899</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15051-2024</t>
        </is>
      </c>
      <c r="B42" s="1" t="n">
        <v>45399</v>
      </c>
      <c r="C42" s="1" t="n">
        <v>45899</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45899</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48034-2020</t>
        </is>
      </c>
      <c r="B44" s="1" t="n">
        <v>44095</v>
      </c>
      <c r="C44" s="1" t="n">
        <v>45899</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59039-2024</t>
        </is>
      </c>
      <c r="B45" s="1" t="n">
        <v>45636</v>
      </c>
      <c r="C45" s="1" t="n">
        <v>45899</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38930-2025</t>
        </is>
      </c>
      <c r="B46" s="1" t="n">
        <v>45887</v>
      </c>
      <c r="C46" s="1" t="n">
        <v>45899</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6658-2021</t>
        </is>
      </c>
      <c r="B47" s="1" t="n">
        <v>44235</v>
      </c>
      <c r="C47" s="1" t="n">
        <v>45899</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49141-2023</t>
        </is>
      </c>
      <c r="B48" s="1" t="n">
        <v>45205</v>
      </c>
      <c r="C48" s="1" t="n">
        <v>45899</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7762-2024</t>
        </is>
      </c>
      <c r="B49" s="1" t="n">
        <v>45349</v>
      </c>
      <c r="C49" s="1" t="n">
        <v>45899</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29392-2021</t>
        </is>
      </c>
      <c r="B50" s="1" t="n">
        <v>44361</v>
      </c>
      <c r="C50" s="1" t="n">
        <v>45899</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14963-2022</t>
        </is>
      </c>
      <c r="B51" s="1" t="n">
        <v>44657</v>
      </c>
      <c r="C51" s="1" t="n">
        <v>45899</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45899</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45899</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45899</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45899</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45899</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45899</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45899</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45899</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45899</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45899</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45899</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45899</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28799-2024</t>
        </is>
      </c>
      <c r="B64" s="1" t="n">
        <v>45478</v>
      </c>
      <c r="C64" s="1" t="n">
        <v>45899</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45899</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45899</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45899</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45899</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45899</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47932-2024</t>
        </is>
      </c>
      <c r="B70" s="1" t="n">
        <v>45589</v>
      </c>
      <c r="C70" s="1" t="n">
        <v>45899</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35393-2024</t>
        </is>
      </c>
      <c r="B71" s="1" t="n">
        <v>45531</v>
      </c>
      <c r="C71" s="1" t="n">
        <v>45899</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32456-2024</t>
        </is>
      </c>
      <c r="B72" s="1" t="n">
        <v>45512</v>
      </c>
      <c r="C72" s="1" t="n">
        <v>45899</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18873-2025</t>
        </is>
      </c>
      <c r="B73" s="1" t="n">
        <v>45764</v>
      </c>
      <c r="C73" s="1" t="n">
        <v>45899</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45899</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44354-2024</t>
        </is>
      </c>
      <c r="B75" s="1" t="n">
        <v>45573</v>
      </c>
      <c r="C75" s="1" t="n">
        <v>45899</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45899</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57099-2024</t>
        </is>
      </c>
      <c r="B77" s="1" t="n">
        <v>45629</v>
      </c>
      <c r="C77" s="1" t="n">
        <v>45899</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8562-2025</t>
        </is>
      </c>
      <c r="B78" s="1" t="n">
        <v>45709</v>
      </c>
      <c r="C78" s="1" t="n">
        <v>45899</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45899</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45899</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45899</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45899</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45899</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45899</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45899</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31198-2023</t>
        </is>
      </c>
      <c r="B86" s="1" t="n">
        <v>45113</v>
      </c>
      <c r="C86" s="1" t="n">
        <v>45899</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25036-2024</t>
        </is>
      </c>
      <c r="B87" s="1" t="n">
        <v>45461</v>
      </c>
      <c r="C87" s="1" t="n">
        <v>45899</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45899</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45899</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45899</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45899</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45899</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1224-2025</t>
        </is>
      </c>
      <c r="B93" s="1" t="n">
        <v>45667</v>
      </c>
      <c r="C93" s="1" t="n">
        <v>45899</v>
      </c>
      <c r="D93" t="inlineStr">
        <is>
          <t>VÄSTERBOTTENS LÄN</t>
        </is>
      </c>
      <c r="E93" t="inlineStr">
        <is>
          <t>VILHELMINA</t>
        </is>
      </c>
      <c r="G93" t="n">
        <v>4.9</v>
      </c>
      <c r="H93" t="n">
        <v>0</v>
      </c>
      <c r="I93" t="n">
        <v>0</v>
      </c>
      <c r="J93" t="n">
        <v>3</v>
      </c>
      <c r="K93" t="n">
        <v>0</v>
      </c>
      <c r="L93" t="n">
        <v>0</v>
      </c>
      <c r="M93" t="n">
        <v>0</v>
      </c>
      <c r="N93" t="n">
        <v>0</v>
      </c>
      <c r="O93" t="n">
        <v>3</v>
      </c>
      <c r="P93" t="n">
        <v>0</v>
      </c>
      <c r="Q93" t="n">
        <v>3</v>
      </c>
      <c r="R93" s="2" t="inlineStr">
        <is>
          <t>Garnlav
Granticka
Harticka</t>
        </is>
      </c>
      <c r="S93">
        <f>HYPERLINK("https://klasma.github.io/Logging_2462/artfynd/A 1224-2025 artfynd.xlsx", "A 1224-2025")</f>
        <v/>
      </c>
      <c r="T93">
        <f>HYPERLINK("https://klasma.github.io/Logging_2462/kartor/A 1224-2025 karta.png", "A 1224-2025")</f>
        <v/>
      </c>
      <c r="V93">
        <f>HYPERLINK("https://klasma.github.io/Logging_2462/klagomål/A 1224-2025 FSC-klagomål.docx", "A 1224-2025")</f>
        <v/>
      </c>
      <c r="W93">
        <f>HYPERLINK("https://klasma.github.io/Logging_2462/klagomålsmail/A 1224-2025 FSC-klagomål mail.docx", "A 1224-2025")</f>
        <v/>
      </c>
      <c r="X93">
        <f>HYPERLINK("https://klasma.github.io/Logging_2462/tillsyn/A 1224-2025 tillsynsbegäran.docx", "A 1224-2025")</f>
        <v/>
      </c>
      <c r="Y93">
        <f>HYPERLINK("https://klasma.github.io/Logging_2462/tillsynsmail/A 1224-2025 tillsynsbegäran mail.docx", "A 1224-2025")</f>
        <v/>
      </c>
    </row>
    <row r="94" ht="15" customHeight="1">
      <c r="A94" t="inlineStr">
        <is>
          <t>A 54780-2024</t>
        </is>
      </c>
      <c r="B94" s="1" t="n">
        <v>45618</v>
      </c>
      <c r="C94" s="1" t="n">
        <v>45899</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16463-2025</t>
        </is>
      </c>
      <c r="B95" s="1" t="n">
        <v>45751</v>
      </c>
      <c r="C95" s="1" t="n">
        <v>45899</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38123-2024</t>
        </is>
      </c>
      <c r="B96" s="1" t="n">
        <v>45545</v>
      </c>
      <c r="C96" s="1" t="n">
        <v>45899</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56618-2024</t>
        </is>
      </c>
      <c r="B97" s="1" t="n">
        <v>45625</v>
      </c>
      <c r="C97" s="1" t="n">
        <v>45899</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32779-2025</t>
        </is>
      </c>
      <c r="B98" s="1" t="n">
        <v>45839.46946759259</v>
      </c>
      <c r="C98" s="1" t="n">
        <v>45899</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42063-2024</t>
        </is>
      </c>
      <c r="B99" s="1" t="n">
        <v>45561</v>
      </c>
      <c r="C99" s="1" t="n">
        <v>45899</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45899</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41646-2024</t>
        </is>
      </c>
      <c r="B101" s="1" t="n">
        <v>45560</v>
      </c>
      <c r="C101" s="1" t="n">
        <v>45899</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65382-2021</t>
        </is>
      </c>
      <c r="B102" s="1" t="n">
        <v>44515</v>
      </c>
      <c r="C102" s="1" t="n">
        <v>45899</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9157-2023</t>
        </is>
      </c>
      <c r="B103" s="1" t="n">
        <v>44972</v>
      </c>
      <c r="C103" s="1" t="n">
        <v>45899</v>
      </c>
      <c r="D103" t="inlineStr">
        <is>
          <t>VÄSTERBOTTENS LÄN</t>
        </is>
      </c>
      <c r="E103" t="inlineStr">
        <is>
          <t>VILHELMINA</t>
        </is>
      </c>
      <c r="F103" t="inlineStr">
        <is>
          <t>Allmännings- och besparingsskogar</t>
        </is>
      </c>
      <c r="G103" t="n">
        <v>411</v>
      </c>
      <c r="H103" t="n">
        <v>0</v>
      </c>
      <c r="I103" t="n">
        <v>0</v>
      </c>
      <c r="J103" t="n">
        <v>3</v>
      </c>
      <c r="K103" t="n">
        <v>0</v>
      </c>
      <c r="L103" t="n">
        <v>0</v>
      </c>
      <c r="M103" t="n">
        <v>0</v>
      </c>
      <c r="N103" t="n">
        <v>0</v>
      </c>
      <c r="O103" t="n">
        <v>3</v>
      </c>
      <c r="P103" t="n">
        <v>0</v>
      </c>
      <c r="Q103" t="n">
        <v>3</v>
      </c>
      <c r="R103" s="2" t="inlineStr">
        <is>
          <t>Garnlav
Granticka
Harticka</t>
        </is>
      </c>
      <c r="S103">
        <f>HYPERLINK("https://klasma.github.io/Logging_2462/artfynd/A 9157-2023 artfynd.xlsx", "A 9157-2023")</f>
        <v/>
      </c>
      <c r="T103">
        <f>HYPERLINK("https://klasma.github.io/Logging_2462/kartor/A 9157-2023 karta.png", "A 9157-2023")</f>
        <v/>
      </c>
      <c r="V103">
        <f>HYPERLINK("https://klasma.github.io/Logging_2462/klagomål/A 9157-2023 FSC-klagomål.docx", "A 9157-2023")</f>
        <v/>
      </c>
      <c r="W103">
        <f>HYPERLINK("https://klasma.github.io/Logging_2462/klagomålsmail/A 9157-2023 FSC-klagomål mail.docx", "A 9157-2023")</f>
        <v/>
      </c>
      <c r="X103">
        <f>HYPERLINK("https://klasma.github.io/Logging_2462/tillsyn/A 9157-2023 tillsynsbegäran.docx", "A 9157-2023")</f>
        <v/>
      </c>
      <c r="Y103">
        <f>HYPERLINK("https://klasma.github.io/Logging_2462/tillsynsmail/A 9157-2023 tillsynsbegäran mail.docx", "A 9157-2023")</f>
        <v/>
      </c>
    </row>
    <row r="104" ht="15" customHeight="1">
      <c r="A104" t="inlineStr">
        <is>
          <t>A 60737-2024</t>
        </is>
      </c>
      <c r="B104" s="1" t="n">
        <v>45644</v>
      </c>
      <c r="C104" s="1" t="n">
        <v>45899</v>
      </c>
      <c r="D104" t="inlineStr">
        <is>
          <t>VÄSTERBOTTENS LÄN</t>
        </is>
      </c>
      <c r="E104" t="inlineStr">
        <is>
          <t>VILHELMINA</t>
        </is>
      </c>
      <c r="G104" t="n">
        <v>199.5</v>
      </c>
      <c r="H104" t="n">
        <v>3</v>
      </c>
      <c r="I104" t="n">
        <v>0</v>
      </c>
      <c r="J104" t="n">
        <v>2</v>
      </c>
      <c r="K104" t="n">
        <v>0</v>
      </c>
      <c r="L104" t="n">
        <v>0</v>
      </c>
      <c r="M104" t="n">
        <v>0</v>
      </c>
      <c r="N104" t="n">
        <v>0</v>
      </c>
      <c r="O104" t="n">
        <v>2</v>
      </c>
      <c r="P104" t="n">
        <v>0</v>
      </c>
      <c r="Q104" t="n">
        <v>3</v>
      </c>
      <c r="R104" s="2" t="inlineStr">
        <is>
          <t>Alfågel
Järpe
Skogsrör</t>
        </is>
      </c>
      <c r="S104">
        <f>HYPERLINK("https://klasma.github.io/Logging_2462/artfynd/A 60737-2024 artfynd.xlsx", "A 60737-2024")</f>
        <v/>
      </c>
      <c r="T104">
        <f>HYPERLINK("https://klasma.github.io/Logging_2462/kartor/A 60737-2024 karta.png", "A 60737-2024")</f>
        <v/>
      </c>
      <c r="V104">
        <f>HYPERLINK("https://klasma.github.io/Logging_2462/klagomål/A 60737-2024 FSC-klagomål.docx", "A 60737-2024")</f>
        <v/>
      </c>
      <c r="W104">
        <f>HYPERLINK("https://klasma.github.io/Logging_2462/klagomålsmail/A 60737-2024 FSC-klagomål mail.docx", "A 60737-2024")</f>
        <v/>
      </c>
      <c r="X104">
        <f>HYPERLINK("https://klasma.github.io/Logging_2462/tillsyn/A 60737-2024 tillsynsbegäran.docx", "A 60737-2024")</f>
        <v/>
      </c>
      <c r="Y104">
        <f>HYPERLINK("https://klasma.github.io/Logging_2462/tillsynsmail/A 60737-2024 tillsynsbegäran mail.docx", "A 60737-2024")</f>
        <v/>
      </c>
      <c r="Z104">
        <f>HYPERLINK("https://klasma.github.io/Logging_2462/fåglar/A 60737-2024 prioriterade fågelarter.docx", "A 60737-2024")</f>
        <v/>
      </c>
    </row>
    <row r="105" ht="15" customHeight="1">
      <c r="A105" t="inlineStr">
        <is>
          <t>A 57861-2020</t>
        </is>
      </c>
      <c r="B105" s="1" t="n">
        <v>44141</v>
      </c>
      <c r="C105" s="1" t="n">
        <v>45899</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45899</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45899</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20983-2025</t>
        </is>
      </c>
      <c r="B108" s="1" t="n">
        <v>45777.46910879629</v>
      </c>
      <c r="C108" s="1" t="n">
        <v>45899</v>
      </c>
      <c r="D108" t="inlineStr">
        <is>
          <t>VÄSTERBOTTENS LÄN</t>
        </is>
      </c>
      <c r="E108" t="inlineStr">
        <is>
          <t>VILHELMINA</t>
        </is>
      </c>
      <c r="F108" t="inlineStr">
        <is>
          <t>SCA</t>
        </is>
      </c>
      <c r="G108" t="n">
        <v>1.2</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20983-2025 artfynd.xlsx", "A 20983-2025")</f>
        <v/>
      </c>
      <c r="T108">
        <f>HYPERLINK("https://klasma.github.io/Logging_2462/kartor/A 20983-2025 karta.png", "A 20983-2025")</f>
        <v/>
      </c>
      <c r="V108">
        <f>HYPERLINK("https://klasma.github.io/Logging_2462/klagomål/A 20983-2025 FSC-klagomål.docx", "A 20983-2025")</f>
        <v/>
      </c>
      <c r="W108">
        <f>HYPERLINK("https://klasma.github.io/Logging_2462/klagomålsmail/A 20983-2025 FSC-klagomål mail.docx", "A 20983-2025")</f>
        <v/>
      </c>
      <c r="X108">
        <f>HYPERLINK("https://klasma.github.io/Logging_2462/tillsyn/A 20983-2025 tillsynsbegäran.docx", "A 20983-2025")</f>
        <v/>
      </c>
      <c r="Y108">
        <f>HYPERLINK("https://klasma.github.io/Logging_2462/tillsynsmail/A 20983-2025 tillsynsbegäran mail.docx", "A 20983-2025")</f>
        <v/>
      </c>
      <c r="Z108">
        <f>HYPERLINK("https://klasma.github.io/Logging_2462/fåglar/A 20983-2025 prioriterade fågelarter.docx", "A 20983-2025")</f>
        <v/>
      </c>
    </row>
    <row r="109" ht="15" customHeight="1">
      <c r="A109" t="inlineStr">
        <is>
          <t>A 64030-2023</t>
        </is>
      </c>
      <c r="B109" s="1" t="n">
        <v>45278</v>
      </c>
      <c r="C109" s="1" t="n">
        <v>45899</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45899</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45899</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45899</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30717-2023</t>
        </is>
      </c>
      <c r="B113" s="1" t="n">
        <v>45112</v>
      </c>
      <c r="C113" s="1" t="n">
        <v>45899</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28012-2023</t>
        </is>
      </c>
      <c r="B114" s="1" t="n">
        <v>45098</v>
      </c>
      <c r="C114" s="1" t="n">
        <v>45899</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45899</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29140-2025</t>
        </is>
      </c>
      <c r="B116" s="1" t="n">
        <v>45821</v>
      </c>
      <c r="C116" s="1" t="n">
        <v>45899</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69626-2020</t>
        </is>
      </c>
      <c r="B117" s="1" t="n">
        <v>44195</v>
      </c>
      <c r="C117" s="1" t="n">
        <v>45899</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31735-2025</t>
        </is>
      </c>
      <c r="B118" s="1" t="n">
        <v>45834.47067129629</v>
      </c>
      <c r="C118" s="1" t="n">
        <v>45899</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25037-2024</t>
        </is>
      </c>
      <c r="B119" s="1" t="n">
        <v>45461</v>
      </c>
      <c r="C119" s="1" t="n">
        <v>45899</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41645-2024</t>
        </is>
      </c>
      <c r="B120" s="1" t="n">
        <v>45560</v>
      </c>
      <c r="C120" s="1" t="n">
        <v>45899</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37785-2021</t>
        </is>
      </c>
      <c r="B121" s="1" t="n">
        <v>44401</v>
      </c>
      <c r="C121" s="1" t="n">
        <v>45899</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36998-2025</t>
        </is>
      </c>
      <c r="B122" s="1" t="n">
        <v>45874</v>
      </c>
      <c r="C122" s="1" t="n">
        <v>45899</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65586-2021</t>
        </is>
      </c>
      <c r="B123" s="1" t="n">
        <v>44518</v>
      </c>
      <c r="C123" s="1" t="n">
        <v>45899</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60379-2024</t>
        </is>
      </c>
      <c r="B124" s="1" t="n">
        <v>45643</v>
      </c>
      <c r="C124" s="1" t="n">
        <v>45899</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6704-2021</t>
        </is>
      </c>
      <c r="B125" s="1" t="n">
        <v>44235</v>
      </c>
      <c r="C125" s="1" t="n">
        <v>45899</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69915-2021</t>
        </is>
      </c>
      <c r="B126" s="1" t="n">
        <v>44532</v>
      </c>
      <c r="C126" s="1" t="n">
        <v>45899</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45899</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56247-2023</t>
        </is>
      </c>
      <c r="B128" s="1" t="n">
        <v>45240</v>
      </c>
      <c r="C128" s="1" t="n">
        <v>45899</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45899</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45899</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47248-2024</t>
        </is>
      </c>
      <c r="B131" s="1" t="n">
        <v>45586</v>
      </c>
      <c r="C131" s="1" t="n">
        <v>45899</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25368-2024</t>
        </is>
      </c>
      <c r="B132" s="1" t="n">
        <v>45462</v>
      </c>
      <c r="C132" s="1" t="n">
        <v>45899</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45899</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74395-2021</t>
        </is>
      </c>
      <c r="B134" s="1" t="n">
        <v>44560</v>
      </c>
      <c r="C134" s="1" t="n">
        <v>45899</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45899</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34730-2024</t>
        </is>
      </c>
      <c r="B136" s="1" t="n">
        <v>45526</v>
      </c>
      <c r="C136" s="1" t="n">
        <v>45899</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59001-2024</t>
        </is>
      </c>
      <c r="B137" s="1" t="n">
        <v>45636</v>
      </c>
      <c r="C137" s="1" t="n">
        <v>45899</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38282-2024</t>
        </is>
      </c>
      <c r="B138" s="1" t="n">
        <v>45545</v>
      </c>
      <c r="C138" s="1" t="n">
        <v>45899</v>
      </c>
      <c r="D138" t="inlineStr">
        <is>
          <t>VÄSTERBOTTENS LÄN</t>
        </is>
      </c>
      <c r="E138" t="inlineStr">
        <is>
          <t>VILHELMINA</t>
        </is>
      </c>
      <c r="F138" t="inlineStr">
        <is>
          <t>SCA</t>
        </is>
      </c>
      <c r="G138" t="n">
        <v>3.4</v>
      </c>
      <c r="H138" t="n">
        <v>0</v>
      </c>
      <c r="I138" t="n">
        <v>0</v>
      </c>
      <c r="J138" t="n">
        <v>1</v>
      </c>
      <c r="K138" t="n">
        <v>0</v>
      </c>
      <c r="L138" t="n">
        <v>0</v>
      </c>
      <c r="M138" t="n">
        <v>0</v>
      </c>
      <c r="N138" t="n">
        <v>0</v>
      </c>
      <c r="O138" t="n">
        <v>1</v>
      </c>
      <c r="P138" t="n">
        <v>0</v>
      </c>
      <c r="Q138" t="n">
        <v>1</v>
      </c>
      <c r="R138" s="2" t="inlineStr">
        <is>
          <t>Gränsticka</t>
        </is>
      </c>
      <c r="S138">
        <f>HYPERLINK("https://klasma.github.io/Logging_2462/artfynd/A 38282-2024 artfynd.xlsx", "A 38282-2024")</f>
        <v/>
      </c>
      <c r="T138">
        <f>HYPERLINK("https://klasma.github.io/Logging_2462/kartor/A 38282-2024 karta.png", "A 38282-2024")</f>
        <v/>
      </c>
      <c r="V138">
        <f>HYPERLINK("https://klasma.github.io/Logging_2462/klagomål/A 38282-2024 FSC-klagomål.docx", "A 38282-2024")</f>
        <v/>
      </c>
      <c r="W138">
        <f>HYPERLINK("https://klasma.github.io/Logging_2462/klagomålsmail/A 38282-2024 FSC-klagomål mail.docx", "A 38282-2024")</f>
        <v/>
      </c>
      <c r="X138">
        <f>HYPERLINK("https://klasma.github.io/Logging_2462/tillsyn/A 38282-2024 tillsynsbegäran.docx", "A 38282-2024")</f>
        <v/>
      </c>
      <c r="Y138">
        <f>HYPERLINK("https://klasma.github.io/Logging_2462/tillsynsmail/A 38282-2024 tillsynsbegäran mail.docx", "A 38282-2024")</f>
        <v/>
      </c>
    </row>
    <row r="139" ht="15" customHeight="1">
      <c r="A139" t="inlineStr">
        <is>
          <t>A 29121-2025</t>
        </is>
      </c>
      <c r="B139" s="1" t="n">
        <v>45821</v>
      </c>
      <c r="C139" s="1" t="n">
        <v>45899</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34769-2024</t>
        </is>
      </c>
      <c r="B140" s="1" t="n">
        <v>45526.62043981482</v>
      </c>
      <c r="C140" s="1" t="n">
        <v>45899</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29376-2021</t>
        </is>
      </c>
      <c r="B141" s="1" t="n">
        <v>44361</v>
      </c>
      <c r="C141" s="1" t="n">
        <v>45899</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38131-2024</t>
        </is>
      </c>
      <c r="B142" s="1" t="n">
        <v>45545</v>
      </c>
      <c r="C142" s="1" t="n">
        <v>45899</v>
      </c>
      <c r="D142" t="inlineStr">
        <is>
          <t>VÄSTERBOTTENS LÄN</t>
        </is>
      </c>
      <c r="E142" t="inlineStr">
        <is>
          <t>VILHELMINA</t>
        </is>
      </c>
      <c r="F142" t="inlineStr">
        <is>
          <t>SCA</t>
        </is>
      </c>
      <c r="G142" t="n">
        <v>1.5</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38131-2024 artfynd.xlsx", "A 38131-2024")</f>
        <v/>
      </c>
      <c r="T142">
        <f>HYPERLINK("https://klasma.github.io/Logging_2462/kartor/A 38131-2024 karta.png", "A 38131-2024")</f>
        <v/>
      </c>
      <c r="V142">
        <f>HYPERLINK("https://klasma.github.io/Logging_2462/klagomål/A 38131-2024 FSC-klagomål.docx", "A 38131-2024")</f>
        <v/>
      </c>
      <c r="W142">
        <f>HYPERLINK("https://klasma.github.io/Logging_2462/klagomålsmail/A 38131-2024 FSC-klagomål mail.docx", "A 38131-2024")</f>
        <v/>
      </c>
      <c r="X142">
        <f>HYPERLINK("https://klasma.github.io/Logging_2462/tillsyn/A 38131-2024 tillsynsbegäran.docx", "A 38131-2024")</f>
        <v/>
      </c>
      <c r="Y142">
        <f>HYPERLINK("https://klasma.github.io/Logging_2462/tillsynsmail/A 38131-2024 tillsynsbegäran mail.docx", "A 38131-2024")</f>
        <v/>
      </c>
      <c r="Z142">
        <f>HYPERLINK("https://klasma.github.io/Logging_2462/fåglar/A 38131-2024 prioriterade fågelarter.docx", "A 38131-2024")</f>
        <v/>
      </c>
    </row>
    <row r="143" ht="15" customHeight="1">
      <c r="A143" t="inlineStr">
        <is>
          <t>A 29317-2023</t>
        </is>
      </c>
      <c r="B143" s="1" t="n">
        <v>45105</v>
      </c>
      <c r="C143" s="1" t="n">
        <v>45899</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11832-2023</t>
        </is>
      </c>
      <c r="B144" s="1" t="n">
        <v>44994</v>
      </c>
      <c r="C144" s="1" t="n">
        <v>45899</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29434-2025</t>
        </is>
      </c>
      <c r="B145" s="1" t="n">
        <v>45824</v>
      </c>
      <c r="C145" s="1" t="n">
        <v>45899</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59664-2023</t>
        </is>
      </c>
      <c r="B146" s="1" t="n">
        <v>45254</v>
      </c>
      <c r="C146" s="1" t="n">
        <v>45899</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38929-2025</t>
        </is>
      </c>
      <c r="B147" s="1" t="n">
        <v>45887</v>
      </c>
      <c r="C147" s="1" t="n">
        <v>45899</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44286-2024</t>
        </is>
      </c>
      <c r="B148" s="1" t="n">
        <v>45573</v>
      </c>
      <c r="C148" s="1" t="n">
        <v>45899</v>
      </c>
      <c r="D148" t="inlineStr">
        <is>
          <t>VÄSTERBOTTENS LÄN</t>
        </is>
      </c>
      <c r="E148" t="inlineStr">
        <is>
          <t>VILHELMINA</t>
        </is>
      </c>
      <c r="G148" t="n">
        <v>29.2</v>
      </c>
      <c r="H148" t="n">
        <v>1</v>
      </c>
      <c r="I148" t="n">
        <v>0</v>
      </c>
      <c r="J148" t="n">
        <v>1</v>
      </c>
      <c r="K148" t="n">
        <v>0</v>
      </c>
      <c r="L148" t="n">
        <v>0</v>
      </c>
      <c r="M148" t="n">
        <v>0</v>
      </c>
      <c r="N148" t="n">
        <v>0</v>
      </c>
      <c r="O148" t="n">
        <v>1</v>
      </c>
      <c r="P148" t="n">
        <v>0</v>
      </c>
      <c r="Q148" t="n">
        <v>1</v>
      </c>
      <c r="R148" s="2" t="inlineStr">
        <is>
          <t>Videsparv</t>
        </is>
      </c>
      <c r="S148">
        <f>HYPERLINK("https://klasma.github.io/Logging_2462/artfynd/A 44286-2024 artfynd.xlsx", "A 44286-2024")</f>
        <v/>
      </c>
      <c r="T148">
        <f>HYPERLINK("https://klasma.github.io/Logging_2462/kartor/A 44286-2024 karta.png", "A 44286-2024")</f>
        <v/>
      </c>
      <c r="V148">
        <f>HYPERLINK("https://klasma.github.io/Logging_2462/klagomål/A 44286-2024 FSC-klagomål.docx", "A 44286-2024")</f>
        <v/>
      </c>
      <c r="W148">
        <f>HYPERLINK("https://klasma.github.io/Logging_2462/klagomålsmail/A 44286-2024 FSC-klagomål mail.docx", "A 44286-2024")</f>
        <v/>
      </c>
      <c r="X148">
        <f>HYPERLINK("https://klasma.github.io/Logging_2462/tillsyn/A 44286-2024 tillsynsbegäran.docx", "A 44286-2024")</f>
        <v/>
      </c>
      <c r="Y148">
        <f>HYPERLINK("https://klasma.github.io/Logging_2462/tillsynsmail/A 44286-2024 tillsynsbegäran mail.docx", "A 44286-2024")</f>
        <v/>
      </c>
      <c r="Z148">
        <f>HYPERLINK("https://klasma.github.io/Logging_2462/fåglar/A 44286-2024 prioriterade fågelarter.docx", "A 44286-2024")</f>
        <v/>
      </c>
    </row>
    <row r="149" ht="15" customHeight="1">
      <c r="A149" t="inlineStr">
        <is>
          <t>A 13523-2025</t>
        </is>
      </c>
      <c r="B149" s="1" t="n">
        <v>45736</v>
      </c>
      <c r="C149" s="1" t="n">
        <v>45899</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66924-2021</t>
        </is>
      </c>
      <c r="B150" s="1" t="n">
        <v>44522</v>
      </c>
      <c r="C150" s="1" t="n">
        <v>45899</v>
      </c>
      <c r="D150" t="inlineStr">
        <is>
          <t>VÄSTERBOTTENS LÄN</t>
        </is>
      </c>
      <c r="E150" t="inlineStr">
        <is>
          <t>VILHELMINA</t>
        </is>
      </c>
      <c r="F150" t="inlineStr">
        <is>
          <t>Allmännings- och besparingsskogar</t>
        </is>
      </c>
      <c r="G150" t="n">
        <v>335.4</v>
      </c>
      <c r="H150" t="n">
        <v>1</v>
      </c>
      <c r="I150" t="n">
        <v>0</v>
      </c>
      <c r="J150" t="n">
        <v>1</v>
      </c>
      <c r="K150" t="n">
        <v>0</v>
      </c>
      <c r="L150" t="n">
        <v>0</v>
      </c>
      <c r="M150" t="n">
        <v>0</v>
      </c>
      <c r="N150" t="n">
        <v>0</v>
      </c>
      <c r="O150" t="n">
        <v>1</v>
      </c>
      <c r="P150" t="n">
        <v>0</v>
      </c>
      <c r="Q150" t="n">
        <v>1</v>
      </c>
      <c r="R150" s="2" t="inlineStr">
        <is>
          <t>Utter</t>
        </is>
      </c>
      <c r="S150">
        <f>HYPERLINK("https://klasma.github.io/Logging_2462/artfynd/A 66924-2021 artfynd.xlsx", "A 66924-2021")</f>
        <v/>
      </c>
      <c r="T150">
        <f>HYPERLINK("https://klasma.github.io/Logging_2462/kartor/A 66924-2021 karta.png", "A 66924-2021")</f>
        <v/>
      </c>
      <c r="V150">
        <f>HYPERLINK("https://klasma.github.io/Logging_2462/klagomål/A 66924-2021 FSC-klagomål.docx", "A 66924-2021")</f>
        <v/>
      </c>
      <c r="W150">
        <f>HYPERLINK("https://klasma.github.io/Logging_2462/klagomålsmail/A 66924-2021 FSC-klagomål mail.docx", "A 66924-2021")</f>
        <v/>
      </c>
      <c r="X150">
        <f>HYPERLINK("https://klasma.github.io/Logging_2462/tillsyn/A 66924-2021 tillsynsbegäran.docx", "A 66924-2021")</f>
        <v/>
      </c>
      <c r="Y150">
        <f>HYPERLINK("https://klasma.github.io/Logging_2462/tillsynsmail/A 66924-2021 tillsynsbegäran mail.docx", "A 66924-2021")</f>
        <v/>
      </c>
    </row>
    <row r="151" ht="15" customHeight="1">
      <c r="A151" t="inlineStr">
        <is>
          <t>A 32677-2021</t>
        </is>
      </c>
      <c r="B151" s="1" t="n">
        <v>44371</v>
      </c>
      <c r="C151" s="1" t="n">
        <v>45899</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60369-2021</t>
        </is>
      </c>
      <c r="B152" s="1" t="n">
        <v>44494</v>
      </c>
      <c r="C152" s="1" t="n">
        <v>45899</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33913-2024</t>
        </is>
      </c>
      <c r="B153" s="1" t="n">
        <v>45523.38783564815</v>
      </c>
      <c r="C153" s="1" t="n">
        <v>45899</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38416-2022</t>
        </is>
      </c>
      <c r="B154" s="1" t="n">
        <v>44812</v>
      </c>
      <c r="C154" s="1" t="n">
        <v>45899</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45899</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45899</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29332-2021</t>
        </is>
      </c>
      <c r="B157" s="1" t="n">
        <v>44361</v>
      </c>
      <c r="C157" s="1" t="n">
        <v>45899</v>
      </c>
      <c r="D157" t="inlineStr">
        <is>
          <t>VÄSTERBOTTENS LÄN</t>
        </is>
      </c>
      <c r="E157" t="inlineStr">
        <is>
          <t>VILHELMINA</t>
        </is>
      </c>
      <c r="F157" t="inlineStr">
        <is>
          <t>Allmännings- och besparingsskogar</t>
        </is>
      </c>
      <c r="G157" t="n">
        <v>51.8</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45899</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11076-2022</t>
        </is>
      </c>
      <c r="B159" s="1" t="n">
        <v>44628</v>
      </c>
      <c r="C159" s="1" t="n">
        <v>45899</v>
      </c>
      <c r="D159" t="inlineStr">
        <is>
          <t>VÄSTERBOTTENS LÄN</t>
        </is>
      </c>
      <c r="E159" t="inlineStr">
        <is>
          <t>VILHELMINA</t>
        </is>
      </c>
      <c r="G159" t="n">
        <v>7.4</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45899</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45899</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37655-2022</t>
        </is>
      </c>
      <c r="B162" s="1" t="n">
        <v>44810</v>
      </c>
      <c r="C162" s="1" t="n">
        <v>45899</v>
      </c>
      <c r="D162" t="inlineStr">
        <is>
          <t>VÄSTERBOTTENS LÄN</t>
        </is>
      </c>
      <c r="E162" t="inlineStr">
        <is>
          <t>VILHELMINA</t>
        </is>
      </c>
      <c r="G162" t="n">
        <v>6.3</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45899</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51017-2022</t>
        </is>
      </c>
      <c r="B164" s="1" t="n">
        <v>44867.95054398148</v>
      </c>
      <c r="C164" s="1" t="n">
        <v>45899</v>
      </c>
      <c r="D164" t="inlineStr">
        <is>
          <t>VÄSTERBOTTENS LÄN</t>
        </is>
      </c>
      <c r="E164" t="inlineStr">
        <is>
          <t>VILHELMINA</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45899</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45899</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45899</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45899</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45899</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45899</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45899</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45899</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45899</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45899</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45899</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45899</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45899</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45899</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45899</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45899</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45899</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45899</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45899</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45899</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45899</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45899</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45899</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45899</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45899</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45899</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45899</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45899</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45899</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45899</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45899</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45899</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45899</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45899</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45899</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45899</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48574-2021</t>
        </is>
      </c>
      <c r="B201" s="1" t="n">
        <v>44452</v>
      </c>
      <c r="C201" s="1" t="n">
        <v>45899</v>
      </c>
      <c r="D201" t="inlineStr">
        <is>
          <t>VÄSTERBOTTENS LÄN</t>
        </is>
      </c>
      <c r="E201" t="inlineStr">
        <is>
          <t>VILHELMINA</t>
        </is>
      </c>
      <c r="F201" t="inlineStr">
        <is>
          <t>Allmännings- och besparingsskogar</t>
        </is>
      </c>
      <c r="G201" t="n">
        <v>85.09999999999999</v>
      </c>
      <c r="H201" t="n">
        <v>0</v>
      </c>
      <c r="I201" t="n">
        <v>0</v>
      </c>
      <c r="J201" t="n">
        <v>0</v>
      </c>
      <c r="K201" t="n">
        <v>0</v>
      </c>
      <c r="L201" t="n">
        <v>0</v>
      </c>
      <c r="M201" t="n">
        <v>0</v>
      </c>
      <c r="N201" t="n">
        <v>0</v>
      </c>
      <c r="O201" t="n">
        <v>0</v>
      </c>
      <c r="P201" t="n">
        <v>0</v>
      </c>
      <c r="Q201" t="n">
        <v>0</v>
      </c>
      <c r="R201" s="2" t="inlineStr"/>
    </row>
    <row r="202" ht="15" customHeight="1">
      <c r="A202" t="inlineStr">
        <is>
          <t>A 2193-2021</t>
        </is>
      </c>
      <c r="B202" s="1" t="n">
        <v>44211</v>
      </c>
      <c r="C202" s="1" t="n">
        <v>45899</v>
      </c>
      <c r="D202" t="inlineStr">
        <is>
          <t>VÄSTERBOTTENS LÄN</t>
        </is>
      </c>
      <c r="E202" t="inlineStr">
        <is>
          <t>VILHELMINA</t>
        </is>
      </c>
      <c r="F202" t="inlineStr">
        <is>
          <t>Allmännings- och besparingsskogar</t>
        </is>
      </c>
      <c r="G202" t="n">
        <v>157.8</v>
      </c>
      <c r="H202" t="n">
        <v>0</v>
      </c>
      <c r="I202" t="n">
        <v>0</v>
      </c>
      <c r="J202" t="n">
        <v>0</v>
      </c>
      <c r="K202" t="n">
        <v>0</v>
      </c>
      <c r="L202" t="n">
        <v>0</v>
      </c>
      <c r="M202" t="n">
        <v>0</v>
      </c>
      <c r="N202" t="n">
        <v>0</v>
      </c>
      <c r="O202" t="n">
        <v>0</v>
      </c>
      <c r="P202" t="n">
        <v>0</v>
      </c>
      <c r="Q202" t="n">
        <v>0</v>
      </c>
      <c r="R202" s="2" t="inlineStr"/>
    </row>
    <row r="203" ht="15" customHeight="1">
      <c r="A203" t="inlineStr">
        <is>
          <t>A 51935-2021</t>
        </is>
      </c>
      <c r="B203" s="1" t="n">
        <v>44462</v>
      </c>
      <c r="C203" s="1" t="n">
        <v>45899</v>
      </c>
      <c r="D203" t="inlineStr">
        <is>
          <t>VÄSTERBOTTENS LÄN</t>
        </is>
      </c>
      <c r="E203" t="inlineStr">
        <is>
          <t>VILHELMINA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45899</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45899</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45899</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45899</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45899</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45899</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72487-2021</t>
        </is>
      </c>
      <c r="B210" s="1" t="n">
        <v>44545.92033564814</v>
      </c>
      <c r="C210" s="1" t="n">
        <v>45899</v>
      </c>
      <c r="D210" t="inlineStr">
        <is>
          <t>VÄSTERBOTTENS LÄN</t>
        </is>
      </c>
      <c r="E210" t="inlineStr">
        <is>
          <t>VILHELMINA</t>
        </is>
      </c>
      <c r="G210" t="n">
        <v>1.2</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45899</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45899</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31656-2021</t>
        </is>
      </c>
      <c r="B213" s="1" t="n">
        <v>44377</v>
      </c>
      <c r="C213" s="1" t="n">
        <v>45899</v>
      </c>
      <c r="D213" t="inlineStr">
        <is>
          <t>VÄSTERBOTTENS LÄN</t>
        </is>
      </c>
      <c r="E213" t="inlineStr">
        <is>
          <t>VILHELMINA</t>
        </is>
      </c>
      <c r="G213" t="n">
        <v>0.9</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45899</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45899</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45899</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48600-2021</t>
        </is>
      </c>
      <c r="B217" s="1" t="n">
        <v>44452</v>
      </c>
      <c r="C217" s="1" t="n">
        <v>45899</v>
      </c>
      <c r="D217" t="inlineStr">
        <is>
          <t>VÄSTERBOTTENS LÄN</t>
        </is>
      </c>
      <c r="E217" t="inlineStr">
        <is>
          <t>VILHELMINA</t>
        </is>
      </c>
      <c r="F217" t="inlineStr">
        <is>
          <t>Allmännings- och besparingsskogar</t>
        </is>
      </c>
      <c r="G217" t="n">
        <v>48.6</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45899</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45899</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28895-2021</t>
        </is>
      </c>
      <c r="B220" s="1" t="n">
        <v>44357</v>
      </c>
      <c r="C220" s="1" t="n">
        <v>45899</v>
      </c>
      <c r="D220" t="inlineStr">
        <is>
          <t>VÄSTERBOTTENS LÄN</t>
        </is>
      </c>
      <c r="E220" t="inlineStr">
        <is>
          <t>VILHELMINA</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9501-2022</t>
        </is>
      </c>
      <c r="B221" s="1" t="n">
        <v>44616.93883101852</v>
      </c>
      <c r="C221" s="1" t="n">
        <v>45899</v>
      </c>
      <c r="D221" t="inlineStr">
        <is>
          <t>VÄSTERBOTTENS LÄN</t>
        </is>
      </c>
      <c r="E221" t="inlineStr">
        <is>
          <t>VILHELMINA</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45899</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45899</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45899</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45899</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24983-2021</t>
        </is>
      </c>
      <c r="B226" s="1" t="n">
        <v>44341</v>
      </c>
      <c r="C226" s="1" t="n">
        <v>45899</v>
      </c>
      <c r="D226" t="inlineStr">
        <is>
          <t>VÄSTERBOTTENS LÄN</t>
        </is>
      </c>
      <c r="E226" t="inlineStr">
        <is>
          <t>VILHELMINA</t>
        </is>
      </c>
      <c r="G226" t="n">
        <v>12.9</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45899</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44755.62866898148</v>
      </c>
      <c r="C228" s="1" t="n">
        <v>45899</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64759-2020</t>
        </is>
      </c>
      <c r="B229" s="1" t="n">
        <v>44169</v>
      </c>
      <c r="C229" s="1" t="n">
        <v>45899</v>
      </c>
      <c r="D229" t="inlineStr">
        <is>
          <t>VÄSTERBOTTENS LÄN</t>
        </is>
      </c>
      <c r="E229" t="inlineStr">
        <is>
          <t>VILHELMINA</t>
        </is>
      </c>
      <c r="G229" t="n">
        <v>24.6</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45899</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45899</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45899</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45899</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43741-2022</t>
        </is>
      </c>
      <c r="B234" s="1" t="n">
        <v>44837</v>
      </c>
      <c r="C234" s="1" t="n">
        <v>45899</v>
      </c>
      <c r="D234" t="inlineStr">
        <is>
          <t>VÄSTERBOTTENS LÄN</t>
        </is>
      </c>
      <c r="E234" t="inlineStr">
        <is>
          <t>VILHELMINA</t>
        </is>
      </c>
      <c r="G234" t="n">
        <v>54.2</v>
      </c>
      <c r="H234" t="n">
        <v>0</v>
      </c>
      <c r="I234" t="n">
        <v>0</v>
      </c>
      <c r="J234" t="n">
        <v>0</v>
      </c>
      <c r="K234" t="n">
        <v>0</v>
      </c>
      <c r="L234" t="n">
        <v>0</v>
      </c>
      <c r="M234" t="n">
        <v>0</v>
      </c>
      <c r="N234" t="n">
        <v>0</v>
      </c>
      <c r="O234" t="n">
        <v>0</v>
      </c>
      <c r="P234" t="n">
        <v>0</v>
      </c>
      <c r="Q234" t="n">
        <v>0</v>
      </c>
      <c r="R234" s="2" t="inlineStr"/>
    </row>
    <row r="235" ht="15" customHeight="1">
      <c r="A235" t="inlineStr">
        <is>
          <t>A 33603-2022</t>
        </is>
      </c>
      <c r="B235" s="1" t="n">
        <v>44789.49009259259</v>
      </c>
      <c r="C235" s="1" t="n">
        <v>45899</v>
      </c>
      <c r="D235" t="inlineStr">
        <is>
          <t>VÄSTERBOTTENS LÄN</t>
        </is>
      </c>
      <c r="E235" t="inlineStr">
        <is>
          <t>VILHELMINA</t>
        </is>
      </c>
      <c r="F235" t="inlineStr">
        <is>
          <t>Sveaskog</t>
        </is>
      </c>
      <c r="G235" t="n">
        <v>15.1</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45899</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12065-2022</t>
        </is>
      </c>
      <c r="B237" s="1" t="n">
        <v>44637</v>
      </c>
      <c r="C237" s="1" t="n">
        <v>45899</v>
      </c>
      <c r="D237" t="inlineStr">
        <is>
          <t>VÄSTERBOTTENS LÄN</t>
        </is>
      </c>
      <c r="E237" t="inlineStr">
        <is>
          <t>VILHELMINA</t>
        </is>
      </c>
      <c r="G237" t="n">
        <v>27.7</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45899</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45899</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27874-2022</t>
        </is>
      </c>
      <c r="B240" s="1" t="n">
        <v>44743</v>
      </c>
      <c r="C240" s="1" t="n">
        <v>45899</v>
      </c>
      <c r="D240" t="inlineStr">
        <is>
          <t>VÄSTERBOTTENS LÄN</t>
        </is>
      </c>
      <c r="E240" t="inlineStr">
        <is>
          <t>VILHELMINA</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27880-2022</t>
        </is>
      </c>
      <c r="B241" s="1" t="n">
        <v>44743</v>
      </c>
      <c r="C241" s="1" t="n">
        <v>45899</v>
      </c>
      <c r="D241" t="inlineStr">
        <is>
          <t>VÄSTERBOTTENS LÄN</t>
        </is>
      </c>
      <c r="E241" t="inlineStr">
        <is>
          <t>VILHELMINA</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45899</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47287-2022</t>
        </is>
      </c>
      <c r="B243" s="1" t="n">
        <v>44852.95145833334</v>
      </c>
      <c r="C243" s="1" t="n">
        <v>45899</v>
      </c>
      <c r="D243" t="inlineStr">
        <is>
          <t>VÄSTERBOTTENS LÄN</t>
        </is>
      </c>
      <c r="E243" t="inlineStr">
        <is>
          <t>VILHELMINA</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47288-2022</t>
        </is>
      </c>
      <c r="B244" s="1" t="n">
        <v>44852</v>
      </c>
      <c r="C244" s="1" t="n">
        <v>45899</v>
      </c>
      <c r="D244" t="inlineStr">
        <is>
          <t>VÄSTERBOTTENS LÄN</t>
        </is>
      </c>
      <c r="E244" t="inlineStr">
        <is>
          <t>VILHELMINA</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31896-2024</t>
        </is>
      </c>
      <c r="B245" s="1" t="n">
        <v>45509</v>
      </c>
      <c r="C245" s="1" t="n">
        <v>45899</v>
      </c>
      <c r="D245" t="inlineStr">
        <is>
          <t>VÄSTERBOTTENS LÄN</t>
        </is>
      </c>
      <c r="E245" t="inlineStr">
        <is>
          <t>VILHELMINA</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39914-2023</t>
        </is>
      </c>
      <c r="B246" s="1" t="n">
        <v>45166</v>
      </c>
      <c r="C246" s="1" t="n">
        <v>45899</v>
      </c>
      <c r="D246" t="inlineStr">
        <is>
          <t>VÄSTERBOTTENS LÄN</t>
        </is>
      </c>
      <c r="E246" t="inlineStr">
        <is>
          <t>VILHELMINA</t>
        </is>
      </c>
      <c r="G246" t="n">
        <v>27.5</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45899</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20324-2025</t>
        </is>
      </c>
      <c r="B248" s="1" t="n">
        <v>45775</v>
      </c>
      <c r="C248" s="1" t="n">
        <v>45899</v>
      </c>
      <c r="D248" t="inlineStr">
        <is>
          <t>VÄSTERBOTTENS LÄN</t>
        </is>
      </c>
      <c r="E248" t="inlineStr">
        <is>
          <t>VILHELMINA</t>
        </is>
      </c>
      <c r="G248" t="n">
        <v>3.5</v>
      </c>
      <c r="H248" t="n">
        <v>0</v>
      </c>
      <c r="I248" t="n">
        <v>0</v>
      </c>
      <c r="J248" t="n">
        <v>0</v>
      </c>
      <c r="K248" t="n">
        <v>0</v>
      </c>
      <c r="L248" t="n">
        <v>0</v>
      </c>
      <c r="M248" t="n">
        <v>0</v>
      </c>
      <c r="N248" t="n">
        <v>0</v>
      </c>
      <c r="O248" t="n">
        <v>0</v>
      </c>
      <c r="P248" t="n">
        <v>0</v>
      </c>
      <c r="Q248" t="n">
        <v>0</v>
      </c>
      <c r="R248" s="2" t="inlineStr"/>
    </row>
    <row r="249" ht="15" customHeight="1">
      <c r="A249" t="inlineStr">
        <is>
          <t>A 13200-2025</t>
        </is>
      </c>
      <c r="B249" s="1" t="n">
        <v>45735</v>
      </c>
      <c r="C249" s="1" t="n">
        <v>45899</v>
      </c>
      <c r="D249" t="inlineStr">
        <is>
          <t>VÄSTERBOTTENS LÄN</t>
        </is>
      </c>
      <c r="E249" t="inlineStr">
        <is>
          <t>VILHELMINA</t>
        </is>
      </c>
      <c r="F249" t="inlineStr">
        <is>
          <t>SCA</t>
        </is>
      </c>
      <c r="G249" t="n">
        <v>5.5</v>
      </c>
      <c r="H249" t="n">
        <v>0</v>
      </c>
      <c r="I249" t="n">
        <v>0</v>
      </c>
      <c r="J249" t="n">
        <v>0</v>
      </c>
      <c r="K249" t="n">
        <v>0</v>
      </c>
      <c r="L249" t="n">
        <v>0</v>
      </c>
      <c r="M249" t="n">
        <v>0</v>
      </c>
      <c r="N249" t="n">
        <v>0</v>
      </c>
      <c r="O249" t="n">
        <v>0</v>
      </c>
      <c r="P249" t="n">
        <v>0</v>
      </c>
      <c r="Q249" t="n">
        <v>0</v>
      </c>
      <c r="R249" s="2" t="inlineStr"/>
    </row>
    <row r="250" ht="15" customHeight="1">
      <c r="A250" t="inlineStr">
        <is>
          <t>A 41330-2022</t>
        </is>
      </c>
      <c r="B250" s="1" t="n">
        <v>44826</v>
      </c>
      <c r="C250" s="1" t="n">
        <v>45899</v>
      </c>
      <c r="D250" t="inlineStr">
        <is>
          <t>VÄSTERBOTTENS LÄN</t>
        </is>
      </c>
      <c r="E250" t="inlineStr">
        <is>
          <t>VILHELMINA</t>
        </is>
      </c>
      <c r="G250" t="n">
        <v>3.4</v>
      </c>
      <c r="H250" t="n">
        <v>0</v>
      </c>
      <c r="I250" t="n">
        <v>0</v>
      </c>
      <c r="J250" t="n">
        <v>0</v>
      </c>
      <c r="K250" t="n">
        <v>0</v>
      </c>
      <c r="L250" t="n">
        <v>0</v>
      </c>
      <c r="M250" t="n">
        <v>0</v>
      </c>
      <c r="N250" t="n">
        <v>0</v>
      </c>
      <c r="O250" t="n">
        <v>0</v>
      </c>
      <c r="P250" t="n">
        <v>0</v>
      </c>
      <c r="Q250" t="n">
        <v>0</v>
      </c>
      <c r="R250" s="2" t="inlineStr"/>
    </row>
    <row r="251" ht="15" customHeight="1">
      <c r="A251" t="inlineStr">
        <is>
          <t>A 33412-2023</t>
        </is>
      </c>
      <c r="B251" s="1" t="n">
        <v>45117</v>
      </c>
      <c r="C251" s="1" t="n">
        <v>45899</v>
      </c>
      <c r="D251" t="inlineStr">
        <is>
          <t>VÄSTERBOTTENS LÄN</t>
        </is>
      </c>
      <c r="E251" t="inlineStr">
        <is>
          <t>VILHELMINA</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54727-2022</t>
        </is>
      </c>
      <c r="B252" s="1" t="n">
        <v>44881</v>
      </c>
      <c r="C252" s="1" t="n">
        <v>45899</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2008-2025</t>
        </is>
      </c>
      <c r="B253" s="1" t="n">
        <v>45672.45302083333</v>
      </c>
      <c r="C253" s="1" t="n">
        <v>45899</v>
      </c>
      <c r="D253" t="inlineStr">
        <is>
          <t>VÄSTERBOTTENS LÄN</t>
        </is>
      </c>
      <c r="E253" t="inlineStr">
        <is>
          <t>VILHELMINA</t>
        </is>
      </c>
      <c r="G253" t="n">
        <v>0.7</v>
      </c>
      <c r="H253" t="n">
        <v>0</v>
      </c>
      <c r="I253" t="n">
        <v>0</v>
      </c>
      <c r="J253" t="n">
        <v>0</v>
      </c>
      <c r="K253" t="n">
        <v>0</v>
      </c>
      <c r="L253" t="n">
        <v>0</v>
      </c>
      <c r="M253" t="n">
        <v>0</v>
      </c>
      <c r="N253" t="n">
        <v>0</v>
      </c>
      <c r="O253" t="n">
        <v>0</v>
      </c>
      <c r="P253" t="n">
        <v>0</v>
      </c>
      <c r="Q253" t="n">
        <v>0</v>
      </c>
      <c r="R253" s="2" t="inlineStr"/>
    </row>
    <row r="254" ht="15" customHeight="1">
      <c r="A254" t="inlineStr">
        <is>
          <t>A 57246-2023</t>
        </is>
      </c>
      <c r="B254" s="1" t="n">
        <v>45239</v>
      </c>
      <c r="C254" s="1" t="n">
        <v>45899</v>
      </c>
      <c r="D254" t="inlineStr">
        <is>
          <t>VÄSTERBOTTENS LÄN</t>
        </is>
      </c>
      <c r="E254" t="inlineStr">
        <is>
          <t>VILHELMINA</t>
        </is>
      </c>
      <c r="G254" t="n">
        <v>15.3</v>
      </c>
      <c r="H254" t="n">
        <v>0</v>
      </c>
      <c r="I254" t="n">
        <v>0</v>
      </c>
      <c r="J254" t="n">
        <v>0</v>
      </c>
      <c r="K254" t="n">
        <v>0</v>
      </c>
      <c r="L254" t="n">
        <v>0</v>
      </c>
      <c r="M254" t="n">
        <v>0</v>
      </c>
      <c r="N254" t="n">
        <v>0</v>
      </c>
      <c r="O254" t="n">
        <v>0</v>
      </c>
      <c r="P254" t="n">
        <v>0</v>
      </c>
      <c r="Q254" t="n">
        <v>0</v>
      </c>
      <c r="R254" s="2" t="inlineStr"/>
    </row>
    <row r="255" ht="15" customHeight="1">
      <c r="A255" t="inlineStr">
        <is>
          <t>A 56246-2023</t>
        </is>
      </c>
      <c r="B255" s="1" t="n">
        <v>45240</v>
      </c>
      <c r="C255" s="1" t="n">
        <v>45899</v>
      </c>
      <c r="D255" t="inlineStr">
        <is>
          <t>VÄSTERBOTTENS LÄN</t>
        </is>
      </c>
      <c r="E255" t="inlineStr">
        <is>
          <t>VILHELMINA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12866-2023</t>
        </is>
      </c>
      <c r="B256" s="1" t="n">
        <v>45000</v>
      </c>
      <c r="C256" s="1" t="n">
        <v>45899</v>
      </c>
      <c r="D256" t="inlineStr">
        <is>
          <t>VÄSTERBOTTENS LÄN</t>
        </is>
      </c>
      <c r="E256" t="inlineStr">
        <is>
          <t>VILHELMINA</t>
        </is>
      </c>
      <c r="G256" t="n">
        <v>2.6</v>
      </c>
      <c r="H256" t="n">
        <v>0</v>
      </c>
      <c r="I256" t="n">
        <v>0</v>
      </c>
      <c r="J256" t="n">
        <v>0</v>
      </c>
      <c r="K256" t="n">
        <v>0</v>
      </c>
      <c r="L256" t="n">
        <v>0</v>
      </c>
      <c r="M256" t="n">
        <v>0</v>
      </c>
      <c r="N256" t="n">
        <v>0</v>
      </c>
      <c r="O256" t="n">
        <v>0</v>
      </c>
      <c r="P256" t="n">
        <v>0</v>
      </c>
      <c r="Q256" t="n">
        <v>0</v>
      </c>
      <c r="R256" s="2" t="inlineStr"/>
    </row>
    <row r="257" ht="15" customHeight="1">
      <c r="A257" t="inlineStr">
        <is>
          <t>A 12190-2024</t>
        </is>
      </c>
      <c r="B257" s="1" t="n">
        <v>45377.94954861111</v>
      </c>
      <c r="C257" s="1" t="n">
        <v>45899</v>
      </c>
      <c r="D257" t="inlineStr">
        <is>
          <t>VÄSTERBOTTENS LÄN</t>
        </is>
      </c>
      <c r="E257" t="inlineStr">
        <is>
          <t>VILHELMINA</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9497-2025</t>
        </is>
      </c>
      <c r="B258" s="1" t="n">
        <v>45715.51086805556</v>
      </c>
      <c r="C258" s="1" t="n">
        <v>45899</v>
      </c>
      <c r="D258" t="inlineStr">
        <is>
          <t>VÄSTERBOTTENS LÄN</t>
        </is>
      </c>
      <c r="E258" t="inlineStr">
        <is>
          <t>VILHELMINA</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18398-2025</t>
        </is>
      </c>
      <c r="B259" s="1" t="n">
        <v>45762.59491898148</v>
      </c>
      <c r="C259" s="1" t="n">
        <v>45899</v>
      </c>
      <c r="D259" t="inlineStr">
        <is>
          <t>VÄSTERBOTTENS LÄN</t>
        </is>
      </c>
      <c r="E259" t="inlineStr">
        <is>
          <t>VILHELMINA</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8718-2025</t>
        </is>
      </c>
      <c r="B260" s="1" t="n">
        <v>45712</v>
      </c>
      <c r="C260" s="1" t="n">
        <v>45899</v>
      </c>
      <c r="D260" t="inlineStr">
        <is>
          <t>VÄSTERBOTTENS LÄN</t>
        </is>
      </c>
      <c r="E260" t="inlineStr">
        <is>
          <t>VILHELMINA</t>
        </is>
      </c>
      <c r="G260" t="n">
        <v>21.3</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45899</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19909-2025</t>
        </is>
      </c>
      <c r="B262" s="1" t="n">
        <v>45771.60482638889</v>
      </c>
      <c r="C262" s="1" t="n">
        <v>45899</v>
      </c>
      <c r="D262" t="inlineStr">
        <is>
          <t>VÄSTERBOTTENS LÄN</t>
        </is>
      </c>
      <c r="E262" t="inlineStr">
        <is>
          <t>VILHELMINA</t>
        </is>
      </c>
      <c r="G262" t="n">
        <v>12.4</v>
      </c>
      <c r="H262" t="n">
        <v>0</v>
      </c>
      <c r="I262" t="n">
        <v>0</v>
      </c>
      <c r="J262" t="n">
        <v>0</v>
      </c>
      <c r="K262" t="n">
        <v>0</v>
      </c>
      <c r="L262" t="n">
        <v>0</v>
      </c>
      <c r="M262" t="n">
        <v>0</v>
      </c>
      <c r="N262" t="n">
        <v>0</v>
      </c>
      <c r="O262" t="n">
        <v>0</v>
      </c>
      <c r="P262" t="n">
        <v>0</v>
      </c>
      <c r="Q262" t="n">
        <v>0</v>
      </c>
      <c r="R262" s="2" t="inlineStr"/>
    </row>
    <row r="263" ht="15" customHeight="1">
      <c r="A263" t="inlineStr">
        <is>
          <t>A 17432-2025</t>
        </is>
      </c>
      <c r="B263" s="1" t="n">
        <v>45757</v>
      </c>
      <c r="C263" s="1" t="n">
        <v>45899</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72494-2021</t>
        </is>
      </c>
      <c r="B264" s="1" t="n">
        <v>44545.92059027778</v>
      </c>
      <c r="C264" s="1" t="n">
        <v>45899</v>
      </c>
      <c r="D264" t="inlineStr">
        <is>
          <t>VÄSTERBOTTENS LÄN</t>
        </is>
      </c>
      <c r="E264" t="inlineStr">
        <is>
          <t>VILHELMINA</t>
        </is>
      </c>
      <c r="G264" t="n">
        <v>4.2</v>
      </c>
      <c r="H264" t="n">
        <v>0</v>
      </c>
      <c r="I264" t="n">
        <v>0</v>
      </c>
      <c r="J264" t="n">
        <v>0</v>
      </c>
      <c r="K264" t="n">
        <v>0</v>
      </c>
      <c r="L264" t="n">
        <v>0</v>
      </c>
      <c r="M264" t="n">
        <v>0</v>
      </c>
      <c r="N264" t="n">
        <v>0</v>
      </c>
      <c r="O264" t="n">
        <v>0</v>
      </c>
      <c r="P264" t="n">
        <v>0</v>
      </c>
      <c r="Q264" t="n">
        <v>0</v>
      </c>
      <c r="R264" s="2" t="inlineStr"/>
    </row>
    <row r="265" ht="15" customHeight="1">
      <c r="A265" t="inlineStr">
        <is>
          <t>A 58207-2022</t>
        </is>
      </c>
      <c r="B265" s="1" t="n">
        <v>44901</v>
      </c>
      <c r="C265" s="1" t="n">
        <v>45899</v>
      </c>
      <c r="D265" t="inlineStr">
        <is>
          <t>VÄSTERBOTTENS LÄN</t>
        </is>
      </c>
      <c r="E265" t="inlineStr">
        <is>
          <t>VILHELMINA</t>
        </is>
      </c>
      <c r="G265" t="n">
        <v>143.2</v>
      </c>
      <c r="H265" t="n">
        <v>0</v>
      </c>
      <c r="I265" t="n">
        <v>0</v>
      </c>
      <c r="J265" t="n">
        <v>0</v>
      </c>
      <c r="K265" t="n">
        <v>0</v>
      </c>
      <c r="L265" t="n">
        <v>0</v>
      </c>
      <c r="M265" t="n">
        <v>0</v>
      </c>
      <c r="N265" t="n">
        <v>0</v>
      </c>
      <c r="O265" t="n">
        <v>0</v>
      </c>
      <c r="P265" t="n">
        <v>0</v>
      </c>
      <c r="Q265" t="n">
        <v>0</v>
      </c>
      <c r="R265" s="2" t="inlineStr"/>
    </row>
    <row r="266" ht="15" customHeight="1">
      <c r="A266" t="inlineStr">
        <is>
          <t>A 248-2025</t>
        </is>
      </c>
      <c r="B266" s="1" t="n">
        <v>45660.419375</v>
      </c>
      <c r="C266" s="1" t="n">
        <v>45899</v>
      </c>
      <c r="D266" t="inlineStr">
        <is>
          <t>VÄSTERBOTTENS LÄN</t>
        </is>
      </c>
      <c r="E266" t="inlineStr">
        <is>
          <t>VILHELMINA</t>
        </is>
      </c>
      <c r="G266" t="n">
        <v>11</v>
      </c>
      <c r="H266" t="n">
        <v>0</v>
      </c>
      <c r="I266" t="n">
        <v>0</v>
      </c>
      <c r="J266" t="n">
        <v>0</v>
      </c>
      <c r="K266" t="n">
        <v>0</v>
      </c>
      <c r="L266" t="n">
        <v>0</v>
      </c>
      <c r="M266" t="n">
        <v>0</v>
      </c>
      <c r="N266" t="n">
        <v>0</v>
      </c>
      <c r="O266" t="n">
        <v>0</v>
      </c>
      <c r="P266" t="n">
        <v>0</v>
      </c>
      <c r="Q266" t="n">
        <v>0</v>
      </c>
      <c r="R266" s="2" t="inlineStr"/>
    </row>
    <row r="267" ht="15" customHeight="1">
      <c r="A267" t="inlineStr">
        <is>
          <t>A 16721-2025</t>
        </is>
      </c>
      <c r="B267" s="1" t="n">
        <v>45754.49045138889</v>
      </c>
      <c r="C267" s="1" t="n">
        <v>45899</v>
      </c>
      <c r="D267" t="inlineStr">
        <is>
          <t>VÄSTERBOTTENS LÄN</t>
        </is>
      </c>
      <c r="E267" t="inlineStr">
        <is>
          <t>VILHELMINA</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60376-2024</t>
        </is>
      </c>
      <c r="B268" s="1" t="n">
        <v>45643</v>
      </c>
      <c r="C268" s="1" t="n">
        <v>45899</v>
      </c>
      <c r="D268" t="inlineStr">
        <is>
          <t>VÄSTERBOTTENS LÄN</t>
        </is>
      </c>
      <c r="E268" t="inlineStr">
        <is>
          <t>VILHELMINA</t>
        </is>
      </c>
      <c r="F268" t="inlineStr">
        <is>
          <t>SCA</t>
        </is>
      </c>
      <c r="G268" t="n">
        <v>11.5</v>
      </c>
      <c r="H268" t="n">
        <v>0</v>
      </c>
      <c r="I268" t="n">
        <v>0</v>
      </c>
      <c r="J268" t="n">
        <v>0</v>
      </c>
      <c r="K268" t="n">
        <v>0</v>
      </c>
      <c r="L268" t="n">
        <v>0</v>
      </c>
      <c r="M268" t="n">
        <v>0</v>
      </c>
      <c r="N268" t="n">
        <v>0</v>
      </c>
      <c r="O268" t="n">
        <v>0</v>
      </c>
      <c r="P268" t="n">
        <v>0</v>
      </c>
      <c r="Q268" t="n">
        <v>0</v>
      </c>
      <c r="R268" s="2" t="inlineStr"/>
    </row>
    <row r="269" ht="15" customHeight="1">
      <c r="A269" t="inlineStr">
        <is>
          <t>A 19465-2025</t>
        </is>
      </c>
      <c r="B269" s="1" t="n">
        <v>45770</v>
      </c>
      <c r="C269" s="1" t="n">
        <v>45899</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54985-2023</t>
        </is>
      </c>
      <c r="B270" s="1" t="n">
        <v>45236</v>
      </c>
      <c r="C270" s="1" t="n">
        <v>45899</v>
      </c>
      <c r="D270" t="inlineStr">
        <is>
          <t>VÄSTERBOTTENS LÄN</t>
        </is>
      </c>
      <c r="E270" t="inlineStr">
        <is>
          <t>VILHELMINA</t>
        </is>
      </c>
      <c r="F270" t="inlineStr">
        <is>
          <t>SCA</t>
        </is>
      </c>
      <c r="G270" t="n">
        <v>7.5</v>
      </c>
      <c r="H270" t="n">
        <v>0</v>
      </c>
      <c r="I270" t="n">
        <v>0</v>
      </c>
      <c r="J270" t="n">
        <v>0</v>
      </c>
      <c r="K270" t="n">
        <v>0</v>
      </c>
      <c r="L270" t="n">
        <v>0</v>
      </c>
      <c r="M270" t="n">
        <v>0</v>
      </c>
      <c r="N270" t="n">
        <v>0</v>
      </c>
      <c r="O270" t="n">
        <v>0</v>
      </c>
      <c r="P270" t="n">
        <v>0</v>
      </c>
      <c r="Q270" t="n">
        <v>0</v>
      </c>
      <c r="R270" s="2" t="inlineStr"/>
    </row>
    <row r="271" ht="15" customHeight="1">
      <c r="A271" t="inlineStr">
        <is>
          <t>A 46119-2022</t>
        </is>
      </c>
      <c r="B271" s="1" t="n">
        <v>44847</v>
      </c>
      <c r="C271" s="1" t="n">
        <v>45899</v>
      </c>
      <c r="D271" t="inlineStr">
        <is>
          <t>VÄSTERBOTTENS LÄN</t>
        </is>
      </c>
      <c r="E271" t="inlineStr">
        <is>
          <t>VILHELMINA</t>
        </is>
      </c>
      <c r="G271" t="n">
        <v>12.1</v>
      </c>
      <c r="H271" t="n">
        <v>0</v>
      </c>
      <c r="I271" t="n">
        <v>0</v>
      </c>
      <c r="J271" t="n">
        <v>0</v>
      </c>
      <c r="K271" t="n">
        <v>0</v>
      </c>
      <c r="L271" t="n">
        <v>0</v>
      </c>
      <c r="M271" t="n">
        <v>0</v>
      </c>
      <c r="N271" t="n">
        <v>0</v>
      </c>
      <c r="O271" t="n">
        <v>0</v>
      </c>
      <c r="P271" t="n">
        <v>0</v>
      </c>
      <c r="Q271" t="n">
        <v>0</v>
      </c>
      <c r="R271" s="2" t="inlineStr"/>
    </row>
    <row r="272" ht="15" customHeight="1">
      <c r="A272" t="inlineStr">
        <is>
          <t>A 46121-2022</t>
        </is>
      </c>
      <c r="B272" s="1" t="n">
        <v>44847</v>
      </c>
      <c r="C272" s="1" t="n">
        <v>45899</v>
      </c>
      <c r="D272" t="inlineStr">
        <is>
          <t>VÄSTERBOTTENS LÄN</t>
        </is>
      </c>
      <c r="E272" t="inlineStr">
        <is>
          <t>VILHELMINA</t>
        </is>
      </c>
      <c r="G272" t="n">
        <v>2.6</v>
      </c>
      <c r="H272" t="n">
        <v>0</v>
      </c>
      <c r="I272" t="n">
        <v>0</v>
      </c>
      <c r="J272" t="n">
        <v>0</v>
      </c>
      <c r="K272" t="n">
        <v>0</v>
      </c>
      <c r="L272" t="n">
        <v>0</v>
      </c>
      <c r="M272" t="n">
        <v>0</v>
      </c>
      <c r="N272" t="n">
        <v>0</v>
      </c>
      <c r="O272" t="n">
        <v>0</v>
      </c>
      <c r="P272" t="n">
        <v>0</v>
      </c>
      <c r="Q272" t="n">
        <v>0</v>
      </c>
      <c r="R272" s="2" t="inlineStr"/>
    </row>
    <row r="273" ht="15" customHeight="1">
      <c r="A273" t="inlineStr">
        <is>
          <t>A 20769-2024</t>
        </is>
      </c>
      <c r="B273" s="1" t="n">
        <v>45436.94604166667</v>
      </c>
      <c r="C273" s="1" t="n">
        <v>45899</v>
      </c>
      <c r="D273" t="inlineStr">
        <is>
          <t>VÄSTERBOTTENS LÄN</t>
        </is>
      </c>
      <c r="E273" t="inlineStr">
        <is>
          <t>VILHELMINA</t>
        </is>
      </c>
      <c r="F273" t="inlineStr">
        <is>
          <t>SCA</t>
        </is>
      </c>
      <c r="G273" t="n">
        <v>7</v>
      </c>
      <c r="H273" t="n">
        <v>0</v>
      </c>
      <c r="I273" t="n">
        <v>0</v>
      </c>
      <c r="J273" t="n">
        <v>0</v>
      </c>
      <c r="K273" t="n">
        <v>0</v>
      </c>
      <c r="L273" t="n">
        <v>0</v>
      </c>
      <c r="M273" t="n">
        <v>0</v>
      </c>
      <c r="N273" t="n">
        <v>0</v>
      </c>
      <c r="O273" t="n">
        <v>0</v>
      </c>
      <c r="P273" t="n">
        <v>0</v>
      </c>
      <c r="Q273" t="n">
        <v>0</v>
      </c>
      <c r="R273" s="2" t="inlineStr"/>
    </row>
    <row r="274" ht="15" customHeight="1">
      <c r="A274" t="inlineStr">
        <is>
          <t>A 49599-2022</t>
        </is>
      </c>
      <c r="B274" s="1" t="n">
        <v>44859</v>
      </c>
      <c r="C274" s="1" t="n">
        <v>45899</v>
      </c>
      <c r="D274" t="inlineStr">
        <is>
          <t>VÄSTERBOTTENS LÄN</t>
        </is>
      </c>
      <c r="E274" t="inlineStr">
        <is>
          <t>VILHELMINA</t>
        </is>
      </c>
      <c r="G274" t="n">
        <v>3.6</v>
      </c>
      <c r="H274" t="n">
        <v>0</v>
      </c>
      <c r="I274" t="n">
        <v>0</v>
      </c>
      <c r="J274" t="n">
        <v>0</v>
      </c>
      <c r="K274" t="n">
        <v>0</v>
      </c>
      <c r="L274" t="n">
        <v>0</v>
      </c>
      <c r="M274" t="n">
        <v>0</v>
      </c>
      <c r="N274" t="n">
        <v>0</v>
      </c>
      <c r="O274" t="n">
        <v>0</v>
      </c>
      <c r="P274" t="n">
        <v>0</v>
      </c>
      <c r="Q274" t="n">
        <v>0</v>
      </c>
      <c r="R274" s="2" t="inlineStr"/>
    </row>
    <row r="275" ht="15" customHeight="1">
      <c r="A275" t="inlineStr">
        <is>
          <t>A 23261-2021</t>
        </is>
      </c>
      <c r="B275" s="1" t="n">
        <v>44330</v>
      </c>
      <c r="C275" s="1" t="n">
        <v>45899</v>
      </c>
      <c r="D275" t="inlineStr">
        <is>
          <t>VÄSTERBOTTENS LÄN</t>
        </is>
      </c>
      <c r="E275" t="inlineStr">
        <is>
          <t>VILHELMINA</t>
        </is>
      </c>
      <c r="G275" t="n">
        <v>4.5</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45899</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15050-2024</t>
        </is>
      </c>
      <c r="B277" s="1" t="n">
        <v>45399</v>
      </c>
      <c r="C277" s="1" t="n">
        <v>45899</v>
      </c>
      <c r="D277" t="inlineStr">
        <is>
          <t>VÄSTERBOTTENS LÄN</t>
        </is>
      </c>
      <c r="E277" t="inlineStr">
        <is>
          <t>VILHELMINA</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15059-2024</t>
        </is>
      </c>
      <c r="B278" s="1" t="n">
        <v>45399</v>
      </c>
      <c r="C278" s="1" t="n">
        <v>45899</v>
      </c>
      <c r="D278" t="inlineStr">
        <is>
          <t>VÄSTERBOTTENS LÄN</t>
        </is>
      </c>
      <c r="E278" t="inlineStr">
        <is>
          <t>VILHELMINA</t>
        </is>
      </c>
      <c r="G278" t="n">
        <v>0.8</v>
      </c>
      <c r="H278" t="n">
        <v>0</v>
      </c>
      <c r="I278" t="n">
        <v>0</v>
      </c>
      <c r="J278" t="n">
        <v>0</v>
      </c>
      <c r="K278" t="n">
        <v>0</v>
      </c>
      <c r="L278" t="n">
        <v>0</v>
      </c>
      <c r="M278" t="n">
        <v>0</v>
      </c>
      <c r="N278" t="n">
        <v>0</v>
      </c>
      <c r="O278" t="n">
        <v>0</v>
      </c>
      <c r="P278" t="n">
        <v>0</v>
      </c>
      <c r="Q278" t="n">
        <v>0</v>
      </c>
      <c r="R278" s="2" t="inlineStr"/>
    </row>
    <row r="279" ht="15" customHeight="1">
      <c r="A279" t="inlineStr">
        <is>
          <t>A 52749-2023</t>
        </is>
      </c>
      <c r="B279" s="1" t="n">
        <v>45225.9678587963</v>
      </c>
      <c r="C279" s="1" t="n">
        <v>45899</v>
      </c>
      <c r="D279" t="inlineStr">
        <is>
          <t>VÄSTERBOTTENS LÄN</t>
        </is>
      </c>
      <c r="E279" t="inlineStr">
        <is>
          <t>VILHELMINA</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18790-2021</t>
        </is>
      </c>
      <c r="B280" s="1" t="n">
        <v>44307</v>
      </c>
      <c r="C280" s="1" t="n">
        <v>45899</v>
      </c>
      <c r="D280" t="inlineStr">
        <is>
          <t>VÄSTERBOTTENS LÄN</t>
        </is>
      </c>
      <c r="E280" t="inlineStr">
        <is>
          <t>VILHELMINA</t>
        </is>
      </c>
      <c r="G280" t="n">
        <v>1.1</v>
      </c>
      <c r="H280" t="n">
        <v>0</v>
      </c>
      <c r="I280" t="n">
        <v>0</v>
      </c>
      <c r="J280" t="n">
        <v>0</v>
      </c>
      <c r="K280" t="n">
        <v>0</v>
      </c>
      <c r="L280" t="n">
        <v>0</v>
      </c>
      <c r="M280" t="n">
        <v>0</v>
      </c>
      <c r="N280" t="n">
        <v>0</v>
      </c>
      <c r="O280" t="n">
        <v>0</v>
      </c>
      <c r="P280" t="n">
        <v>0</v>
      </c>
      <c r="Q280" t="n">
        <v>0</v>
      </c>
      <c r="R280" s="2" t="inlineStr"/>
    </row>
    <row r="281" ht="15" customHeight="1">
      <c r="A281" t="inlineStr">
        <is>
          <t>A 36082-2022</t>
        </is>
      </c>
      <c r="B281" s="1" t="n">
        <v>44802</v>
      </c>
      <c r="C281" s="1" t="n">
        <v>45899</v>
      </c>
      <c r="D281" t="inlineStr">
        <is>
          <t>VÄSTERBOTTENS LÄN</t>
        </is>
      </c>
      <c r="E281" t="inlineStr">
        <is>
          <t>VILHELMINA</t>
        </is>
      </c>
      <c r="F281" t="inlineStr">
        <is>
          <t>SCA</t>
        </is>
      </c>
      <c r="G281" t="n">
        <v>6.2</v>
      </c>
      <c r="H281" t="n">
        <v>0</v>
      </c>
      <c r="I281" t="n">
        <v>0</v>
      </c>
      <c r="J281" t="n">
        <v>0</v>
      </c>
      <c r="K281" t="n">
        <v>0</v>
      </c>
      <c r="L281" t="n">
        <v>0</v>
      </c>
      <c r="M281" t="n">
        <v>0</v>
      </c>
      <c r="N281" t="n">
        <v>0</v>
      </c>
      <c r="O281" t="n">
        <v>0</v>
      </c>
      <c r="P281" t="n">
        <v>0</v>
      </c>
      <c r="Q281" t="n">
        <v>0</v>
      </c>
      <c r="R281" s="2" t="inlineStr"/>
    </row>
    <row r="282" ht="15" customHeight="1">
      <c r="A282" t="inlineStr">
        <is>
          <t>A 46071-2022</t>
        </is>
      </c>
      <c r="B282" s="1" t="n">
        <v>44847</v>
      </c>
      <c r="C282" s="1" t="n">
        <v>45899</v>
      </c>
      <c r="D282" t="inlineStr">
        <is>
          <t>VÄSTERBOTTENS LÄN</t>
        </is>
      </c>
      <c r="E282" t="inlineStr">
        <is>
          <t>VILHELMINA</t>
        </is>
      </c>
      <c r="G282" t="n">
        <v>10.6</v>
      </c>
      <c r="H282" t="n">
        <v>0</v>
      </c>
      <c r="I282" t="n">
        <v>0</v>
      </c>
      <c r="J282" t="n">
        <v>0</v>
      </c>
      <c r="K282" t="n">
        <v>0</v>
      </c>
      <c r="L282" t="n">
        <v>0</v>
      </c>
      <c r="M282" t="n">
        <v>0</v>
      </c>
      <c r="N282" t="n">
        <v>0</v>
      </c>
      <c r="O282" t="n">
        <v>0</v>
      </c>
      <c r="P282" t="n">
        <v>0</v>
      </c>
      <c r="Q282" t="n">
        <v>0</v>
      </c>
      <c r="R282" s="2" t="inlineStr"/>
    </row>
    <row r="283" ht="15" customHeight="1">
      <c r="A283" t="inlineStr">
        <is>
          <t>A 58456-2023</t>
        </is>
      </c>
      <c r="B283" s="1" t="n">
        <v>45250.96092592592</v>
      </c>
      <c r="C283" s="1" t="n">
        <v>45899</v>
      </c>
      <c r="D283" t="inlineStr">
        <is>
          <t>VÄSTERBOTTENS LÄN</t>
        </is>
      </c>
      <c r="E283" t="inlineStr">
        <is>
          <t>VILHELMINA</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45899</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60549-2022</t>
        </is>
      </c>
      <c r="B285" s="1" t="n">
        <v>44911.51318287037</v>
      </c>
      <c r="C285" s="1" t="n">
        <v>45899</v>
      </c>
      <c r="D285" t="inlineStr">
        <is>
          <t>VÄSTERBOTTENS LÄN</t>
        </is>
      </c>
      <c r="E285" t="inlineStr">
        <is>
          <t>VILHELMINA</t>
        </is>
      </c>
      <c r="G285" t="n">
        <v>3.8</v>
      </c>
      <c r="H285" t="n">
        <v>0</v>
      </c>
      <c r="I285" t="n">
        <v>0</v>
      </c>
      <c r="J285" t="n">
        <v>0</v>
      </c>
      <c r="K285" t="n">
        <v>0</v>
      </c>
      <c r="L285" t="n">
        <v>0</v>
      </c>
      <c r="M285" t="n">
        <v>0</v>
      </c>
      <c r="N285" t="n">
        <v>0</v>
      </c>
      <c r="O285" t="n">
        <v>0</v>
      </c>
      <c r="P285" t="n">
        <v>0</v>
      </c>
      <c r="Q285" t="n">
        <v>0</v>
      </c>
      <c r="R285" s="2" t="inlineStr"/>
    </row>
    <row r="286" ht="15" customHeight="1">
      <c r="A286" t="inlineStr">
        <is>
          <t>A 17996-2024</t>
        </is>
      </c>
      <c r="B286" s="1" t="n">
        <v>45419</v>
      </c>
      <c r="C286" s="1" t="n">
        <v>45899</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21035-2025</t>
        </is>
      </c>
      <c r="B287" s="1" t="n">
        <v>45777.53157407408</v>
      </c>
      <c r="C287" s="1" t="n">
        <v>45899</v>
      </c>
      <c r="D287" t="inlineStr">
        <is>
          <t>VÄSTERBOTTENS LÄN</t>
        </is>
      </c>
      <c r="E287" t="inlineStr">
        <is>
          <t>VILHELMINA</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23180-2024</t>
        </is>
      </c>
      <c r="B288" s="1" t="n">
        <v>45450.9444212963</v>
      </c>
      <c r="C288" s="1" t="n">
        <v>45899</v>
      </c>
      <c r="D288" t="inlineStr">
        <is>
          <t>VÄSTERBOTTENS LÄN</t>
        </is>
      </c>
      <c r="E288" t="inlineStr">
        <is>
          <t>VILHELMINA</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21069-2025</t>
        </is>
      </c>
      <c r="B289" s="1" t="n">
        <v>45777.59427083333</v>
      </c>
      <c r="C289" s="1" t="n">
        <v>45899</v>
      </c>
      <c r="D289" t="inlineStr">
        <is>
          <t>VÄSTERBOTTENS LÄN</t>
        </is>
      </c>
      <c r="E289" t="inlineStr">
        <is>
          <t>VILHELMINA</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5435-2024</t>
        </is>
      </c>
      <c r="B290" s="1" t="n">
        <v>45331</v>
      </c>
      <c r="C290" s="1" t="n">
        <v>45899</v>
      </c>
      <c r="D290" t="inlineStr">
        <is>
          <t>VÄSTERBOTTENS LÄN</t>
        </is>
      </c>
      <c r="E290" t="inlineStr">
        <is>
          <t>VILHELMINA</t>
        </is>
      </c>
      <c r="G290" t="n">
        <v>6</v>
      </c>
      <c r="H290" t="n">
        <v>0</v>
      </c>
      <c r="I290" t="n">
        <v>0</v>
      </c>
      <c r="J290" t="n">
        <v>0</v>
      </c>
      <c r="K290" t="n">
        <v>0</v>
      </c>
      <c r="L290" t="n">
        <v>0</v>
      </c>
      <c r="M290" t="n">
        <v>0</v>
      </c>
      <c r="N290" t="n">
        <v>0</v>
      </c>
      <c r="O290" t="n">
        <v>0</v>
      </c>
      <c r="P290" t="n">
        <v>0</v>
      </c>
      <c r="Q290" t="n">
        <v>0</v>
      </c>
      <c r="R290" s="2" t="inlineStr"/>
    </row>
    <row r="291" ht="15" customHeight="1">
      <c r="A291" t="inlineStr">
        <is>
          <t>A 21410-2025</t>
        </is>
      </c>
      <c r="B291" s="1" t="n">
        <v>45782</v>
      </c>
      <c r="C291" s="1" t="n">
        <v>45899</v>
      </c>
      <c r="D291" t="inlineStr">
        <is>
          <t>VÄSTERBOTTENS LÄN</t>
        </is>
      </c>
      <c r="E291" t="inlineStr">
        <is>
          <t>VILHELMINA</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3745-2023</t>
        </is>
      </c>
      <c r="B292" s="1" t="n">
        <v>44949</v>
      </c>
      <c r="C292" s="1" t="n">
        <v>45899</v>
      </c>
      <c r="D292" t="inlineStr">
        <is>
          <t>VÄSTERBOTTENS LÄN</t>
        </is>
      </c>
      <c r="E292" t="inlineStr">
        <is>
          <t>VILHELMINA</t>
        </is>
      </c>
      <c r="G292" t="n">
        <v>36.6</v>
      </c>
      <c r="H292" t="n">
        <v>0</v>
      </c>
      <c r="I292" t="n">
        <v>0</v>
      </c>
      <c r="J292" t="n">
        <v>0</v>
      </c>
      <c r="K292" t="n">
        <v>0</v>
      </c>
      <c r="L292" t="n">
        <v>0</v>
      </c>
      <c r="M292" t="n">
        <v>0</v>
      </c>
      <c r="N292" t="n">
        <v>0</v>
      </c>
      <c r="O292" t="n">
        <v>0</v>
      </c>
      <c r="P292" t="n">
        <v>0</v>
      </c>
      <c r="Q292" t="n">
        <v>0</v>
      </c>
      <c r="R292" s="2" t="inlineStr"/>
    </row>
    <row r="293" ht="15" customHeight="1">
      <c r="A293" t="inlineStr">
        <is>
          <t>A 21205-2025</t>
        </is>
      </c>
      <c r="B293" s="1" t="n">
        <v>45779</v>
      </c>
      <c r="C293" s="1" t="n">
        <v>45899</v>
      </c>
      <c r="D293" t="inlineStr">
        <is>
          <t>VÄSTERBOTTENS LÄN</t>
        </is>
      </c>
      <c r="E293" t="inlineStr">
        <is>
          <t>VILHELMINA</t>
        </is>
      </c>
      <c r="F293" t="inlineStr">
        <is>
          <t>Allmännings- och besparingsskogar</t>
        </is>
      </c>
      <c r="G293" t="n">
        <v>6.2</v>
      </c>
      <c r="H293" t="n">
        <v>0</v>
      </c>
      <c r="I293" t="n">
        <v>0</v>
      </c>
      <c r="J293" t="n">
        <v>0</v>
      </c>
      <c r="K293" t="n">
        <v>0</v>
      </c>
      <c r="L293" t="n">
        <v>0</v>
      </c>
      <c r="M293" t="n">
        <v>0</v>
      </c>
      <c r="N293" t="n">
        <v>0</v>
      </c>
      <c r="O293" t="n">
        <v>0</v>
      </c>
      <c r="P293" t="n">
        <v>0</v>
      </c>
      <c r="Q293" t="n">
        <v>0</v>
      </c>
      <c r="R293" s="2" t="inlineStr"/>
    </row>
    <row r="294" ht="15" customHeight="1">
      <c r="A294" t="inlineStr">
        <is>
          <t>A 48068-2022</t>
        </is>
      </c>
      <c r="B294" s="1" t="n">
        <v>44855</v>
      </c>
      <c r="C294" s="1" t="n">
        <v>45899</v>
      </c>
      <c r="D294" t="inlineStr">
        <is>
          <t>VÄSTERBOTTENS LÄN</t>
        </is>
      </c>
      <c r="E294" t="inlineStr">
        <is>
          <t>VILHELMINA</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21448-2025</t>
        </is>
      </c>
      <c r="B295" s="1" t="n">
        <v>45782.55241898148</v>
      </c>
      <c r="C295" s="1" t="n">
        <v>45899</v>
      </c>
      <c r="D295" t="inlineStr">
        <is>
          <t>VÄSTERBOTTENS LÄN</t>
        </is>
      </c>
      <c r="E295" t="inlineStr">
        <is>
          <t>VILHELMINA</t>
        </is>
      </c>
      <c r="F295" t="inlineStr">
        <is>
          <t>SCA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61048-2022</t>
        </is>
      </c>
      <c r="B296" s="1" t="n">
        <v>44914</v>
      </c>
      <c r="C296" s="1" t="n">
        <v>45899</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36288-2021</t>
        </is>
      </c>
      <c r="B297" s="1" t="n">
        <v>44389</v>
      </c>
      <c r="C297" s="1" t="n">
        <v>45899</v>
      </c>
      <c r="D297" t="inlineStr">
        <is>
          <t>VÄSTERBOTTENS LÄN</t>
        </is>
      </c>
      <c r="E297" t="inlineStr">
        <is>
          <t>VILHELMINA</t>
        </is>
      </c>
      <c r="G297" t="n">
        <v>20.5</v>
      </c>
      <c r="H297" t="n">
        <v>0</v>
      </c>
      <c r="I297" t="n">
        <v>0</v>
      </c>
      <c r="J297" t="n">
        <v>0</v>
      </c>
      <c r="K297" t="n">
        <v>0</v>
      </c>
      <c r="L297" t="n">
        <v>0</v>
      </c>
      <c r="M297" t="n">
        <v>0</v>
      </c>
      <c r="N297" t="n">
        <v>0</v>
      </c>
      <c r="O297" t="n">
        <v>0</v>
      </c>
      <c r="P297" t="n">
        <v>0</v>
      </c>
      <c r="Q297" t="n">
        <v>0</v>
      </c>
      <c r="R297" s="2" t="inlineStr"/>
    </row>
    <row r="298" ht="15" customHeight="1">
      <c r="A298" t="inlineStr">
        <is>
          <t>A 12229-2022</t>
        </is>
      </c>
      <c r="B298" s="1" t="n">
        <v>44637</v>
      </c>
      <c r="C298" s="1" t="n">
        <v>45899</v>
      </c>
      <c r="D298" t="inlineStr">
        <is>
          <t>VÄSTERBOTTENS LÄN</t>
        </is>
      </c>
      <c r="E298" t="inlineStr">
        <is>
          <t>VILHELMINA</t>
        </is>
      </c>
      <c r="G298" t="n">
        <v>5</v>
      </c>
      <c r="H298" t="n">
        <v>0</v>
      </c>
      <c r="I298" t="n">
        <v>0</v>
      </c>
      <c r="J298" t="n">
        <v>0</v>
      </c>
      <c r="K298" t="n">
        <v>0</v>
      </c>
      <c r="L298" t="n">
        <v>0</v>
      </c>
      <c r="M298" t="n">
        <v>0</v>
      </c>
      <c r="N298" t="n">
        <v>0</v>
      </c>
      <c r="O298" t="n">
        <v>0</v>
      </c>
      <c r="P298" t="n">
        <v>0</v>
      </c>
      <c r="Q298" t="n">
        <v>0</v>
      </c>
      <c r="R298" s="2" t="inlineStr"/>
    </row>
    <row r="299" ht="15" customHeight="1">
      <c r="A299" t="inlineStr">
        <is>
          <t>A 21204-2025</t>
        </is>
      </c>
      <c r="B299" s="1" t="n">
        <v>45779</v>
      </c>
      <c r="C299" s="1" t="n">
        <v>45899</v>
      </c>
      <c r="D299" t="inlineStr">
        <is>
          <t>VÄSTERBOTTENS LÄN</t>
        </is>
      </c>
      <c r="E299" t="inlineStr">
        <is>
          <t>VILHELMINA</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45007-2024</t>
        </is>
      </c>
      <c r="B300" s="1" t="n">
        <v>45575.49100694444</v>
      </c>
      <c r="C300" s="1" t="n">
        <v>45899</v>
      </c>
      <c r="D300" t="inlineStr">
        <is>
          <t>VÄSTERBOTTENS LÄN</t>
        </is>
      </c>
      <c r="E300" t="inlineStr">
        <is>
          <t>VILHELMINA</t>
        </is>
      </c>
      <c r="F300" t="inlineStr">
        <is>
          <t>SCA</t>
        </is>
      </c>
      <c r="G300" t="n">
        <v>14.8</v>
      </c>
      <c r="H300" t="n">
        <v>0</v>
      </c>
      <c r="I300" t="n">
        <v>0</v>
      </c>
      <c r="J300" t="n">
        <v>0</v>
      </c>
      <c r="K300" t="n">
        <v>0</v>
      </c>
      <c r="L300" t="n">
        <v>0</v>
      </c>
      <c r="M300" t="n">
        <v>0</v>
      </c>
      <c r="N300" t="n">
        <v>0</v>
      </c>
      <c r="O300" t="n">
        <v>0</v>
      </c>
      <c r="P300" t="n">
        <v>0</v>
      </c>
      <c r="Q300" t="n">
        <v>0</v>
      </c>
      <c r="R300" s="2" t="inlineStr"/>
    </row>
    <row r="301" ht="15" customHeight="1">
      <c r="A301" t="inlineStr">
        <is>
          <t>A 55722-2023</t>
        </is>
      </c>
      <c r="B301" s="1" t="n">
        <v>45232</v>
      </c>
      <c r="C301" s="1" t="n">
        <v>45899</v>
      </c>
      <c r="D301" t="inlineStr">
        <is>
          <t>VÄSTERBOTTENS LÄN</t>
        </is>
      </c>
      <c r="E301" t="inlineStr">
        <is>
          <t>VILHELMINA</t>
        </is>
      </c>
      <c r="G301" t="n">
        <v>5.8</v>
      </c>
      <c r="H301" t="n">
        <v>0</v>
      </c>
      <c r="I301" t="n">
        <v>0</v>
      </c>
      <c r="J301" t="n">
        <v>0</v>
      </c>
      <c r="K301" t="n">
        <v>0</v>
      </c>
      <c r="L301" t="n">
        <v>0</v>
      </c>
      <c r="M301" t="n">
        <v>0</v>
      </c>
      <c r="N301" t="n">
        <v>0</v>
      </c>
      <c r="O301" t="n">
        <v>0</v>
      </c>
      <c r="P301" t="n">
        <v>0</v>
      </c>
      <c r="Q301" t="n">
        <v>0</v>
      </c>
      <c r="R301" s="2" t="inlineStr"/>
    </row>
    <row r="302" ht="15" customHeight="1">
      <c r="A302" t="inlineStr">
        <is>
          <t>A 21924-2025</t>
        </is>
      </c>
      <c r="B302" s="1" t="n">
        <v>45784</v>
      </c>
      <c r="C302" s="1" t="n">
        <v>45899</v>
      </c>
      <c r="D302" t="inlineStr">
        <is>
          <t>VÄSTERBOTTENS LÄN</t>
        </is>
      </c>
      <c r="E302" t="inlineStr">
        <is>
          <t>VILHELMINA</t>
        </is>
      </c>
      <c r="G302" t="n">
        <v>10.2</v>
      </c>
      <c r="H302" t="n">
        <v>0</v>
      </c>
      <c r="I302" t="n">
        <v>0</v>
      </c>
      <c r="J302" t="n">
        <v>0</v>
      </c>
      <c r="K302" t="n">
        <v>0</v>
      </c>
      <c r="L302" t="n">
        <v>0</v>
      </c>
      <c r="M302" t="n">
        <v>0</v>
      </c>
      <c r="N302" t="n">
        <v>0</v>
      </c>
      <c r="O302" t="n">
        <v>0</v>
      </c>
      <c r="P302" t="n">
        <v>0</v>
      </c>
      <c r="Q302" t="n">
        <v>0</v>
      </c>
      <c r="R302" s="2" t="inlineStr"/>
    </row>
    <row r="303" ht="15" customHeight="1">
      <c r="A303" t="inlineStr">
        <is>
          <t>A 12189-2024</t>
        </is>
      </c>
      <c r="B303" s="1" t="n">
        <v>45377.94945601852</v>
      </c>
      <c r="C303" s="1" t="n">
        <v>45899</v>
      </c>
      <c r="D303" t="inlineStr">
        <is>
          <t>VÄSTERBOTTENS LÄN</t>
        </is>
      </c>
      <c r="E303" t="inlineStr">
        <is>
          <t>VILHELMINA</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2382-2023</t>
        </is>
      </c>
      <c r="B304" s="1" t="n">
        <v>44942</v>
      </c>
      <c r="C304" s="1" t="n">
        <v>45899</v>
      </c>
      <c r="D304" t="inlineStr">
        <is>
          <t>VÄSTERBOTTENS LÄN</t>
        </is>
      </c>
      <c r="E304" t="inlineStr">
        <is>
          <t>VILHELMINA</t>
        </is>
      </c>
      <c r="G304" t="n">
        <v>29.7</v>
      </c>
      <c r="H304" t="n">
        <v>0</v>
      </c>
      <c r="I304" t="n">
        <v>0</v>
      </c>
      <c r="J304" t="n">
        <v>0</v>
      </c>
      <c r="K304" t="n">
        <v>0</v>
      </c>
      <c r="L304" t="n">
        <v>0</v>
      </c>
      <c r="M304" t="n">
        <v>0</v>
      </c>
      <c r="N304" t="n">
        <v>0</v>
      </c>
      <c r="O304" t="n">
        <v>0</v>
      </c>
      <c r="P304" t="n">
        <v>0</v>
      </c>
      <c r="Q304" t="n">
        <v>0</v>
      </c>
      <c r="R304" s="2" t="inlineStr"/>
    </row>
    <row r="305" ht="15" customHeight="1">
      <c r="A305" t="inlineStr">
        <is>
          <t>A 22107-2024</t>
        </is>
      </c>
      <c r="B305" s="1" t="n">
        <v>45443</v>
      </c>
      <c r="C305" s="1" t="n">
        <v>45899</v>
      </c>
      <c r="D305" t="inlineStr">
        <is>
          <t>VÄSTERBOTTENS LÄN</t>
        </is>
      </c>
      <c r="E305" t="inlineStr">
        <is>
          <t>VILHELMINA</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70849-2021</t>
        </is>
      </c>
      <c r="B306" s="1" t="n">
        <v>44532</v>
      </c>
      <c r="C306" s="1" t="n">
        <v>45899</v>
      </c>
      <c r="D306" t="inlineStr">
        <is>
          <t>VÄSTERBOTTENS LÄN</t>
        </is>
      </c>
      <c r="E306" t="inlineStr">
        <is>
          <t>VILHELMINA</t>
        </is>
      </c>
      <c r="G306" t="n">
        <v>21.4</v>
      </c>
      <c r="H306" t="n">
        <v>0</v>
      </c>
      <c r="I306" t="n">
        <v>0</v>
      </c>
      <c r="J306" t="n">
        <v>0</v>
      </c>
      <c r="K306" t="n">
        <v>0</v>
      </c>
      <c r="L306" t="n">
        <v>0</v>
      </c>
      <c r="M306" t="n">
        <v>0</v>
      </c>
      <c r="N306" t="n">
        <v>0</v>
      </c>
      <c r="O306" t="n">
        <v>0</v>
      </c>
      <c r="P306" t="n">
        <v>0</v>
      </c>
      <c r="Q306" t="n">
        <v>0</v>
      </c>
      <c r="R306" s="2" t="inlineStr"/>
    </row>
    <row r="307" ht="15" customHeight="1">
      <c r="A307" t="inlineStr">
        <is>
          <t>A 50482-2023</t>
        </is>
      </c>
      <c r="B307" s="1" t="n">
        <v>45216</v>
      </c>
      <c r="C307" s="1" t="n">
        <v>45899</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21999-2025</t>
        </is>
      </c>
      <c r="B308" s="1" t="n">
        <v>45784</v>
      </c>
      <c r="C308" s="1" t="n">
        <v>45899</v>
      </c>
      <c r="D308" t="inlineStr">
        <is>
          <t>VÄSTERBOTTENS LÄN</t>
        </is>
      </c>
      <c r="E308" t="inlineStr">
        <is>
          <t>VILHELMINA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21950-2025</t>
        </is>
      </c>
      <c r="B309" s="1" t="n">
        <v>45784.59418981482</v>
      </c>
      <c r="C309" s="1" t="n">
        <v>45899</v>
      </c>
      <c r="D309" t="inlineStr">
        <is>
          <t>VÄSTERBOTTENS LÄN</t>
        </is>
      </c>
      <c r="E309" t="inlineStr">
        <is>
          <t>VILHELMINA</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21623-2025</t>
        </is>
      </c>
      <c r="B310" s="1" t="n">
        <v>45783</v>
      </c>
      <c r="C310" s="1" t="n">
        <v>45899</v>
      </c>
      <c r="D310" t="inlineStr">
        <is>
          <t>VÄSTERBOTTENS LÄN</t>
        </is>
      </c>
      <c r="E310" t="inlineStr">
        <is>
          <t>VILHELMINA</t>
        </is>
      </c>
      <c r="F310" t="inlineStr">
        <is>
          <t>SCA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21670-2025</t>
        </is>
      </c>
      <c r="B311" s="1" t="n">
        <v>45783.46917824074</v>
      </c>
      <c r="C311" s="1" t="n">
        <v>45899</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21972-2025</t>
        </is>
      </c>
      <c r="B312" s="1" t="n">
        <v>45784.63592592593</v>
      </c>
      <c r="C312" s="1" t="n">
        <v>45899</v>
      </c>
      <c r="D312" t="inlineStr">
        <is>
          <t>VÄSTERBOTTENS LÄN</t>
        </is>
      </c>
      <c r="E312" t="inlineStr">
        <is>
          <t>VILHELMINA</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34809-2023</t>
        </is>
      </c>
      <c r="B313" s="1" t="n">
        <v>45140</v>
      </c>
      <c r="C313" s="1" t="n">
        <v>45899</v>
      </c>
      <c r="D313" t="inlineStr">
        <is>
          <t>VÄSTERBOTTENS LÄN</t>
        </is>
      </c>
      <c r="E313" t="inlineStr">
        <is>
          <t>VILHELMINA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23544-2024</t>
        </is>
      </c>
      <c r="B314" s="1" t="n">
        <v>45453.95314814815</v>
      </c>
      <c r="C314" s="1" t="n">
        <v>45899</v>
      </c>
      <c r="D314" t="inlineStr">
        <is>
          <t>VÄSTERBOTTENS LÄN</t>
        </is>
      </c>
      <c r="E314" t="inlineStr">
        <is>
          <t>VILHELMINA</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23545-2024</t>
        </is>
      </c>
      <c r="B315" s="1" t="n">
        <v>45453.95326388889</v>
      </c>
      <c r="C315" s="1" t="n">
        <v>45899</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22048-2025</t>
        </is>
      </c>
      <c r="B316" s="1" t="n">
        <v>45785.3443287037</v>
      </c>
      <c r="C316" s="1" t="n">
        <v>45899</v>
      </c>
      <c r="D316" t="inlineStr">
        <is>
          <t>VÄSTERBOTTENS LÄN</t>
        </is>
      </c>
      <c r="E316" t="inlineStr">
        <is>
          <t>VILHELMINA</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38674-2023</t>
        </is>
      </c>
      <c r="B317" s="1" t="n">
        <v>45162.94335648148</v>
      </c>
      <c r="C317" s="1" t="n">
        <v>45899</v>
      </c>
      <c r="D317" t="inlineStr">
        <is>
          <t>VÄSTERBOTTENS LÄN</t>
        </is>
      </c>
      <c r="E317" t="inlineStr">
        <is>
          <t>VILHELMINA</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63218-2021</t>
        </is>
      </c>
      <c r="B318" s="1" t="n">
        <v>44505</v>
      </c>
      <c r="C318" s="1" t="n">
        <v>45899</v>
      </c>
      <c r="D318" t="inlineStr">
        <is>
          <t>VÄSTERBOTTENS LÄN</t>
        </is>
      </c>
      <c r="E318" t="inlineStr">
        <is>
          <t>VILHELMINA</t>
        </is>
      </c>
      <c r="G318" t="n">
        <v>6.8</v>
      </c>
      <c r="H318" t="n">
        <v>0</v>
      </c>
      <c r="I318" t="n">
        <v>0</v>
      </c>
      <c r="J318" t="n">
        <v>0</v>
      </c>
      <c r="K318" t="n">
        <v>0</v>
      </c>
      <c r="L318" t="n">
        <v>0</v>
      </c>
      <c r="M318" t="n">
        <v>0</v>
      </c>
      <c r="N318" t="n">
        <v>0</v>
      </c>
      <c r="O318" t="n">
        <v>0</v>
      </c>
      <c r="P318" t="n">
        <v>0</v>
      </c>
      <c r="Q318" t="n">
        <v>0</v>
      </c>
      <c r="R318" s="2" t="inlineStr"/>
    </row>
    <row r="319" ht="15" customHeight="1">
      <c r="A319" t="inlineStr">
        <is>
          <t>A 11544-2023</t>
        </is>
      </c>
      <c r="B319" s="1" t="n">
        <v>44993.94818287037</v>
      </c>
      <c r="C319" s="1" t="n">
        <v>45899</v>
      </c>
      <c r="D319" t="inlineStr">
        <is>
          <t>VÄSTERBOTTENS LÄN</t>
        </is>
      </c>
      <c r="E319" t="inlineStr">
        <is>
          <t>VILHELMINA</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58377-2021</t>
        </is>
      </c>
      <c r="B320" s="1" t="n">
        <v>44488</v>
      </c>
      <c r="C320" s="1" t="n">
        <v>45899</v>
      </c>
      <c r="D320" t="inlineStr">
        <is>
          <t>VÄSTERBOTTENS LÄN</t>
        </is>
      </c>
      <c r="E320" t="inlineStr">
        <is>
          <t>VILHELMINA</t>
        </is>
      </c>
      <c r="G320" t="n">
        <v>1.5</v>
      </c>
      <c r="H320" t="n">
        <v>0</v>
      </c>
      <c r="I320" t="n">
        <v>0</v>
      </c>
      <c r="J320" t="n">
        <v>0</v>
      </c>
      <c r="K320" t="n">
        <v>0</v>
      </c>
      <c r="L320" t="n">
        <v>0</v>
      </c>
      <c r="M320" t="n">
        <v>0</v>
      </c>
      <c r="N320" t="n">
        <v>0</v>
      </c>
      <c r="O320" t="n">
        <v>0</v>
      </c>
      <c r="P320" t="n">
        <v>0</v>
      </c>
      <c r="Q320" t="n">
        <v>0</v>
      </c>
      <c r="R320" s="2" t="inlineStr"/>
    </row>
    <row r="321" ht="15" customHeight="1">
      <c r="A321" t="inlineStr">
        <is>
          <t>A 15326-2024</t>
        </is>
      </c>
      <c r="B321" s="1" t="n">
        <v>45400</v>
      </c>
      <c r="C321" s="1" t="n">
        <v>45899</v>
      </c>
      <c r="D321" t="inlineStr">
        <is>
          <t>VÄSTERBOTTENS LÄN</t>
        </is>
      </c>
      <c r="E321" t="inlineStr">
        <is>
          <t>VILHELMINA</t>
        </is>
      </c>
      <c r="G321" t="n">
        <v>4.7</v>
      </c>
      <c r="H321" t="n">
        <v>0</v>
      </c>
      <c r="I321" t="n">
        <v>0</v>
      </c>
      <c r="J321" t="n">
        <v>0</v>
      </c>
      <c r="K321" t="n">
        <v>0</v>
      </c>
      <c r="L321" t="n">
        <v>0</v>
      </c>
      <c r="M321" t="n">
        <v>0</v>
      </c>
      <c r="N321" t="n">
        <v>0</v>
      </c>
      <c r="O321" t="n">
        <v>0</v>
      </c>
      <c r="P321" t="n">
        <v>0</v>
      </c>
      <c r="Q321" t="n">
        <v>0</v>
      </c>
      <c r="R321" s="2" t="inlineStr"/>
    </row>
    <row r="322" ht="15" customHeight="1">
      <c r="A322" t="inlineStr">
        <is>
          <t>A 32655-2021</t>
        </is>
      </c>
      <c r="B322" s="1" t="n">
        <v>44371</v>
      </c>
      <c r="C322" s="1" t="n">
        <v>45899</v>
      </c>
      <c r="D322" t="inlineStr">
        <is>
          <t>VÄSTERBOTTENS LÄN</t>
        </is>
      </c>
      <c r="E322" t="inlineStr">
        <is>
          <t>VILHELMINA</t>
        </is>
      </c>
      <c r="G322" t="n">
        <v>0.2</v>
      </c>
      <c r="H322" t="n">
        <v>0</v>
      </c>
      <c r="I322" t="n">
        <v>0</v>
      </c>
      <c r="J322" t="n">
        <v>0</v>
      </c>
      <c r="K322" t="n">
        <v>0</v>
      </c>
      <c r="L322" t="n">
        <v>0</v>
      </c>
      <c r="M322" t="n">
        <v>0</v>
      </c>
      <c r="N322" t="n">
        <v>0</v>
      </c>
      <c r="O322" t="n">
        <v>0</v>
      </c>
      <c r="P322" t="n">
        <v>0</v>
      </c>
      <c r="Q322" t="n">
        <v>0</v>
      </c>
      <c r="R322" s="2" t="inlineStr"/>
    </row>
    <row r="323" ht="15" customHeight="1">
      <c r="A323" t="inlineStr">
        <is>
          <t>A 26137-2024</t>
        </is>
      </c>
      <c r="B323" s="1" t="n">
        <v>45468</v>
      </c>
      <c r="C323" s="1" t="n">
        <v>45899</v>
      </c>
      <c r="D323" t="inlineStr">
        <is>
          <t>VÄSTERBOTTENS LÄN</t>
        </is>
      </c>
      <c r="E323" t="inlineStr">
        <is>
          <t>VILHELMINA</t>
        </is>
      </c>
      <c r="G323" t="n">
        <v>3.5</v>
      </c>
      <c r="H323" t="n">
        <v>0</v>
      </c>
      <c r="I323" t="n">
        <v>0</v>
      </c>
      <c r="J323" t="n">
        <v>0</v>
      </c>
      <c r="K323" t="n">
        <v>0</v>
      </c>
      <c r="L323" t="n">
        <v>0</v>
      </c>
      <c r="M323" t="n">
        <v>0</v>
      </c>
      <c r="N323" t="n">
        <v>0</v>
      </c>
      <c r="O323" t="n">
        <v>0</v>
      </c>
      <c r="P323" t="n">
        <v>0</v>
      </c>
      <c r="Q323" t="n">
        <v>0</v>
      </c>
      <c r="R323" s="2" t="inlineStr"/>
    </row>
    <row r="324" ht="15" customHeight="1">
      <c r="A324" t="inlineStr">
        <is>
          <t>A 43791-2024</t>
        </is>
      </c>
      <c r="B324" s="1" t="n">
        <v>45571</v>
      </c>
      <c r="C324" s="1" t="n">
        <v>45899</v>
      </c>
      <c r="D324" t="inlineStr">
        <is>
          <t>VÄSTERBOTTENS LÄN</t>
        </is>
      </c>
      <c r="E324" t="inlineStr">
        <is>
          <t>VILHELMINA</t>
        </is>
      </c>
      <c r="G324" t="n">
        <v>30.3</v>
      </c>
      <c r="H324" t="n">
        <v>0</v>
      </c>
      <c r="I324" t="n">
        <v>0</v>
      </c>
      <c r="J324" t="n">
        <v>0</v>
      </c>
      <c r="K324" t="n">
        <v>0</v>
      </c>
      <c r="L324" t="n">
        <v>0</v>
      </c>
      <c r="M324" t="n">
        <v>0</v>
      </c>
      <c r="N324" t="n">
        <v>0</v>
      </c>
      <c r="O324" t="n">
        <v>0</v>
      </c>
      <c r="P324" t="n">
        <v>0</v>
      </c>
      <c r="Q324" t="n">
        <v>0</v>
      </c>
      <c r="R324" s="2" t="inlineStr"/>
    </row>
    <row r="325" ht="15" customHeight="1">
      <c r="A325" t="inlineStr">
        <is>
          <t>A 43792-2024</t>
        </is>
      </c>
      <c r="B325" s="1" t="n">
        <v>45571</v>
      </c>
      <c r="C325" s="1" t="n">
        <v>45899</v>
      </c>
      <c r="D325" t="inlineStr">
        <is>
          <t>VÄSTERBOTTENS LÄN</t>
        </is>
      </c>
      <c r="E325" t="inlineStr">
        <is>
          <t>VILHELMINA</t>
        </is>
      </c>
      <c r="G325" t="n">
        <v>25.3</v>
      </c>
      <c r="H325" t="n">
        <v>0</v>
      </c>
      <c r="I325" t="n">
        <v>0</v>
      </c>
      <c r="J325" t="n">
        <v>0</v>
      </c>
      <c r="K325" t="n">
        <v>0</v>
      </c>
      <c r="L325" t="n">
        <v>0</v>
      </c>
      <c r="M325" t="n">
        <v>0</v>
      </c>
      <c r="N325" t="n">
        <v>0</v>
      </c>
      <c r="O325" t="n">
        <v>0</v>
      </c>
      <c r="P325" t="n">
        <v>0</v>
      </c>
      <c r="Q325" t="n">
        <v>0</v>
      </c>
      <c r="R325" s="2" t="inlineStr"/>
    </row>
    <row r="326" ht="15" customHeight="1">
      <c r="A326" t="inlineStr">
        <is>
          <t>A 19506-2025</t>
        </is>
      </c>
      <c r="B326" s="1" t="n">
        <v>45770</v>
      </c>
      <c r="C326" s="1" t="n">
        <v>45899</v>
      </c>
      <c r="D326" t="inlineStr">
        <is>
          <t>VÄSTERBOTTENS LÄN</t>
        </is>
      </c>
      <c r="E326" t="inlineStr">
        <is>
          <t>VILHELMINA</t>
        </is>
      </c>
      <c r="G326" t="n">
        <v>22.4</v>
      </c>
      <c r="H326" t="n">
        <v>0</v>
      </c>
      <c r="I326" t="n">
        <v>0</v>
      </c>
      <c r="J326" t="n">
        <v>0</v>
      </c>
      <c r="K326" t="n">
        <v>0</v>
      </c>
      <c r="L326" t="n">
        <v>0</v>
      </c>
      <c r="M326" t="n">
        <v>0</v>
      </c>
      <c r="N326" t="n">
        <v>0</v>
      </c>
      <c r="O326" t="n">
        <v>0</v>
      </c>
      <c r="P326" t="n">
        <v>0</v>
      </c>
      <c r="Q326" t="n">
        <v>0</v>
      </c>
      <c r="R326" s="2" t="inlineStr"/>
    </row>
    <row r="327" ht="15" customHeight="1">
      <c r="A327" t="inlineStr">
        <is>
          <t>A 44368-2024</t>
        </is>
      </c>
      <c r="B327" s="1" t="n">
        <v>45573</v>
      </c>
      <c r="C327" s="1" t="n">
        <v>45899</v>
      </c>
      <c r="D327" t="inlineStr">
        <is>
          <t>VÄSTERBOTTENS LÄN</t>
        </is>
      </c>
      <c r="E327" t="inlineStr">
        <is>
          <t>VILHELMINA</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32921-2024</t>
        </is>
      </c>
      <c r="B328" s="1" t="n">
        <v>45516.9525462963</v>
      </c>
      <c r="C328" s="1" t="n">
        <v>45899</v>
      </c>
      <c r="D328" t="inlineStr">
        <is>
          <t>VÄSTERBOTTENS LÄN</t>
        </is>
      </c>
      <c r="E328" t="inlineStr">
        <is>
          <t>VILHELMINA</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25701-2024</t>
        </is>
      </c>
      <c r="B329" s="1" t="n">
        <v>45463.94247685185</v>
      </c>
      <c r="C329" s="1" t="n">
        <v>45899</v>
      </c>
      <c r="D329" t="inlineStr">
        <is>
          <t>VÄSTERBOTTENS LÄN</t>
        </is>
      </c>
      <c r="E329" t="inlineStr">
        <is>
          <t>VILHELMINA</t>
        </is>
      </c>
      <c r="F329" t="inlineStr">
        <is>
          <t>SCA</t>
        </is>
      </c>
      <c r="G329" t="n">
        <v>8.6</v>
      </c>
      <c r="H329" t="n">
        <v>0</v>
      </c>
      <c r="I329" t="n">
        <v>0</v>
      </c>
      <c r="J329" t="n">
        <v>0</v>
      </c>
      <c r="K329" t="n">
        <v>0</v>
      </c>
      <c r="L329" t="n">
        <v>0</v>
      </c>
      <c r="M329" t="n">
        <v>0</v>
      </c>
      <c r="N329" t="n">
        <v>0</v>
      </c>
      <c r="O329" t="n">
        <v>0</v>
      </c>
      <c r="P329" t="n">
        <v>0</v>
      </c>
      <c r="Q329" t="n">
        <v>0</v>
      </c>
      <c r="R329" s="2" t="inlineStr"/>
    </row>
    <row r="330" ht="15" customHeight="1">
      <c r="A330" t="inlineStr">
        <is>
          <t>A 36376-2023</t>
        </is>
      </c>
      <c r="B330" s="1" t="n">
        <v>45152</v>
      </c>
      <c r="C330" s="1" t="n">
        <v>45899</v>
      </c>
      <c r="D330" t="inlineStr">
        <is>
          <t>VÄSTERBOTTENS LÄN</t>
        </is>
      </c>
      <c r="E330" t="inlineStr">
        <is>
          <t>VILHELMINA</t>
        </is>
      </c>
      <c r="G330" t="n">
        <v>12.7</v>
      </c>
      <c r="H330" t="n">
        <v>0</v>
      </c>
      <c r="I330" t="n">
        <v>0</v>
      </c>
      <c r="J330" t="n">
        <v>0</v>
      </c>
      <c r="K330" t="n">
        <v>0</v>
      </c>
      <c r="L330" t="n">
        <v>0</v>
      </c>
      <c r="M330" t="n">
        <v>0</v>
      </c>
      <c r="N330" t="n">
        <v>0</v>
      </c>
      <c r="O330" t="n">
        <v>0</v>
      </c>
      <c r="P330" t="n">
        <v>0</v>
      </c>
      <c r="Q330" t="n">
        <v>0</v>
      </c>
      <c r="R330" s="2" t="inlineStr"/>
    </row>
    <row r="331" ht="15" customHeight="1">
      <c r="A331" t="inlineStr">
        <is>
          <t>A 30575-2024</t>
        </is>
      </c>
      <c r="B331" s="1" t="n">
        <v>45492.95818287037</v>
      </c>
      <c r="C331" s="1" t="n">
        <v>45899</v>
      </c>
      <c r="D331" t="inlineStr">
        <is>
          <t>VÄSTERBOTTENS LÄN</t>
        </is>
      </c>
      <c r="E331" t="inlineStr">
        <is>
          <t>VILHELMINA</t>
        </is>
      </c>
      <c r="F331" t="inlineStr">
        <is>
          <t>SCA</t>
        </is>
      </c>
      <c r="G331" t="n">
        <v>6.5</v>
      </c>
      <c r="H331" t="n">
        <v>0</v>
      </c>
      <c r="I331" t="n">
        <v>0</v>
      </c>
      <c r="J331" t="n">
        <v>0</v>
      </c>
      <c r="K331" t="n">
        <v>0</v>
      </c>
      <c r="L331" t="n">
        <v>0</v>
      </c>
      <c r="M331" t="n">
        <v>0</v>
      </c>
      <c r="N331" t="n">
        <v>0</v>
      </c>
      <c r="O331" t="n">
        <v>0</v>
      </c>
      <c r="P331" t="n">
        <v>0</v>
      </c>
      <c r="Q331" t="n">
        <v>0</v>
      </c>
      <c r="R331" s="2" t="inlineStr"/>
    </row>
    <row r="332" ht="15" customHeight="1">
      <c r="A332" t="inlineStr">
        <is>
          <t>A 30578-2024</t>
        </is>
      </c>
      <c r="B332" s="1" t="n">
        <v>45492.95939814814</v>
      </c>
      <c r="C332" s="1" t="n">
        <v>45899</v>
      </c>
      <c r="D332" t="inlineStr">
        <is>
          <t>VÄSTERBOTTENS LÄN</t>
        </is>
      </c>
      <c r="E332" t="inlineStr">
        <is>
          <t>VILHELMINA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30580-2024</t>
        </is>
      </c>
      <c r="B333" s="1" t="n">
        <v>45492.95981481481</v>
      </c>
      <c r="C333" s="1" t="n">
        <v>45899</v>
      </c>
      <c r="D333" t="inlineStr">
        <is>
          <t>VÄSTERBOTTENS LÄN</t>
        </is>
      </c>
      <c r="E333" t="inlineStr">
        <is>
          <t>VILHELMINA</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72153-2021</t>
        </is>
      </c>
      <c r="B334" s="1" t="n">
        <v>44543</v>
      </c>
      <c r="C334" s="1" t="n">
        <v>45899</v>
      </c>
      <c r="D334" t="inlineStr">
        <is>
          <t>VÄSTERBOTTENS LÄN</t>
        </is>
      </c>
      <c r="E334" t="inlineStr">
        <is>
          <t>VILHELMINA</t>
        </is>
      </c>
      <c r="G334" t="n">
        <v>6.7</v>
      </c>
      <c r="H334" t="n">
        <v>0</v>
      </c>
      <c r="I334" t="n">
        <v>0</v>
      </c>
      <c r="J334" t="n">
        <v>0</v>
      </c>
      <c r="K334" t="n">
        <v>0</v>
      </c>
      <c r="L334" t="n">
        <v>0</v>
      </c>
      <c r="M334" t="n">
        <v>0</v>
      </c>
      <c r="N334" t="n">
        <v>0</v>
      </c>
      <c r="O334" t="n">
        <v>0</v>
      </c>
      <c r="P334" t="n">
        <v>0</v>
      </c>
      <c r="Q334" t="n">
        <v>0</v>
      </c>
      <c r="R334" s="2" t="inlineStr"/>
    </row>
    <row r="335" ht="15" customHeight="1">
      <c r="A335" t="inlineStr">
        <is>
          <t>A 6653-2021</t>
        </is>
      </c>
      <c r="B335" s="1" t="n">
        <v>44235</v>
      </c>
      <c r="C335" s="1" t="n">
        <v>45899</v>
      </c>
      <c r="D335" t="inlineStr">
        <is>
          <t>VÄSTERBOTTENS LÄN</t>
        </is>
      </c>
      <c r="E335" t="inlineStr">
        <is>
          <t>VILHELMINA</t>
        </is>
      </c>
      <c r="G335" t="n">
        <v>18</v>
      </c>
      <c r="H335" t="n">
        <v>0</v>
      </c>
      <c r="I335" t="n">
        <v>0</v>
      </c>
      <c r="J335" t="n">
        <v>0</v>
      </c>
      <c r="K335" t="n">
        <v>0</v>
      </c>
      <c r="L335" t="n">
        <v>0</v>
      </c>
      <c r="M335" t="n">
        <v>0</v>
      </c>
      <c r="N335" t="n">
        <v>0</v>
      </c>
      <c r="O335" t="n">
        <v>0</v>
      </c>
      <c r="P335" t="n">
        <v>0</v>
      </c>
      <c r="Q335" t="n">
        <v>0</v>
      </c>
      <c r="R335" s="2" t="inlineStr"/>
    </row>
    <row r="336" ht="15" customHeight="1">
      <c r="A336" t="inlineStr">
        <is>
          <t>A 6669-2021</t>
        </is>
      </c>
      <c r="B336" s="1" t="n">
        <v>44235</v>
      </c>
      <c r="C336" s="1" t="n">
        <v>45899</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35983-2023</t>
        </is>
      </c>
      <c r="B337" s="1" t="n">
        <v>45148.96185185185</v>
      </c>
      <c r="C337" s="1" t="n">
        <v>45899</v>
      </c>
      <c r="D337" t="inlineStr">
        <is>
          <t>VÄSTERBOTTENS LÄN</t>
        </is>
      </c>
      <c r="E337" t="inlineStr">
        <is>
          <t>VILHELMINA</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23536-2024</t>
        </is>
      </c>
      <c r="B338" s="1" t="n">
        <v>45453.95199074074</v>
      </c>
      <c r="C338" s="1" t="n">
        <v>45899</v>
      </c>
      <c r="D338" t="inlineStr">
        <is>
          <t>VÄSTERBOTTENS LÄN</t>
        </is>
      </c>
      <c r="E338" t="inlineStr">
        <is>
          <t>VILHELMINA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34762-2024</t>
        </is>
      </c>
      <c r="B339" s="1" t="n">
        <v>45526.61637731481</v>
      </c>
      <c r="C339" s="1" t="n">
        <v>45899</v>
      </c>
      <c r="D339" t="inlineStr">
        <is>
          <t>VÄSTERBOTTENS LÄN</t>
        </is>
      </c>
      <c r="E339" t="inlineStr">
        <is>
          <t>VILHELMINA</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8916-2023</t>
        </is>
      </c>
      <c r="B340" s="1" t="n">
        <v>44972</v>
      </c>
      <c r="C340" s="1" t="n">
        <v>45899</v>
      </c>
      <c r="D340" t="inlineStr">
        <is>
          <t>VÄSTERBOTTENS LÄN</t>
        </is>
      </c>
      <c r="E340" t="inlineStr">
        <is>
          <t>VILHELMINA</t>
        </is>
      </c>
      <c r="F340" t="inlineStr">
        <is>
          <t>Allmännings- och besparingsskogar</t>
        </is>
      </c>
      <c r="G340" t="n">
        <v>22.1</v>
      </c>
      <c r="H340" t="n">
        <v>0</v>
      </c>
      <c r="I340" t="n">
        <v>0</v>
      </c>
      <c r="J340" t="n">
        <v>0</v>
      </c>
      <c r="K340" t="n">
        <v>0</v>
      </c>
      <c r="L340" t="n">
        <v>0</v>
      </c>
      <c r="M340" t="n">
        <v>0</v>
      </c>
      <c r="N340" t="n">
        <v>0</v>
      </c>
      <c r="O340" t="n">
        <v>0</v>
      </c>
      <c r="P340" t="n">
        <v>0</v>
      </c>
      <c r="Q340" t="n">
        <v>0</v>
      </c>
      <c r="R340" s="2" t="inlineStr"/>
    </row>
    <row r="341" ht="15" customHeight="1">
      <c r="A341" t="inlineStr">
        <is>
          <t>A 66917-2021</t>
        </is>
      </c>
      <c r="B341" s="1" t="n">
        <v>44522</v>
      </c>
      <c r="C341" s="1" t="n">
        <v>45899</v>
      </c>
      <c r="D341" t="inlineStr">
        <is>
          <t>VÄSTERBOTTENS LÄN</t>
        </is>
      </c>
      <c r="E341" t="inlineStr">
        <is>
          <t>VILHELMINA</t>
        </is>
      </c>
      <c r="F341" t="inlineStr">
        <is>
          <t>Allmännings- och besparingsskogar</t>
        </is>
      </c>
      <c r="G341" t="n">
        <v>11.7</v>
      </c>
      <c r="H341" t="n">
        <v>0</v>
      </c>
      <c r="I341" t="n">
        <v>0</v>
      </c>
      <c r="J341" t="n">
        <v>0</v>
      </c>
      <c r="K341" t="n">
        <v>0</v>
      </c>
      <c r="L341" t="n">
        <v>0</v>
      </c>
      <c r="M341" t="n">
        <v>0</v>
      </c>
      <c r="N341" t="n">
        <v>0</v>
      </c>
      <c r="O341" t="n">
        <v>0</v>
      </c>
      <c r="P341" t="n">
        <v>0</v>
      </c>
      <c r="Q341" t="n">
        <v>0</v>
      </c>
      <c r="R341" s="2" t="inlineStr"/>
    </row>
    <row r="342" ht="15" customHeight="1">
      <c r="A342" t="inlineStr">
        <is>
          <t>A 8652-2023</t>
        </is>
      </c>
      <c r="B342" s="1" t="n">
        <v>44977.98401620371</v>
      </c>
      <c r="C342" s="1" t="n">
        <v>45899</v>
      </c>
      <c r="D342" t="inlineStr">
        <is>
          <t>VÄSTERBOTTENS LÄN</t>
        </is>
      </c>
      <c r="E342" t="inlineStr">
        <is>
          <t>VILHELMINA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8653-2023</t>
        </is>
      </c>
      <c r="B343" s="1" t="n">
        <v>44977</v>
      </c>
      <c r="C343" s="1" t="n">
        <v>45899</v>
      </c>
      <c r="D343" t="inlineStr">
        <is>
          <t>VÄSTERBOTTENS LÄN</t>
        </is>
      </c>
      <c r="E343" t="inlineStr">
        <is>
          <t>VILHELMINA</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54729-2022</t>
        </is>
      </c>
      <c r="B344" s="1" t="n">
        <v>44881</v>
      </c>
      <c r="C344" s="1" t="n">
        <v>45899</v>
      </c>
      <c r="D344" t="inlineStr">
        <is>
          <t>VÄSTERBOTTENS LÄN</t>
        </is>
      </c>
      <c r="E344" t="inlineStr">
        <is>
          <t>VILHELMINA</t>
        </is>
      </c>
      <c r="G344" t="n">
        <v>19.2</v>
      </c>
      <c r="H344" t="n">
        <v>0</v>
      </c>
      <c r="I344" t="n">
        <v>0</v>
      </c>
      <c r="J344" t="n">
        <v>0</v>
      </c>
      <c r="K344" t="n">
        <v>0</v>
      </c>
      <c r="L344" t="n">
        <v>0</v>
      </c>
      <c r="M344" t="n">
        <v>0</v>
      </c>
      <c r="N344" t="n">
        <v>0</v>
      </c>
      <c r="O344" t="n">
        <v>0</v>
      </c>
      <c r="P344" t="n">
        <v>0</v>
      </c>
      <c r="Q344" t="n">
        <v>0</v>
      </c>
      <c r="R344" s="2" t="inlineStr"/>
    </row>
    <row r="345" ht="15" customHeight="1">
      <c r="A345" t="inlineStr">
        <is>
          <t>A 5955-2023</t>
        </is>
      </c>
      <c r="B345" s="1" t="n">
        <v>44963.93989583333</v>
      </c>
      <c r="C345" s="1" t="n">
        <v>45899</v>
      </c>
      <c r="D345" t="inlineStr">
        <is>
          <t>VÄSTERBOTTENS LÄN</t>
        </is>
      </c>
      <c r="E345" t="inlineStr">
        <is>
          <t>VILHELMINA</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34807-2023</t>
        </is>
      </c>
      <c r="B346" s="1" t="n">
        <v>45140</v>
      </c>
      <c r="C346" s="1" t="n">
        <v>45899</v>
      </c>
      <c r="D346" t="inlineStr">
        <is>
          <t>VÄSTERBOTTENS LÄN</t>
        </is>
      </c>
      <c r="E346" t="inlineStr">
        <is>
          <t>VILHELMINA</t>
        </is>
      </c>
      <c r="G346" t="n">
        <v>8.1</v>
      </c>
      <c r="H346" t="n">
        <v>0</v>
      </c>
      <c r="I346" t="n">
        <v>0</v>
      </c>
      <c r="J346" t="n">
        <v>0</v>
      </c>
      <c r="K346" t="n">
        <v>0</v>
      </c>
      <c r="L346" t="n">
        <v>0</v>
      </c>
      <c r="M346" t="n">
        <v>0</v>
      </c>
      <c r="N346" t="n">
        <v>0</v>
      </c>
      <c r="O346" t="n">
        <v>0</v>
      </c>
      <c r="P346" t="n">
        <v>0</v>
      </c>
      <c r="Q346" t="n">
        <v>0</v>
      </c>
      <c r="R346" s="2" t="inlineStr"/>
    </row>
    <row r="347" ht="15" customHeight="1">
      <c r="A347" t="inlineStr">
        <is>
          <t>A 64028-2023</t>
        </is>
      </c>
      <c r="B347" s="1" t="n">
        <v>45278.94263888889</v>
      </c>
      <c r="C347" s="1" t="n">
        <v>45899</v>
      </c>
      <c r="D347" t="inlineStr">
        <is>
          <t>VÄSTERBOTTENS LÄN</t>
        </is>
      </c>
      <c r="E347" t="inlineStr">
        <is>
          <t>VILHELMINA</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28656-2024</t>
        </is>
      </c>
      <c r="B348" s="1" t="n">
        <v>45478</v>
      </c>
      <c r="C348" s="1" t="n">
        <v>45899</v>
      </c>
      <c r="D348" t="inlineStr">
        <is>
          <t>VÄSTERBOTTENS LÄN</t>
        </is>
      </c>
      <c r="E348" t="inlineStr">
        <is>
          <t>VILHELMINA</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34135-2024</t>
        </is>
      </c>
      <c r="B349" s="1" t="n">
        <v>45524.35605324074</v>
      </c>
      <c r="C349" s="1" t="n">
        <v>45899</v>
      </c>
      <c r="D349" t="inlineStr">
        <is>
          <t>VÄSTERBOTTENS LÄN</t>
        </is>
      </c>
      <c r="E349" t="inlineStr">
        <is>
          <t>VILHELMINA</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42478-2024</t>
        </is>
      </c>
      <c r="B350" s="1" t="n">
        <v>45565.4912962963</v>
      </c>
      <c r="C350" s="1" t="n">
        <v>45899</v>
      </c>
      <c r="D350" t="inlineStr">
        <is>
          <t>VÄSTERBOTTENS LÄN</t>
        </is>
      </c>
      <c r="E350" t="inlineStr">
        <is>
          <t>VILHELMINA</t>
        </is>
      </c>
      <c r="F350" t="inlineStr">
        <is>
          <t>SCA</t>
        </is>
      </c>
      <c r="G350" t="n">
        <v>6.6</v>
      </c>
      <c r="H350" t="n">
        <v>0</v>
      </c>
      <c r="I350" t="n">
        <v>0</v>
      </c>
      <c r="J350" t="n">
        <v>0</v>
      </c>
      <c r="K350" t="n">
        <v>0</v>
      </c>
      <c r="L350" t="n">
        <v>0</v>
      </c>
      <c r="M350" t="n">
        <v>0</v>
      </c>
      <c r="N350" t="n">
        <v>0</v>
      </c>
      <c r="O350" t="n">
        <v>0</v>
      </c>
      <c r="P350" t="n">
        <v>0</v>
      </c>
      <c r="Q350" t="n">
        <v>0</v>
      </c>
      <c r="R350" s="2" t="inlineStr"/>
    </row>
    <row r="351" ht="15" customHeight="1">
      <c r="A351" t="inlineStr">
        <is>
          <t>A 22617-2025</t>
        </is>
      </c>
      <c r="B351" s="1" t="n">
        <v>45789</v>
      </c>
      <c r="C351" s="1" t="n">
        <v>45899</v>
      </c>
      <c r="D351" t="inlineStr">
        <is>
          <t>VÄSTERBOTTENS LÄN</t>
        </is>
      </c>
      <c r="E351" t="inlineStr">
        <is>
          <t>VILHELMINA</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58749-2023</t>
        </is>
      </c>
      <c r="B352" s="1" t="n">
        <v>45251.92947916667</v>
      </c>
      <c r="C352" s="1" t="n">
        <v>45899</v>
      </c>
      <c r="D352" t="inlineStr">
        <is>
          <t>VÄSTERBOTTENS LÄN</t>
        </is>
      </c>
      <c r="E352" t="inlineStr">
        <is>
          <t>VILHELMINA</t>
        </is>
      </c>
      <c r="G352" t="n">
        <v>2.8</v>
      </c>
      <c r="H352" t="n">
        <v>0</v>
      </c>
      <c r="I352" t="n">
        <v>0</v>
      </c>
      <c r="J352" t="n">
        <v>0</v>
      </c>
      <c r="K352" t="n">
        <v>0</v>
      </c>
      <c r="L352" t="n">
        <v>0</v>
      </c>
      <c r="M352" t="n">
        <v>0</v>
      </c>
      <c r="N352" t="n">
        <v>0</v>
      </c>
      <c r="O352" t="n">
        <v>0</v>
      </c>
      <c r="P352" t="n">
        <v>0</v>
      </c>
      <c r="Q352" t="n">
        <v>0</v>
      </c>
      <c r="R352" s="2" t="inlineStr"/>
    </row>
    <row r="353" ht="15" customHeight="1">
      <c r="A353" t="inlineStr">
        <is>
          <t>A 38361-2023</t>
        </is>
      </c>
      <c r="B353" s="1" t="n">
        <v>45161.94315972222</v>
      </c>
      <c r="C353" s="1" t="n">
        <v>45899</v>
      </c>
      <c r="D353" t="inlineStr">
        <is>
          <t>VÄSTERBOTTENS LÄN</t>
        </is>
      </c>
      <c r="E353" t="inlineStr">
        <is>
          <t>VILHELMINA</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47254-2022</t>
        </is>
      </c>
      <c r="B354" s="1" t="n">
        <v>44852.94685185186</v>
      </c>
      <c r="C354" s="1" t="n">
        <v>45899</v>
      </c>
      <c r="D354" t="inlineStr">
        <is>
          <t>VÄSTERBOTTENS LÄN</t>
        </is>
      </c>
      <c r="E354" t="inlineStr">
        <is>
          <t>VILHELMINA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22109-2024</t>
        </is>
      </c>
      <c r="B355" s="1" t="n">
        <v>45443</v>
      </c>
      <c r="C355" s="1" t="n">
        <v>45899</v>
      </c>
      <c r="D355" t="inlineStr">
        <is>
          <t>VÄSTERBOTTENS LÄN</t>
        </is>
      </c>
      <c r="E355" t="inlineStr">
        <is>
          <t>VILHELMINA</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58824-2024</t>
        </is>
      </c>
      <c r="B356" s="1" t="n">
        <v>45636.36488425926</v>
      </c>
      <c r="C356" s="1" t="n">
        <v>45899</v>
      </c>
      <c r="D356" t="inlineStr">
        <is>
          <t>VÄSTERBOTTENS LÄN</t>
        </is>
      </c>
      <c r="E356" t="inlineStr">
        <is>
          <t>VILHELMINA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60377-2024</t>
        </is>
      </c>
      <c r="B357" s="1" t="n">
        <v>45643</v>
      </c>
      <c r="C357" s="1" t="n">
        <v>45899</v>
      </c>
      <c r="D357" t="inlineStr">
        <is>
          <t>VÄSTERBOTTENS LÄN</t>
        </is>
      </c>
      <c r="E357" t="inlineStr">
        <is>
          <t>VILHELMINA</t>
        </is>
      </c>
      <c r="F357" t="inlineStr">
        <is>
          <t>SCA</t>
        </is>
      </c>
      <c r="G357" t="n">
        <v>16.2</v>
      </c>
      <c r="H357" t="n">
        <v>0</v>
      </c>
      <c r="I357" t="n">
        <v>0</v>
      </c>
      <c r="J357" t="n">
        <v>0</v>
      </c>
      <c r="K357" t="n">
        <v>0</v>
      </c>
      <c r="L357" t="n">
        <v>0</v>
      </c>
      <c r="M357" t="n">
        <v>0</v>
      </c>
      <c r="N357" t="n">
        <v>0</v>
      </c>
      <c r="O357" t="n">
        <v>0</v>
      </c>
      <c r="P357" t="n">
        <v>0</v>
      </c>
      <c r="Q357" t="n">
        <v>0</v>
      </c>
      <c r="R357" s="2" t="inlineStr"/>
    </row>
    <row r="358" ht="15" customHeight="1">
      <c r="A358" t="inlineStr">
        <is>
          <t>A 61953-2024</t>
        </is>
      </c>
      <c r="B358" s="1" t="n">
        <v>45653.5150462963</v>
      </c>
      <c r="C358" s="1" t="n">
        <v>45899</v>
      </c>
      <c r="D358" t="inlineStr">
        <is>
          <t>VÄSTERBOTTENS LÄN</t>
        </is>
      </c>
      <c r="E358" t="inlineStr">
        <is>
          <t>VILHELMINA</t>
        </is>
      </c>
      <c r="F358" t="inlineStr">
        <is>
          <t>Kommuner</t>
        </is>
      </c>
      <c r="G358" t="n">
        <v>10.2</v>
      </c>
      <c r="H358" t="n">
        <v>0</v>
      </c>
      <c r="I358" t="n">
        <v>0</v>
      </c>
      <c r="J358" t="n">
        <v>0</v>
      </c>
      <c r="K358" t="n">
        <v>0</v>
      </c>
      <c r="L358" t="n">
        <v>0</v>
      </c>
      <c r="M358" t="n">
        <v>0</v>
      </c>
      <c r="N358" t="n">
        <v>0</v>
      </c>
      <c r="O358" t="n">
        <v>0</v>
      </c>
      <c r="P358" t="n">
        <v>0</v>
      </c>
      <c r="Q358" t="n">
        <v>0</v>
      </c>
      <c r="R358" s="2" t="inlineStr"/>
    </row>
    <row r="359" ht="15" customHeight="1">
      <c r="A359" t="inlineStr">
        <is>
          <t>A 62100-2024</t>
        </is>
      </c>
      <c r="B359" s="1" t="n">
        <v>45656</v>
      </c>
      <c r="C359" s="1" t="n">
        <v>45899</v>
      </c>
      <c r="D359" t="inlineStr">
        <is>
          <t>VÄSTERBOTTENS LÄN</t>
        </is>
      </c>
      <c r="E359" t="inlineStr">
        <is>
          <t>VILHELMINA</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47440-2024</t>
        </is>
      </c>
      <c r="B360" s="1" t="n">
        <v>45587</v>
      </c>
      <c r="C360" s="1" t="n">
        <v>45899</v>
      </c>
      <c r="D360" t="inlineStr">
        <is>
          <t>VÄSTERBOTTENS LÄN</t>
        </is>
      </c>
      <c r="E360" t="inlineStr">
        <is>
          <t>VILHELMINA</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48088-2024</t>
        </is>
      </c>
      <c r="B361" s="1" t="n">
        <v>45589</v>
      </c>
      <c r="C361" s="1" t="n">
        <v>45899</v>
      </c>
      <c r="D361" t="inlineStr">
        <is>
          <t>VÄSTERBOTTENS LÄN</t>
        </is>
      </c>
      <c r="E361" t="inlineStr">
        <is>
          <t>VILHELMINA</t>
        </is>
      </c>
      <c r="F361" t="inlineStr">
        <is>
          <t>SCA</t>
        </is>
      </c>
      <c r="G361" t="n">
        <v>6.9</v>
      </c>
      <c r="H361" t="n">
        <v>0</v>
      </c>
      <c r="I361" t="n">
        <v>0</v>
      </c>
      <c r="J361" t="n">
        <v>0</v>
      </c>
      <c r="K361" t="n">
        <v>0</v>
      </c>
      <c r="L361" t="n">
        <v>0</v>
      </c>
      <c r="M361" t="n">
        <v>0</v>
      </c>
      <c r="N361" t="n">
        <v>0</v>
      </c>
      <c r="O361" t="n">
        <v>0</v>
      </c>
      <c r="P361" t="n">
        <v>0</v>
      </c>
      <c r="Q361" t="n">
        <v>0</v>
      </c>
      <c r="R361" s="2" t="inlineStr"/>
    </row>
    <row r="362" ht="15" customHeight="1">
      <c r="A362" t="inlineStr">
        <is>
          <t>A 39035-2024</t>
        </is>
      </c>
      <c r="B362" s="1" t="n">
        <v>45548.46918981482</v>
      </c>
      <c r="C362" s="1" t="n">
        <v>45899</v>
      </c>
      <c r="D362" t="inlineStr">
        <is>
          <t>VÄSTERBOTTENS LÄN</t>
        </is>
      </c>
      <c r="E362" t="inlineStr">
        <is>
          <t>VILHELMINA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47548-2024</t>
        </is>
      </c>
      <c r="B363" s="1" t="n">
        <v>45587</v>
      </c>
      <c r="C363" s="1" t="n">
        <v>45899</v>
      </c>
      <c r="D363" t="inlineStr">
        <is>
          <t>VÄSTERBOTTENS LÄN</t>
        </is>
      </c>
      <c r="E363" t="inlineStr">
        <is>
          <t>VILHELMINA</t>
        </is>
      </c>
      <c r="F363" t="inlineStr">
        <is>
          <t>SCA</t>
        </is>
      </c>
      <c r="G363" t="n">
        <v>7.7</v>
      </c>
      <c r="H363" t="n">
        <v>0</v>
      </c>
      <c r="I363" t="n">
        <v>0</v>
      </c>
      <c r="J363" t="n">
        <v>0</v>
      </c>
      <c r="K363" t="n">
        <v>0</v>
      </c>
      <c r="L363" t="n">
        <v>0</v>
      </c>
      <c r="M363" t="n">
        <v>0</v>
      </c>
      <c r="N363" t="n">
        <v>0</v>
      </c>
      <c r="O363" t="n">
        <v>0</v>
      </c>
      <c r="P363" t="n">
        <v>0</v>
      </c>
      <c r="Q363" t="n">
        <v>0</v>
      </c>
      <c r="R363" s="2" t="inlineStr"/>
    </row>
    <row r="364" ht="15" customHeight="1">
      <c r="A364" t="inlineStr">
        <is>
          <t>A 15062-2024</t>
        </is>
      </c>
      <c r="B364" s="1" t="n">
        <v>45399</v>
      </c>
      <c r="C364" s="1" t="n">
        <v>45899</v>
      </c>
      <c r="D364" t="inlineStr">
        <is>
          <t>VÄSTERBOTTENS LÄN</t>
        </is>
      </c>
      <c r="E364" t="inlineStr">
        <is>
          <t>VILHELMINA</t>
        </is>
      </c>
      <c r="G364" t="n">
        <v>1.7</v>
      </c>
      <c r="H364" t="n">
        <v>0</v>
      </c>
      <c r="I364" t="n">
        <v>0</v>
      </c>
      <c r="J364" t="n">
        <v>0</v>
      </c>
      <c r="K364" t="n">
        <v>0</v>
      </c>
      <c r="L364" t="n">
        <v>0</v>
      </c>
      <c r="M364" t="n">
        <v>0</v>
      </c>
      <c r="N364" t="n">
        <v>0</v>
      </c>
      <c r="O364" t="n">
        <v>0</v>
      </c>
      <c r="P364" t="n">
        <v>0</v>
      </c>
      <c r="Q364" t="n">
        <v>0</v>
      </c>
      <c r="R364" s="2" t="inlineStr"/>
    </row>
    <row r="365" ht="15" customHeight="1">
      <c r="A365" t="inlineStr">
        <is>
          <t>A 15066-2024</t>
        </is>
      </c>
      <c r="B365" s="1" t="n">
        <v>45399</v>
      </c>
      <c r="C365" s="1" t="n">
        <v>45899</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38187-2024</t>
        </is>
      </c>
      <c r="B366" s="1" t="n">
        <v>45545.49028935185</v>
      </c>
      <c r="C366" s="1" t="n">
        <v>45899</v>
      </c>
      <c r="D366" t="inlineStr">
        <is>
          <t>VÄSTERBOTTENS LÄN</t>
        </is>
      </c>
      <c r="E366" t="inlineStr">
        <is>
          <t>VILHELMINA</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23459-2025</t>
        </is>
      </c>
      <c r="B367" s="1" t="n">
        <v>45792</v>
      </c>
      <c r="C367" s="1" t="n">
        <v>45899</v>
      </c>
      <c r="D367" t="inlineStr">
        <is>
          <t>VÄSTERBOTTENS LÄN</t>
        </is>
      </c>
      <c r="E367" t="inlineStr">
        <is>
          <t>VILHELMINA</t>
        </is>
      </c>
      <c r="F367" t="inlineStr">
        <is>
          <t>SCA</t>
        </is>
      </c>
      <c r="G367" t="n">
        <v>7.4</v>
      </c>
      <c r="H367" t="n">
        <v>0</v>
      </c>
      <c r="I367" t="n">
        <v>0</v>
      </c>
      <c r="J367" t="n">
        <v>0</v>
      </c>
      <c r="K367" t="n">
        <v>0</v>
      </c>
      <c r="L367" t="n">
        <v>0</v>
      </c>
      <c r="M367" t="n">
        <v>0</v>
      </c>
      <c r="N367" t="n">
        <v>0</v>
      </c>
      <c r="O367" t="n">
        <v>0</v>
      </c>
      <c r="P367" t="n">
        <v>0</v>
      </c>
      <c r="Q367" t="n">
        <v>0</v>
      </c>
      <c r="R367" s="2" t="inlineStr"/>
    </row>
    <row r="368" ht="15" customHeight="1">
      <c r="A368" t="inlineStr">
        <is>
          <t>A 23461-2025</t>
        </is>
      </c>
      <c r="B368" s="1" t="n">
        <v>45792</v>
      </c>
      <c r="C368" s="1" t="n">
        <v>45899</v>
      </c>
      <c r="D368" t="inlineStr">
        <is>
          <t>VÄSTERBOTTENS LÄN</t>
        </is>
      </c>
      <c r="E368" t="inlineStr">
        <is>
          <t>VILHELMINA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23281-2025</t>
        </is>
      </c>
      <c r="B369" s="1" t="n">
        <v>45791.57324074074</v>
      </c>
      <c r="C369" s="1" t="n">
        <v>45899</v>
      </c>
      <c r="D369" t="inlineStr">
        <is>
          <t>VÄSTERBOTTENS LÄN</t>
        </is>
      </c>
      <c r="E369" t="inlineStr">
        <is>
          <t>VILHELMINA</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8229-2022</t>
        </is>
      </c>
      <c r="B370" s="1" t="n">
        <v>44609</v>
      </c>
      <c r="C370" s="1" t="n">
        <v>45899</v>
      </c>
      <c r="D370" t="inlineStr">
        <is>
          <t>VÄSTERBOTTENS LÄN</t>
        </is>
      </c>
      <c r="E370" t="inlineStr">
        <is>
          <t>VILHELMINA</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47242-2024</t>
        </is>
      </c>
      <c r="B371" s="1" t="n">
        <v>45586</v>
      </c>
      <c r="C371" s="1" t="n">
        <v>45899</v>
      </c>
      <c r="D371" t="inlineStr">
        <is>
          <t>VÄSTERBOTTENS LÄN</t>
        </is>
      </c>
      <c r="E371" t="inlineStr">
        <is>
          <t>VILHELMINA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31496-2023</t>
        </is>
      </c>
      <c r="B372" s="1" t="n">
        <v>45114.94138888889</v>
      </c>
      <c r="C372" s="1" t="n">
        <v>45899</v>
      </c>
      <c r="D372" t="inlineStr">
        <is>
          <t>VÄSTERBOTTENS LÄN</t>
        </is>
      </c>
      <c r="E372" t="inlineStr">
        <is>
          <t>VILHELMINA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23415-2025</t>
        </is>
      </c>
      <c r="B373" s="1" t="n">
        <v>45792.34643518519</v>
      </c>
      <c r="C373" s="1" t="n">
        <v>45899</v>
      </c>
      <c r="D373" t="inlineStr">
        <is>
          <t>VÄSTERBOTTENS LÄN</t>
        </is>
      </c>
      <c r="E373" t="inlineStr">
        <is>
          <t>VILHELMINA</t>
        </is>
      </c>
      <c r="F373" t="inlineStr">
        <is>
          <t>SCA</t>
        </is>
      </c>
      <c r="G373" t="n">
        <v>36.9</v>
      </c>
      <c r="H373" t="n">
        <v>0</v>
      </c>
      <c r="I373" t="n">
        <v>0</v>
      </c>
      <c r="J373" t="n">
        <v>0</v>
      </c>
      <c r="K373" t="n">
        <v>0</v>
      </c>
      <c r="L373" t="n">
        <v>0</v>
      </c>
      <c r="M373" t="n">
        <v>0</v>
      </c>
      <c r="N373" t="n">
        <v>0</v>
      </c>
      <c r="O373" t="n">
        <v>0</v>
      </c>
      <c r="P373" t="n">
        <v>0</v>
      </c>
      <c r="Q373" t="n">
        <v>0</v>
      </c>
      <c r="R373" s="2" t="inlineStr"/>
    </row>
    <row r="374" ht="15" customHeight="1">
      <c r="A374" t="inlineStr">
        <is>
          <t>A 48062-2024</t>
        </is>
      </c>
      <c r="B374" s="1" t="n">
        <v>45589</v>
      </c>
      <c r="C374" s="1" t="n">
        <v>45899</v>
      </c>
      <c r="D374" t="inlineStr">
        <is>
          <t>VÄSTERBOTTENS LÄN</t>
        </is>
      </c>
      <c r="E374" t="inlineStr">
        <is>
          <t>VILHELMINA</t>
        </is>
      </c>
      <c r="F374" t="inlineStr">
        <is>
          <t>SCA</t>
        </is>
      </c>
      <c r="G374" t="n">
        <v>6.2</v>
      </c>
      <c r="H374" t="n">
        <v>0</v>
      </c>
      <c r="I374" t="n">
        <v>0</v>
      </c>
      <c r="J374" t="n">
        <v>0</v>
      </c>
      <c r="K374" t="n">
        <v>0</v>
      </c>
      <c r="L374" t="n">
        <v>0</v>
      </c>
      <c r="M374" t="n">
        <v>0</v>
      </c>
      <c r="N374" t="n">
        <v>0</v>
      </c>
      <c r="O374" t="n">
        <v>0</v>
      </c>
      <c r="P374" t="n">
        <v>0</v>
      </c>
      <c r="Q374" t="n">
        <v>0</v>
      </c>
      <c r="R374" s="2" t="inlineStr"/>
    </row>
    <row r="375" ht="15" customHeight="1">
      <c r="A375" t="inlineStr">
        <is>
          <t>A 15786-2025</t>
        </is>
      </c>
      <c r="B375" s="1" t="n">
        <v>45748.62240740741</v>
      </c>
      <c r="C375" s="1" t="n">
        <v>45899</v>
      </c>
      <c r="D375" t="inlineStr">
        <is>
          <t>VÄSTERBOTTENS LÄN</t>
        </is>
      </c>
      <c r="E375" t="inlineStr">
        <is>
          <t>VILHELMINA</t>
        </is>
      </c>
      <c r="G375" t="n">
        <v>1.1</v>
      </c>
      <c r="H375" t="n">
        <v>0</v>
      </c>
      <c r="I375" t="n">
        <v>0</v>
      </c>
      <c r="J375" t="n">
        <v>0</v>
      </c>
      <c r="K375" t="n">
        <v>0</v>
      </c>
      <c r="L375" t="n">
        <v>0</v>
      </c>
      <c r="M375" t="n">
        <v>0</v>
      </c>
      <c r="N375" t="n">
        <v>0</v>
      </c>
      <c r="O375" t="n">
        <v>0</v>
      </c>
      <c r="P375" t="n">
        <v>0</v>
      </c>
      <c r="Q375" t="n">
        <v>0</v>
      </c>
      <c r="R375" s="2" t="inlineStr"/>
    </row>
    <row r="376" ht="15" customHeight="1">
      <c r="A376" t="inlineStr">
        <is>
          <t>A 45593-2024</t>
        </is>
      </c>
      <c r="B376" s="1" t="n">
        <v>45579</v>
      </c>
      <c r="C376" s="1" t="n">
        <v>45899</v>
      </c>
      <c r="D376" t="inlineStr">
        <is>
          <t>VÄSTERBOTTENS LÄN</t>
        </is>
      </c>
      <c r="E376" t="inlineStr">
        <is>
          <t>VILHELMINA</t>
        </is>
      </c>
      <c r="G376" t="n">
        <v>0.9</v>
      </c>
      <c r="H376" t="n">
        <v>0</v>
      </c>
      <c r="I376" t="n">
        <v>0</v>
      </c>
      <c r="J376" t="n">
        <v>0</v>
      </c>
      <c r="K376" t="n">
        <v>0</v>
      </c>
      <c r="L376" t="n">
        <v>0</v>
      </c>
      <c r="M376" t="n">
        <v>0</v>
      </c>
      <c r="N376" t="n">
        <v>0</v>
      </c>
      <c r="O376" t="n">
        <v>0</v>
      </c>
      <c r="P376" t="n">
        <v>0</v>
      </c>
      <c r="Q376" t="n">
        <v>0</v>
      </c>
      <c r="R376" s="2" t="inlineStr"/>
    </row>
    <row r="377" ht="15" customHeight="1">
      <c r="A377" t="inlineStr">
        <is>
          <t>A 23406-2025</t>
        </is>
      </c>
      <c r="B377" s="1" t="n">
        <v>45792.34540509259</v>
      </c>
      <c r="C377" s="1" t="n">
        <v>45899</v>
      </c>
      <c r="D377" t="inlineStr">
        <is>
          <t>VÄSTERBOTTENS LÄN</t>
        </is>
      </c>
      <c r="E377" t="inlineStr">
        <is>
          <t>VILHELMINA</t>
        </is>
      </c>
      <c r="F377" t="inlineStr">
        <is>
          <t>SCA</t>
        </is>
      </c>
      <c r="G377" t="n">
        <v>15.4</v>
      </c>
      <c r="H377" t="n">
        <v>0</v>
      </c>
      <c r="I377" t="n">
        <v>0</v>
      </c>
      <c r="J377" t="n">
        <v>0</v>
      </c>
      <c r="K377" t="n">
        <v>0</v>
      </c>
      <c r="L377" t="n">
        <v>0</v>
      </c>
      <c r="M377" t="n">
        <v>0</v>
      </c>
      <c r="N377" t="n">
        <v>0</v>
      </c>
      <c r="O377" t="n">
        <v>0</v>
      </c>
      <c r="P377" t="n">
        <v>0</v>
      </c>
      <c r="Q377" t="n">
        <v>0</v>
      </c>
      <c r="R377" s="2" t="inlineStr"/>
    </row>
    <row r="378" ht="15" customHeight="1">
      <c r="A378" t="inlineStr">
        <is>
          <t>A 17467-2025</t>
        </is>
      </c>
      <c r="B378" s="1" t="n">
        <v>45757</v>
      </c>
      <c r="C378" s="1" t="n">
        <v>45899</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146-2025</t>
        </is>
      </c>
      <c r="B379" s="1" t="n">
        <v>45659</v>
      </c>
      <c r="C379" s="1" t="n">
        <v>45899</v>
      </c>
      <c r="D379" t="inlineStr">
        <is>
          <t>VÄSTERBOTTENS LÄN</t>
        </is>
      </c>
      <c r="E379" t="inlineStr">
        <is>
          <t>VILHELMINA</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19873-2024</t>
        </is>
      </c>
      <c r="B380" s="1" t="n">
        <v>45433</v>
      </c>
      <c r="C380" s="1" t="n">
        <v>45899</v>
      </c>
      <c r="D380" t="inlineStr">
        <is>
          <t>VÄSTERBOTTENS LÄN</t>
        </is>
      </c>
      <c r="E380" t="inlineStr">
        <is>
          <t>VILHELMINA</t>
        </is>
      </c>
      <c r="G380" t="n">
        <v>8.6</v>
      </c>
      <c r="H380" t="n">
        <v>0</v>
      </c>
      <c r="I380" t="n">
        <v>0</v>
      </c>
      <c r="J380" t="n">
        <v>0</v>
      </c>
      <c r="K380" t="n">
        <v>0</v>
      </c>
      <c r="L380" t="n">
        <v>0</v>
      </c>
      <c r="M380" t="n">
        <v>0</v>
      </c>
      <c r="N380" t="n">
        <v>0</v>
      </c>
      <c r="O380" t="n">
        <v>0</v>
      </c>
      <c r="P380" t="n">
        <v>0</v>
      </c>
      <c r="Q380" t="n">
        <v>0</v>
      </c>
      <c r="R380" s="2" t="inlineStr"/>
    </row>
    <row r="381" ht="15" customHeight="1">
      <c r="A381" t="inlineStr">
        <is>
          <t>A 49221-2024</t>
        </is>
      </c>
      <c r="B381" s="1" t="n">
        <v>45595.41166666667</v>
      </c>
      <c r="C381" s="1" t="n">
        <v>45899</v>
      </c>
      <c r="D381" t="inlineStr">
        <is>
          <t>VÄSTERBOTTENS LÄN</t>
        </is>
      </c>
      <c r="E381" t="inlineStr">
        <is>
          <t>VILHELMINA</t>
        </is>
      </c>
      <c r="G381" t="n">
        <v>11.4</v>
      </c>
      <c r="H381" t="n">
        <v>0</v>
      </c>
      <c r="I381" t="n">
        <v>0</v>
      </c>
      <c r="J381" t="n">
        <v>0</v>
      </c>
      <c r="K381" t="n">
        <v>0</v>
      </c>
      <c r="L381" t="n">
        <v>0</v>
      </c>
      <c r="M381" t="n">
        <v>0</v>
      </c>
      <c r="N381" t="n">
        <v>0</v>
      </c>
      <c r="O381" t="n">
        <v>0</v>
      </c>
      <c r="P381" t="n">
        <v>0</v>
      </c>
      <c r="Q381" t="n">
        <v>0</v>
      </c>
      <c r="R381" s="2" t="inlineStr"/>
    </row>
    <row r="382" ht="15" customHeight="1">
      <c r="A382" t="inlineStr">
        <is>
          <t>A 49246-2024</t>
        </is>
      </c>
      <c r="B382" s="1" t="n">
        <v>45595.4618287037</v>
      </c>
      <c r="C382" s="1" t="n">
        <v>45899</v>
      </c>
      <c r="D382" t="inlineStr">
        <is>
          <t>VÄSTERBOTTENS LÄN</t>
        </is>
      </c>
      <c r="E382" t="inlineStr">
        <is>
          <t>VILHELMINA</t>
        </is>
      </c>
      <c r="G382" t="n">
        <v>0.9</v>
      </c>
      <c r="H382" t="n">
        <v>0</v>
      </c>
      <c r="I382" t="n">
        <v>0</v>
      </c>
      <c r="J382" t="n">
        <v>0</v>
      </c>
      <c r="K382" t="n">
        <v>0</v>
      </c>
      <c r="L382" t="n">
        <v>0</v>
      </c>
      <c r="M382" t="n">
        <v>0</v>
      </c>
      <c r="N382" t="n">
        <v>0</v>
      </c>
      <c r="O382" t="n">
        <v>0</v>
      </c>
      <c r="P382" t="n">
        <v>0</v>
      </c>
      <c r="Q382" t="n">
        <v>0</v>
      </c>
      <c r="R382" s="2" t="inlineStr"/>
    </row>
    <row r="383" ht="15" customHeight="1">
      <c r="A383" t="inlineStr">
        <is>
          <t>A 25308-2025</t>
        </is>
      </c>
      <c r="B383" s="1" t="n">
        <v>45800</v>
      </c>
      <c r="C383" s="1" t="n">
        <v>45899</v>
      </c>
      <c r="D383" t="inlineStr">
        <is>
          <t>VÄSTERBOTTENS LÄN</t>
        </is>
      </c>
      <c r="E383" t="inlineStr">
        <is>
          <t>VILHELMINA</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23412-2025</t>
        </is>
      </c>
      <c r="B384" s="1" t="n">
        <v>45792.34596064815</v>
      </c>
      <c r="C384" s="1" t="n">
        <v>45899</v>
      </c>
      <c r="D384" t="inlineStr">
        <is>
          <t>VÄSTERBOTTENS LÄN</t>
        </is>
      </c>
      <c r="E384" t="inlineStr">
        <is>
          <t>VILHELMINA</t>
        </is>
      </c>
      <c r="F384" t="inlineStr">
        <is>
          <t>SCA</t>
        </is>
      </c>
      <c r="G384" t="n">
        <v>10.1</v>
      </c>
      <c r="H384" t="n">
        <v>0</v>
      </c>
      <c r="I384" t="n">
        <v>0</v>
      </c>
      <c r="J384" t="n">
        <v>0</v>
      </c>
      <c r="K384" t="n">
        <v>0</v>
      </c>
      <c r="L384" t="n">
        <v>0</v>
      </c>
      <c r="M384" t="n">
        <v>0</v>
      </c>
      <c r="N384" t="n">
        <v>0</v>
      </c>
      <c r="O384" t="n">
        <v>0</v>
      </c>
      <c r="P384" t="n">
        <v>0</v>
      </c>
      <c r="Q384" t="n">
        <v>0</v>
      </c>
      <c r="R384" s="2" t="inlineStr"/>
    </row>
    <row r="385" ht="15" customHeight="1">
      <c r="A385" t="inlineStr">
        <is>
          <t>A 706-2024</t>
        </is>
      </c>
      <c r="B385" s="1" t="n">
        <v>45300</v>
      </c>
      <c r="C385" s="1" t="n">
        <v>45899</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45555.57373842593</v>
      </c>
      <c r="C386" s="1" t="n">
        <v>45899</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10548-2022</t>
        </is>
      </c>
      <c r="B387" s="1" t="n">
        <v>44623</v>
      </c>
      <c r="C387" s="1" t="n">
        <v>45899</v>
      </c>
      <c r="D387" t="inlineStr">
        <is>
          <t>VÄSTERBOTTENS LÄN</t>
        </is>
      </c>
      <c r="E387" t="inlineStr">
        <is>
          <t>VILHELMINA</t>
        </is>
      </c>
      <c r="F387" t="inlineStr">
        <is>
          <t>SCA</t>
        </is>
      </c>
      <c r="G387" t="n">
        <v>11.5</v>
      </c>
      <c r="H387" t="n">
        <v>0</v>
      </c>
      <c r="I387" t="n">
        <v>0</v>
      </c>
      <c r="J387" t="n">
        <v>0</v>
      </c>
      <c r="K387" t="n">
        <v>0</v>
      </c>
      <c r="L387" t="n">
        <v>0</v>
      </c>
      <c r="M387" t="n">
        <v>0</v>
      </c>
      <c r="N387" t="n">
        <v>0</v>
      </c>
      <c r="O387" t="n">
        <v>0</v>
      </c>
      <c r="P387" t="n">
        <v>0</v>
      </c>
      <c r="Q387" t="n">
        <v>0</v>
      </c>
      <c r="R387" s="2" t="inlineStr"/>
    </row>
    <row r="388" ht="15" customHeight="1">
      <c r="A388" t="inlineStr">
        <is>
          <t>A 58505-2024</t>
        </is>
      </c>
      <c r="B388" s="1" t="n">
        <v>45635</v>
      </c>
      <c r="C388" s="1" t="n">
        <v>45899</v>
      </c>
      <c r="D388" t="inlineStr">
        <is>
          <t>VÄSTERBOTTENS LÄN</t>
        </is>
      </c>
      <c r="E388" t="inlineStr">
        <is>
          <t>VILHELMINA</t>
        </is>
      </c>
      <c r="G388" t="n">
        <v>2.9</v>
      </c>
      <c r="H388" t="n">
        <v>0</v>
      </c>
      <c r="I388" t="n">
        <v>0</v>
      </c>
      <c r="J388" t="n">
        <v>0</v>
      </c>
      <c r="K388" t="n">
        <v>0</v>
      </c>
      <c r="L388" t="n">
        <v>0</v>
      </c>
      <c r="M388" t="n">
        <v>0</v>
      </c>
      <c r="N388" t="n">
        <v>0</v>
      </c>
      <c r="O388" t="n">
        <v>0</v>
      </c>
      <c r="P388" t="n">
        <v>0</v>
      </c>
      <c r="Q388" t="n">
        <v>0</v>
      </c>
      <c r="R388" s="2" t="inlineStr"/>
    </row>
    <row r="389" ht="15" customHeight="1">
      <c r="A389" t="inlineStr">
        <is>
          <t>A 56754-2023</t>
        </is>
      </c>
      <c r="B389" s="1" t="n">
        <v>45238</v>
      </c>
      <c r="C389" s="1" t="n">
        <v>45899</v>
      </c>
      <c r="D389" t="inlineStr">
        <is>
          <t>VÄSTERBOTTENS LÄN</t>
        </is>
      </c>
      <c r="E389" t="inlineStr">
        <is>
          <t>VILHELMINA</t>
        </is>
      </c>
      <c r="F389" t="inlineStr">
        <is>
          <t>Allmännings- och besparingsskogar</t>
        </is>
      </c>
      <c r="G389" t="n">
        <v>18</v>
      </c>
      <c r="H389" t="n">
        <v>0</v>
      </c>
      <c r="I389" t="n">
        <v>0</v>
      </c>
      <c r="J389" t="n">
        <v>0</v>
      </c>
      <c r="K389" t="n">
        <v>0</v>
      </c>
      <c r="L389" t="n">
        <v>0</v>
      </c>
      <c r="M389" t="n">
        <v>0</v>
      </c>
      <c r="N389" t="n">
        <v>0</v>
      </c>
      <c r="O389" t="n">
        <v>0</v>
      </c>
      <c r="P389" t="n">
        <v>0</v>
      </c>
      <c r="Q389" t="n">
        <v>0</v>
      </c>
      <c r="R389" s="2" t="inlineStr"/>
    </row>
    <row r="390" ht="15" customHeight="1">
      <c r="A390" t="inlineStr">
        <is>
          <t>A 39677-2024</t>
        </is>
      </c>
      <c r="B390" s="1" t="n">
        <v>45552</v>
      </c>
      <c r="C390" s="1" t="n">
        <v>45899</v>
      </c>
      <c r="D390" t="inlineStr">
        <is>
          <t>VÄSTERBOTTENS LÄN</t>
        </is>
      </c>
      <c r="E390" t="inlineStr">
        <is>
          <t>VILHELMINA</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23826-2025</t>
        </is>
      </c>
      <c r="B391" s="1" t="n">
        <v>45793.59461805555</v>
      </c>
      <c r="C391" s="1" t="n">
        <v>45899</v>
      </c>
      <c r="D391" t="inlineStr">
        <is>
          <t>VÄSTERBOTTENS LÄN</t>
        </is>
      </c>
      <c r="E391" t="inlineStr">
        <is>
          <t>VILHELMINA</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32683-2024</t>
        </is>
      </c>
      <c r="B392" s="1" t="n">
        <v>45515</v>
      </c>
      <c r="C392" s="1" t="n">
        <v>45899</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65133-2021</t>
        </is>
      </c>
      <c r="B393" s="1" t="n">
        <v>44515</v>
      </c>
      <c r="C393" s="1" t="n">
        <v>45899</v>
      </c>
      <c r="D393" t="inlineStr">
        <is>
          <t>VÄSTERBOTTENS LÄN</t>
        </is>
      </c>
      <c r="E393" t="inlineStr">
        <is>
          <t>VILHELMINA</t>
        </is>
      </c>
      <c r="G393" t="n">
        <v>16.4</v>
      </c>
      <c r="H393" t="n">
        <v>0</v>
      </c>
      <c r="I393" t="n">
        <v>0</v>
      </c>
      <c r="J393" t="n">
        <v>0</v>
      </c>
      <c r="K393" t="n">
        <v>0</v>
      </c>
      <c r="L393" t="n">
        <v>0</v>
      </c>
      <c r="M393" t="n">
        <v>0</v>
      </c>
      <c r="N393" t="n">
        <v>0</v>
      </c>
      <c r="O393" t="n">
        <v>0</v>
      </c>
      <c r="P393" t="n">
        <v>0</v>
      </c>
      <c r="Q393" t="n">
        <v>0</v>
      </c>
      <c r="R393" s="2" t="inlineStr"/>
    </row>
    <row r="394" ht="15" customHeight="1">
      <c r="A394" t="inlineStr">
        <is>
          <t>A 55720-2023</t>
        </is>
      </c>
      <c r="B394" s="1" t="n">
        <v>45232</v>
      </c>
      <c r="C394" s="1" t="n">
        <v>45899</v>
      </c>
      <c r="D394" t="inlineStr">
        <is>
          <t>VÄSTERBOTTENS LÄN</t>
        </is>
      </c>
      <c r="E394" t="inlineStr">
        <is>
          <t>VILHELMINA</t>
        </is>
      </c>
      <c r="G394" t="n">
        <v>0.8</v>
      </c>
      <c r="H394" t="n">
        <v>0</v>
      </c>
      <c r="I394" t="n">
        <v>0</v>
      </c>
      <c r="J394" t="n">
        <v>0</v>
      </c>
      <c r="K394" t="n">
        <v>0</v>
      </c>
      <c r="L394" t="n">
        <v>0</v>
      </c>
      <c r="M394" t="n">
        <v>0</v>
      </c>
      <c r="N394" t="n">
        <v>0</v>
      </c>
      <c r="O394" t="n">
        <v>0</v>
      </c>
      <c r="P394" t="n">
        <v>0</v>
      </c>
      <c r="Q394" t="n">
        <v>0</v>
      </c>
      <c r="R394" s="2" t="inlineStr"/>
    </row>
    <row r="395" ht="15" customHeight="1">
      <c r="A395" t="inlineStr">
        <is>
          <t>A 13030-2025</t>
        </is>
      </c>
      <c r="B395" s="1" t="n">
        <v>45734</v>
      </c>
      <c r="C395" s="1" t="n">
        <v>45899</v>
      </c>
      <c r="D395" t="inlineStr">
        <is>
          <t>VÄSTERBOTTENS LÄN</t>
        </is>
      </c>
      <c r="E395" t="inlineStr">
        <is>
          <t>VILHELMINA</t>
        </is>
      </c>
      <c r="G395" t="n">
        <v>13.9</v>
      </c>
      <c r="H395" t="n">
        <v>0</v>
      </c>
      <c r="I395" t="n">
        <v>0</v>
      </c>
      <c r="J395" t="n">
        <v>0</v>
      </c>
      <c r="K395" t="n">
        <v>0</v>
      </c>
      <c r="L395" t="n">
        <v>0</v>
      </c>
      <c r="M395" t="n">
        <v>0</v>
      </c>
      <c r="N395" t="n">
        <v>0</v>
      </c>
      <c r="O395" t="n">
        <v>0</v>
      </c>
      <c r="P395" t="n">
        <v>0</v>
      </c>
      <c r="Q395" t="n">
        <v>0</v>
      </c>
      <c r="R395" s="2" t="inlineStr"/>
    </row>
    <row r="396" ht="15" customHeight="1">
      <c r="A396" t="inlineStr">
        <is>
          <t>A 38364-2023</t>
        </is>
      </c>
      <c r="B396" s="1" t="n">
        <v>45161</v>
      </c>
      <c r="C396" s="1" t="n">
        <v>45899</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35760-2023</t>
        </is>
      </c>
      <c r="B397" s="1" t="n">
        <v>45147</v>
      </c>
      <c r="C397" s="1" t="n">
        <v>45899</v>
      </c>
      <c r="D397" t="inlineStr">
        <is>
          <t>VÄSTERBOTTENS LÄN</t>
        </is>
      </c>
      <c r="E397" t="inlineStr">
        <is>
          <t>VILHELMINA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38363-2023</t>
        </is>
      </c>
      <c r="B398" s="1" t="n">
        <v>45161</v>
      </c>
      <c r="C398" s="1" t="n">
        <v>45899</v>
      </c>
      <c r="D398" t="inlineStr">
        <is>
          <t>VÄSTERBOTTENS LÄN</t>
        </is>
      </c>
      <c r="E398" t="inlineStr">
        <is>
          <t>VILHELMINA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23764-2025</t>
        </is>
      </c>
      <c r="B399" s="1" t="n">
        <v>45793</v>
      </c>
      <c r="C399" s="1" t="n">
        <v>45899</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33319-2024</t>
        </is>
      </c>
      <c r="B400" s="1" t="n">
        <v>45518</v>
      </c>
      <c r="C400" s="1" t="n">
        <v>45899</v>
      </c>
      <c r="D400" t="inlineStr">
        <is>
          <t>VÄSTERBOTTENS LÄN</t>
        </is>
      </c>
      <c r="E400" t="inlineStr">
        <is>
          <t>VILHELMINA</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22108-2024</t>
        </is>
      </c>
      <c r="B401" s="1" t="n">
        <v>45443</v>
      </c>
      <c r="C401" s="1" t="n">
        <v>45899</v>
      </c>
      <c r="D401" t="inlineStr">
        <is>
          <t>VÄSTERBOTTENS LÄN</t>
        </is>
      </c>
      <c r="E401" t="inlineStr">
        <is>
          <t>VILHELMINA</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32925-2024</t>
        </is>
      </c>
      <c r="B402" s="1" t="n">
        <v>45516.95302083333</v>
      </c>
      <c r="C402" s="1" t="n">
        <v>45899</v>
      </c>
      <c r="D402" t="inlineStr">
        <is>
          <t>VÄSTERBOTTENS LÄN</t>
        </is>
      </c>
      <c r="E402" t="inlineStr">
        <is>
          <t>VILHELMINA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32926-2024</t>
        </is>
      </c>
      <c r="B403" s="1" t="n">
        <v>45516.95311342592</v>
      </c>
      <c r="C403" s="1" t="n">
        <v>45899</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44505-2024</t>
        </is>
      </c>
      <c r="B404" s="1" t="n">
        <v>45574.40974537037</v>
      </c>
      <c r="C404" s="1" t="n">
        <v>45899</v>
      </c>
      <c r="D404" t="inlineStr">
        <is>
          <t>VÄSTERBOTTENS LÄN</t>
        </is>
      </c>
      <c r="E404" t="inlineStr">
        <is>
          <t>VILHELMINA</t>
        </is>
      </c>
      <c r="G404" t="n">
        <v>15.5</v>
      </c>
      <c r="H404" t="n">
        <v>0</v>
      </c>
      <c r="I404" t="n">
        <v>0</v>
      </c>
      <c r="J404" t="n">
        <v>0</v>
      </c>
      <c r="K404" t="n">
        <v>0</v>
      </c>
      <c r="L404" t="n">
        <v>0</v>
      </c>
      <c r="M404" t="n">
        <v>0</v>
      </c>
      <c r="N404" t="n">
        <v>0</v>
      </c>
      <c r="O404" t="n">
        <v>0</v>
      </c>
      <c r="P404" t="n">
        <v>0</v>
      </c>
      <c r="Q404" t="n">
        <v>0</v>
      </c>
      <c r="R404" s="2" t="inlineStr"/>
    </row>
    <row r="405" ht="15" customHeight="1">
      <c r="A405" t="inlineStr">
        <is>
          <t>A 55714-2023</t>
        </is>
      </c>
      <c r="B405" s="1" t="n">
        <v>45232</v>
      </c>
      <c r="C405" s="1" t="n">
        <v>45899</v>
      </c>
      <c r="D405" t="inlineStr">
        <is>
          <t>VÄSTERBOTTENS LÄN</t>
        </is>
      </c>
      <c r="E405" t="inlineStr">
        <is>
          <t>VILHELMINA</t>
        </is>
      </c>
      <c r="G405" t="n">
        <v>1.8</v>
      </c>
      <c r="H405" t="n">
        <v>0</v>
      </c>
      <c r="I405" t="n">
        <v>0</v>
      </c>
      <c r="J405" t="n">
        <v>0</v>
      </c>
      <c r="K405" t="n">
        <v>0</v>
      </c>
      <c r="L405" t="n">
        <v>0</v>
      </c>
      <c r="M405" t="n">
        <v>0</v>
      </c>
      <c r="N405" t="n">
        <v>0</v>
      </c>
      <c r="O405" t="n">
        <v>0</v>
      </c>
      <c r="P405" t="n">
        <v>0</v>
      </c>
      <c r="Q405" t="n">
        <v>0</v>
      </c>
      <c r="R405" s="2" t="inlineStr"/>
    </row>
    <row r="406" ht="15" customHeight="1">
      <c r="A406" t="inlineStr">
        <is>
          <t>A 23686-2025</t>
        </is>
      </c>
      <c r="B406" s="1" t="n">
        <v>45793</v>
      </c>
      <c r="C406" s="1" t="n">
        <v>45899</v>
      </c>
      <c r="D406" t="inlineStr">
        <is>
          <t>VÄSTERBOTTENS LÄN</t>
        </is>
      </c>
      <c r="E406" t="inlineStr">
        <is>
          <t>VILHELMINA</t>
        </is>
      </c>
      <c r="F406" t="inlineStr">
        <is>
          <t>SCA</t>
        </is>
      </c>
      <c r="G406" t="n">
        <v>5.3</v>
      </c>
      <c r="H406" t="n">
        <v>0</v>
      </c>
      <c r="I406" t="n">
        <v>0</v>
      </c>
      <c r="J406" t="n">
        <v>0</v>
      </c>
      <c r="K406" t="n">
        <v>0</v>
      </c>
      <c r="L406" t="n">
        <v>0</v>
      </c>
      <c r="M406" t="n">
        <v>0</v>
      </c>
      <c r="N406" t="n">
        <v>0</v>
      </c>
      <c r="O406" t="n">
        <v>0</v>
      </c>
      <c r="P406" t="n">
        <v>0</v>
      </c>
      <c r="Q406" t="n">
        <v>0</v>
      </c>
      <c r="R406" s="2" t="inlineStr"/>
    </row>
    <row r="407" ht="15" customHeight="1">
      <c r="A407" t="inlineStr">
        <is>
          <t>A 45673-2023</t>
        </is>
      </c>
      <c r="B407" s="1" t="n">
        <v>45194</v>
      </c>
      <c r="C407" s="1" t="n">
        <v>45899</v>
      </c>
      <c r="D407" t="inlineStr">
        <is>
          <t>VÄSTERBOTTENS LÄN</t>
        </is>
      </c>
      <c r="E407" t="inlineStr">
        <is>
          <t>VILHELMINA</t>
        </is>
      </c>
      <c r="G407" t="n">
        <v>13.4</v>
      </c>
      <c r="H407" t="n">
        <v>0</v>
      </c>
      <c r="I407" t="n">
        <v>0</v>
      </c>
      <c r="J407" t="n">
        <v>0</v>
      </c>
      <c r="K407" t="n">
        <v>0</v>
      </c>
      <c r="L407" t="n">
        <v>0</v>
      </c>
      <c r="M407" t="n">
        <v>0</v>
      </c>
      <c r="N407" t="n">
        <v>0</v>
      </c>
      <c r="O407" t="n">
        <v>0</v>
      </c>
      <c r="P407" t="n">
        <v>0</v>
      </c>
      <c r="Q407" t="n">
        <v>0</v>
      </c>
      <c r="R407" s="2" t="inlineStr"/>
    </row>
    <row r="408" ht="15" customHeight="1">
      <c r="A408" t="inlineStr">
        <is>
          <t>A 61920-2020</t>
        </is>
      </c>
      <c r="B408" s="1" t="n">
        <v>44155</v>
      </c>
      <c r="C408" s="1" t="n">
        <v>45899</v>
      </c>
      <c r="D408" t="inlineStr">
        <is>
          <t>VÄSTERBOTTENS LÄN</t>
        </is>
      </c>
      <c r="E408" t="inlineStr">
        <is>
          <t>VILHELMINA</t>
        </is>
      </c>
      <c r="G408" t="n">
        <v>7.7</v>
      </c>
      <c r="H408" t="n">
        <v>0</v>
      </c>
      <c r="I408" t="n">
        <v>0</v>
      </c>
      <c r="J408" t="n">
        <v>0</v>
      </c>
      <c r="K408" t="n">
        <v>0</v>
      </c>
      <c r="L408" t="n">
        <v>0</v>
      </c>
      <c r="M408" t="n">
        <v>0</v>
      </c>
      <c r="N408" t="n">
        <v>0</v>
      </c>
      <c r="O408" t="n">
        <v>0</v>
      </c>
      <c r="P408" t="n">
        <v>0</v>
      </c>
      <c r="Q408" t="n">
        <v>0</v>
      </c>
      <c r="R408" s="2" t="inlineStr"/>
    </row>
    <row r="409" ht="15" customHeight="1">
      <c r="A409" t="inlineStr">
        <is>
          <t>A 36215-2023</t>
        </is>
      </c>
      <c r="B409" s="1" t="n">
        <v>45149.95266203704</v>
      </c>
      <c r="C409" s="1" t="n">
        <v>45899</v>
      </c>
      <c r="D409" t="inlineStr">
        <is>
          <t>VÄSTERBOTTENS LÄN</t>
        </is>
      </c>
      <c r="E409" t="inlineStr">
        <is>
          <t>VILHELMINA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8726-2023</t>
        </is>
      </c>
      <c r="B410" s="1" t="n">
        <v>44972</v>
      </c>
      <c r="C410" s="1" t="n">
        <v>45899</v>
      </c>
      <c r="D410" t="inlineStr">
        <is>
          <t>VÄSTERBOTTENS LÄN</t>
        </is>
      </c>
      <c r="E410" t="inlineStr">
        <is>
          <t>VILHELMINA</t>
        </is>
      </c>
      <c r="F410" t="inlineStr">
        <is>
          <t>Allmännings- och besparingsskogar</t>
        </is>
      </c>
      <c r="G410" t="n">
        <v>50</v>
      </c>
      <c r="H410" t="n">
        <v>0</v>
      </c>
      <c r="I410" t="n">
        <v>0</v>
      </c>
      <c r="J410" t="n">
        <v>0</v>
      </c>
      <c r="K410" t="n">
        <v>0</v>
      </c>
      <c r="L410" t="n">
        <v>0</v>
      </c>
      <c r="M410" t="n">
        <v>0</v>
      </c>
      <c r="N410" t="n">
        <v>0</v>
      </c>
      <c r="O410" t="n">
        <v>0</v>
      </c>
      <c r="P410" t="n">
        <v>0</v>
      </c>
      <c r="Q410" t="n">
        <v>0</v>
      </c>
      <c r="R410" s="2" t="inlineStr"/>
    </row>
    <row r="411" ht="15" customHeight="1">
      <c r="A411" t="inlineStr">
        <is>
          <t>A 29463-2024</t>
        </is>
      </c>
      <c r="B411" s="1" t="n">
        <v>45483.96994212963</v>
      </c>
      <c r="C411" s="1" t="n">
        <v>45899</v>
      </c>
      <c r="D411" t="inlineStr">
        <is>
          <t>VÄSTERBOTTENS LÄN</t>
        </is>
      </c>
      <c r="E411" t="inlineStr">
        <is>
          <t>VILHELMINA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36348-2024</t>
        </is>
      </c>
      <c r="B412" s="1" t="n">
        <v>45534.64422453703</v>
      </c>
      <c r="C412" s="1" t="n">
        <v>45899</v>
      </c>
      <c r="D412" t="inlineStr">
        <is>
          <t>VÄSTERBOTTENS LÄN</t>
        </is>
      </c>
      <c r="E412" t="inlineStr">
        <is>
          <t>VILHELMINA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36355-2024</t>
        </is>
      </c>
      <c r="B413" s="1" t="n">
        <v>45534.64508101852</v>
      </c>
      <c r="C413" s="1" t="n">
        <v>45899</v>
      </c>
      <c r="D413" t="inlineStr">
        <is>
          <t>VÄSTERBOTTENS LÄN</t>
        </is>
      </c>
      <c r="E413" t="inlineStr">
        <is>
          <t>VILHELMINA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8578-2025</t>
        </is>
      </c>
      <c r="B414" s="1" t="n">
        <v>45709</v>
      </c>
      <c r="C414" s="1" t="n">
        <v>45899</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32253-2024</t>
        </is>
      </c>
      <c r="B415" s="1" t="n">
        <v>45511.95214120371</v>
      </c>
      <c r="C415" s="1" t="n">
        <v>45899</v>
      </c>
      <c r="D415" t="inlineStr">
        <is>
          <t>VÄSTERBOTTENS LÄN</t>
        </is>
      </c>
      <c r="E415" t="inlineStr">
        <is>
          <t>VILHELMINA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60090-2020</t>
        </is>
      </c>
      <c r="B416" s="1" t="n">
        <v>44151</v>
      </c>
      <c r="C416" s="1" t="n">
        <v>45899</v>
      </c>
      <c r="D416" t="inlineStr">
        <is>
          <t>VÄSTERBOTTENS LÄN</t>
        </is>
      </c>
      <c r="E416" t="inlineStr">
        <is>
          <t>VILHELMINA</t>
        </is>
      </c>
      <c r="G416" t="n">
        <v>9</v>
      </c>
      <c r="H416" t="n">
        <v>0</v>
      </c>
      <c r="I416" t="n">
        <v>0</v>
      </c>
      <c r="J416" t="n">
        <v>0</v>
      </c>
      <c r="K416" t="n">
        <v>0</v>
      </c>
      <c r="L416" t="n">
        <v>0</v>
      </c>
      <c r="M416" t="n">
        <v>0</v>
      </c>
      <c r="N416" t="n">
        <v>0</v>
      </c>
      <c r="O416" t="n">
        <v>0</v>
      </c>
      <c r="P416" t="n">
        <v>0</v>
      </c>
      <c r="Q416" t="n">
        <v>0</v>
      </c>
      <c r="R416" s="2" t="inlineStr"/>
    </row>
    <row r="417" ht="15" customHeight="1">
      <c r="A417" t="inlineStr">
        <is>
          <t>A 46392-2024</t>
        </is>
      </c>
      <c r="B417" s="1" t="n">
        <v>45582</v>
      </c>
      <c r="C417" s="1" t="n">
        <v>45899</v>
      </c>
      <c r="D417" t="inlineStr">
        <is>
          <t>VÄSTERBOTTENS LÄN</t>
        </is>
      </c>
      <c r="E417" t="inlineStr">
        <is>
          <t>VILHELMINA</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24224-2025</t>
        </is>
      </c>
      <c r="B418" s="1" t="n">
        <v>45797</v>
      </c>
      <c r="C418" s="1" t="n">
        <v>45899</v>
      </c>
      <c r="D418" t="inlineStr">
        <is>
          <t>VÄSTERBOTTENS LÄN</t>
        </is>
      </c>
      <c r="E418" t="inlineStr">
        <is>
          <t>VILHELMINA</t>
        </is>
      </c>
      <c r="G418" t="n">
        <v>27.2</v>
      </c>
      <c r="H418" t="n">
        <v>0</v>
      </c>
      <c r="I418" t="n">
        <v>0</v>
      </c>
      <c r="J418" t="n">
        <v>0</v>
      </c>
      <c r="K418" t="n">
        <v>0</v>
      </c>
      <c r="L418" t="n">
        <v>0</v>
      </c>
      <c r="M418" t="n">
        <v>0</v>
      </c>
      <c r="N418" t="n">
        <v>0</v>
      </c>
      <c r="O418" t="n">
        <v>0</v>
      </c>
      <c r="P418" t="n">
        <v>0</v>
      </c>
      <c r="Q418" t="n">
        <v>0</v>
      </c>
      <c r="R418" s="2" t="inlineStr"/>
    </row>
    <row r="419" ht="15" customHeight="1">
      <c r="A419" t="inlineStr">
        <is>
          <t>A 57795-2023</t>
        </is>
      </c>
      <c r="B419" s="1" t="n">
        <v>45246.96861111111</v>
      </c>
      <c r="C419" s="1" t="n">
        <v>45899</v>
      </c>
      <c r="D419" t="inlineStr">
        <is>
          <t>VÄSTERBOTTENS LÄN</t>
        </is>
      </c>
      <c r="E419" t="inlineStr">
        <is>
          <t>VILHELMINA</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24988-2025</t>
        </is>
      </c>
      <c r="B420" s="1" t="n">
        <v>45799</v>
      </c>
      <c r="C420" s="1" t="n">
        <v>45899</v>
      </c>
      <c r="D420" t="inlineStr">
        <is>
          <t>VÄSTERBOTTENS LÄN</t>
        </is>
      </c>
      <c r="E420" t="inlineStr">
        <is>
          <t>VILHELMINA</t>
        </is>
      </c>
      <c r="G420" t="n">
        <v>8.9</v>
      </c>
      <c r="H420" t="n">
        <v>0</v>
      </c>
      <c r="I420" t="n">
        <v>0</v>
      </c>
      <c r="J420" t="n">
        <v>0</v>
      </c>
      <c r="K420" t="n">
        <v>0</v>
      </c>
      <c r="L420" t="n">
        <v>0</v>
      </c>
      <c r="M420" t="n">
        <v>0</v>
      </c>
      <c r="N420" t="n">
        <v>0</v>
      </c>
      <c r="O420" t="n">
        <v>0</v>
      </c>
      <c r="P420" t="n">
        <v>0</v>
      </c>
      <c r="Q420" t="n">
        <v>0</v>
      </c>
      <c r="R420" s="2" t="inlineStr"/>
    </row>
    <row r="421" ht="15" customHeight="1">
      <c r="A421" t="inlineStr">
        <is>
          <t>A 52174-2020</t>
        </is>
      </c>
      <c r="B421" s="1" t="n">
        <v>44105</v>
      </c>
      <c r="C421" s="1" t="n">
        <v>45899</v>
      </c>
      <c r="D421" t="inlineStr">
        <is>
          <t>VÄSTERBOTTENS LÄN</t>
        </is>
      </c>
      <c r="E421" t="inlineStr">
        <is>
          <t>VILHELMINA</t>
        </is>
      </c>
      <c r="G421" t="n">
        <v>3</v>
      </c>
      <c r="H421" t="n">
        <v>0</v>
      </c>
      <c r="I421" t="n">
        <v>0</v>
      </c>
      <c r="J421" t="n">
        <v>0</v>
      </c>
      <c r="K421" t="n">
        <v>0</v>
      </c>
      <c r="L421" t="n">
        <v>0</v>
      </c>
      <c r="M421" t="n">
        <v>0</v>
      </c>
      <c r="N421" t="n">
        <v>0</v>
      </c>
      <c r="O421" t="n">
        <v>0</v>
      </c>
      <c r="P421" t="n">
        <v>0</v>
      </c>
      <c r="Q421" t="n">
        <v>0</v>
      </c>
      <c r="R421" s="2" t="inlineStr"/>
    </row>
    <row r="422" ht="15" customHeight="1">
      <c r="A422" t="inlineStr">
        <is>
          <t>A 25180-2025</t>
        </is>
      </c>
      <c r="B422" s="1" t="n">
        <v>45800.44892361111</v>
      </c>
      <c r="C422" s="1" t="n">
        <v>45899</v>
      </c>
      <c r="D422" t="inlineStr">
        <is>
          <t>VÄSTERBOTTENS LÄN</t>
        </is>
      </c>
      <c r="E422" t="inlineStr">
        <is>
          <t>VILHELMINA</t>
        </is>
      </c>
      <c r="F422" t="inlineStr">
        <is>
          <t>SCA</t>
        </is>
      </c>
      <c r="G422" t="n">
        <v>10.8</v>
      </c>
      <c r="H422" t="n">
        <v>0</v>
      </c>
      <c r="I422" t="n">
        <v>0</v>
      </c>
      <c r="J422" t="n">
        <v>0</v>
      </c>
      <c r="K422" t="n">
        <v>0</v>
      </c>
      <c r="L422" t="n">
        <v>0</v>
      </c>
      <c r="M422" t="n">
        <v>0</v>
      </c>
      <c r="N422" t="n">
        <v>0</v>
      </c>
      <c r="O422" t="n">
        <v>0</v>
      </c>
      <c r="P422" t="n">
        <v>0</v>
      </c>
      <c r="Q422" t="n">
        <v>0</v>
      </c>
      <c r="R422" s="2" t="inlineStr"/>
    </row>
    <row r="423" ht="15" customHeight="1">
      <c r="A423" t="inlineStr">
        <is>
          <t>A 28380-2023</t>
        </is>
      </c>
      <c r="B423" s="1" t="n">
        <v>45099</v>
      </c>
      <c r="C423" s="1" t="n">
        <v>45899</v>
      </c>
      <c r="D423" t="inlineStr">
        <is>
          <t>VÄSTERBOTTENS LÄN</t>
        </is>
      </c>
      <c r="E423" t="inlineStr">
        <is>
          <t>VILHELMINA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17587-2024</t>
        </is>
      </c>
      <c r="B424" s="1" t="n">
        <v>45415.94033564815</v>
      </c>
      <c r="C424" s="1" t="n">
        <v>45899</v>
      </c>
      <c r="D424" t="inlineStr">
        <is>
          <t>VÄSTERBOTTENS LÄN</t>
        </is>
      </c>
      <c r="E424" t="inlineStr">
        <is>
          <t>VILHELMINA</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65151-2021</t>
        </is>
      </c>
      <c r="B425" s="1" t="n">
        <v>44515</v>
      </c>
      <c r="C425" s="1" t="n">
        <v>45899</v>
      </c>
      <c r="D425" t="inlineStr">
        <is>
          <t>VÄSTERBOTTENS LÄN</t>
        </is>
      </c>
      <c r="E425" t="inlineStr">
        <is>
          <t>VILHELMINA</t>
        </is>
      </c>
      <c r="G425" t="n">
        <v>11.8</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45899</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24870-2025</t>
        </is>
      </c>
      <c r="B427" s="1" t="n">
        <v>45799.49025462963</v>
      </c>
      <c r="C427" s="1" t="n">
        <v>45899</v>
      </c>
      <c r="D427" t="inlineStr">
        <is>
          <t>VÄSTERBOTTENS LÄN</t>
        </is>
      </c>
      <c r="E427" t="inlineStr">
        <is>
          <t>VILHELMINA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8555-2023</t>
        </is>
      </c>
      <c r="B428" s="1" t="n">
        <v>44972</v>
      </c>
      <c r="C428" s="1" t="n">
        <v>45899</v>
      </c>
      <c r="D428" t="inlineStr">
        <is>
          <t>VÄSTERBOTTENS LÄN</t>
        </is>
      </c>
      <c r="E428" t="inlineStr">
        <is>
          <t>VILHELMINA</t>
        </is>
      </c>
      <c r="F428" t="inlineStr">
        <is>
          <t>Allmännings- och besparingsskogar</t>
        </is>
      </c>
      <c r="G428" t="n">
        <v>39</v>
      </c>
      <c r="H428" t="n">
        <v>0</v>
      </c>
      <c r="I428" t="n">
        <v>0</v>
      </c>
      <c r="J428" t="n">
        <v>0</v>
      </c>
      <c r="K428" t="n">
        <v>0</v>
      </c>
      <c r="L428" t="n">
        <v>0</v>
      </c>
      <c r="M428" t="n">
        <v>0</v>
      </c>
      <c r="N428" t="n">
        <v>0</v>
      </c>
      <c r="O428" t="n">
        <v>0</v>
      </c>
      <c r="P428" t="n">
        <v>0</v>
      </c>
      <c r="Q428" t="n">
        <v>0</v>
      </c>
      <c r="R428" s="2" t="inlineStr"/>
    </row>
    <row r="429" ht="15" customHeight="1">
      <c r="A429" t="inlineStr">
        <is>
          <t>A 25239-2025</t>
        </is>
      </c>
      <c r="B429" s="1" t="n">
        <v>45800</v>
      </c>
      <c r="C429" s="1" t="n">
        <v>45899</v>
      </c>
      <c r="D429" t="inlineStr">
        <is>
          <t>VÄSTERBOTTENS LÄN</t>
        </is>
      </c>
      <c r="E429" t="inlineStr">
        <is>
          <t>VILHELMINA</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25309-2025</t>
        </is>
      </c>
      <c r="B430" s="1" t="n">
        <v>45800.57380787037</v>
      </c>
      <c r="C430" s="1" t="n">
        <v>45899</v>
      </c>
      <c r="D430" t="inlineStr">
        <is>
          <t>VÄSTERBOTTENS LÄN</t>
        </is>
      </c>
      <c r="E430" t="inlineStr">
        <is>
          <t>VILHELMINA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46318-2022</t>
        </is>
      </c>
      <c r="B431" s="1" t="n">
        <v>44847</v>
      </c>
      <c r="C431" s="1" t="n">
        <v>45899</v>
      </c>
      <c r="D431" t="inlineStr">
        <is>
          <t>VÄSTERBOTTENS LÄN</t>
        </is>
      </c>
      <c r="E431" t="inlineStr">
        <is>
          <t>VILHELMINA</t>
        </is>
      </c>
      <c r="G431" t="n">
        <v>11.7</v>
      </c>
      <c r="H431" t="n">
        <v>0</v>
      </c>
      <c r="I431" t="n">
        <v>0</v>
      </c>
      <c r="J431" t="n">
        <v>0</v>
      </c>
      <c r="K431" t="n">
        <v>0</v>
      </c>
      <c r="L431" t="n">
        <v>0</v>
      </c>
      <c r="M431" t="n">
        <v>0</v>
      </c>
      <c r="N431" t="n">
        <v>0</v>
      </c>
      <c r="O431" t="n">
        <v>0</v>
      </c>
      <c r="P431" t="n">
        <v>0</v>
      </c>
      <c r="Q431" t="n">
        <v>0</v>
      </c>
      <c r="R431" s="2" t="inlineStr"/>
    </row>
    <row r="432" ht="15" customHeight="1">
      <c r="A432" t="inlineStr">
        <is>
          <t>A 24871-2025</t>
        </is>
      </c>
      <c r="B432" s="1" t="n">
        <v>45799.49028935185</v>
      </c>
      <c r="C432" s="1" t="n">
        <v>45899</v>
      </c>
      <c r="D432" t="inlineStr">
        <is>
          <t>VÄSTERBOTTENS LÄN</t>
        </is>
      </c>
      <c r="E432" t="inlineStr">
        <is>
          <t>VILHELMINA</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37322-2022</t>
        </is>
      </c>
      <c r="B433" s="1" t="n">
        <v>44806</v>
      </c>
      <c r="C433" s="1" t="n">
        <v>45899</v>
      </c>
      <c r="D433" t="inlineStr">
        <is>
          <t>VÄSTERBOTTENS LÄN</t>
        </is>
      </c>
      <c r="E433" t="inlineStr">
        <is>
          <t>VILHELMINA</t>
        </is>
      </c>
      <c r="F433" t="inlineStr">
        <is>
          <t>Övriga statliga verk och myndigheter</t>
        </is>
      </c>
      <c r="G433" t="n">
        <v>15.4</v>
      </c>
      <c r="H433" t="n">
        <v>0</v>
      </c>
      <c r="I433" t="n">
        <v>0</v>
      </c>
      <c r="J433" t="n">
        <v>0</v>
      </c>
      <c r="K433" t="n">
        <v>0</v>
      </c>
      <c r="L433" t="n">
        <v>0</v>
      </c>
      <c r="M433" t="n">
        <v>0</v>
      </c>
      <c r="N433" t="n">
        <v>0</v>
      </c>
      <c r="O433" t="n">
        <v>0</v>
      </c>
      <c r="P433" t="n">
        <v>0</v>
      </c>
      <c r="Q433" t="n">
        <v>0</v>
      </c>
      <c r="R433" s="2" t="inlineStr"/>
    </row>
    <row r="434" ht="15" customHeight="1">
      <c r="A434" t="inlineStr">
        <is>
          <t>A 25062-2025</t>
        </is>
      </c>
      <c r="B434" s="1" t="n">
        <v>45799.69844907407</v>
      </c>
      <c r="C434" s="1" t="n">
        <v>45899</v>
      </c>
      <c r="D434" t="inlineStr">
        <is>
          <t>VÄSTERBOTTENS LÄN</t>
        </is>
      </c>
      <c r="E434" t="inlineStr">
        <is>
          <t>VILHELMINA</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25176-2025</t>
        </is>
      </c>
      <c r="B435" s="1" t="n">
        <v>45800.44840277778</v>
      </c>
      <c r="C435" s="1" t="n">
        <v>45899</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12118-2024</t>
        </is>
      </c>
      <c r="B436" s="1" t="n">
        <v>45376</v>
      </c>
      <c r="C436" s="1" t="n">
        <v>45899</v>
      </c>
      <c r="D436" t="inlineStr">
        <is>
          <t>VÄSTERBOTTENS LÄN</t>
        </is>
      </c>
      <c r="E436" t="inlineStr">
        <is>
          <t>VILHELMINA</t>
        </is>
      </c>
      <c r="G436" t="n">
        <v>3.6</v>
      </c>
      <c r="H436" t="n">
        <v>0</v>
      </c>
      <c r="I436" t="n">
        <v>0</v>
      </c>
      <c r="J436" t="n">
        <v>0</v>
      </c>
      <c r="K436" t="n">
        <v>0</v>
      </c>
      <c r="L436" t="n">
        <v>0</v>
      </c>
      <c r="M436" t="n">
        <v>0</v>
      </c>
      <c r="N436" t="n">
        <v>0</v>
      </c>
      <c r="O436" t="n">
        <v>0</v>
      </c>
      <c r="P436" t="n">
        <v>0</v>
      </c>
      <c r="Q436" t="n">
        <v>0</v>
      </c>
      <c r="R436" s="2" t="inlineStr"/>
    </row>
    <row r="437" ht="15" customHeight="1">
      <c r="A437" t="inlineStr">
        <is>
          <t>A 37937-2023</t>
        </is>
      </c>
      <c r="B437" s="1" t="n">
        <v>45159</v>
      </c>
      <c r="C437" s="1" t="n">
        <v>45899</v>
      </c>
      <c r="D437" t="inlineStr">
        <is>
          <t>VÄSTERBOTTENS LÄN</t>
        </is>
      </c>
      <c r="E437" t="inlineStr">
        <is>
          <t>VILHELMINA</t>
        </is>
      </c>
      <c r="G437" t="n">
        <v>2.2</v>
      </c>
      <c r="H437" t="n">
        <v>0</v>
      </c>
      <c r="I437" t="n">
        <v>0</v>
      </c>
      <c r="J437" t="n">
        <v>0</v>
      </c>
      <c r="K437" t="n">
        <v>0</v>
      </c>
      <c r="L437" t="n">
        <v>0</v>
      </c>
      <c r="M437" t="n">
        <v>0</v>
      </c>
      <c r="N437" t="n">
        <v>0</v>
      </c>
      <c r="O437" t="n">
        <v>0</v>
      </c>
      <c r="P437" t="n">
        <v>0</v>
      </c>
      <c r="Q437" t="n">
        <v>0</v>
      </c>
      <c r="R437" s="2" t="inlineStr"/>
    </row>
    <row r="438" ht="15" customHeight="1">
      <c r="A438" t="inlineStr">
        <is>
          <t>A 25524-2025</t>
        </is>
      </c>
      <c r="B438" s="1" t="n">
        <v>45803.38644675926</v>
      </c>
      <c r="C438" s="1" t="n">
        <v>45899</v>
      </c>
      <c r="D438" t="inlineStr">
        <is>
          <t>VÄSTERBOTTENS LÄN</t>
        </is>
      </c>
      <c r="E438" t="inlineStr">
        <is>
          <t>VILHELMINA</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60682-2022</t>
        </is>
      </c>
      <c r="B439" s="1" t="n">
        <v>44911.94</v>
      </c>
      <c r="C439" s="1" t="n">
        <v>45899</v>
      </c>
      <c r="D439" t="inlineStr">
        <is>
          <t>VÄSTERBOTTENS LÄN</t>
        </is>
      </c>
      <c r="E439" t="inlineStr">
        <is>
          <t>VILHELMINA</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29722-2024</t>
        </is>
      </c>
      <c r="B440" s="1" t="n">
        <v>45485</v>
      </c>
      <c r="C440" s="1" t="n">
        <v>45899</v>
      </c>
      <c r="D440" t="inlineStr">
        <is>
          <t>VÄSTERBOTTENS LÄN</t>
        </is>
      </c>
      <c r="E440" t="inlineStr">
        <is>
          <t>VILHELMINA</t>
        </is>
      </c>
      <c r="G440" t="n">
        <v>2.5</v>
      </c>
      <c r="H440" t="n">
        <v>0</v>
      </c>
      <c r="I440" t="n">
        <v>0</v>
      </c>
      <c r="J440" t="n">
        <v>0</v>
      </c>
      <c r="K440" t="n">
        <v>0</v>
      </c>
      <c r="L440" t="n">
        <v>0</v>
      </c>
      <c r="M440" t="n">
        <v>0</v>
      </c>
      <c r="N440" t="n">
        <v>0</v>
      </c>
      <c r="O440" t="n">
        <v>0</v>
      </c>
      <c r="P440" t="n">
        <v>0</v>
      </c>
      <c r="Q440" t="n">
        <v>0</v>
      </c>
      <c r="R440" s="2" t="inlineStr"/>
    </row>
    <row r="441" ht="15" customHeight="1">
      <c r="A441" t="inlineStr">
        <is>
          <t>A 25770-2025</t>
        </is>
      </c>
      <c r="B441" s="1" t="n">
        <v>45804.3449537037</v>
      </c>
      <c r="C441" s="1" t="n">
        <v>45899</v>
      </c>
      <c r="D441" t="inlineStr">
        <is>
          <t>VÄSTERBOTTENS LÄN</t>
        </is>
      </c>
      <c r="E441" t="inlineStr">
        <is>
          <t>VILHELMINA</t>
        </is>
      </c>
      <c r="F441" t="inlineStr">
        <is>
          <t>SCA</t>
        </is>
      </c>
      <c r="G441" t="n">
        <v>7.9</v>
      </c>
      <c r="H441" t="n">
        <v>0</v>
      </c>
      <c r="I441" t="n">
        <v>0</v>
      </c>
      <c r="J441" t="n">
        <v>0</v>
      </c>
      <c r="K441" t="n">
        <v>0</v>
      </c>
      <c r="L441" t="n">
        <v>0</v>
      </c>
      <c r="M441" t="n">
        <v>0</v>
      </c>
      <c r="N441" t="n">
        <v>0</v>
      </c>
      <c r="O441" t="n">
        <v>0</v>
      </c>
      <c r="P441" t="n">
        <v>0</v>
      </c>
      <c r="Q441" t="n">
        <v>0</v>
      </c>
      <c r="R441" s="2" t="inlineStr"/>
    </row>
    <row r="442" ht="15" customHeight="1">
      <c r="A442" t="inlineStr">
        <is>
          <t>A 37716-2024</t>
        </is>
      </c>
      <c r="B442" s="1" t="n">
        <v>45541.63592592593</v>
      </c>
      <c r="C442" s="1" t="n">
        <v>45899</v>
      </c>
      <c r="D442" t="inlineStr">
        <is>
          <t>VÄSTERBOTTENS LÄN</t>
        </is>
      </c>
      <c r="E442" t="inlineStr">
        <is>
          <t>VILHELMINA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37717-2024</t>
        </is>
      </c>
      <c r="B443" s="1" t="n">
        <v>45541</v>
      </c>
      <c r="C443" s="1" t="n">
        <v>45899</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26018-2025</t>
        </is>
      </c>
      <c r="B444" s="1" t="n">
        <v>45804.67799768518</v>
      </c>
      <c r="C444" s="1" t="n">
        <v>45899</v>
      </c>
      <c r="D444" t="inlineStr">
        <is>
          <t>VÄSTERBOTTENS LÄN</t>
        </is>
      </c>
      <c r="E444" t="inlineStr">
        <is>
          <t>VILHELMINA</t>
        </is>
      </c>
      <c r="F444" t="inlineStr">
        <is>
          <t>SCA</t>
        </is>
      </c>
      <c r="G444" t="n">
        <v>7.3</v>
      </c>
      <c r="H444" t="n">
        <v>0</v>
      </c>
      <c r="I444" t="n">
        <v>0</v>
      </c>
      <c r="J444" t="n">
        <v>0</v>
      </c>
      <c r="K444" t="n">
        <v>0</v>
      </c>
      <c r="L444" t="n">
        <v>0</v>
      </c>
      <c r="M444" t="n">
        <v>0</v>
      </c>
      <c r="N444" t="n">
        <v>0</v>
      </c>
      <c r="O444" t="n">
        <v>0</v>
      </c>
      <c r="P444" t="n">
        <v>0</v>
      </c>
      <c r="Q444" t="n">
        <v>0</v>
      </c>
      <c r="R444" s="2" t="inlineStr"/>
    </row>
    <row r="445" ht="15" customHeight="1">
      <c r="A445" t="inlineStr">
        <is>
          <t>A 25942-2025</t>
        </is>
      </c>
      <c r="B445" s="1" t="n">
        <v>45804.59461805555</v>
      </c>
      <c r="C445" s="1" t="n">
        <v>45899</v>
      </c>
      <c r="D445" t="inlineStr">
        <is>
          <t>VÄSTERBOTTENS LÄN</t>
        </is>
      </c>
      <c r="E445" t="inlineStr">
        <is>
          <t>VILHELMINA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55697-2024</t>
        </is>
      </c>
      <c r="B446" s="1" t="n">
        <v>45622</v>
      </c>
      <c r="C446" s="1" t="n">
        <v>45899</v>
      </c>
      <c r="D446" t="inlineStr">
        <is>
          <t>VÄSTERBOTTENS LÄN</t>
        </is>
      </c>
      <c r="E446" t="inlineStr">
        <is>
          <t>VILHELMINA</t>
        </is>
      </c>
      <c r="G446" t="n">
        <v>3.2</v>
      </c>
      <c r="H446" t="n">
        <v>0</v>
      </c>
      <c r="I446" t="n">
        <v>0</v>
      </c>
      <c r="J446" t="n">
        <v>0</v>
      </c>
      <c r="K446" t="n">
        <v>0</v>
      </c>
      <c r="L446" t="n">
        <v>0</v>
      </c>
      <c r="M446" t="n">
        <v>0</v>
      </c>
      <c r="N446" t="n">
        <v>0</v>
      </c>
      <c r="O446" t="n">
        <v>0</v>
      </c>
      <c r="P446" t="n">
        <v>0</v>
      </c>
      <c r="Q446" t="n">
        <v>0</v>
      </c>
      <c r="R446" s="2" t="inlineStr"/>
    </row>
    <row r="447" ht="15" customHeight="1">
      <c r="A447" t="inlineStr">
        <is>
          <t>A 46908-2024</t>
        </is>
      </c>
      <c r="B447" s="1" t="n">
        <v>45583</v>
      </c>
      <c r="C447" s="1" t="n">
        <v>45899</v>
      </c>
      <c r="D447" t="inlineStr">
        <is>
          <t>VÄSTERBOTTENS LÄN</t>
        </is>
      </c>
      <c r="E447" t="inlineStr">
        <is>
          <t>VILHELMINA</t>
        </is>
      </c>
      <c r="F447" t="inlineStr">
        <is>
          <t>SCA</t>
        </is>
      </c>
      <c r="G447" t="n">
        <v>7.5</v>
      </c>
      <c r="H447" t="n">
        <v>0</v>
      </c>
      <c r="I447" t="n">
        <v>0</v>
      </c>
      <c r="J447" t="n">
        <v>0</v>
      </c>
      <c r="K447" t="n">
        <v>0</v>
      </c>
      <c r="L447" t="n">
        <v>0</v>
      </c>
      <c r="M447" t="n">
        <v>0</v>
      </c>
      <c r="N447" t="n">
        <v>0</v>
      </c>
      <c r="O447" t="n">
        <v>0</v>
      </c>
      <c r="P447" t="n">
        <v>0</v>
      </c>
      <c r="Q447" t="n">
        <v>0</v>
      </c>
      <c r="R447" s="2" t="inlineStr"/>
    </row>
    <row r="448" ht="15" customHeight="1">
      <c r="A448" t="inlineStr">
        <is>
          <t>A 59003-2024</t>
        </is>
      </c>
      <c r="B448" s="1" t="n">
        <v>45636</v>
      </c>
      <c r="C448" s="1" t="n">
        <v>45899</v>
      </c>
      <c r="D448" t="inlineStr">
        <is>
          <t>VÄSTERBOTTENS LÄN</t>
        </is>
      </c>
      <c r="E448" t="inlineStr">
        <is>
          <t>VILHELMINA</t>
        </is>
      </c>
      <c r="F448" t="inlineStr">
        <is>
          <t>Allmännings- och besparingsskogar</t>
        </is>
      </c>
      <c r="G448" t="n">
        <v>21.8</v>
      </c>
      <c r="H448" t="n">
        <v>0</v>
      </c>
      <c r="I448" t="n">
        <v>0</v>
      </c>
      <c r="J448" t="n">
        <v>0</v>
      </c>
      <c r="K448" t="n">
        <v>0</v>
      </c>
      <c r="L448" t="n">
        <v>0</v>
      </c>
      <c r="M448" t="n">
        <v>0</v>
      </c>
      <c r="N448" t="n">
        <v>0</v>
      </c>
      <c r="O448" t="n">
        <v>0</v>
      </c>
      <c r="P448" t="n">
        <v>0</v>
      </c>
      <c r="Q448" t="n">
        <v>0</v>
      </c>
      <c r="R448" s="2" t="inlineStr"/>
    </row>
    <row r="449" ht="15" customHeight="1">
      <c r="A449" t="inlineStr">
        <is>
          <t>A 45258-2024</t>
        </is>
      </c>
      <c r="B449" s="1" t="n">
        <v>45576.34444444445</v>
      </c>
      <c r="C449" s="1" t="n">
        <v>45899</v>
      </c>
      <c r="D449" t="inlineStr">
        <is>
          <t>VÄSTERBOTTENS LÄN</t>
        </is>
      </c>
      <c r="E449" t="inlineStr">
        <is>
          <t>VILHELMINA</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56627-2024</t>
        </is>
      </c>
      <c r="B450" s="1" t="n">
        <v>45625</v>
      </c>
      <c r="C450" s="1" t="n">
        <v>45899</v>
      </c>
      <c r="D450" t="inlineStr">
        <is>
          <t>VÄSTERBOTTENS LÄN</t>
        </is>
      </c>
      <c r="E450" t="inlineStr">
        <is>
          <t>VILHELMINA</t>
        </is>
      </c>
      <c r="F450" t="inlineStr">
        <is>
          <t>Allmännings- och besparingsskogar</t>
        </is>
      </c>
      <c r="G450" t="n">
        <v>21.5</v>
      </c>
      <c r="H450" t="n">
        <v>0</v>
      </c>
      <c r="I450" t="n">
        <v>0</v>
      </c>
      <c r="J450" t="n">
        <v>0</v>
      </c>
      <c r="K450" t="n">
        <v>0</v>
      </c>
      <c r="L450" t="n">
        <v>0</v>
      </c>
      <c r="M450" t="n">
        <v>0</v>
      </c>
      <c r="N450" t="n">
        <v>0</v>
      </c>
      <c r="O450" t="n">
        <v>0</v>
      </c>
      <c r="P450" t="n">
        <v>0</v>
      </c>
      <c r="Q450" t="n">
        <v>0</v>
      </c>
      <c r="R450" s="2" t="inlineStr"/>
    </row>
    <row r="451" ht="15" customHeight="1">
      <c r="A451" t="inlineStr">
        <is>
          <t>A 10941-2023</t>
        </is>
      </c>
      <c r="B451" s="1" t="n">
        <v>44985</v>
      </c>
      <c r="C451" s="1" t="n">
        <v>45899</v>
      </c>
      <c r="D451" t="inlineStr">
        <is>
          <t>VÄSTERBOTTENS LÄN</t>
        </is>
      </c>
      <c r="E451" t="inlineStr">
        <is>
          <t>VILHELMINA</t>
        </is>
      </c>
      <c r="G451" t="n">
        <v>16.7</v>
      </c>
      <c r="H451" t="n">
        <v>0</v>
      </c>
      <c r="I451" t="n">
        <v>0</v>
      </c>
      <c r="J451" t="n">
        <v>0</v>
      </c>
      <c r="K451" t="n">
        <v>0</v>
      </c>
      <c r="L451" t="n">
        <v>0</v>
      </c>
      <c r="M451" t="n">
        <v>0</v>
      </c>
      <c r="N451" t="n">
        <v>0</v>
      </c>
      <c r="O451" t="n">
        <v>0</v>
      </c>
      <c r="P451" t="n">
        <v>0</v>
      </c>
      <c r="Q451" t="n">
        <v>0</v>
      </c>
      <c r="R451" s="2" t="inlineStr"/>
    </row>
    <row r="452" ht="15" customHeight="1">
      <c r="A452" t="inlineStr">
        <is>
          <t>A 26098-2025</t>
        </is>
      </c>
      <c r="B452" s="1" t="n">
        <v>45805</v>
      </c>
      <c r="C452" s="1" t="n">
        <v>45899</v>
      </c>
      <c r="D452" t="inlineStr">
        <is>
          <t>VÄSTERBOTTENS LÄN</t>
        </is>
      </c>
      <c r="E452" t="inlineStr">
        <is>
          <t>VILHELMINA</t>
        </is>
      </c>
      <c r="F452" t="inlineStr">
        <is>
          <t>Övriga statliga verk och myndigheter</t>
        </is>
      </c>
      <c r="G452" t="n">
        <v>5.4</v>
      </c>
      <c r="H452" t="n">
        <v>0</v>
      </c>
      <c r="I452" t="n">
        <v>0</v>
      </c>
      <c r="J452" t="n">
        <v>0</v>
      </c>
      <c r="K452" t="n">
        <v>0</v>
      </c>
      <c r="L452" t="n">
        <v>0</v>
      </c>
      <c r="M452" t="n">
        <v>0</v>
      </c>
      <c r="N452" t="n">
        <v>0</v>
      </c>
      <c r="O452" t="n">
        <v>0</v>
      </c>
      <c r="P452" t="n">
        <v>0</v>
      </c>
      <c r="Q452" t="n">
        <v>0</v>
      </c>
      <c r="R452" s="2" t="inlineStr"/>
    </row>
    <row r="453" ht="15" customHeight="1">
      <c r="A453" t="inlineStr">
        <is>
          <t>A 55695-2024</t>
        </is>
      </c>
      <c r="B453" s="1" t="n">
        <v>45622</v>
      </c>
      <c r="C453" s="1" t="n">
        <v>45899</v>
      </c>
      <c r="D453" t="inlineStr">
        <is>
          <t>VÄSTERBOTTENS LÄN</t>
        </is>
      </c>
      <c r="E453" t="inlineStr">
        <is>
          <t>VILHELMINA</t>
        </is>
      </c>
      <c r="G453" t="n">
        <v>7.2</v>
      </c>
      <c r="H453" t="n">
        <v>0</v>
      </c>
      <c r="I453" t="n">
        <v>0</v>
      </c>
      <c r="J453" t="n">
        <v>0</v>
      </c>
      <c r="K453" t="n">
        <v>0</v>
      </c>
      <c r="L453" t="n">
        <v>0</v>
      </c>
      <c r="M453" t="n">
        <v>0</v>
      </c>
      <c r="N453" t="n">
        <v>0</v>
      </c>
      <c r="O453" t="n">
        <v>0</v>
      </c>
      <c r="P453" t="n">
        <v>0</v>
      </c>
      <c r="Q453" t="n">
        <v>0</v>
      </c>
      <c r="R453" s="2" t="inlineStr"/>
    </row>
    <row r="454" ht="15" customHeight="1">
      <c r="A454" t="inlineStr">
        <is>
          <t>A 38222-2024</t>
        </is>
      </c>
      <c r="B454" s="1" t="n">
        <v>45545.53619212963</v>
      </c>
      <c r="C454" s="1" t="n">
        <v>45899</v>
      </c>
      <c r="D454" t="inlineStr">
        <is>
          <t>VÄSTERBOTTENS LÄN</t>
        </is>
      </c>
      <c r="E454" t="inlineStr">
        <is>
          <t>VILHELMINA</t>
        </is>
      </c>
      <c r="F454" t="inlineStr">
        <is>
          <t>Sveaskog</t>
        </is>
      </c>
      <c r="G454" t="n">
        <v>6</v>
      </c>
      <c r="H454" t="n">
        <v>0</v>
      </c>
      <c r="I454" t="n">
        <v>0</v>
      </c>
      <c r="J454" t="n">
        <v>0</v>
      </c>
      <c r="K454" t="n">
        <v>0</v>
      </c>
      <c r="L454" t="n">
        <v>0</v>
      </c>
      <c r="M454" t="n">
        <v>0</v>
      </c>
      <c r="N454" t="n">
        <v>0</v>
      </c>
      <c r="O454" t="n">
        <v>0</v>
      </c>
      <c r="P454" t="n">
        <v>0</v>
      </c>
      <c r="Q454" t="n">
        <v>0</v>
      </c>
      <c r="R454" s="2" t="inlineStr"/>
    </row>
    <row r="455" ht="15" customHeight="1">
      <c r="A455" t="inlineStr">
        <is>
          <t>A 27355-2023</t>
        </is>
      </c>
      <c r="B455" s="1" t="n">
        <v>45096</v>
      </c>
      <c r="C455" s="1" t="n">
        <v>45899</v>
      </c>
      <c r="D455" t="inlineStr">
        <is>
          <t>VÄSTERBOTTENS LÄN</t>
        </is>
      </c>
      <c r="E455" t="inlineStr">
        <is>
          <t>VILHELMINA</t>
        </is>
      </c>
      <c r="G455" t="n">
        <v>2.6</v>
      </c>
      <c r="H455" t="n">
        <v>0</v>
      </c>
      <c r="I455" t="n">
        <v>0</v>
      </c>
      <c r="J455" t="n">
        <v>0</v>
      </c>
      <c r="K455" t="n">
        <v>0</v>
      </c>
      <c r="L455" t="n">
        <v>0</v>
      </c>
      <c r="M455" t="n">
        <v>0</v>
      </c>
      <c r="N455" t="n">
        <v>0</v>
      </c>
      <c r="O455" t="n">
        <v>0</v>
      </c>
      <c r="P455" t="n">
        <v>0</v>
      </c>
      <c r="Q455" t="n">
        <v>0</v>
      </c>
      <c r="R455" s="2" t="inlineStr"/>
    </row>
    <row r="456" ht="15" customHeight="1">
      <c r="A456" t="inlineStr">
        <is>
          <t>A 3237-2024</t>
        </is>
      </c>
      <c r="B456" s="1" t="n">
        <v>45316.9474537037</v>
      </c>
      <c r="C456" s="1" t="n">
        <v>45899</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59018-2024</t>
        </is>
      </c>
      <c r="B457" s="1" t="n">
        <v>45636</v>
      </c>
      <c r="C457" s="1" t="n">
        <v>45899</v>
      </c>
      <c r="D457" t="inlineStr">
        <is>
          <t>VÄSTERBOTTENS LÄN</t>
        </is>
      </c>
      <c r="E457" t="inlineStr">
        <is>
          <t>VILHELMINA</t>
        </is>
      </c>
      <c r="F457" t="inlineStr">
        <is>
          <t>Allmännings- och besparingsskogar</t>
        </is>
      </c>
      <c r="G457" t="n">
        <v>13.9</v>
      </c>
      <c r="H457" t="n">
        <v>0</v>
      </c>
      <c r="I457" t="n">
        <v>0</v>
      </c>
      <c r="J457" t="n">
        <v>0</v>
      </c>
      <c r="K457" t="n">
        <v>0</v>
      </c>
      <c r="L457" t="n">
        <v>0</v>
      </c>
      <c r="M457" t="n">
        <v>0</v>
      </c>
      <c r="N457" t="n">
        <v>0</v>
      </c>
      <c r="O457" t="n">
        <v>0</v>
      </c>
      <c r="P457" t="n">
        <v>0</v>
      </c>
      <c r="Q457" t="n">
        <v>0</v>
      </c>
      <c r="R457" s="2" t="inlineStr"/>
    </row>
    <row r="458" ht="15" customHeight="1">
      <c r="A458" t="inlineStr">
        <is>
          <t>A 36909-2024</t>
        </is>
      </c>
      <c r="B458" s="1" t="n">
        <v>45538.63577546296</v>
      </c>
      <c r="C458" s="1" t="n">
        <v>45899</v>
      </c>
      <c r="D458" t="inlineStr">
        <is>
          <t>VÄSTERBOTTENS LÄN</t>
        </is>
      </c>
      <c r="E458" t="inlineStr">
        <is>
          <t>VILHELMINA</t>
        </is>
      </c>
      <c r="F458" t="inlineStr">
        <is>
          <t>SCA</t>
        </is>
      </c>
      <c r="G458" t="n">
        <v>16.8</v>
      </c>
      <c r="H458" t="n">
        <v>0</v>
      </c>
      <c r="I458" t="n">
        <v>0</v>
      </c>
      <c r="J458" t="n">
        <v>0</v>
      </c>
      <c r="K458" t="n">
        <v>0</v>
      </c>
      <c r="L458" t="n">
        <v>0</v>
      </c>
      <c r="M458" t="n">
        <v>0</v>
      </c>
      <c r="N458" t="n">
        <v>0</v>
      </c>
      <c r="O458" t="n">
        <v>0</v>
      </c>
      <c r="P458" t="n">
        <v>0</v>
      </c>
      <c r="Q458" t="n">
        <v>0</v>
      </c>
      <c r="R458" s="2" t="inlineStr"/>
    </row>
    <row r="459" ht="15" customHeight="1">
      <c r="A459" t="inlineStr">
        <is>
          <t>A 19401-2023</t>
        </is>
      </c>
      <c r="B459" s="1" t="n">
        <v>45048</v>
      </c>
      <c r="C459" s="1" t="n">
        <v>45899</v>
      </c>
      <c r="D459" t="inlineStr">
        <is>
          <t>VÄSTERBOTTENS LÄN</t>
        </is>
      </c>
      <c r="E459" t="inlineStr">
        <is>
          <t>VILHELMINA</t>
        </is>
      </c>
      <c r="G459" t="n">
        <v>5.4</v>
      </c>
      <c r="H459" t="n">
        <v>0</v>
      </c>
      <c r="I459" t="n">
        <v>0</v>
      </c>
      <c r="J459" t="n">
        <v>0</v>
      </c>
      <c r="K459" t="n">
        <v>0</v>
      </c>
      <c r="L459" t="n">
        <v>0</v>
      </c>
      <c r="M459" t="n">
        <v>0</v>
      </c>
      <c r="N459" t="n">
        <v>0</v>
      </c>
      <c r="O459" t="n">
        <v>0</v>
      </c>
      <c r="P459" t="n">
        <v>0</v>
      </c>
      <c r="Q459" t="n">
        <v>0</v>
      </c>
      <c r="R459" s="2" t="inlineStr"/>
    </row>
    <row r="460" ht="15" customHeight="1">
      <c r="A460" t="inlineStr">
        <is>
          <t>A 2054-2023</t>
        </is>
      </c>
      <c r="B460" s="1" t="n">
        <v>44939</v>
      </c>
      <c r="C460" s="1" t="n">
        <v>45899</v>
      </c>
      <c r="D460" t="inlineStr">
        <is>
          <t>VÄSTERBOTTENS LÄN</t>
        </is>
      </c>
      <c r="E460" t="inlineStr">
        <is>
          <t>VILHELMINA</t>
        </is>
      </c>
      <c r="F460" t="inlineStr">
        <is>
          <t>Sveaskog</t>
        </is>
      </c>
      <c r="G460" t="n">
        <v>19.2</v>
      </c>
      <c r="H460" t="n">
        <v>0</v>
      </c>
      <c r="I460" t="n">
        <v>0</v>
      </c>
      <c r="J460" t="n">
        <v>0</v>
      </c>
      <c r="K460" t="n">
        <v>0</v>
      </c>
      <c r="L460" t="n">
        <v>0</v>
      </c>
      <c r="M460" t="n">
        <v>0</v>
      </c>
      <c r="N460" t="n">
        <v>0</v>
      </c>
      <c r="O460" t="n">
        <v>0</v>
      </c>
      <c r="P460" t="n">
        <v>0</v>
      </c>
      <c r="Q460" t="n">
        <v>0</v>
      </c>
      <c r="R460" s="2" t="inlineStr"/>
    </row>
    <row r="461" ht="15" customHeight="1">
      <c r="A461" t="inlineStr">
        <is>
          <t>A 41644-2024</t>
        </is>
      </c>
      <c r="B461" s="1" t="n">
        <v>45560</v>
      </c>
      <c r="C461" s="1" t="n">
        <v>45899</v>
      </c>
      <c r="D461" t="inlineStr">
        <is>
          <t>VÄSTERBOTTENS LÄN</t>
        </is>
      </c>
      <c r="E461" t="inlineStr">
        <is>
          <t>VILHELMINA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58946-2024</t>
        </is>
      </c>
      <c r="B462" s="1" t="n">
        <v>45636.55063657407</v>
      </c>
      <c r="C462" s="1" t="n">
        <v>45899</v>
      </c>
      <c r="D462" t="inlineStr">
        <is>
          <t>VÄSTERBOTTENS LÄN</t>
        </is>
      </c>
      <c r="E462" t="inlineStr">
        <is>
          <t>VILHELMINA</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58999-2024</t>
        </is>
      </c>
      <c r="B463" s="1" t="n">
        <v>45636</v>
      </c>
      <c r="C463" s="1" t="n">
        <v>45899</v>
      </c>
      <c r="D463" t="inlineStr">
        <is>
          <t>VÄSTERBOTTENS LÄN</t>
        </is>
      </c>
      <c r="E463" t="inlineStr">
        <is>
          <t>VILHELMINA</t>
        </is>
      </c>
      <c r="F463" t="inlineStr">
        <is>
          <t>Allmännings- och besparingsskogar</t>
        </is>
      </c>
      <c r="G463" t="n">
        <v>12.3</v>
      </c>
      <c r="H463" t="n">
        <v>0</v>
      </c>
      <c r="I463" t="n">
        <v>0</v>
      </c>
      <c r="J463" t="n">
        <v>0</v>
      </c>
      <c r="K463" t="n">
        <v>0</v>
      </c>
      <c r="L463" t="n">
        <v>0</v>
      </c>
      <c r="M463" t="n">
        <v>0</v>
      </c>
      <c r="N463" t="n">
        <v>0</v>
      </c>
      <c r="O463" t="n">
        <v>0</v>
      </c>
      <c r="P463" t="n">
        <v>0</v>
      </c>
      <c r="Q463" t="n">
        <v>0</v>
      </c>
      <c r="R463" s="2" t="inlineStr"/>
    </row>
    <row r="464" ht="15" customHeight="1">
      <c r="A464" t="inlineStr">
        <is>
          <t>A 48422-2023</t>
        </is>
      </c>
      <c r="B464" s="1" t="n">
        <v>45205</v>
      </c>
      <c r="C464" s="1" t="n">
        <v>45899</v>
      </c>
      <c r="D464" t="inlineStr">
        <is>
          <t>VÄSTERBOTTENS LÄN</t>
        </is>
      </c>
      <c r="E464" t="inlineStr">
        <is>
          <t>VILHELMINA</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48483-2023</t>
        </is>
      </c>
      <c r="B465" s="1" t="n">
        <v>45206.95854166667</v>
      </c>
      <c r="C465" s="1" t="n">
        <v>45899</v>
      </c>
      <c r="D465" t="inlineStr">
        <is>
          <t>VÄSTERBOTTENS LÄN</t>
        </is>
      </c>
      <c r="E465" t="inlineStr">
        <is>
          <t>VILHELMINA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48505-2023</t>
        </is>
      </c>
      <c r="B466" s="1" t="n">
        <v>45207.93900462963</v>
      </c>
      <c r="C466" s="1" t="n">
        <v>45899</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57470-2024</t>
        </is>
      </c>
      <c r="B467" s="1" t="n">
        <v>45630</v>
      </c>
      <c r="C467" s="1" t="n">
        <v>45899</v>
      </c>
      <c r="D467" t="inlineStr">
        <is>
          <t>VÄSTERBOTTENS LÄN</t>
        </is>
      </c>
      <c r="E467" t="inlineStr">
        <is>
          <t>VILHELMINA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56629-2024</t>
        </is>
      </c>
      <c r="B468" s="1" t="n">
        <v>45625</v>
      </c>
      <c r="C468" s="1" t="n">
        <v>45899</v>
      </c>
      <c r="D468" t="inlineStr">
        <is>
          <t>VÄSTERBOTTENS LÄN</t>
        </is>
      </c>
      <c r="E468" t="inlineStr">
        <is>
          <t>VILHELMINA</t>
        </is>
      </c>
      <c r="F468" t="inlineStr">
        <is>
          <t>Allmännings- och besparingsskogar</t>
        </is>
      </c>
      <c r="G468" t="n">
        <v>19.7</v>
      </c>
      <c r="H468" t="n">
        <v>0</v>
      </c>
      <c r="I468" t="n">
        <v>0</v>
      </c>
      <c r="J468" t="n">
        <v>0</v>
      </c>
      <c r="K468" t="n">
        <v>0</v>
      </c>
      <c r="L468" t="n">
        <v>0</v>
      </c>
      <c r="M468" t="n">
        <v>0</v>
      </c>
      <c r="N468" t="n">
        <v>0</v>
      </c>
      <c r="O468" t="n">
        <v>0</v>
      </c>
      <c r="P468" t="n">
        <v>0</v>
      </c>
      <c r="Q468" t="n">
        <v>0</v>
      </c>
      <c r="R468" s="2" t="inlineStr"/>
    </row>
    <row r="469" ht="15" customHeight="1">
      <c r="A469" t="inlineStr">
        <is>
          <t>A 56624-2024</t>
        </is>
      </c>
      <c r="B469" s="1" t="n">
        <v>45625</v>
      </c>
      <c r="C469" s="1" t="n">
        <v>45899</v>
      </c>
      <c r="D469" t="inlineStr">
        <is>
          <t>VÄSTERBOTTENS LÄN</t>
        </is>
      </c>
      <c r="E469" t="inlineStr">
        <is>
          <t>VILHELMINA</t>
        </is>
      </c>
      <c r="F469" t="inlineStr">
        <is>
          <t>Allmännings- och besparingsskogar</t>
        </is>
      </c>
      <c r="G469" t="n">
        <v>17.8</v>
      </c>
      <c r="H469" t="n">
        <v>0</v>
      </c>
      <c r="I469" t="n">
        <v>0</v>
      </c>
      <c r="J469" t="n">
        <v>0</v>
      </c>
      <c r="K469" t="n">
        <v>0</v>
      </c>
      <c r="L469" t="n">
        <v>0</v>
      </c>
      <c r="M469" t="n">
        <v>0</v>
      </c>
      <c r="N469" t="n">
        <v>0</v>
      </c>
      <c r="O469" t="n">
        <v>0</v>
      </c>
      <c r="P469" t="n">
        <v>0</v>
      </c>
      <c r="Q469" t="n">
        <v>0</v>
      </c>
      <c r="R469" s="2" t="inlineStr"/>
    </row>
    <row r="470" ht="15" customHeight="1">
      <c r="A470" t="inlineStr">
        <is>
          <t>A 50489-2023</t>
        </is>
      </c>
      <c r="B470" s="1" t="n">
        <v>45216.95556712963</v>
      </c>
      <c r="C470" s="1" t="n">
        <v>45899</v>
      </c>
      <c r="D470" t="inlineStr">
        <is>
          <t>VÄSTERBOTTENS LÄN</t>
        </is>
      </c>
      <c r="E470" t="inlineStr">
        <is>
          <t>VILHELMINA</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50506-2023</t>
        </is>
      </c>
      <c r="B471" s="1" t="n">
        <v>45216.9580787037</v>
      </c>
      <c r="C471" s="1" t="n">
        <v>45899</v>
      </c>
      <c r="D471" t="inlineStr">
        <is>
          <t>VÄSTERBOTTENS LÄN</t>
        </is>
      </c>
      <c r="E471" t="inlineStr">
        <is>
          <t>VILHELMINA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59011-2024</t>
        </is>
      </c>
      <c r="B472" s="1" t="n">
        <v>45636</v>
      </c>
      <c r="C472" s="1" t="n">
        <v>45899</v>
      </c>
      <c r="D472" t="inlineStr">
        <is>
          <t>VÄSTERBOTTENS LÄN</t>
        </is>
      </c>
      <c r="E472" t="inlineStr">
        <is>
          <t>VILHELMINA</t>
        </is>
      </c>
      <c r="F472" t="inlineStr">
        <is>
          <t>Allmännings- och besparingsskogar</t>
        </is>
      </c>
      <c r="G472" t="n">
        <v>35.2</v>
      </c>
      <c r="H472" t="n">
        <v>0</v>
      </c>
      <c r="I472" t="n">
        <v>0</v>
      </c>
      <c r="J472" t="n">
        <v>0</v>
      </c>
      <c r="K472" t="n">
        <v>0</v>
      </c>
      <c r="L472" t="n">
        <v>0</v>
      </c>
      <c r="M472" t="n">
        <v>0</v>
      </c>
      <c r="N472" t="n">
        <v>0</v>
      </c>
      <c r="O472" t="n">
        <v>0</v>
      </c>
      <c r="P472" t="n">
        <v>0</v>
      </c>
      <c r="Q472" t="n">
        <v>0</v>
      </c>
      <c r="R472" s="2" t="inlineStr"/>
    </row>
    <row r="473" ht="15" customHeight="1">
      <c r="A473" t="inlineStr">
        <is>
          <t>A 47010-2024</t>
        </is>
      </c>
      <c r="B473" s="1" t="n">
        <v>45586</v>
      </c>
      <c r="C473" s="1" t="n">
        <v>45899</v>
      </c>
      <c r="D473" t="inlineStr">
        <is>
          <t>VÄSTERBOTTENS LÄN</t>
        </is>
      </c>
      <c r="E473" t="inlineStr">
        <is>
          <t>VILHELMINA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31868-2024</t>
        </is>
      </c>
      <c r="B474" s="1" t="n">
        <v>45509</v>
      </c>
      <c r="C474" s="1" t="n">
        <v>45899</v>
      </c>
      <c r="D474" t="inlineStr">
        <is>
          <t>VÄSTERBOTTENS LÄN</t>
        </is>
      </c>
      <c r="E474" t="inlineStr">
        <is>
          <t>VILHELMINA</t>
        </is>
      </c>
      <c r="G474" t="n">
        <v>4.5</v>
      </c>
      <c r="H474" t="n">
        <v>0</v>
      </c>
      <c r="I474" t="n">
        <v>0</v>
      </c>
      <c r="J474" t="n">
        <v>0</v>
      </c>
      <c r="K474" t="n">
        <v>0</v>
      </c>
      <c r="L474" t="n">
        <v>0</v>
      </c>
      <c r="M474" t="n">
        <v>0</v>
      </c>
      <c r="N474" t="n">
        <v>0</v>
      </c>
      <c r="O474" t="n">
        <v>0</v>
      </c>
      <c r="P474" t="n">
        <v>0</v>
      </c>
      <c r="Q474" t="n">
        <v>0</v>
      </c>
      <c r="R474" s="2" t="inlineStr"/>
    </row>
    <row r="475" ht="15" customHeight="1">
      <c r="A475" t="inlineStr">
        <is>
          <t>A 21345-2024</t>
        </is>
      </c>
      <c r="B475" s="1" t="n">
        <v>45440.92866898148</v>
      </c>
      <c r="C475" s="1" t="n">
        <v>45899</v>
      </c>
      <c r="D475" t="inlineStr">
        <is>
          <t>VÄSTERBOTTENS LÄN</t>
        </is>
      </c>
      <c r="E475" t="inlineStr">
        <is>
          <t>VILHELMINA</t>
        </is>
      </c>
      <c r="G475" t="n">
        <v>3</v>
      </c>
      <c r="H475" t="n">
        <v>0</v>
      </c>
      <c r="I475" t="n">
        <v>0</v>
      </c>
      <c r="J475" t="n">
        <v>0</v>
      </c>
      <c r="K475" t="n">
        <v>0</v>
      </c>
      <c r="L475" t="n">
        <v>0</v>
      </c>
      <c r="M475" t="n">
        <v>0</v>
      </c>
      <c r="N475" t="n">
        <v>0</v>
      </c>
      <c r="O475" t="n">
        <v>0</v>
      </c>
      <c r="P475" t="n">
        <v>0</v>
      </c>
      <c r="Q475" t="n">
        <v>0</v>
      </c>
      <c r="R475" s="2" t="inlineStr"/>
    </row>
    <row r="476" ht="15" customHeight="1">
      <c r="A476" t="inlineStr">
        <is>
          <t>A 8859-2023</t>
        </is>
      </c>
      <c r="B476" s="1" t="n">
        <v>44978</v>
      </c>
      <c r="C476" s="1" t="n">
        <v>45899</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26722-2025</t>
        </is>
      </c>
      <c r="B477" s="1" t="n">
        <v>45810</v>
      </c>
      <c r="C477" s="1" t="n">
        <v>45899</v>
      </c>
      <c r="D477" t="inlineStr">
        <is>
          <t>VÄSTERBOTTENS LÄN</t>
        </is>
      </c>
      <c r="E477" t="inlineStr">
        <is>
          <t>VILHELMINA</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38569-2024</t>
        </is>
      </c>
      <c r="B478" s="1" t="n">
        <v>45546.63689814815</v>
      </c>
      <c r="C478" s="1" t="n">
        <v>45899</v>
      </c>
      <c r="D478" t="inlineStr">
        <is>
          <t>VÄSTERBOTTENS LÄN</t>
        </is>
      </c>
      <c r="E478" t="inlineStr">
        <is>
          <t>VILHELMINA</t>
        </is>
      </c>
      <c r="G478" t="n">
        <v>31.5</v>
      </c>
      <c r="H478" t="n">
        <v>0</v>
      </c>
      <c r="I478" t="n">
        <v>0</v>
      </c>
      <c r="J478" t="n">
        <v>0</v>
      </c>
      <c r="K478" t="n">
        <v>0</v>
      </c>
      <c r="L478" t="n">
        <v>0</v>
      </c>
      <c r="M478" t="n">
        <v>0</v>
      </c>
      <c r="N478" t="n">
        <v>0</v>
      </c>
      <c r="O478" t="n">
        <v>0</v>
      </c>
      <c r="P478" t="n">
        <v>0</v>
      </c>
      <c r="Q478" t="n">
        <v>0</v>
      </c>
      <c r="R478" s="2" t="inlineStr"/>
    </row>
    <row r="479" ht="15" customHeight="1">
      <c r="A479" t="inlineStr">
        <is>
          <t>A 31095-2024</t>
        </is>
      </c>
      <c r="B479" s="1" t="n">
        <v>45502</v>
      </c>
      <c r="C479" s="1" t="n">
        <v>45899</v>
      </c>
      <c r="D479" t="inlineStr">
        <is>
          <t>VÄSTERBOTTENS LÄN</t>
        </is>
      </c>
      <c r="E479" t="inlineStr">
        <is>
          <t>VILHELMINA</t>
        </is>
      </c>
      <c r="G479" t="n">
        <v>4.7</v>
      </c>
      <c r="H479" t="n">
        <v>0</v>
      </c>
      <c r="I479" t="n">
        <v>0</v>
      </c>
      <c r="J479" t="n">
        <v>0</v>
      </c>
      <c r="K479" t="n">
        <v>0</v>
      </c>
      <c r="L479" t="n">
        <v>0</v>
      </c>
      <c r="M479" t="n">
        <v>0</v>
      </c>
      <c r="N479" t="n">
        <v>0</v>
      </c>
      <c r="O479" t="n">
        <v>0</v>
      </c>
      <c r="P479" t="n">
        <v>0</v>
      </c>
      <c r="Q479" t="n">
        <v>0</v>
      </c>
      <c r="R479" s="2" t="inlineStr"/>
    </row>
    <row r="480" ht="15" customHeight="1">
      <c r="A480" t="inlineStr">
        <is>
          <t>A 59030-2022</t>
        </is>
      </c>
      <c r="B480" s="1" t="n">
        <v>44903</v>
      </c>
      <c r="C480" s="1" t="n">
        <v>45899</v>
      </c>
      <c r="D480" t="inlineStr">
        <is>
          <t>VÄSTERBOTTENS LÄN</t>
        </is>
      </c>
      <c r="E480" t="inlineStr">
        <is>
          <t>VILHELMINA</t>
        </is>
      </c>
      <c r="G480" t="n">
        <v>17.8</v>
      </c>
      <c r="H480" t="n">
        <v>0</v>
      </c>
      <c r="I480" t="n">
        <v>0</v>
      </c>
      <c r="J480" t="n">
        <v>0</v>
      </c>
      <c r="K480" t="n">
        <v>0</v>
      </c>
      <c r="L480" t="n">
        <v>0</v>
      </c>
      <c r="M480" t="n">
        <v>0</v>
      </c>
      <c r="N480" t="n">
        <v>0</v>
      </c>
      <c r="O480" t="n">
        <v>0</v>
      </c>
      <c r="P480" t="n">
        <v>0</v>
      </c>
      <c r="Q480" t="n">
        <v>0</v>
      </c>
      <c r="R480" s="2" t="inlineStr"/>
    </row>
    <row r="481" ht="15" customHeight="1">
      <c r="A481" t="inlineStr">
        <is>
          <t>A 7777-2024</t>
        </is>
      </c>
      <c r="B481" s="1" t="n">
        <v>45349</v>
      </c>
      <c r="C481" s="1" t="n">
        <v>45899</v>
      </c>
      <c r="D481" t="inlineStr">
        <is>
          <t>VÄSTERBOTTENS LÄN</t>
        </is>
      </c>
      <c r="E481" t="inlineStr">
        <is>
          <t>VILHELMINA</t>
        </is>
      </c>
      <c r="G481" t="n">
        <v>7</v>
      </c>
      <c r="H481" t="n">
        <v>0</v>
      </c>
      <c r="I481" t="n">
        <v>0</v>
      </c>
      <c r="J481" t="n">
        <v>0</v>
      </c>
      <c r="K481" t="n">
        <v>0</v>
      </c>
      <c r="L481" t="n">
        <v>0</v>
      </c>
      <c r="M481" t="n">
        <v>0</v>
      </c>
      <c r="N481" t="n">
        <v>0</v>
      </c>
      <c r="O481" t="n">
        <v>0</v>
      </c>
      <c r="P481" t="n">
        <v>0</v>
      </c>
      <c r="Q481" t="n">
        <v>0</v>
      </c>
      <c r="R481" s="2" t="inlineStr"/>
    </row>
    <row r="482" ht="15" customHeight="1">
      <c r="A482" t="inlineStr">
        <is>
          <t>A 26744-2025</t>
        </is>
      </c>
      <c r="B482" s="1" t="n">
        <v>45810.53185185185</v>
      </c>
      <c r="C482" s="1" t="n">
        <v>45899</v>
      </c>
      <c r="D482" t="inlineStr">
        <is>
          <t>VÄSTERBOTTENS LÄN</t>
        </is>
      </c>
      <c r="E482" t="inlineStr">
        <is>
          <t>VILHELMINA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48470-2023</t>
        </is>
      </c>
      <c r="B483" s="1" t="n">
        <v>45206.95747685185</v>
      </c>
      <c r="C483" s="1" t="n">
        <v>45899</v>
      </c>
      <c r="D483" t="inlineStr">
        <is>
          <t>VÄSTERBOTTENS LÄN</t>
        </is>
      </c>
      <c r="E483" t="inlineStr">
        <is>
          <t>VILHELMINA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26790-2025</t>
        </is>
      </c>
      <c r="B484" s="1" t="n">
        <v>45810.59417824074</v>
      </c>
      <c r="C484" s="1" t="n">
        <v>45899</v>
      </c>
      <c r="D484" t="inlineStr">
        <is>
          <t>VÄSTERBOTTENS LÄN</t>
        </is>
      </c>
      <c r="E484" t="inlineStr">
        <is>
          <t>VILHELMINA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26745-2025</t>
        </is>
      </c>
      <c r="B485" s="1" t="n">
        <v>45810.53188657408</v>
      </c>
      <c r="C485" s="1" t="n">
        <v>45899</v>
      </c>
      <c r="D485" t="inlineStr">
        <is>
          <t>VÄSTERBOTTENS LÄN</t>
        </is>
      </c>
      <c r="E485" t="inlineStr">
        <is>
          <t>VILHELMINA</t>
        </is>
      </c>
      <c r="F485" t="inlineStr">
        <is>
          <t>SCA</t>
        </is>
      </c>
      <c r="G485" t="n">
        <v>0.3</v>
      </c>
      <c r="H485" t="n">
        <v>0</v>
      </c>
      <c r="I485" t="n">
        <v>0</v>
      </c>
      <c r="J485" t="n">
        <v>0</v>
      </c>
      <c r="K485" t="n">
        <v>0</v>
      </c>
      <c r="L485" t="n">
        <v>0</v>
      </c>
      <c r="M485" t="n">
        <v>0</v>
      </c>
      <c r="N485" t="n">
        <v>0</v>
      </c>
      <c r="O485" t="n">
        <v>0</v>
      </c>
      <c r="P485" t="n">
        <v>0</v>
      </c>
      <c r="Q485" t="n">
        <v>0</v>
      </c>
      <c r="R485" s="2" t="inlineStr"/>
    </row>
    <row r="486" ht="15" customHeight="1">
      <c r="A486" t="inlineStr">
        <is>
          <t>A 33318-2024</t>
        </is>
      </c>
      <c r="B486" s="1" t="n">
        <v>45518.97211805556</v>
      </c>
      <c r="C486" s="1" t="n">
        <v>45899</v>
      </c>
      <c r="D486" t="inlineStr">
        <is>
          <t>VÄSTERBOTTENS LÄN</t>
        </is>
      </c>
      <c r="E486" t="inlineStr">
        <is>
          <t>VILHELMINA</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33321-2024</t>
        </is>
      </c>
      <c r="B487" s="1" t="n">
        <v>45518.97256944444</v>
      </c>
      <c r="C487" s="1" t="n">
        <v>45899</v>
      </c>
      <c r="D487" t="inlineStr">
        <is>
          <t>VÄSTERBOTTENS LÄN</t>
        </is>
      </c>
      <c r="E487" t="inlineStr">
        <is>
          <t>VILHELMINA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15884-2025</t>
        </is>
      </c>
      <c r="B488" s="1" t="n">
        <v>45749</v>
      </c>
      <c r="C488" s="1" t="n">
        <v>45899</v>
      </c>
      <c r="D488" t="inlineStr">
        <is>
          <t>VÄSTERBOTTENS LÄN</t>
        </is>
      </c>
      <c r="E488" t="inlineStr">
        <is>
          <t>VILHELMINA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13829-2025</t>
        </is>
      </c>
      <c r="B489" s="1" t="n">
        <v>45737</v>
      </c>
      <c r="C489" s="1" t="n">
        <v>45899</v>
      </c>
      <c r="D489" t="inlineStr">
        <is>
          <t>VÄSTERBOTTENS LÄN</t>
        </is>
      </c>
      <c r="E489" t="inlineStr">
        <is>
          <t>VILHELMINA</t>
        </is>
      </c>
      <c r="F489" t="inlineStr">
        <is>
          <t>Övriga statliga verk och myndigheter</t>
        </is>
      </c>
      <c r="G489" t="n">
        <v>39.7</v>
      </c>
      <c r="H489" t="n">
        <v>0</v>
      </c>
      <c r="I489" t="n">
        <v>0</v>
      </c>
      <c r="J489" t="n">
        <v>0</v>
      </c>
      <c r="K489" t="n">
        <v>0</v>
      </c>
      <c r="L489" t="n">
        <v>0</v>
      </c>
      <c r="M489" t="n">
        <v>0</v>
      </c>
      <c r="N489" t="n">
        <v>0</v>
      </c>
      <c r="O489" t="n">
        <v>0</v>
      </c>
      <c r="P489" t="n">
        <v>0</v>
      </c>
      <c r="Q489" t="n">
        <v>0</v>
      </c>
      <c r="R489" s="2" t="inlineStr"/>
    </row>
    <row r="490" ht="15" customHeight="1">
      <c r="A490" t="inlineStr">
        <is>
          <t>A 62630-2022</t>
        </is>
      </c>
      <c r="B490" s="1" t="n">
        <v>44917</v>
      </c>
      <c r="C490" s="1" t="n">
        <v>45899</v>
      </c>
      <c r="D490" t="inlineStr">
        <is>
          <t>VÄSTERBOTTENS LÄN</t>
        </is>
      </c>
      <c r="E490" t="inlineStr">
        <is>
          <t>VILHELMINA</t>
        </is>
      </c>
      <c r="G490" t="n">
        <v>0.9</v>
      </c>
      <c r="H490" t="n">
        <v>0</v>
      </c>
      <c r="I490" t="n">
        <v>0</v>
      </c>
      <c r="J490" t="n">
        <v>0</v>
      </c>
      <c r="K490" t="n">
        <v>0</v>
      </c>
      <c r="L490" t="n">
        <v>0</v>
      </c>
      <c r="M490" t="n">
        <v>0</v>
      </c>
      <c r="N490" t="n">
        <v>0</v>
      </c>
      <c r="O490" t="n">
        <v>0</v>
      </c>
      <c r="P490" t="n">
        <v>0</v>
      </c>
      <c r="Q490" t="n">
        <v>0</v>
      </c>
      <c r="R490" s="2" t="inlineStr"/>
    </row>
    <row r="491" ht="15" customHeight="1">
      <c r="A491" t="inlineStr">
        <is>
          <t>A 16626-2024</t>
        </is>
      </c>
      <c r="B491" s="1" t="n">
        <v>45408</v>
      </c>
      <c r="C491" s="1" t="n">
        <v>45899</v>
      </c>
      <c r="D491" t="inlineStr">
        <is>
          <t>VÄSTERBOTTENS LÄN</t>
        </is>
      </c>
      <c r="E491" t="inlineStr">
        <is>
          <t>VILHELMINA</t>
        </is>
      </c>
      <c r="G491" t="n">
        <v>15.5</v>
      </c>
      <c r="H491" t="n">
        <v>0</v>
      </c>
      <c r="I491" t="n">
        <v>0</v>
      </c>
      <c r="J491" t="n">
        <v>0</v>
      </c>
      <c r="K491" t="n">
        <v>0</v>
      </c>
      <c r="L491" t="n">
        <v>0</v>
      </c>
      <c r="M491" t="n">
        <v>0</v>
      </c>
      <c r="N491" t="n">
        <v>0</v>
      </c>
      <c r="O491" t="n">
        <v>0</v>
      </c>
      <c r="P491" t="n">
        <v>0</v>
      </c>
      <c r="Q491" t="n">
        <v>0</v>
      </c>
      <c r="R491" s="2" t="inlineStr"/>
    </row>
    <row r="492" ht="15" customHeight="1">
      <c r="A492" t="inlineStr">
        <is>
          <t>A 5403-2025</t>
        </is>
      </c>
      <c r="B492" s="1" t="n">
        <v>45692.64475694444</v>
      </c>
      <c r="C492" s="1" t="n">
        <v>45899</v>
      </c>
      <c r="D492" t="inlineStr">
        <is>
          <t>VÄSTERBOTTENS LÄN</t>
        </is>
      </c>
      <c r="E492" t="inlineStr">
        <is>
          <t>VILHELMINA</t>
        </is>
      </c>
      <c r="F492" t="inlineStr">
        <is>
          <t>Kommuner</t>
        </is>
      </c>
      <c r="G492" t="n">
        <v>14.9</v>
      </c>
      <c r="H492" t="n">
        <v>0</v>
      </c>
      <c r="I492" t="n">
        <v>0</v>
      </c>
      <c r="J492" t="n">
        <v>0</v>
      </c>
      <c r="K492" t="n">
        <v>0</v>
      </c>
      <c r="L492" t="n">
        <v>0</v>
      </c>
      <c r="M492" t="n">
        <v>0</v>
      </c>
      <c r="N492" t="n">
        <v>0</v>
      </c>
      <c r="O492" t="n">
        <v>0</v>
      </c>
      <c r="P492" t="n">
        <v>0</v>
      </c>
      <c r="Q492" t="n">
        <v>0</v>
      </c>
      <c r="R492" s="2" t="inlineStr"/>
    </row>
    <row r="493" ht="15" customHeight="1">
      <c r="A493" t="inlineStr">
        <is>
          <t>A 2043-2023</t>
        </is>
      </c>
      <c r="B493" s="1" t="n">
        <v>44939</v>
      </c>
      <c r="C493" s="1" t="n">
        <v>45899</v>
      </c>
      <c r="D493" t="inlineStr">
        <is>
          <t>VÄSTERBOTTENS LÄN</t>
        </is>
      </c>
      <c r="E493" t="inlineStr">
        <is>
          <t>VILHELMINA</t>
        </is>
      </c>
      <c r="F493" t="inlineStr">
        <is>
          <t>Sveaskog</t>
        </is>
      </c>
      <c r="G493" t="n">
        <v>10.5</v>
      </c>
      <c r="H493" t="n">
        <v>0</v>
      </c>
      <c r="I493" t="n">
        <v>0</v>
      </c>
      <c r="J493" t="n">
        <v>0</v>
      </c>
      <c r="K493" t="n">
        <v>0</v>
      </c>
      <c r="L493" t="n">
        <v>0</v>
      </c>
      <c r="M493" t="n">
        <v>0</v>
      </c>
      <c r="N493" t="n">
        <v>0</v>
      </c>
      <c r="O493" t="n">
        <v>0</v>
      </c>
      <c r="P493" t="n">
        <v>0</v>
      </c>
      <c r="Q493" t="n">
        <v>0</v>
      </c>
      <c r="R493" s="2" t="inlineStr"/>
    </row>
    <row r="494" ht="15" customHeight="1">
      <c r="A494" t="inlineStr">
        <is>
          <t>A 54459-2024</t>
        </is>
      </c>
      <c r="B494" s="1" t="n">
        <v>45617</v>
      </c>
      <c r="C494" s="1" t="n">
        <v>45899</v>
      </c>
      <c r="D494" t="inlineStr">
        <is>
          <t>VÄSTERBOTTENS LÄN</t>
        </is>
      </c>
      <c r="E494" t="inlineStr">
        <is>
          <t>VILHELMINA</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55870-2022</t>
        </is>
      </c>
      <c r="B495" s="1" t="n">
        <v>44888</v>
      </c>
      <c r="C495" s="1" t="n">
        <v>45899</v>
      </c>
      <c r="D495" t="inlineStr">
        <is>
          <t>VÄSTERBOTTENS LÄN</t>
        </is>
      </c>
      <c r="E495" t="inlineStr">
        <is>
          <t>VILHELMINA</t>
        </is>
      </c>
      <c r="G495" t="n">
        <v>13.6</v>
      </c>
      <c r="H495" t="n">
        <v>0</v>
      </c>
      <c r="I495" t="n">
        <v>0</v>
      </c>
      <c r="J495" t="n">
        <v>0</v>
      </c>
      <c r="K495" t="n">
        <v>0</v>
      </c>
      <c r="L495" t="n">
        <v>0</v>
      </c>
      <c r="M495" t="n">
        <v>0</v>
      </c>
      <c r="N495" t="n">
        <v>0</v>
      </c>
      <c r="O495" t="n">
        <v>0</v>
      </c>
      <c r="P495" t="n">
        <v>0</v>
      </c>
      <c r="Q495" t="n">
        <v>0</v>
      </c>
      <c r="R495" s="2" t="inlineStr"/>
    </row>
    <row r="496" ht="15" customHeight="1">
      <c r="A496" t="inlineStr">
        <is>
          <t>A 27601-2025</t>
        </is>
      </c>
      <c r="B496" s="1" t="n">
        <v>45813.52791666667</v>
      </c>
      <c r="C496" s="1" t="n">
        <v>45899</v>
      </c>
      <c r="D496" t="inlineStr">
        <is>
          <t>VÄSTERBOTTENS LÄN</t>
        </is>
      </c>
      <c r="E496" t="inlineStr">
        <is>
          <t>VILHELMINA</t>
        </is>
      </c>
      <c r="F496" t="inlineStr">
        <is>
          <t>Övriga statliga verk och myndigheter</t>
        </is>
      </c>
      <c r="G496" t="n">
        <v>36.5</v>
      </c>
      <c r="H496" t="n">
        <v>0</v>
      </c>
      <c r="I496" t="n">
        <v>0</v>
      </c>
      <c r="J496" t="n">
        <v>0</v>
      </c>
      <c r="K496" t="n">
        <v>0</v>
      </c>
      <c r="L496" t="n">
        <v>0</v>
      </c>
      <c r="M496" t="n">
        <v>0</v>
      </c>
      <c r="N496" t="n">
        <v>0</v>
      </c>
      <c r="O496" t="n">
        <v>0</v>
      </c>
      <c r="P496" t="n">
        <v>0</v>
      </c>
      <c r="Q496" t="n">
        <v>0</v>
      </c>
      <c r="R496" s="2" t="inlineStr"/>
    </row>
    <row r="497" ht="15" customHeight="1">
      <c r="A497" t="inlineStr">
        <is>
          <t>A 27945-2025</t>
        </is>
      </c>
      <c r="B497" s="1" t="n">
        <v>45817</v>
      </c>
      <c r="C497" s="1" t="n">
        <v>45899</v>
      </c>
      <c r="D497" t="inlineStr">
        <is>
          <t>VÄSTERBOTTENS LÄN</t>
        </is>
      </c>
      <c r="E497" t="inlineStr">
        <is>
          <t>VILHELMINA</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46177-2023</t>
        </is>
      </c>
      <c r="B498" s="1" t="n">
        <v>45190</v>
      </c>
      <c r="C498" s="1" t="n">
        <v>45899</v>
      </c>
      <c r="D498" t="inlineStr">
        <is>
          <t>VÄSTERBOTTENS LÄN</t>
        </is>
      </c>
      <c r="E498" t="inlineStr">
        <is>
          <t>VILHELMINA</t>
        </is>
      </c>
      <c r="F498" t="inlineStr">
        <is>
          <t>Övriga Aktiebolag</t>
        </is>
      </c>
      <c r="G498" t="n">
        <v>7.7</v>
      </c>
      <c r="H498" t="n">
        <v>0</v>
      </c>
      <c r="I498" t="n">
        <v>0</v>
      </c>
      <c r="J498" t="n">
        <v>0</v>
      </c>
      <c r="K498" t="n">
        <v>0</v>
      </c>
      <c r="L498" t="n">
        <v>0</v>
      </c>
      <c r="M498" t="n">
        <v>0</v>
      </c>
      <c r="N498" t="n">
        <v>0</v>
      </c>
      <c r="O498" t="n">
        <v>0</v>
      </c>
      <c r="P498" t="n">
        <v>0</v>
      </c>
      <c r="Q498" t="n">
        <v>0</v>
      </c>
      <c r="R498" s="2" t="inlineStr"/>
    </row>
    <row r="499" ht="15" customHeight="1">
      <c r="A499" t="inlineStr">
        <is>
          <t>A 20846-2025</t>
        </is>
      </c>
      <c r="B499" s="1" t="n">
        <v>45777</v>
      </c>
      <c r="C499" s="1" t="n">
        <v>45899</v>
      </c>
      <c r="D499" t="inlineStr">
        <is>
          <t>VÄSTERBOTTENS LÄN</t>
        </is>
      </c>
      <c r="E499" t="inlineStr">
        <is>
          <t>VILHELMINA</t>
        </is>
      </c>
      <c r="G499" t="n">
        <v>19.1</v>
      </c>
      <c r="H499" t="n">
        <v>0</v>
      </c>
      <c r="I499" t="n">
        <v>0</v>
      </c>
      <c r="J499" t="n">
        <v>0</v>
      </c>
      <c r="K499" t="n">
        <v>0</v>
      </c>
      <c r="L499" t="n">
        <v>0</v>
      </c>
      <c r="M499" t="n">
        <v>0</v>
      </c>
      <c r="N499" t="n">
        <v>0</v>
      </c>
      <c r="O499" t="n">
        <v>0</v>
      </c>
      <c r="P499" t="n">
        <v>0</v>
      </c>
      <c r="Q499" t="n">
        <v>0</v>
      </c>
      <c r="R499" s="2" t="inlineStr"/>
    </row>
    <row r="500" ht="15" customHeight="1">
      <c r="A500" t="inlineStr">
        <is>
          <t>A 21965-2025</t>
        </is>
      </c>
      <c r="B500" s="1" t="n">
        <v>45784</v>
      </c>
      <c r="C500" s="1" t="n">
        <v>45899</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28019-2025</t>
        </is>
      </c>
      <c r="B501" s="1" t="n">
        <v>45817.61545138889</v>
      </c>
      <c r="C501" s="1" t="n">
        <v>45899</v>
      </c>
      <c r="D501" t="inlineStr">
        <is>
          <t>VÄSTERBOTTENS LÄN</t>
        </is>
      </c>
      <c r="E501" t="inlineStr">
        <is>
          <t>VILHELMINA</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43987-2024</t>
        </is>
      </c>
      <c r="B502" s="1" t="n">
        <v>45572.51092592593</v>
      </c>
      <c r="C502" s="1" t="n">
        <v>45899</v>
      </c>
      <c r="D502" t="inlineStr">
        <is>
          <t>VÄSTERBOTTENS LÄN</t>
        </is>
      </c>
      <c r="E502" t="inlineStr">
        <is>
          <t>VILHELMINA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51826-2023</t>
        </is>
      </c>
      <c r="B503" s="1" t="n">
        <v>45222.9678125</v>
      </c>
      <c r="C503" s="1" t="n">
        <v>45899</v>
      </c>
      <c r="D503" t="inlineStr">
        <is>
          <t>VÄSTERBOTTENS LÄN</t>
        </is>
      </c>
      <c r="E503" t="inlineStr">
        <is>
          <t>VILHELMINA</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18394-2025</t>
        </is>
      </c>
      <c r="B504" s="1" t="n">
        <v>45762</v>
      </c>
      <c r="C504" s="1" t="n">
        <v>45899</v>
      </c>
      <c r="D504" t="inlineStr">
        <is>
          <t>VÄSTERBOTTENS LÄN</t>
        </is>
      </c>
      <c r="E504" t="inlineStr">
        <is>
          <t>VILHELMINA</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18396-2025</t>
        </is>
      </c>
      <c r="B505" s="1" t="n">
        <v>45762.59456018519</v>
      </c>
      <c r="C505" s="1" t="n">
        <v>45899</v>
      </c>
      <c r="D505" t="inlineStr">
        <is>
          <t>VÄSTERBOTTENS LÄN</t>
        </is>
      </c>
      <c r="E505" t="inlineStr">
        <is>
          <t>VILHELMINA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27943-2025</t>
        </is>
      </c>
      <c r="B506" s="1" t="n">
        <v>45817.51078703703</v>
      </c>
      <c r="C506" s="1" t="n">
        <v>45899</v>
      </c>
      <c r="D506" t="inlineStr">
        <is>
          <t>VÄSTERBOTTENS LÄN</t>
        </is>
      </c>
      <c r="E506" t="inlineStr">
        <is>
          <t>VILHELMINA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664-2022</t>
        </is>
      </c>
      <c r="B507" s="1" t="n">
        <v>44568</v>
      </c>
      <c r="C507" s="1" t="n">
        <v>45899</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27952-2025</t>
        </is>
      </c>
      <c r="B508" s="1" t="n">
        <v>45817.53157407408</v>
      </c>
      <c r="C508" s="1" t="n">
        <v>45899</v>
      </c>
      <c r="D508" t="inlineStr">
        <is>
          <t>VÄSTERBOTTENS LÄN</t>
        </is>
      </c>
      <c r="E508" t="inlineStr">
        <is>
          <t>VILHELMINA</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20524-2024</t>
        </is>
      </c>
      <c r="B509" s="1" t="n">
        <v>45435.94567129629</v>
      </c>
      <c r="C509" s="1" t="n">
        <v>45899</v>
      </c>
      <c r="D509" t="inlineStr">
        <is>
          <t>VÄSTERBOTTENS LÄN</t>
        </is>
      </c>
      <c r="E509" t="inlineStr">
        <is>
          <t>VILHELMINA</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11538-2024</t>
        </is>
      </c>
      <c r="B510" s="1" t="n">
        <v>45372</v>
      </c>
      <c r="C510" s="1" t="n">
        <v>45899</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28016-2025</t>
        </is>
      </c>
      <c r="B511" s="1" t="n">
        <v>45817.61506944444</v>
      </c>
      <c r="C511" s="1" t="n">
        <v>45899</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28050-2025</t>
        </is>
      </c>
      <c r="B512" s="1" t="n">
        <v>45817.65658564815</v>
      </c>
      <c r="C512" s="1" t="n">
        <v>45899</v>
      </c>
      <c r="D512" t="inlineStr">
        <is>
          <t>VÄSTERBOTTENS LÄN</t>
        </is>
      </c>
      <c r="E512" t="inlineStr">
        <is>
          <t>VILHELMINA</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28144-2025</t>
        </is>
      </c>
      <c r="B513" s="1" t="n">
        <v>45818</v>
      </c>
      <c r="C513" s="1" t="n">
        <v>45899</v>
      </c>
      <c r="D513" t="inlineStr">
        <is>
          <t>VÄSTERBOTTENS LÄN</t>
        </is>
      </c>
      <c r="E513" t="inlineStr">
        <is>
          <t>VILHELMINA</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18564-2022</t>
        </is>
      </c>
      <c r="B514" s="1" t="n">
        <v>44686</v>
      </c>
      <c r="C514" s="1" t="n">
        <v>45899</v>
      </c>
      <c r="D514" t="inlineStr">
        <is>
          <t>VÄSTERBOTTENS LÄN</t>
        </is>
      </c>
      <c r="E514" t="inlineStr">
        <is>
          <t>VILHELMINA</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50494-2023</t>
        </is>
      </c>
      <c r="B515" s="1" t="n">
        <v>45216.95604166666</v>
      </c>
      <c r="C515" s="1" t="n">
        <v>45899</v>
      </c>
      <c r="D515" t="inlineStr">
        <is>
          <t>VÄSTERBOTTENS LÄN</t>
        </is>
      </c>
      <c r="E515" t="inlineStr">
        <is>
          <t>VILHELMINA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35409-2024</t>
        </is>
      </c>
      <c r="B516" s="1" t="n">
        <v>45531</v>
      </c>
      <c r="C516" s="1" t="n">
        <v>45899</v>
      </c>
      <c r="D516" t="inlineStr">
        <is>
          <t>VÄSTERBOTTENS LÄN</t>
        </is>
      </c>
      <c r="E516" t="inlineStr">
        <is>
          <t>VILHELMINA</t>
        </is>
      </c>
      <c r="F516" t="inlineStr">
        <is>
          <t>SCA</t>
        </is>
      </c>
      <c r="G516" t="n">
        <v>13.1</v>
      </c>
      <c r="H516" t="n">
        <v>0</v>
      </c>
      <c r="I516" t="n">
        <v>0</v>
      </c>
      <c r="J516" t="n">
        <v>0</v>
      </c>
      <c r="K516" t="n">
        <v>0</v>
      </c>
      <c r="L516" t="n">
        <v>0</v>
      </c>
      <c r="M516" t="n">
        <v>0</v>
      </c>
      <c r="N516" t="n">
        <v>0</v>
      </c>
      <c r="O516" t="n">
        <v>0</v>
      </c>
      <c r="P516" t="n">
        <v>0</v>
      </c>
      <c r="Q516" t="n">
        <v>0</v>
      </c>
      <c r="R516" s="2" t="inlineStr"/>
    </row>
    <row r="517" ht="15" customHeight="1">
      <c r="A517" t="inlineStr">
        <is>
          <t>A 28071-2025</t>
        </is>
      </c>
      <c r="B517" s="1" t="n">
        <v>45817.67755787037</v>
      </c>
      <c r="C517" s="1" t="n">
        <v>45899</v>
      </c>
      <c r="D517" t="inlineStr">
        <is>
          <t>VÄSTERBOTTENS LÄN</t>
        </is>
      </c>
      <c r="E517" t="inlineStr">
        <is>
          <t>VILHELMINA</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38125-2024</t>
        </is>
      </c>
      <c r="B518" s="1" t="n">
        <v>45545.40717592592</v>
      </c>
      <c r="C518" s="1" t="n">
        <v>45899</v>
      </c>
      <c r="D518" t="inlineStr">
        <is>
          <t>VÄSTERBOTTENS LÄN</t>
        </is>
      </c>
      <c r="E518" t="inlineStr">
        <is>
          <t>VILHELMINA</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38126-2024</t>
        </is>
      </c>
      <c r="B519" s="1" t="n">
        <v>45545</v>
      </c>
      <c r="C519" s="1" t="n">
        <v>45899</v>
      </c>
      <c r="D519" t="inlineStr">
        <is>
          <t>VÄSTERBOTTENS LÄN</t>
        </is>
      </c>
      <c r="E519" t="inlineStr">
        <is>
          <t>VILHELMINA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38130-2024</t>
        </is>
      </c>
      <c r="B520" s="1" t="n">
        <v>45545</v>
      </c>
      <c r="C520" s="1" t="n">
        <v>45899</v>
      </c>
      <c r="D520" t="inlineStr">
        <is>
          <t>VÄSTERBOTTENS LÄN</t>
        </is>
      </c>
      <c r="E520" t="inlineStr">
        <is>
          <t>VILHELMINA</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28897-2025</t>
        </is>
      </c>
      <c r="B521" s="1" t="n">
        <v>45820.6360300926</v>
      </c>
      <c r="C521" s="1" t="n">
        <v>45899</v>
      </c>
      <c r="D521" t="inlineStr">
        <is>
          <t>VÄSTERBOTTENS LÄN</t>
        </is>
      </c>
      <c r="E521" t="inlineStr">
        <is>
          <t>VILHELMINA</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39670-2024</t>
        </is>
      </c>
      <c r="B522" s="1" t="n">
        <v>45552.5315162037</v>
      </c>
      <c r="C522" s="1" t="n">
        <v>45899</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8566-2025</t>
        </is>
      </c>
      <c r="B523" s="1" t="n">
        <v>45709</v>
      </c>
      <c r="C523" s="1" t="n">
        <v>45899</v>
      </c>
      <c r="D523" t="inlineStr">
        <is>
          <t>VÄSTERBOTTENS LÄN</t>
        </is>
      </c>
      <c r="E523" t="inlineStr">
        <is>
          <t>VILHELMINA</t>
        </is>
      </c>
      <c r="G523" t="n">
        <v>10.5</v>
      </c>
      <c r="H523" t="n">
        <v>0</v>
      </c>
      <c r="I523" t="n">
        <v>0</v>
      </c>
      <c r="J523" t="n">
        <v>0</v>
      </c>
      <c r="K523" t="n">
        <v>0</v>
      </c>
      <c r="L523" t="n">
        <v>0</v>
      </c>
      <c r="M523" t="n">
        <v>0</v>
      </c>
      <c r="N523" t="n">
        <v>0</v>
      </c>
      <c r="O523" t="n">
        <v>0</v>
      </c>
      <c r="P523" t="n">
        <v>0</v>
      </c>
      <c r="Q523" t="n">
        <v>0</v>
      </c>
      <c r="R523" s="2" t="inlineStr"/>
    </row>
    <row r="524" ht="15" customHeight="1">
      <c r="A524" t="inlineStr">
        <is>
          <t>A 8585-2025</t>
        </is>
      </c>
      <c r="B524" s="1" t="n">
        <v>45709</v>
      </c>
      <c r="C524" s="1" t="n">
        <v>45899</v>
      </c>
      <c r="D524" t="inlineStr">
        <is>
          <t>VÄSTERBOTTENS LÄN</t>
        </is>
      </c>
      <c r="E524" t="inlineStr">
        <is>
          <t>VILHELMINA</t>
        </is>
      </c>
      <c r="G524" t="n">
        <v>3.4</v>
      </c>
      <c r="H524" t="n">
        <v>0</v>
      </c>
      <c r="I524" t="n">
        <v>0</v>
      </c>
      <c r="J524" t="n">
        <v>0</v>
      </c>
      <c r="K524" t="n">
        <v>0</v>
      </c>
      <c r="L524" t="n">
        <v>0</v>
      </c>
      <c r="M524" t="n">
        <v>0</v>
      </c>
      <c r="N524" t="n">
        <v>0</v>
      </c>
      <c r="O524" t="n">
        <v>0</v>
      </c>
      <c r="P524" t="n">
        <v>0</v>
      </c>
      <c r="Q524" t="n">
        <v>0</v>
      </c>
      <c r="R524" s="2" t="inlineStr"/>
    </row>
    <row r="525" ht="15" customHeight="1">
      <c r="A525" t="inlineStr">
        <is>
          <t>A 19585-2024</t>
        </is>
      </c>
      <c r="B525" s="1" t="n">
        <v>45429</v>
      </c>
      <c r="C525" s="1" t="n">
        <v>45899</v>
      </c>
      <c r="D525" t="inlineStr">
        <is>
          <t>VÄSTERBOTTENS LÄN</t>
        </is>
      </c>
      <c r="E525" t="inlineStr">
        <is>
          <t>VILHELMINA</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64254-2020</t>
        </is>
      </c>
      <c r="B526" s="1" t="n">
        <v>44168</v>
      </c>
      <c r="C526" s="1" t="n">
        <v>45899</v>
      </c>
      <c r="D526" t="inlineStr">
        <is>
          <t>VÄSTERBOTTENS LÄN</t>
        </is>
      </c>
      <c r="E526" t="inlineStr">
        <is>
          <t>VILHELMINA</t>
        </is>
      </c>
      <c r="G526" t="n">
        <v>17.6</v>
      </c>
      <c r="H526" t="n">
        <v>0</v>
      </c>
      <c r="I526" t="n">
        <v>0</v>
      </c>
      <c r="J526" t="n">
        <v>0</v>
      </c>
      <c r="K526" t="n">
        <v>0</v>
      </c>
      <c r="L526" t="n">
        <v>0</v>
      </c>
      <c r="M526" t="n">
        <v>0</v>
      </c>
      <c r="N526" t="n">
        <v>0</v>
      </c>
      <c r="O526" t="n">
        <v>0</v>
      </c>
      <c r="P526" t="n">
        <v>0</v>
      </c>
      <c r="Q526" t="n">
        <v>0</v>
      </c>
      <c r="R526" s="2" t="inlineStr"/>
    </row>
    <row r="527" ht="15" customHeight="1">
      <c r="A527" t="inlineStr">
        <is>
          <t>A 22457-2025</t>
        </is>
      </c>
      <c r="B527" s="1" t="n">
        <v>45786</v>
      </c>
      <c r="C527" s="1" t="n">
        <v>45899</v>
      </c>
      <c r="D527" t="inlineStr">
        <is>
          <t>VÄSTERBOTTENS LÄN</t>
        </is>
      </c>
      <c r="E527" t="inlineStr">
        <is>
          <t>VILHELMINA</t>
        </is>
      </c>
      <c r="G527" t="n">
        <v>10.8</v>
      </c>
      <c r="H527" t="n">
        <v>0</v>
      </c>
      <c r="I527" t="n">
        <v>0</v>
      </c>
      <c r="J527" t="n">
        <v>0</v>
      </c>
      <c r="K527" t="n">
        <v>0</v>
      </c>
      <c r="L527" t="n">
        <v>0</v>
      </c>
      <c r="M527" t="n">
        <v>0</v>
      </c>
      <c r="N527" t="n">
        <v>0</v>
      </c>
      <c r="O527" t="n">
        <v>0</v>
      </c>
      <c r="P527" t="n">
        <v>0</v>
      </c>
      <c r="Q527" t="n">
        <v>0</v>
      </c>
      <c r="R527" s="2" t="inlineStr"/>
    </row>
    <row r="528" ht="15" customHeight="1">
      <c r="A528" t="inlineStr">
        <is>
          <t>A 35888-2025</t>
        </is>
      </c>
      <c r="B528" s="1" t="n">
        <v>45862.44034722223</v>
      </c>
      <c r="C528" s="1" t="n">
        <v>45899</v>
      </c>
      <c r="D528" t="inlineStr">
        <is>
          <t>VÄSTERBOTTENS LÄN</t>
        </is>
      </c>
      <c r="E528" t="inlineStr">
        <is>
          <t>VILHELMINA</t>
        </is>
      </c>
      <c r="G528" t="n">
        <v>2.4</v>
      </c>
      <c r="H528" t="n">
        <v>0</v>
      </c>
      <c r="I528" t="n">
        <v>0</v>
      </c>
      <c r="J528" t="n">
        <v>0</v>
      </c>
      <c r="K528" t="n">
        <v>0</v>
      </c>
      <c r="L528" t="n">
        <v>0</v>
      </c>
      <c r="M528" t="n">
        <v>0</v>
      </c>
      <c r="N528" t="n">
        <v>0</v>
      </c>
      <c r="O528" t="n">
        <v>0</v>
      </c>
      <c r="P528" t="n">
        <v>0</v>
      </c>
      <c r="Q528" t="n">
        <v>0</v>
      </c>
      <c r="R528" s="2" t="inlineStr"/>
    </row>
    <row r="529" ht="15" customHeight="1">
      <c r="A529" t="inlineStr">
        <is>
          <t>A 37514-2024</t>
        </is>
      </c>
      <c r="B529" s="1" t="n">
        <v>45541.38586805556</v>
      </c>
      <c r="C529" s="1" t="n">
        <v>45899</v>
      </c>
      <c r="D529" t="inlineStr">
        <is>
          <t>VÄSTERBOTTENS LÄN</t>
        </is>
      </c>
      <c r="E529" t="inlineStr">
        <is>
          <t>VILHELMINA</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29203-2025</t>
        </is>
      </c>
      <c r="B530" s="1" t="n">
        <v>45823</v>
      </c>
      <c r="C530" s="1" t="n">
        <v>45899</v>
      </c>
      <c r="D530" t="inlineStr">
        <is>
          <t>VÄSTERBOTTENS LÄN</t>
        </is>
      </c>
      <c r="E530" t="inlineStr">
        <is>
          <t>VILHELMINA</t>
        </is>
      </c>
      <c r="G530" t="n">
        <v>2.3</v>
      </c>
      <c r="H530" t="n">
        <v>0</v>
      </c>
      <c r="I530" t="n">
        <v>0</v>
      </c>
      <c r="J530" t="n">
        <v>0</v>
      </c>
      <c r="K530" t="n">
        <v>0</v>
      </c>
      <c r="L530" t="n">
        <v>0</v>
      </c>
      <c r="M530" t="n">
        <v>0</v>
      </c>
      <c r="N530" t="n">
        <v>0</v>
      </c>
      <c r="O530" t="n">
        <v>0</v>
      </c>
      <c r="P530" t="n">
        <v>0</v>
      </c>
      <c r="Q530" t="n">
        <v>0</v>
      </c>
      <c r="R530" s="2" t="inlineStr"/>
    </row>
    <row r="531" ht="15" customHeight="1">
      <c r="A531" t="inlineStr">
        <is>
          <t>A 29120-2025</t>
        </is>
      </c>
      <c r="B531" s="1" t="n">
        <v>45821</v>
      </c>
      <c r="C531" s="1" t="n">
        <v>45899</v>
      </c>
      <c r="D531" t="inlineStr">
        <is>
          <t>VÄSTERBOTTENS LÄN</t>
        </is>
      </c>
      <c r="E531" t="inlineStr">
        <is>
          <t>VILHELMINA</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29234-2025</t>
        </is>
      </c>
      <c r="B532" s="1" t="n">
        <v>45824.34478009259</v>
      </c>
      <c r="C532" s="1" t="n">
        <v>45899</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21370-2024</t>
        </is>
      </c>
      <c r="B533" s="1" t="n">
        <v>45440.95310185185</v>
      </c>
      <c r="C533" s="1" t="n">
        <v>45899</v>
      </c>
      <c r="D533" t="inlineStr">
        <is>
          <t>VÄSTERBOTTENS LÄN</t>
        </is>
      </c>
      <c r="E533" t="inlineStr">
        <is>
          <t>VILHELMINA</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19423-2022</t>
        </is>
      </c>
      <c r="B534" s="1" t="n">
        <v>44693.32515046297</v>
      </c>
      <c r="C534" s="1" t="n">
        <v>45899</v>
      </c>
      <c r="D534" t="inlineStr">
        <is>
          <t>VÄSTERBOTTENS LÄN</t>
        </is>
      </c>
      <c r="E534" t="inlineStr">
        <is>
          <t>VILHELMINA</t>
        </is>
      </c>
      <c r="G534" t="n">
        <v>1.9</v>
      </c>
      <c r="H534" t="n">
        <v>0</v>
      </c>
      <c r="I534" t="n">
        <v>0</v>
      </c>
      <c r="J534" t="n">
        <v>0</v>
      </c>
      <c r="K534" t="n">
        <v>0</v>
      </c>
      <c r="L534" t="n">
        <v>0</v>
      </c>
      <c r="M534" t="n">
        <v>0</v>
      </c>
      <c r="N534" t="n">
        <v>0</v>
      </c>
      <c r="O534" t="n">
        <v>0</v>
      </c>
      <c r="P534" t="n">
        <v>0</v>
      </c>
      <c r="Q534" t="n">
        <v>0</v>
      </c>
      <c r="R534" s="2" t="inlineStr"/>
    </row>
    <row r="535" ht="15" customHeight="1">
      <c r="A535" t="inlineStr">
        <is>
          <t>A 29468-2025</t>
        </is>
      </c>
      <c r="B535" s="1" t="n">
        <v>45824.69888888889</v>
      </c>
      <c r="C535" s="1" t="n">
        <v>45899</v>
      </c>
      <c r="D535" t="inlineStr">
        <is>
          <t>VÄSTERBOTTENS LÄN</t>
        </is>
      </c>
      <c r="E535" t="inlineStr">
        <is>
          <t>VILHELMINA</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29466-2025</t>
        </is>
      </c>
      <c r="B536" s="1" t="n">
        <v>45824.69865740741</v>
      </c>
      <c r="C536" s="1" t="n">
        <v>45899</v>
      </c>
      <c r="D536" t="inlineStr">
        <is>
          <t>VÄSTERBOTTENS LÄN</t>
        </is>
      </c>
      <c r="E536" t="inlineStr">
        <is>
          <t>VILHELMINA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34719-2024</t>
        </is>
      </c>
      <c r="B537" s="1" t="n">
        <v>45526.56435185186</v>
      </c>
      <c r="C537" s="1" t="n">
        <v>45899</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34630-2024</t>
        </is>
      </c>
      <c r="B538" s="1" t="n">
        <v>45526.46234953704</v>
      </c>
      <c r="C538" s="1" t="n">
        <v>45899</v>
      </c>
      <c r="D538" t="inlineStr">
        <is>
          <t>VÄSTERBOTTENS LÄN</t>
        </is>
      </c>
      <c r="E538" t="inlineStr">
        <is>
          <t>VILHELMINA</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29940-2025</t>
        </is>
      </c>
      <c r="B539" s="1" t="n">
        <v>45826.45104166667</v>
      </c>
      <c r="C539" s="1" t="n">
        <v>45899</v>
      </c>
      <c r="D539" t="inlineStr">
        <is>
          <t>VÄSTERBOTTENS LÄN</t>
        </is>
      </c>
      <c r="E539" t="inlineStr">
        <is>
          <t>VILHELMINA</t>
        </is>
      </c>
      <c r="F539" t="inlineStr">
        <is>
          <t>Sveaskog</t>
        </is>
      </c>
      <c r="G539" t="n">
        <v>11.6</v>
      </c>
      <c r="H539" t="n">
        <v>0</v>
      </c>
      <c r="I539" t="n">
        <v>0</v>
      </c>
      <c r="J539" t="n">
        <v>0</v>
      </c>
      <c r="K539" t="n">
        <v>0</v>
      </c>
      <c r="L539" t="n">
        <v>0</v>
      </c>
      <c r="M539" t="n">
        <v>0</v>
      </c>
      <c r="N539" t="n">
        <v>0</v>
      </c>
      <c r="O539" t="n">
        <v>0</v>
      </c>
      <c r="P539" t="n">
        <v>0</v>
      </c>
      <c r="Q539" t="n">
        <v>0</v>
      </c>
      <c r="R539" s="2" t="inlineStr"/>
    </row>
    <row r="540" ht="15" customHeight="1">
      <c r="A540" t="inlineStr">
        <is>
          <t>A 34805-2023</t>
        </is>
      </c>
      <c r="B540" s="1" t="n">
        <v>45140</v>
      </c>
      <c r="C540" s="1" t="n">
        <v>45899</v>
      </c>
      <c r="D540" t="inlineStr">
        <is>
          <t>VÄSTERBOTTENS LÄN</t>
        </is>
      </c>
      <c r="E540" t="inlineStr">
        <is>
          <t>VILHELMINA</t>
        </is>
      </c>
      <c r="G540" t="n">
        <v>4.3</v>
      </c>
      <c r="H540" t="n">
        <v>0</v>
      </c>
      <c r="I540" t="n">
        <v>0</v>
      </c>
      <c r="J540" t="n">
        <v>0</v>
      </c>
      <c r="K540" t="n">
        <v>0</v>
      </c>
      <c r="L540" t="n">
        <v>0</v>
      </c>
      <c r="M540" t="n">
        <v>0</v>
      </c>
      <c r="N540" t="n">
        <v>0</v>
      </c>
      <c r="O540" t="n">
        <v>0</v>
      </c>
      <c r="P540" t="n">
        <v>0</v>
      </c>
      <c r="Q540" t="n">
        <v>0</v>
      </c>
      <c r="R540" s="2" t="inlineStr"/>
    </row>
    <row r="541" ht="15" customHeight="1">
      <c r="A541" t="inlineStr">
        <is>
          <t>A 29942-2025</t>
        </is>
      </c>
      <c r="B541" s="1" t="n">
        <v>45826.45702546297</v>
      </c>
      <c r="C541" s="1" t="n">
        <v>45899</v>
      </c>
      <c r="D541" t="inlineStr">
        <is>
          <t>VÄSTERBOTTENS LÄN</t>
        </is>
      </c>
      <c r="E541" t="inlineStr">
        <is>
          <t>VILHELMINA</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69621-2020</t>
        </is>
      </c>
      <c r="B542" s="1" t="n">
        <v>44195</v>
      </c>
      <c r="C542" s="1" t="n">
        <v>45899</v>
      </c>
      <c r="D542" t="inlineStr">
        <is>
          <t>VÄSTERBOTTENS LÄN</t>
        </is>
      </c>
      <c r="E542" t="inlineStr">
        <is>
          <t>VILHELMINA</t>
        </is>
      </c>
      <c r="G542" t="n">
        <v>2.9</v>
      </c>
      <c r="H542" t="n">
        <v>0</v>
      </c>
      <c r="I542" t="n">
        <v>0</v>
      </c>
      <c r="J542" t="n">
        <v>0</v>
      </c>
      <c r="K542" t="n">
        <v>0</v>
      </c>
      <c r="L542" t="n">
        <v>0</v>
      </c>
      <c r="M542" t="n">
        <v>0</v>
      </c>
      <c r="N542" t="n">
        <v>0</v>
      </c>
      <c r="O542" t="n">
        <v>0</v>
      </c>
      <c r="P542" t="n">
        <v>0</v>
      </c>
      <c r="Q542" t="n">
        <v>0</v>
      </c>
      <c r="R542" s="2" t="inlineStr"/>
    </row>
    <row r="543" ht="15" customHeight="1">
      <c r="A543" t="inlineStr">
        <is>
          <t>A 7102-2024</t>
        </is>
      </c>
      <c r="B543" s="1" t="n">
        <v>45343</v>
      </c>
      <c r="C543" s="1" t="n">
        <v>45899</v>
      </c>
      <c r="D543" t="inlineStr">
        <is>
          <t>VÄSTERBOTTENS LÄN</t>
        </is>
      </c>
      <c r="E543" t="inlineStr">
        <is>
          <t>VILHELMINA</t>
        </is>
      </c>
      <c r="G543" t="n">
        <v>3.2</v>
      </c>
      <c r="H543" t="n">
        <v>0</v>
      </c>
      <c r="I543" t="n">
        <v>0</v>
      </c>
      <c r="J543" t="n">
        <v>0</v>
      </c>
      <c r="K543" t="n">
        <v>0</v>
      </c>
      <c r="L543" t="n">
        <v>0</v>
      </c>
      <c r="M543" t="n">
        <v>0</v>
      </c>
      <c r="N543" t="n">
        <v>0</v>
      </c>
      <c r="O543" t="n">
        <v>0</v>
      </c>
      <c r="P543" t="n">
        <v>0</v>
      </c>
      <c r="Q543" t="n">
        <v>0</v>
      </c>
      <c r="R543" s="2" t="inlineStr"/>
    </row>
    <row r="544" ht="15" customHeight="1">
      <c r="A544" t="inlineStr">
        <is>
          <t>A 31449-2024</t>
        </is>
      </c>
      <c r="B544" s="1" t="n">
        <v>45505.9299537037</v>
      </c>
      <c r="C544" s="1" t="n">
        <v>45899</v>
      </c>
      <c r="D544" t="inlineStr">
        <is>
          <t>VÄSTERBOTTENS LÄN</t>
        </is>
      </c>
      <c r="E544" t="inlineStr">
        <is>
          <t>VILHELMINA</t>
        </is>
      </c>
      <c r="G544" t="n">
        <v>3.5</v>
      </c>
      <c r="H544" t="n">
        <v>0</v>
      </c>
      <c r="I544" t="n">
        <v>0</v>
      </c>
      <c r="J544" t="n">
        <v>0</v>
      </c>
      <c r="K544" t="n">
        <v>0</v>
      </c>
      <c r="L544" t="n">
        <v>0</v>
      </c>
      <c r="M544" t="n">
        <v>0</v>
      </c>
      <c r="N544" t="n">
        <v>0</v>
      </c>
      <c r="O544" t="n">
        <v>0</v>
      </c>
      <c r="P544" t="n">
        <v>0</v>
      </c>
      <c r="Q544" t="n">
        <v>0</v>
      </c>
      <c r="R544" s="2" t="inlineStr"/>
    </row>
    <row r="545" ht="15" customHeight="1">
      <c r="A545" t="inlineStr">
        <is>
          <t>A 2488-2023</t>
        </is>
      </c>
      <c r="B545" s="1" t="n">
        <v>44943</v>
      </c>
      <c r="C545" s="1" t="n">
        <v>45899</v>
      </c>
      <c r="D545" t="inlineStr">
        <is>
          <t>VÄSTERBOTTENS LÄN</t>
        </is>
      </c>
      <c r="E545" t="inlineStr">
        <is>
          <t>VILHELMINA</t>
        </is>
      </c>
      <c r="G545" t="n">
        <v>69.3</v>
      </c>
      <c r="H545" t="n">
        <v>0</v>
      </c>
      <c r="I545" t="n">
        <v>0</v>
      </c>
      <c r="J545" t="n">
        <v>0</v>
      </c>
      <c r="K545" t="n">
        <v>0</v>
      </c>
      <c r="L545" t="n">
        <v>0</v>
      </c>
      <c r="M545" t="n">
        <v>0</v>
      </c>
      <c r="N545" t="n">
        <v>0</v>
      </c>
      <c r="O545" t="n">
        <v>0</v>
      </c>
      <c r="P545" t="n">
        <v>0</v>
      </c>
      <c r="Q545" t="n">
        <v>0</v>
      </c>
      <c r="R545" s="2" t="inlineStr"/>
    </row>
    <row r="546" ht="15" customHeight="1">
      <c r="A546" t="inlineStr">
        <is>
          <t>A 26401-2022</t>
        </is>
      </c>
      <c r="B546" s="1" t="n">
        <v>44735</v>
      </c>
      <c r="C546" s="1" t="n">
        <v>45899</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51825-2023</t>
        </is>
      </c>
      <c r="B547" s="1" t="n">
        <v>45222</v>
      </c>
      <c r="C547" s="1" t="n">
        <v>45899</v>
      </c>
      <c r="D547" t="inlineStr">
        <is>
          <t>VÄSTERBOTTENS LÄN</t>
        </is>
      </c>
      <c r="E547" t="inlineStr">
        <is>
          <t>VILHELMINA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45899</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9534-2023</t>
        </is>
      </c>
      <c r="B549" s="1" t="n">
        <v>44981.72646990741</v>
      </c>
      <c r="C549" s="1" t="n">
        <v>45899</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56747-2023</t>
        </is>
      </c>
      <c r="B550" s="1" t="n">
        <v>45238</v>
      </c>
      <c r="C550" s="1" t="n">
        <v>45899</v>
      </c>
      <c r="D550" t="inlineStr">
        <is>
          <t>VÄSTERBOTTENS LÄN</t>
        </is>
      </c>
      <c r="E550" t="inlineStr">
        <is>
          <t>VILHELMINA</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56758-2023</t>
        </is>
      </c>
      <c r="B551" s="1" t="n">
        <v>45238</v>
      </c>
      <c r="C551" s="1" t="n">
        <v>45899</v>
      </c>
      <c r="D551" t="inlineStr">
        <is>
          <t>VÄSTERBOTTENS LÄN</t>
        </is>
      </c>
      <c r="E551" t="inlineStr">
        <is>
          <t>VILHELMINA</t>
        </is>
      </c>
      <c r="F551" t="inlineStr">
        <is>
          <t>Allmännings- och besparingsskogar</t>
        </is>
      </c>
      <c r="G551" t="n">
        <v>371.4</v>
      </c>
      <c r="H551" t="n">
        <v>0</v>
      </c>
      <c r="I551" t="n">
        <v>0</v>
      </c>
      <c r="J551" t="n">
        <v>0</v>
      </c>
      <c r="K551" t="n">
        <v>0</v>
      </c>
      <c r="L551" t="n">
        <v>0</v>
      </c>
      <c r="M551" t="n">
        <v>0</v>
      </c>
      <c r="N551" t="n">
        <v>0</v>
      </c>
      <c r="O551" t="n">
        <v>0</v>
      </c>
      <c r="P551" t="n">
        <v>0</v>
      </c>
      <c r="Q551" t="n">
        <v>0</v>
      </c>
      <c r="R551" s="2" t="inlineStr"/>
    </row>
    <row r="552" ht="15" customHeight="1">
      <c r="A552" t="inlineStr">
        <is>
          <t>A 20591-2025</t>
        </is>
      </c>
      <c r="B552" s="1" t="n">
        <v>45775</v>
      </c>
      <c r="C552" s="1" t="n">
        <v>45899</v>
      </c>
      <c r="D552" t="inlineStr">
        <is>
          <t>VÄSTERBOTTENS LÄN</t>
        </is>
      </c>
      <c r="E552" t="inlineStr">
        <is>
          <t>VILHELMINA</t>
        </is>
      </c>
      <c r="F552" t="inlineStr">
        <is>
          <t>SCA</t>
        </is>
      </c>
      <c r="G552" t="n">
        <v>27.4</v>
      </c>
      <c r="H552" t="n">
        <v>0</v>
      </c>
      <c r="I552" t="n">
        <v>0</v>
      </c>
      <c r="J552" t="n">
        <v>0</v>
      </c>
      <c r="K552" t="n">
        <v>0</v>
      </c>
      <c r="L552" t="n">
        <v>0</v>
      </c>
      <c r="M552" t="n">
        <v>0</v>
      </c>
      <c r="N552" t="n">
        <v>0</v>
      </c>
      <c r="O552" t="n">
        <v>0</v>
      </c>
      <c r="P552" t="n">
        <v>0</v>
      </c>
      <c r="Q552" t="n">
        <v>0</v>
      </c>
      <c r="R552" s="2" t="inlineStr"/>
    </row>
    <row r="553" ht="15" customHeight="1">
      <c r="A553" t="inlineStr">
        <is>
          <t>A 30553-2025</t>
        </is>
      </c>
      <c r="B553" s="1" t="n">
        <v>45831.38579861111</v>
      </c>
      <c r="C553" s="1" t="n">
        <v>45899</v>
      </c>
      <c r="D553" t="inlineStr">
        <is>
          <t>VÄSTERBOTTENS LÄN</t>
        </is>
      </c>
      <c r="E553" t="inlineStr">
        <is>
          <t>VILHELMINA</t>
        </is>
      </c>
      <c r="F553" t="inlineStr">
        <is>
          <t>SCA</t>
        </is>
      </c>
      <c r="G553" t="n">
        <v>5</v>
      </c>
      <c r="H553" t="n">
        <v>0</v>
      </c>
      <c r="I553" t="n">
        <v>0</v>
      </c>
      <c r="J553" t="n">
        <v>0</v>
      </c>
      <c r="K553" t="n">
        <v>0</v>
      </c>
      <c r="L553" t="n">
        <v>0</v>
      </c>
      <c r="M553" t="n">
        <v>0</v>
      </c>
      <c r="N553" t="n">
        <v>0</v>
      </c>
      <c r="O553" t="n">
        <v>0</v>
      </c>
      <c r="P553" t="n">
        <v>0</v>
      </c>
      <c r="Q553" t="n">
        <v>0</v>
      </c>
      <c r="R553" s="2" t="inlineStr"/>
    </row>
    <row r="554" ht="15" customHeight="1">
      <c r="A554" t="inlineStr">
        <is>
          <t>A 9916-2021</t>
        </is>
      </c>
      <c r="B554" s="1" t="n">
        <v>44253</v>
      </c>
      <c r="C554" s="1" t="n">
        <v>45899</v>
      </c>
      <c r="D554" t="inlineStr">
        <is>
          <t>VÄSTERBOTTENS LÄN</t>
        </is>
      </c>
      <c r="E554" t="inlineStr">
        <is>
          <t>VILHELMINA</t>
        </is>
      </c>
      <c r="G554" t="n">
        <v>1</v>
      </c>
      <c r="H554" t="n">
        <v>0</v>
      </c>
      <c r="I554" t="n">
        <v>0</v>
      </c>
      <c r="J554" t="n">
        <v>0</v>
      </c>
      <c r="K554" t="n">
        <v>0</v>
      </c>
      <c r="L554" t="n">
        <v>0</v>
      </c>
      <c r="M554" t="n">
        <v>0</v>
      </c>
      <c r="N554" t="n">
        <v>0</v>
      </c>
      <c r="O554" t="n">
        <v>0</v>
      </c>
      <c r="P554" t="n">
        <v>0</v>
      </c>
      <c r="Q554" t="n">
        <v>0</v>
      </c>
      <c r="R554" s="2" t="inlineStr"/>
    </row>
    <row r="555" ht="15" customHeight="1">
      <c r="A555" t="inlineStr">
        <is>
          <t>A 33636-2021</t>
        </is>
      </c>
      <c r="B555" s="1" t="n">
        <v>44378</v>
      </c>
      <c r="C555" s="1" t="n">
        <v>45899</v>
      </c>
      <c r="D555" t="inlineStr">
        <is>
          <t>VÄSTERBOTTENS LÄN</t>
        </is>
      </c>
      <c r="E555" t="inlineStr">
        <is>
          <t>VILHELMINA</t>
        </is>
      </c>
      <c r="G555" t="n">
        <v>1.6</v>
      </c>
      <c r="H555" t="n">
        <v>0</v>
      </c>
      <c r="I555" t="n">
        <v>0</v>
      </c>
      <c r="J555" t="n">
        <v>0</v>
      </c>
      <c r="K555" t="n">
        <v>0</v>
      </c>
      <c r="L555" t="n">
        <v>0</v>
      </c>
      <c r="M555" t="n">
        <v>0</v>
      </c>
      <c r="N555" t="n">
        <v>0</v>
      </c>
      <c r="O555" t="n">
        <v>0</v>
      </c>
      <c r="P555" t="n">
        <v>0</v>
      </c>
      <c r="Q555" t="n">
        <v>0</v>
      </c>
      <c r="R555" s="2" t="inlineStr"/>
    </row>
    <row r="556" ht="15" customHeight="1">
      <c r="A556" t="inlineStr">
        <is>
          <t>A 3435-2021</t>
        </is>
      </c>
      <c r="B556" s="1" t="n">
        <v>44216</v>
      </c>
      <c r="C556" s="1" t="n">
        <v>45899</v>
      </c>
      <c r="D556" t="inlineStr">
        <is>
          <t>VÄSTERBOTTENS LÄN</t>
        </is>
      </c>
      <c r="E556" t="inlineStr">
        <is>
          <t>VILHELMINA</t>
        </is>
      </c>
      <c r="G556" t="n">
        <v>20.5</v>
      </c>
      <c r="H556" t="n">
        <v>0</v>
      </c>
      <c r="I556" t="n">
        <v>0</v>
      </c>
      <c r="J556" t="n">
        <v>0</v>
      </c>
      <c r="K556" t="n">
        <v>0</v>
      </c>
      <c r="L556" t="n">
        <v>0</v>
      </c>
      <c r="M556" t="n">
        <v>0</v>
      </c>
      <c r="N556" t="n">
        <v>0</v>
      </c>
      <c r="O556" t="n">
        <v>0</v>
      </c>
      <c r="P556" t="n">
        <v>0</v>
      </c>
      <c r="Q556" t="n">
        <v>0</v>
      </c>
      <c r="R556" s="2" t="inlineStr"/>
    </row>
    <row r="557" ht="15" customHeight="1">
      <c r="A557" t="inlineStr">
        <is>
          <t>A 35984-2023</t>
        </is>
      </c>
      <c r="B557" s="1" t="n">
        <v>45148.96195601852</v>
      </c>
      <c r="C557" s="1" t="n">
        <v>45899</v>
      </c>
      <c r="D557" t="inlineStr">
        <is>
          <t>VÄSTERBOTTENS LÄN</t>
        </is>
      </c>
      <c r="E557" t="inlineStr">
        <is>
          <t>VILHELMINA</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36944-2025</t>
        </is>
      </c>
      <c r="B558" s="1" t="n">
        <v>45874.59450231482</v>
      </c>
      <c r="C558" s="1" t="n">
        <v>45899</v>
      </c>
      <c r="D558" t="inlineStr">
        <is>
          <t>VÄSTERBOTTENS LÄN</t>
        </is>
      </c>
      <c r="E558" t="inlineStr">
        <is>
          <t>VILHELMINA</t>
        </is>
      </c>
      <c r="F558" t="inlineStr">
        <is>
          <t>SCA</t>
        </is>
      </c>
      <c r="G558" t="n">
        <v>17.4</v>
      </c>
      <c r="H558" t="n">
        <v>0</v>
      </c>
      <c r="I558" t="n">
        <v>0</v>
      </c>
      <c r="J558" t="n">
        <v>0</v>
      </c>
      <c r="K558" t="n">
        <v>0</v>
      </c>
      <c r="L558" t="n">
        <v>0</v>
      </c>
      <c r="M558" t="n">
        <v>0</v>
      </c>
      <c r="N558" t="n">
        <v>0</v>
      </c>
      <c r="O558" t="n">
        <v>0</v>
      </c>
      <c r="P558" t="n">
        <v>0</v>
      </c>
      <c r="Q558" t="n">
        <v>0</v>
      </c>
      <c r="R558" s="2" t="inlineStr"/>
    </row>
    <row r="559" ht="15" customHeight="1">
      <c r="A559" t="inlineStr">
        <is>
          <t>A 55327-2023</t>
        </is>
      </c>
      <c r="B559" s="1" t="n">
        <v>45237.97375</v>
      </c>
      <c r="C559" s="1" t="n">
        <v>45899</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36569-2025</t>
        </is>
      </c>
      <c r="B560" s="1" t="n">
        <v>45870</v>
      </c>
      <c r="C560" s="1" t="n">
        <v>45899</v>
      </c>
      <c r="D560" t="inlineStr">
        <is>
          <t>VÄSTERBOTTENS LÄN</t>
        </is>
      </c>
      <c r="E560" t="inlineStr">
        <is>
          <t>VILHELMINA</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36973-2025</t>
        </is>
      </c>
      <c r="B561" s="1" t="n">
        <v>45874.63747685185</v>
      </c>
      <c r="C561" s="1" t="n">
        <v>45899</v>
      </c>
      <c r="D561" t="inlineStr">
        <is>
          <t>VÄSTERBOTTENS LÄN</t>
        </is>
      </c>
      <c r="E561" t="inlineStr">
        <is>
          <t>VILHELMINA</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35753-2023</t>
        </is>
      </c>
      <c r="B562" s="1" t="n">
        <v>45147.95390046296</v>
      </c>
      <c r="C562" s="1" t="n">
        <v>45899</v>
      </c>
      <c r="D562" t="inlineStr">
        <is>
          <t>VÄSTERBOTTENS LÄN</t>
        </is>
      </c>
      <c r="E562" t="inlineStr">
        <is>
          <t>VILHELMINA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52746-2023</t>
        </is>
      </c>
      <c r="B563" s="1" t="n">
        <v>45225.96753472222</v>
      </c>
      <c r="C563" s="1" t="n">
        <v>45899</v>
      </c>
      <c r="D563" t="inlineStr">
        <is>
          <t>VÄSTERBOTTENS LÄN</t>
        </is>
      </c>
      <c r="E563" t="inlineStr">
        <is>
          <t>VILHELMINA</t>
        </is>
      </c>
      <c r="F563" t="inlineStr">
        <is>
          <t>SCA</t>
        </is>
      </c>
      <c r="G563" t="n">
        <v>10.4</v>
      </c>
      <c r="H563" t="n">
        <v>0</v>
      </c>
      <c r="I563" t="n">
        <v>0</v>
      </c>
      <c r="J563" t="n">
        <v>0</v>
      </c>
      <c r="K563" t="n">
        <v>0</v>
      </c>
      <c r="L563" t="n">
        <v>0</v>
      </c>
      <c r="M563" t="n">
        <v>0</v>
      </c>
      <c r="N563" t="n">
        <v>0</v>
      </c>
      <c r="O563" t="n">
        <v>0</v>
      </c>
      <c r="P563" t="n">
        <v>0</v>
      </c>
      <c r="Q563" t="n">
        <v>0</v>
      </c>
      <c r="R563" s="2" t="inlineStr"/>
    </row>
    <row r="564" ht="15" customHeight="1">
      <c r="A564" t="inlineStr">
        <is>
          <t>A 48229-2024</t>
        </is>
      </c>
      <c r="B564" s="1" t="n">
        <v>45590.37554398148</v>
      </c>
      <c r="C564" s="1" t="n">
        <v>45899</v>
      </c>
      <c r="D564" t="inlineStr">
        <is>
          <t>VÄSTERBOTTENS LÄN</t>
        </is>
      </c>
      <c r="E564" t="inlineStr">
        <is>
          <t>VILHELMINA</t>
        </is>
      </c>
      <c r="G564" t="n">
        <v>11.6</v>
      </c>
      <c r="H564" t="n">
        <v>0</v>
      </c>
      <c r="I564" t="n">
        <v>0</v>
      </c>
      <c r="J564" t="n">
        <v>0</v>
      </c>
      <c r="K564" t="n">
        <v>0</v>
      </c>
      <c r="L564" t="n">
        <v>0</v>
      </c>
      <c r="M564" t="n">
        <v>0</v>
      </c>
      <c r="N564" t="n">
        <v>0</v>
      </c>
      <c r="O564" t="n">
        <v>0</v>
      </c>
      <c r="P564" t="n">
        <v>0</v>
      </c>
      <c r="Q564" t="n">
        <v>0</v>
      </c>
      <c r="R564" s="2" t="inlineStr"/>
    </row>
    <row r="565" ht="15" customHeight="1">
      <c r="A565" t="inlineStr">
        <is>
          <t>A 30746-2025</t>
        </is>
      </c>
      <c r="B565" s="1" t="n">
        <v>45831.58256944444</v>
      </c>
      <c r="C565" s="1" t="n">
        <v>45899</v>
      </c>
      <c r="D565" t="inlineStr">
        <is>
          <t>VÄSTERBOTTENS LÄN</t>
        </is>
      </c>
      <c r="E565" t="inlineStr">
        <is>
          <t>VILHELMINA</t>
        </is>
      </c>
      <c r="G565" t="n">
        <v>5.7</v>
      </c>
      <c r="H565" t="n">
        <v>0</v>
      </c>
      <c r="I565" t="n">
        <v>0</v>
      </c>
      <c r="J565" t="n">
        <v>0</v>
      </c>
      <c r="K565" t="n">
        <v>0</v>
      </c>
      <c r="L565" t="n">
        <v>0</v>
      </c>
      <c r="M565" t="n">
        <v>0</v>
      </c>
      <c r="N565" t="n">
        <v>0</v>
      </c>
      <c r="O565" t="n">
        <v>0</v>
      </c>
      <c r="P565" t="n">
        <v>0</v>
      </c>
      <c r="Q565" t="n">
        <v>0</v>
      </c>
      <c r="R565" s="2" t="inlineStr"/>
    </row>
    <row r="566" ht="15" customHeight="1">
      <c r="A566" t="inlineStr">
        <is>
          <t>A 37015-2025</t>
        </is>
      </c>
      <c r="B566" s="1" t="n">
        <v>45874.71912037037</v>
      </c>
      <c r="C566" s="1" t="n">
        <v>45899</v>
      </c>
      <c r="D566" t="inlineStr">
        <is>
          <t>VÄSTERBOTTENS LÄN</t>
        </is>
      </c>
      <c r="E566" t="inlineStr">
        <is>
          <t>VILHELMINA</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55326-2023</t>
        </is>
      </c>
      <c r="B567" s="1" t="n">
        <v>45237.97364583334</v>
      </c>
      <c r="C567" s="1" t="n">
        <v>45899</v>
      </c>
      <c r="D567" t="inlineStr">
        <is>
          <t>VÄSTERBOTTENS LÄN</t>
        </is>
      </c>
      <c r="E567" t="inlineStr">
        <is>
          <t>VILHELMINA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27918-2022</t>
        </is>
      </c>
      <c r="B568" s="1" t="n">
        <v>44743.94145833333</v>
      </c>
      <c r="C568" s="1" t="n">
        <v>45899</v>
      </c>
      <c r="D568" t="inlineStr">
        <is>
          <t>VÄSTERBOTTENS LÄN</t>
        </is>
      </c>
      <c r="E568" t="inlineStr">
        <is>
          <t>VILHELMINA</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40796-2024</t>
        </is>
      </c>
      <c r="B569" s="1" t="n">
        <v>45558</v>
      </c>
      <c r="C569" s="1" t="n">
        <v>45899</v>
      </c>
      <c r="D569" t="inlineStr">
        <is>
          <t>VÄSTERBOTTENS LÄN</t>
        </is>
      </c>
      <c r="E569" t="inlineStr">
        <is>
          <t>VILHELMINA</t>
        </is>
      </c>
      <c r="F569" t="inlineStr">
        <is>
          <t>Allmännings- och besparingsskogar</t>
        </is>
      </c>
      <c r="G569" t="n">
        <v>2.8</v>
      </c>
      <c r="H569" t="n">
        <v>0</v>
      </c>
      <c r="I569" t="n">
        <v>0</v>
      </c>
      <c r="J569" t="n">
        <v>0</v>
      </c>
      <c r="K569" t="n">
        <v>0</v>
      </c>
      <c r="L569" t="n">
        <v>0</v>
      </c>
      <c r="M569" t="n">
        <v>0</v>
      </c>
      <c r="N569" t="n">
        <v>0</v>
      </c>
      <c r="O569" t="n">
        <v>0</v>
      </c>
      <c r="P569" t="n">
        <v>0</v>
      </c>
      <c r="Q569" t="n">
        <v>0</v>
      </c>
      <c r="R569" s="2" t="inlineStr"/>
    </row>
    <row r="570" ht="15" customHeight="1">
      <c r="A570" t="inlineStr">
        <is>
          <t>A 25551-2024</t>
        </is>
      </c>
      <c r="B570" s="1" t="n">
        <v>45463</v>
      </c>
      <c r="C570" s="1" t="n">
        <v>45899</v>
      </c>
      <c r="D570" t="inlineStr">
        <is>
          <t>VÄSTERBOTTENS LÄN</t>
        </is>
      </c>
      <c r="E570" t="inlineStr">
        <is>
          <t>VILHELMINA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31724-2025</t>
        </is>
      </c>
      <c r="B571" s="1" t="n">
        <v>45834</v>
      </c>
      <c r="C571" s="1" t="n">
        <v>45899</v>
      </c>
      <c r="D571" t="inlineStr">
        <is>
          <t>VÄSTERBOTTENS LÄN</t>
        </is>
      </c>
      <c r="E571" t="inlineStr">
        <is>
          <t>VILHELMINA</t>
        </is>
      </c>
      <c r="G571" t="n">
        <v>19.7</v>
      </c>
      <c r="H571" t="n">
        <v>0</v>
      </c>
      <c r="I571" t="n">
        <v>0</v>
      </c>
      <c r="J571" t="n">
        <v>0</v>
      </c>
      <c r="K571" t="n">
        <v>0</v>
      </c>
      <c r="L571" t="n">
        <v>0</v>
      </c>
      <c r="M571" t="n">
        <v>0</v>
      </c>
      <c r="N571" t="n">
        <v>0</v>
      </c>
      <c r="O571" t="n">
        <v>0</v>
      </c>
      <c r="P571" t="n">
        <v>0</v>
      </c>
      <c r="Q571" t="n">
        <v>0</v>
      </c>
      <c r="R571" s="2" t="inlineStr"/>
    </row>
    <row r="572" ht="15" customHeight="1">
      <c r="A572" t="inlineStr">
        <is>
          <t>A 31730-2025</t>
        </is>
      </c>
      <c r="B572" s="1" t="n">
        <v>45834</v>
      </c>
      <c r="C572" s="1" t="n">
        <v>45899</v>
      </c>
      <c r="D572" t="inlineStr">
        <is>
          <t>VÄSTERBOTTENS LÄN</t>
        </is>
      </c>
      <c r="E572" t="inlineStr">
        <is>
          <t>VILHELMINA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29954-2023</t>
        </is>
      </c>
      <c r="B573" s="1" t="n">
        <v>45107</v>
      </c>
      <c r="C573" s="1" t="n">
        <v>45899</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15805-2025</t>
        </is>
      </c>
      <c r="B574" s="1" t="n">
        <v>45748</v>
      </c>
      <c r="C574" s="1" t="n">
        <v>45899</v>
      </c>
      <c r="D574" t="inlineStr">
        <is>
          <t>VÄSTERBOTTENS LÄN</t>
        </is>
      </c>
      <c r="E574" t="inlineStr">
        <is>
          <t>VILHELMINA</t>
        </is>
      </c>
      <c r="G574" t="n">
        <v>1.4</v>
      </c>
      <c r="H574" t="n">
        <v>0</v>
      </c>
      <c r="I574" t="n">
        <v>0</v>
      </c>
      <c r="J574" t="n">
        <v>0</v>
      </c>
      <c r="K574" t="n">
        <v>0</v>
      </c>
      <c r="L574" t="n">
        <v>0</v>
      </c>
      <c r="M574" t="n">
        <v>0</v>
      </c>
      <c r="N574" t="n">
        <v>0</v>
      </c>
      <c r="O574" t="n">
        <v>0</v>
      </c>
      <c r="P574" t="n">
        <v>0</v>
      </c>
      <c r="Q574" t="n">
        <v>0</v>
      </c>
      <c r="R574" s="2" t="inlineStr"/>
    </row>
    <row r="575" ht="15" customHeight="1">
      <c r="A575" t="inlineStr">
        <is>
          <t>A 58833-2023</t>
        </is>
      </c>
      <c r="B575" s="1" t="n">
        <v>45248</v>
      </c>
      <c r="C575" s="1" t="n">
        <v>45899</v>
      </c>
      <c r="D575" t="inlineStr">
        <is>
          <t>VÄSTERBOTTENS LÄN</t>
        </is>
      </c>
      <c r="E575" t="inlineStr">
        <is>
          <t>VILHELMINA</t>
        </is>
      </c>
      <c r="G575" t="n">
        <v>1.5</v>
      </c>
      <c r="H575" t="n">
        <v>0</v>
      </c>
      <c r="I575" t="n">
        <v>0</v>
      </c>
      <c r="J575" t="n">
        <v>0</v>
      </c>
      <c r="K575" t="n">
        <v>0</v>
      </c>
      <c r="L575" t="n">
        <v>0</v>
      </c>
      <c r="M575" t="n">
        <v>0</v>
      </c>
      <c r="N575" t="n">
        <v>0</v>
      </c>
      <c r="O575" t="n">
        <v>0</v>
      </c>
      <c r="P575" t="n">
        <v>0</v>
      </c>
      <c r="Q575" t="n">
        <v>0</v>
      </c>
      <c r="R575" s="2" t="inlineStr"/>
    </row>
    <row r="576" ht="15" customHeight="1">
      <c r="A576" t="inlineStr">
        <is>
          <t>A 60035-2023</t>
        </is>
      </c>
      <c r="B576" s="1" t="n">
        <v>45254</v>
      </c>
      <c r="C576" s="1" t="n">
        <v>45899</v>
      </c>
      <c r="D576" t="inlineStr">
        <is>
          <t>VÄSTERBOTTENS LÄN</t>
        </is>
      </c>
      <c r="E576" t="inlineStr">
        <is>
          <t>VILHELMINA</t>
        </is>
      </c>
      <c r="G576" t="n">
        <v>2</v>
      </c>
      <c r="H576" t="n">
        <v>0</v>
      </c>
      <c r="I576" t="n">
        <v>0</v>
      </c>
      <c r="J576" t="n">
        <v>0</v>
      </c>
      <c r="K576" t="n">
        <v>0</v>
      </c>
      <c r="L576" t="n">
        <v>0</v>
      </c>
      <c r="M576" t="n">
        <v>0</v>
      </c>
      <c r="N576" t="n">
        <v>0</v>
      </c>
      <c r="O576" t="n">
        <v>0</v>
      </c>
      <c r="P576" t="n">
        <v>0</v>
      </c>
      <c r="Q576" t="n">
        <v>0</v>
      </c>
      <c r="R576" s="2" t="inlineStr"/>
    </row>
    <row r="577" ht="15" customHeight="1">
      <c r="A577" t="inlineStr">
        <is>
          <t>A 37714-2024</t>
        </is>
      </c>
      <c r="B577" s="1" t="n">
        <v>45541.63569444444</v>
      </c>
      <c r="C577" s="1" t="n">
        <v>45899</v>
      </c>
      <c r="D577" t="inlineStr">
        <is>
          <t>VÄSTERBOTTENS LÄN</t>
        </is>
      </c>
      <c r="E577" t="inlineStr">
        <is>
          <t>VILHELMINA</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37715-2024</t>
        </is>
      </c>
      <c r="B578" s="1" t="n">
        <v>45541.63581018519</v>
      </c>
      <c r="C578" s="1" t="n">
        <v>45899</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44285-2024</t>
        </is>
      </c>
      <c r="B579" s="1" t="n">
        <v>45573</v>
      </c>
      <c r="C579" s="1" t="n">
        <v>45899</v>
      </c>
      <c r="D579" t="inlineStr">
        <is>
          <t>VÄSTERBOTTENS LÄN</t>
        </is>
      </c>
      <c r="E579" t="inlineStr">
        <is>
          <t>VILHELMINA</t>
        </is>
      </c>
      <c r="G579" t="n">
        <v>30.9</v>
      </c>
      <c r="H579" t="n">
        <v>0</v>
      </c>
      <c r="I579" t="n">
        <v>0</v>
      </c>
      <c r="J579" t="n">
        <v>0</v>
      </c>
      <c r="K579" t="n">
        <v>0</v>
      </c>
      <c r="L579" t="n">
        <v>0</v>
      </c>
      <c r="M579" t="n">
        <v>0</v>
      </c>
      <c r="N579" t="n">
        <v>0</v>
      </c>
      <c r="O579" t="n">
        <v>0</v>
      </c>
      <c r="P579" t="n">
        <v>0</v>
      </c>
      <c r="Q579" t="n">
        <v>0</v>
      </c>
      <c r="R579" s="2" t="inlineStr"/>
    </row>
    <row r="580" ht="15" customHeight="1">
      <c r="A580" t="inlineStr">
        <is>
          <t>A 31307-2025</t>
        </is>
      </c>
      <c r="B580" s="1" t="n">
        <v>45833</v>
      </c>
      <c r="C580" s="1" t="n">
        <v>45899</v>
      </c>
      <c r="D580" t="inlineStr">
        <is>
          <t>VÄSTERBOTTENS LÄN</t>
        </is>
      </c>
      <c r="E580" t="inlineStr">
        <is>
          <t>VILHELMINA</t>
        </is>
      </c>
      <c r="G580" t="n">
        <v>9.9</v>
      </c>
      <c r="H580" t="n">
        <v>0</v>
      </c>
      <c r="I580" t="n">
        <v>0</v>
      </c>
      <c r="J580" t="n">
        <v>0</v>
      </c>
      <c r="K580" t="n">
        <v>0</v>
      </c>
      <c r="L580" t="n">
        <v>0</v>
      </c>
      <c r="M580" t="n">
        <v>0</v>
      </c>
      <c r="N580" t="n">
        <v>0</v>
      </c>
      <c r="O580" t="n">
        <v>0</v>
      </c>
      <c r="P580" t="n">
        <v>0</v>
      </c>
      <c r="Q580" t="n">
        <v>0</v>
      </c>
      <c r="R580" s="2" t="inlineStr"/>
    </row>
    <row r="581" ht="15" customHeight="1">
      <c r="A581" t="inlineStr">
        <is>
          <t>A 64421-2023</t>
        </is>
      </c>
      <c r="B581" s="1" t="n">
        <v>45280</v>
      </c>
      <c r="C581" s="1" t="n">
        <v>45899</v>
      </c>
      <c r="D581" t="inlineStr">
        <is>
          <t>VÄSTERBOTTENS LÄN</t>
        </is>
      </c>
      <c r="E581" t="inlineStr">
        <is>
          <t>VILHELMINA</t>
        </is>
      </c>
      <c r="G581" t="n">
        <v>4.9</v>
      </c>
      <c r="H581" t="n">
        <v>0</v>
      </c>
      <c r="I581" t="n">
        <v>0</v>
      </c>
      <c r="J581" t="n">
        <v>0</v>
      </c>
      <c r="K581" t="n">
        <v>0</v>
      </c>
      <c r="L581" t="n">
        <v>0</v>
      </c>
      <c r="M581" t="n">
        <v>0</v>
      </c>
      <c r="N581" t="n">
        <v>0</v>
      </c>
      <c r="O581" t="n">
        <v>0</v>
      </c>
      <c r="P581" t="n">
        <v>0</v>
      </c>
      <c r="Q581" t="n">
        <v>0</v>
      </c>
      <c r="R581" s="2" t="inlineStr"/>
    </row>
    <row r="582" ht="15" customHeight="1">
      <c r="A582" t="inlineStr">
        <is>
          <t>A 45672-2023</t>
        </is>
      </c>
      <c r="B582" s="1" t="n">
        <v>45194</v>
      </c>
      <c r="C582" s="1" t="n">
        <v>45899</v>
      </c>
      <c r="D582" t="inlineStr">
        <is>
          <t>VÄSTERBOTTENS LÄN</t>
        </is>
      </c>
      <c r="E582" t="inlineStr">
        <is>
          <t>VILHELMINA</t>
        </is>
      </c>
      <c r="G582" t="n">
        <v>1.5</v>
      </c>
      <c r="H582" t="n">
        <v>0</v>
      </c>
      <c r="I582" t="n">
        <v>0</v>
      </c>
      <c r="J582" t="n">
        <v>0</v>
      </c>
      <c r="K582" t="n">
        <v>0</v>
      </c>
      <c r="L582" t="n">
        <v>0</v>
      </c>
      <c r="M582" t="n">
        <v>0</v>
      </c>
      <c r="N582" t="n">
        <v>0</v>
      </c>
      <c r="O582" t="n">
        <v>0</v>
      </c>
      <c r="P582" t="n">
        <v>0</v>
      </c>
      <c r="Q582" t="n">
        <v>0</v>
      </c>
      <c r="R582" s="2" t="inlineStr"/>
    </row>
    <row r="583" ht="15" customHeight="1">
      <c r="A583" t="inlineStr">
        <is>
          <t>A 24828-2023</t>
        </is>
      </c>
      <c r="B583" s="1" t="n">
        <v>45084</v>
      </c>
      <c r="C583" s="1" t="n">
        <v>45899</v>
      </c>
      <c r="D583" t="inlineStr">
        <is>
          <t>VÄSTERBOTTENS LÄN</t>
        </is>
      </c>
      <c r="E583" t="inlineStr">
        <is>
          <t>VILHELMINA</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28486-2022</t>
        </is>
      </c>
      <c r="B584" s="1" t="n">
        <v>44747</v>
      </c>
      <c r="C584" s="1" t="n">
        <v>45899</v>
      </c>
      <c r="D584" t="inlineStr">
        <is>
          <t>VÄSTERBOTTENS LÄN</t>
        </is>
      </c>
      <c r="E584" t="inlineStr">
        <is>
          <t>VILHELMINA</t>
        </is>
      </c>
      <c r="F584" t="inlineStr">
        <is>
          <t>SCA</t>
        </is>
      </c>
      <c r="G584" t="n">
        <v>7.9</v>
      </c>
      <c r="H584" t="n">
        <v>0</v>
      </c>
      <c r="I584" t="n">
        <v>0</v>
      </c>
      <c r="J584" t="n">
        <v>0</v>
      </c>
      <c r="K584" t="n">
        <v>0</v>
      </c>
      <c r="L584" t="n">
        <v>0</v>
      </c>
      <c r="M584" t="n">
        <v>0</v>
      </c>
      <c r="N584" t="n">
        <v>0</v>
      </c>
      <c r="O584" t="n">
        <v>0</v>
      </c>
      <c r="P584" t="n">
        <v>0</v>
      </c>
      <c r="Q584" t="n">
        <v>0</v>
      </c>
      <c r="R584" s="2" t="inlineStr"/>
    </row>
    <row r="585" ht="15" customHeight="1">
      <c r="A585" t="inlineStr">
        <is>
          <t>A 26663-2023</t>
        </is>
      </c>
      <c r="B585" s="1" t="n">
        <v>45092.94042824074</v>
      </c>
      <c r="C585" s="1" t="n">
        <v>45899</v>
      </c>
      <c r="D585" t="inlineStr">
        <is>
          <t>VÄSTERBOTTENS LÄN</t>
        </is>
      </c>
      <c r="E585" t="inlineStr">
        <is>
          <t>VILHELMINA</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31485-2025</t>
        </is>
      </c>
      <c r="B586" s="1" t="n">
        <v>45833</v>
      </c>
      <c r="C586" s="1" t="n">
        <v>45899</v>
      </c>
      <c r="D586" t="inlineStr">
        <is>
          <t>VÄSTERBOTTENS LÄN</t>
        </is>
      </c>
      <c r="E586" t="inlineStr">
        <is>
          <t>VILHELMINA</t>
        </is>
      </c>
      <c r="G586" t="n">
        <v>2.8</v>
      </c>
      <c r="H586" t="n">
        <v>0</v>
      </c>
      <c r="I586" t="n">
        <v>0</v>
      </c>
      <c r="J586" t="n">
        <v>0</v>
      </c>
      <c r="K586" t="n">
        <v>0</v>
      </c>
      <c r="L586" t="n">
        <v>0</v>
      </c>
      <c r="M586" t="n">
        <v>0</v>
      </c>
      <c r="N586" t="n">
        <v>0</v>
      </c>
      <c r="O586" t="n">
        <v>0</v>
      </c>
      <c r="P586" t="n">
        <v>0</v>
      </c>
      <c r="Q586" t="n">
        <v>0</v>
      </c>
      <c r="R586" s="2" t="inlineStr"/>
    </row>
    <row r="587" ht="15" customHeight="1">
      <c r="A587" t="inlineStr">
        <is>
          <t>A 6664-2021</t>
        </is>
      </c>
      <c r="B587" s="1" t="n">
        <v>44235</v>
      </c>
      <c r="C587" s="1" t="n">
        <v>45899</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6699-2021</t>
        </is>
      </c>
      <c r="B588" s="1" t="n">
        <v>44235</v>
      </c>
      <c r="C588" s="1" t="n">
        <v>45899</v>
      </c>
      <c r="D588" t="inlineStr">
        <is>
          <t>VÄSTERBOTTENS LÄN</t>
        </is>
      </c>
      <c r="E588" t="inlineStr">
        <is>
          <t>VILHELMINA</t>
        </is>
      </c>
      <c r="G588" t="n">
        <v>6.9</v>
      </c>
      <c r="H588" t="n">
        <v>0</v>
      </c>
      <c r="I588" t="n">
        <v>0</v>
      </c>
      <c r="J588" t="n">
        <v>0</v>
      </c>
      <c r="K588" t="n">
        <v>0</v>
      </c>
      <c r="L588" t="n">
        <v>0</v>
      </c>
      <c r="M588" t="n">
        <v>0</v>
      </c>
      <c r="N588" t="n">
        <v>0</v>
      </c>
      <c r="O588" t="n">
        <v>0</v>
      </c>
      <c r="P588" t="n">
        <v>0</v>
      </c>
      <c r="Q588" t="n">
        <v>0</v>
      </c>
      <c r="R588" s="2" t="inlineStr"/>
    </row>
    <row r="589" ht="15" customHeight="1">
      <c r="A589" t="inlineStr">
        <is>
          <t>A 61779-2023</t>
        </is>
      </c>
      <c r="B589" s="1" t="n">
        <v>45265.95677083333</v>
      </c>
      <c r="C589" s="1" t="n">
        <v>45899</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31733-2025</t>
        </is>
      </c>
      <c r="B590" s="1" t="n">
        <v>45834.47035879629</v>
      </c>
      <c r="C590" s="1" t="n">
        <v>45899</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31308-2025</t>
        </is>
      </c>
      <c r="B591" s="1" t="n">
        <v>45833</v>
      </c>
      <c r="C591" s="1" t="n">
        <v>45899</v>
      </c>
      <c r="D591" t="inlineStr">
        <is>
          <t>VÄSTERBOTTENS LÄN</t>
        </is>
      </c>
      <c r="E591" t="inlineStr">
        <is>
          <t>VILHELMINA</t>
        </is>
      </c>
      <c r="G591" t="n">
        <v>3.2</v>
      </c>
      <c r="H591" t="n">
        <v>0</v>
      </c>
      <c r="I591" t="n">
        <v>0</v>
      </c>
      <c r="J591" t="n">
        <v>0</v>
      </c>
      <c r="K591" t="n">
        <v>0</v>
      </c>
      <c r="L591" t="n">
        <v>0</v>
      </c>
      <c r="M591" t="n">
        <v>0</v>
      </c>
      <c r="N591" t="n">
        <v>0</v>
      </c>
      <c r="O591" t="n">
        <v>0</v>
      </c>
      <c r="P591" t="n">
        <v>0</v>
      </c>
      <c r="Q591" t="n">
        <v>0</v>
      </c>
      <c r="R591" s="2" t="inlineStr"/>
    </row>
    <row r="592" ht="15" customHeight="1">
      <c r="A592" t="inlineStr">
        <is>
          <t>A 63877-2023</t>
        </is>
      </c>
      <c r="B592" s="1" t="n">
        <v>45278</v>
      </c>
      <c r="C592" s="1" t="n">
        <v>45899</v>
      </c>
      <c r="D592" t="inlineStr">
        <is>
          <t>VÄSTERBOTTENS LÄN</t>
        </is>
      </c>
      <c r="E592" t="inlineStr">
        <is>
          <t>VILHELMINA</t>
        </is>
      </c>
      <c r="G592" t="n">
        <v>1.2</v>
      </c>
      <c r="H592" t="n">
        <v>0</v>
      </c>
      <c r="I592" t="n">
        <v>0</v>
      </c>
      <c r="J592" t="n">
        <v>0</v>
      </c>
      <c r="K592" t="n">
        <v>0</v>
      </c>
      <c r="L592" t="n">
        <v>0</v>
      </c>
      <c r="M592" t="n">
        <v>0</v>
      </c>
      <c r="N592" t="n">
        <v>0</v>
      </c>
      <c r="O592" t="n">
        <v>0</v>
      </c>
      <c r="P592" t="n">
        <v>0</v>
      </c>
      <c r="Q592" t="n">
        <v>0</v>
      </c>
      <c r="R592" s="2" t="inlineStr"/>
    </row>
    <row r="593" ht="15" customHeight="1">
      <c r="A593" t="inlineStr">
        <is>
          <t>A 37369-2025</t>
        </is>
      </c>
      <c r="B593" s="1" t="n">
        <v>45877.34444444445</v>
      </c>
      <c r="C593" s="1" t="n">
        <v>45899</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12364-2025</t>
        </is>
      </c>
      <c r="B594" s="1" t="n">
        <v>45730.37515046296</v>
      </c>
      <c r="C594" s="1" t="n">
        <v>45899</v>
      </c>
      <c r="D594" t="inlineStr">
        <is>
          <t>VÄSTERBOTTENS LÄN</t>
        </is>
      </c>
      <c r="E594" t="inlineStr">
        <is>
          <t>VILHELMINA</t>
        </is>
      </c>
      <c r="F594" t="inlineStr">
        <is>
          <t>Övriga statliga verk och myndigheter</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12377-2025</t>
        </is>
      </c>
      <c r="B595" s="1" t="n">
        <v>45730</v>
      </c>
      <c r="C595" s="1" t="n">
        <v>45899</v>
      </c>
      <c r="D595" t="inlineStr">
        <is>
          <t>VÄSTERBOTTENS LÄN</t>
        </is>
      </c>
      <c r="E595" t="inlineStr">
        <is>
          <t>VILHELMINA</t>
        </is>
      </c>
      <c r="F595" t="inlineStr">
        <is>
          <t>Övriga statliga verk och myndigheter</t>
        </is>
      </c>
      <c r="G595" t="n">
        <v>37.1</v>
      </c>
      <c r="H595" t="n">
        <v>0</v>
      </c>
      <c r="I595" t="n">
        <v>0</v>
      </c>
      <c r="J595" t="n">
        <v>0</v>
      </c>
      <c r="K595" t="n">
        <v>0</v>
      </c>
      <c r="L595" t="n">
        <v>0</v>
      </c>
      <c r="M595" t="n">
        <v>0</v>
      </c>
      <c r="N595" t="n">
        <v>0</v>
      </c>
      <c r="O595" t="n">
        <v>0</v>
      </c>
      <c r="P595" t="n">
        <v>0</v>
      </c>
      <c r="Q595" t="n">
        <v>0</v>
      </c>
      <c r="R595" s="2" t="inlineStr"/>
    </row>
    <row r="596" ht="15" customHeight="1">
      <c r="A596" t="inlineStr">
        <is>
          <t>A 35886-2025</t>
        </is>
      </c>
      <c r="B596" s="1" t="n">
        <v>45862</v>
      </c>
      <c r="C596" s="1" t="n">
        <v>45899</v>
      </c>
      <c r="D596" t="inlineStr">
        <is>
          <t>VÄSTERBOTTENS LÄN</t>
        </is>
      </c>
      <c r="E596" t="inlineStr">
        <is>
          <t>VILHELMINA</t>
        </is>
      </c>
      <c r="G596" t="n">
        <v>7</v>
      </c>
      <c r="H596" t="n">
        <v>0</v>
      </c>
      <c r="I596" t="n">
        <v>0</v>
      </c>
      <c r="J596" t="n">
        <v>0</v>
      </c>
      <c r="K596" t="n">
        <v>0</v>
      </c>
      <c r="L596" t="n">
        <v>0</v>
      </c>
      <c r="M596" t="n">
        <v>0</v>
      </c>
      <c r="N596" t="n">
        <v>0</v>
      </c>
      <c r="O596" t="n">
        <v>0</v>
      </c>
      <c r="P596" t="n">
        <v>0</v>
      </c>
      <c r="Q596" t="n">
        <v>0</v>
      </c>
      <c r="R596" s="2" t="inlineStr"/>
    </row>
    <row r="597" ht="15" customHeight="1">
      <c r="A597" t="inlineStr">
        <is>
          <t>A 59031-2024</t>
        </is>
      </c>
      <c r="B597" s="1" t="n">
        <v>45636</v>
      </c>
      <c r="C597" s="1" t="n">
        <v>45899</v>
      </c>
      <c r="D597" t="inlineStr">
        <is>
          <t>VÄSTERBOTTENS LÄN</t>
        </is>
      </c>
      <c r="E597" t="inlineStr">
        <is>
          <t>VILHELMINA</t>
        </is>
      </c>
      <c r="G597" t="n">
        <v>38.9</v>
      </c>
      <c r="H597" t="n">
        <v>0</v>
      </c>
      <c r="I597" t="n">
        <v>0</v>
      </c>
      <c r="J597" t="n">
        <v>0</v>
      </c>
      <c r="K597" t="n">
        <v>0</v>
      </c>
      <c r="L597" t="n">
        <v>0</v>
      </c>
      <c r="M597" t="n">
        <v>0</v>
      </c>
      <c r="N597" t="n">
        <v>0</v>
      </c>
      <c r="O597" t="n">
        <v>0</v>
      </c>
      <c r="P597" t="n">
        <v>0</v>
      </c>
      <c r="Q597" t="n">
        <v>0</v>
      </c>
      <c r="R597" s="2" t="inlineStr"/>
    </row>
    <row r="598" ht="15" customHeight="1">
      <c r="A598" t="inlineStr">
        <is>
          <t>A 48472-2023</t>
        </is>
      </c>
      <c r="B598" s="1" t="n">
        <v>45206.95761574074</v>
      </c>
      <c r="C598" s="1" t="n">
        <v>45899</v>
      </c>
      <c r="D598" t="inlineStr">
        <is>
          <t>VÄSTERBOTTENS LÄN</t>
        </is>
      </c>
      <c r="E598" t="inlineStr">
        <is>
          <t>VILHELMINA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59671-2023</t>
        </is>
      </c>
      <c r="B599" s="1" t="n">
        <v>45254.96524305556</v>
      </c>
      <c r="C599" s="1" t="n">
        <v>45899</v>
      </c>
      <c r="D599" t="inlineStr">
        <is>
          <t>VÄSTERBOTTENS LÄN</t>
        </is>
      </c>
      <c r="E599" t="inlineStr">
        <is>
          <t>VILHELMINA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56396-2022</t>
        </is>
      </c>
      <c r="B600" s="1" t="n">
        <v>44890</v>
      </c>
      <c r="C600" s="1" t="n">
        <v>45899</v>
      </c>
      <c r="D600" t="inlineStr">
        <is>
          <t>VÄSTERBOTTENS LÄN</t>
        </is>
      </c>
      <c r="E600" t="inlineStr">
        <is>
          <t>VILHELMINA</t>
        </is>
      </c>
      <c r="G600" t="n">
        <v>1.6</v>
      </c>
      <c r="H600" t="n">
        <v>0</v>
      </c>
      <c r="I600" t="n">
        <v>0</v>
      </c>
      <c r="J600" t="n">
        <v>0</v>
      </c>
      <c r="K600" t="n">
        <v>0</v>
      </c>
      <c r="L600" t="n">
        <v>0</v>
      </c>
      <c r="M600" t="n">
        <v>0</v>
      </c>
      <c r="N600" t="n">
        <v>0</v>
      </c>
      <c r="O600" t="n">
        <v>0</v>
      </c>
      <c r="P600" t="n">
        <v>0</v>
      </c>
      <c r="Q600" t="n">
        <v>0</v>
      </c>
      <c r="R600" s="2" t="inlineStr"/>
    </row>
    <row r="601" ht="15" customHeight="1">
      <c r="A601" t="inlineStr">
        <is>
          <t>A 23360-2025</t>
        </is>
      </c>
      <c r="B601" s="1" t="n">
        <v>45791</v>
      </c>
      <c r="C601" s="1" t="n">
        <v>45899</v>
      </c>
      <c r="D601" t="inlineStr">
        <is>
          <t>VÄSTERBOTTENS LÄN</t>
        </is>
      </c>
      <c r="E601" t="inlineStr">
        <is>
          <t>VILHELMINA</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43637-2023</t>
        </is>
      </c>
      <c r="B602" s="1" t="n">
        <v>45186.51590277778</v>
      </c>
      <c r="C602" s="1" t="n">
        <v>45899</v>
      </c>
      <c r="D602" t="inlineStr">
        <is>
          <t>VÄSTERBOTTENS LÄN</t>
        </is>
      </c>
      <c r="E602" t="inlineStr">
        <is>
          <t>VILHELMINA</t>
        </is>
      </c>
      <c r="G602" t="n">
        <v>3.3</v>
      </c>
      <c r="H602" t="n">
        <v>0</v>
      </c>
      <c r="I602" t="n">
        <v>0</v>
      </c>
      <c r="J602" t="n">
        <v>0</v>
      </c>
      <c r="K602" t="n">
        <v>0</v>
      </c>
      <c r="L602" t="n">
        <v>0</v>
      </c>
      <c r="M602" t="n">
        <v>0</v>
      </c>
      <c r="N602" t="n">
        <v>0</v>
      </c>
      <c r="O602" t="n">
        <v>0</v>
      </c>
      <c r="P602" t="n">
        <v>0</v>
      </c>
      <c r="Q602" t="n">
        <v>0</v>
      </c>
      <c r="R602" s="2" t="inlineStr"/>
    </row>
    <row r="603" ht="15" customHeight="1">
      <c r="A603" t="inlineStr">
        <is>
          <t>A 38297-2024</t>
        </is>
      </c>
      <c r="B603" s="1" t="n">
        <v>45545</v>
      </c>
      <c r="C603" s="1" t="n">
        <v>45899</v>
      </c>
      <c r="D603" t="inlineStr">
        <is>
          <t>VÄSTERBOTTENS LÄN</t>
        </is>
      </c>
      <c r="E603" t="inlineStr">
        <is>
          <t>VILHELMINA</t>
        </is>
      </c>
      <c r="G603" t="n">
        <v>139.8</v>
      </c>
      <c r="H603" t="n">
        <v>0</v>
      </c>
      <c r="I603" t="n">
        <v>0</v>
      </c>
      <c r="J603" t="n">
        <v>0</v>
      </c>
      <c r="K603" t="n">
        <v>0</v>
      </c>
      <c r="L603" t="n">
        <v>0</v>
      </c>
      <c r="M603" t="n">
        <v>0</v>
      </c>
      <c r="N603" t="n">
        <v>0</v>
      </c>
      <c r="O603" t="n">
        <v>0</v>
      </c>
      <c r="P603" t="n">
        <v>0</v>
      </c>
      <c r="Q603" t="n">
        <v>0</v>
      </c>
      <c r="R603" s="2" t="inlineStr"/>
    </row>
    <row r="604" ht="15" customHeight="1">
      <c r="A604" t="inlineStr">
        <is>
          <t>A 40732-2024</t>
        </is>
      </c>
      <c r="B604" s="1" t="n">
        <v>45558</v>
      </c>
      <c r="C604" s="1" t="n">
        <v>45899</v>
      </c>
      <c r="D604" t="inlineStr">
        <is>
          <t>VÄSTERBOTTENS LÄN</t>
        </is>
      </c>
      <c r="E604" t="inlineStr">
        <is>
          <t>VILHELMINA</t>
        </is>
      </c>
      <c r="F604" t="inlineStr">
        <is>
          <t>Allmännings- och besparingsskogar</t>
        </is>
      </c>
      <c r="G604" t="n">
        <v>89.59999999999999</v>
      </c>
      <c r="H604" t="n">
        <v>0</v>
      </c>
      <c r="I604" t="n">
        <v>0</v>
      </c>
      <c r="J604" t="n">
        <v>0</v>
      </c>
      <c r="K604" t="n">
        <v>0</v>
      </c>
      <c r="L604" t="n">
        <v>0</v>
      </c>
      <c r="M604" t="n">
        <v>0</v>
      </c>
      <c r="N604" t="n">
        <v>0</v>
      </c>
      <c r="O604" t="n">
        <v>0</v>
      </c>
      <c r="P604" t="n">
        <v>0</v>
      </c>
      <c r="Q604" t="n">
        <v>0</v>
      </c>
      <c r="R604" s="2" t="inlineStr"/>
    </row>
    <row r="605" ht="15" customHeight="1">
      <c r="A605" t="inlineStr">
        <is>
          <t>A 54430-2024</t>
        </is>
      </c>
      <c r="B605" s="1" t="n">
        <v>45617.49107638889</v>
      </c>
      <c r="C605" s="1" t="n">
        <v>45899</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37269-2025</t>
        </is>
      </c>
      <c r="B606" s="1" t="n">
        <v>45876</v>
      </c>
      <c r="C606" s="1" t="n">
        <v>45899</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16608-2024</t>
        </is>
      </c>
      <c r="B607" s="1" t="n">
        <v>45408</v>
      </c>
      <c r="C607" s="1" t="n">
        <v>45899</v>
      </c>
      <c r="D607" t="inlineStr">
        <is>
          <t>VÄSTERBOTTENS LÄN</t>
        </is>
      </c>
      <c r="E607" t="inlineStr">
        <is>
          <t>VILHELMINA</t>
        </is>
      </c>
      <c r="G607" t="n">
        <v>17.5</v>
      </c>
      <c r="H607" t="n">
        <v>0</v>
      </c>
      <c r="I607" t="n">
        <v>0</v>
      </c>
      <c r="J607" t="n">
        <v>0</v>
      </c>
      <c r="K607" t="n">
        <v>0</v>
      </c>
      <c r="L607" t="n">
        <v>0</v>
      </c>
      <c r="M607" t="n">
        <v>0</v>
      </c>
      <c r="N607" t="n">
        <v>0</v>
      </c>
      <c r="O607" t="n">
        <v>0</v>
      </c>
      <c r="P607" t="n">
        <v>0</v>
      </c>
      <c r="Q607" t="n">
        <v>0</v>
      </c>
      <c r="R607" s="2" t="inlineStr"/>
    </row>
    <row r="608" ht="15" customHeight="1">
      <c r="A608" t="inlineStr">
        <is>
          <t>A 40726-2024</t>
        </is>
      </c>
      <c r="B608" s="1" t="n">
        <v>45558</v>
      </c>
      <c r="C608" s="1" t="n">
        <v>45899</v>
      </c>
      <c r="D608" t="inlineStr">
        <is>
          <t>VÄSTERBOTTENS LÄN</t>
        </is>
      </c>
      <c r="E608" t="inlineStr">
        <is>
          <t>VILHELMINA</t>
        </is>
      </c>
      <c r="F608" t="inlineStr">
        <is>
          <t>Allmännings- och besparingsskogar</t>
        </is>
      </c>
      <c r="G608" t="n">
        <v>73.59999999999999</v>
      </c>
      <c r="H608" t="n">
        <v>0</v>
      </c>
      <c r="I608" t="n">
        <v>0</v>
      </c>
      <c r="J608" t="n">
        <v>0</v>
      </c>
      <c r="K608" t="n">
        <v>0</v>
      </c>
      <c r="L608" t="n">
        <v>0</v>
      </c>
      <c r="M608" t="n">
        <v>0</v>
      </c>
      <c r="N608" t="n">
        <v>0</v>
      </c>
      <c r="O608" t="n">
        <v>0</v>
      </c>
      <c r="P608" t="n">
        <v>0</v>
      </c>
      <c r="Q608" t="n">
        <v>0</v>
      </c>
      <c r="R608" s="2" t="inlineStr"/>
    </row>
    <row r="609" ht="15" customHeight="1">
      <c r="A609" t="inlineStr">
        <is>
          <t>A 37368-2025</t>
        </is>
      </c>
      <c r="B609" s="1" t="n">
        <v>45877.34436342592</v>
      </c>
      <c r="C609" s="1" t="n">
        <v>45899</v>
      </c>
      <c r="D609" t="inlineStr">
        <is>
          <t>VÄSTERBOTTENS LÄN</t>
        </is>
      </c>
      <c r="E609" t="inlineStr">
        <is>
          <t>VILHELMINA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37376-2025</t>
        </is>
      </c>
      <c r="B610" s="1" t="n">
        <v>45877.36513888889</v>
      </c>
      <c r="C610" s="1" t="n">
        <v>45899</v>
      </c>
      <c r="D610" t="inlineStr">
        <is>
          <t>VÄSTERBOTTENS LÄN</t>
        </is>
      </c>
      <c r="E610" t="inlineStr">
        <is>
          <t>VILHELMINA</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37302-2025</t>
        </is>
      </c>
      <c r="B611" s="1" t="n">
        <v>45876</v>
      </c>
      <c r="C611" s="1" t="n">
        <v>45899</v>
      </c>
      <c r="D611" t="inlineStr">
        <is>
          <t>VÄSTERBOTTENS LÄN</t>
        </is>
      </c>
      <c r="E611" t="inlineStr">
        <is>
          <t>VILHELMINA</t>
        </is>
      </c>
      <c r="F611" t="inlineStr">
        <is>
          <t>SCA</t>
        </is>
      </c>
      <c r="G611" t="n">
        <v>7.6</v>
      </c>
      <c r="H611" t="n">
        <v>0</v>
      </c>
      <c r="I611" t="n">
        <v>0</v>
      </c>
      <c r="J611" t="n">
        <v>0</v>
      </c>
      <c r="K611" t="n">
        <v>0</v>
      </c>
      <c r="L611" t="n">
        <v>0</v>
      </c>
      <c r="M611" t="n">
        <v>0</v>
      </c>
      <c r="N611" t="n">
        <v>0</v>
      </c>
      <c r="O611" t="n">
        <v>0</v>
      </c>
      <c r="P611" t="n">
        <v>0</v>
      </c>
      <c r="Q611" t="n">
        <v>0</v>
      </c>
      <c r="R611" s="2" t="inlineStr"/>
    </row>
    <row r="612" ht="15" customHeight="1">
      <c r="A612" t="inlineStr">
        <is>
          <t>A 26381-2024</t>
        </is>
      </c>
      <c r="B612" s="1" t="n">
        <v>45469</v>
      </c>
      <c r="C612" s="1" t="n">
        <v>45899</v>
      </c>
      <c r="D612" t="inlineStr">
        <is>
          <t>VÄSTERBOTTENS LÄN</t>
        </is>
      </c>
      <c r="E612" t="inlineStr">
        <is>
          <t>VILHELMINA</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47483-2023</t>
        </is>
      </c>
      <c r="B613" s="1" t="n">
        <v>45202.9413425926</v>
      </c>
      <c r="C613" s="1" t="n">
        <v>45899</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33142-2025</t>
        </is>
      </c>
      <c r="B614" s="1" t="n">
        <v>45840</v>
      </c>
      <c r="C614" s="1" t="n">
        <v>45899</v>
      </c>
      <c r="D614" t="inlineStr">
        <is>
          <t>VÄSTERBOTTENS LÄN</t>
        </is>
      </c>
      <c r="E614" t="inlineStr">
        <is>
          <t>VILHELMINA</t>
        </is>
      </c>
      <c r="G614" t="n">
        <v>15.2</v>
      </c>
      <c r="H614" t="n">
        <v>0</v>
      </c>
      <c r="I614" t="n">
        <v>0</v>
      </c>
      <c r="J614" t="n">
        <v>0</v>
      </c>
      <c r="K614" t="n">
        <v>0</v>
      </c>
      <c r="L614" t="n">
        <v>0</v>
      </c>
      <c r="M614" t="n">
        <v>0</v>
      </c>
      <c r="N614" t="n">
        <v>0</v>
      </c>
      <c r="O614" t="n">
        <v>0</v>
      </c>
      <c r="P614" t="n">
        <v>0</v>
      </c>
      <c r="Q614" t="n">
        <v>0</v>
      </c>
      <c r="R614" s="2" t="inlineStr"/>
    </row>
    <row r="615" ht="15" customHeight="1">
      <c r="A615" t="inlineStr">
        <is>
          <t>A 62405-2022</t>
        </is>
      </c>
      <c r="B615" s="1" t="n">
        <v>44923</v>
      </c>
      <c r="C615" s="1" t="n">
        <v>45899</v>
      </c>
      <c r="D615" t="inlineStr">
        <is>
          <t>VÄSTERBOTTENS LÄN</t>
        </is>
      </c>
      <c r="E615" t="inlineStr">
        <is>
          <t>VILHELMINA</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32947-2025</t>
        </is>
      </c>
      <c r="B616" s="1" t="n">
        <v>45839</v>
      </c>
      <c r="C616" s="1" t="n">
        <v>45899</v>
      </c>
      <c r="D616" t="inlineStr">
        <is>
          <t>VÄSTERBOTTENS LÄN</t>
        </is>
      </c>
      <c r="E616" t="inlineStr">
        <is>
          <t>VILHELMINA</t>
        </is>
      </c>
      <c r="G616" t="n">
        <v>19.1</v>
      </c>
      <c r="H616" t="n">
        <v>0</v>
      </c>
      <c r="I616" t="n">
        <v>0</v>
      </c>
      <c r="J616" t="n">
        <v>0</v>
      </c>
      <c r="K616" t="n">
        <v>0</v>
      </c>
      <c r="L616" t="n">
        <v>0</v>
      </c>
      <c r="M616" t="n">
        <v>0</v>
      </c>
      <c r="N616" t="n">
        <v>0</v>
      </c>
      <c r="O616" t="n">
        <v>0</v>
      </c>
      <c r="P616" t="n">
        <v>0</v>
      </c>
      <c r="Q616" t="n">
        <v>0</v>
      </c>
      <c r="R616" s="2" t="inlineStr"/>
    </row>
    <row r="617" ht="15" customHeight="1">
      <c r="A617" t="inlineStr">
        <is>
          <t>A 49886-2024</t>
        </is>
      </c>
      <c r="B617" s="1" t="n">
        <v>45597</v>
      </c>
      <c r="C617" s="1" t="n">
        <v>45899</v>
      </c>
      <c r="D617" t="inlineStr">
        <is>
          <t>VÄSTERBOTTENS LÄN</t>
        </is>
      </c>
      <c r="E617" t="inlineStr">
        <is>
          <t>VILHELMINA</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51134-2024</t>
        </is>
      </c>
      <c r="B618" s="1" t="n">
        <v>45603</v>
      </c>
      <c r="C618" s="1" t="n">
        <v>45899</v>
      </c>
      <c r="D618" t="inlineStr">
        <is>
          <t>VÄSTERBOTTENS LÄN</t>
        </is>
      </c>
      <c r="E618" t="inlineStr">
        <is>
          <t>VILHELMINA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12990-2025</t>
        </is>
      </c>
      <c r="B619" s="1" t="n">
        <v>45734</v>
      </c>
      <c r="C619" s="1" t="n">
        <v>45899</v>
      </c>
      <c r="D619" t="inlineStr">
        <is>
          <t>VÄSTERBOTTENS LÄN</t>
        </is>
      </c>
      <c r="E619" t="inlineStr">
        <is>
          <t>VILHELMINA</t>
        </is>
      </c>
      <c r="G619" t="n">
        <v>11.2</v>
      </c>
      <c r="H619" t="n">
        <v>0</v>
      </c>
      <c r="I619" t="n">
        <v>0</v>
      </c>
      <c r="J619" t="n">
        <v>0</v>
      </c>
      <c r="K619" t="n">
        <v>0</v>
      </c>
      <c r="L619" t="n">
        <v>0</v>
      </c>
      <c r="M619" t="n">
        <v>0</v>
      </c>
      <c r="N619" t="n">
        <v>0</v>
      </c>
      <c r="O619" t="n">
        <v>0</v>
      </c>
      <c r="P619" t="n">
        <v>0</v>
      </c>
      <c r="Q619" t="n">
        <v>0</v>
      </c>
      <c r="R619" s="2" t="inlineStr"/>
    </row>
    <row r="620" ht="15" customHeight="1">
      <c r="A620" t="inlineStr">
        <is>
          <t>A 50635-2021</t>
        </is>
      </c>
      <c r="B620" s="1" t="n">
        <v>44459.71978009259</v>
      </c>
      <c r="C620" s="1" t="n">
        <v>45899</v>
      </c>
      <c r="D620" t="inlineStr">
        <is>
          <t>VÄSTERBOTTENS LÄN</t>
        </is>
      </c>
      <c r="E620" t="inlineStr">
        <is>
          <t>VILHELMINA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28870-2024</t>
        </is>
      </c>
      <c r="B621" s="1" t="n">
        <v>45478.94733796296</v>
      </c>
      <c r="C621" s="1" t="n">
        <v>45899</v>
      </c>
      <c r="D621" t="inlineStr">
        <is>
          <t>VÄSTERBOTTENS LÄN</t>
        </is>
      </c>
      <c r="E621" t="inlineStr">
        <is>
          <t>VILHELMINA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17186-2025</t>
        </is>
      </c>
      <c r="B622" s="1" t="n">
        <v>45756</v>
      </c>
      <c r="C622" s="1" t="n">
        <v>45899</v>
      </c>
      <c r="D622" t="inlineStr">
        <is>
          <t>VÄSTERBOTTENS LÄN</t>
        </is>
      </c>
      <c r="E622" t="inlineStr">
        <is>
          <t>VILHELMINA</t>
        </is>
      </c>
      <c r="F622" t="inlineStr">
        <is>
          <t>SCA</t>
        </is>
      </c>
      <c r="G622" t="n">
        <v>12.3</v>
      </c>
      <c r="H622" t="n">
        <v>0</v>
      </c>
      <c r="I622" t="n">
        <v>0</v>
      </c>
      <c r="J622" t="n">
        <v>0</v>
      </c>
      <c r="K622" t="n">
        <v>0</v>
      </c>
      <c r="L622" t="n">
        <v>0</v>
      </c>
      <c r="M622" t="n">
        <v>0</v>
      </c>
      <c r="N622" t="n">
        <v>0</v>
      </c>
      <c r="O622" t="n">
        <v>0</v>
      </c>
      <c r="P622" t="n">
        <v>0</v>
      </c>
      <c r="Q622" t="n">
        <v>0</v>
      </c>
      <c r="R622" s="2" t="inlineStr"/>
    </row>
    <row r="623" ht="15" customHeight="1">
      <c r="A623" t="inlineStr">
        <is>
          <t>A 17302-2025</t>
        </is>
      </c>
      <c r="B623" s="1" t="n">
        <v>45756</v>
      </c>
      <c r="C623" s="1" t="n">
        <v>45899</v>
      </c>
      <c r="D623" t="inlineStr">
        <is>
          <t>VÄSTERBOTTENS LÄN</t>
        </is>
      </c>
      <c r="E623" t="inlineStr">
        <is>
          <t>VILHELMINA</t>
        </is>
      </c>
      <c r="G623" t="n">
        <v>6.6</v>
      </c>
      <c r="H623" t="n">
        <v>0</v>
      </c>
      <c r="I623" t="n">
        <v>0</v>
      </c>
      <c r="J623" t="n">
        <v>0</v>
      </c>
      <c r="K623" t="n">
        <v>0</v>
      </c>
      <c r="L623" t="n">
        <v>0</v>
      </c>
      <c r="M623" t="n">
        <v>0</v>
      </c>
      <c r="N623" t="n">
        <v>0</v>
      </c>
      <c r="O623" t="n">
        <v>0</v>
      </c>
      <c r="P623" t="n">
        <v>0</v>
      </c>
      <c r="Q623" t="n">
        <v>0</v>
      </c>
      <c r="R623" s="2" t="inlineStr"/>
    </row>
    <row r="624" ht="15" customHeight="1">
      <c r="A624" t="inlineStr">
        <is>
          <t>A 17314-2025</t>
        </is>
      </c>
      <c r="B624" s="1" t="n">
        <v>45756</v>
      </c>
      <c r="C624" s="1" t="n">
        <v>45899</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38384-2025</t>
        </is>
      </c>
      <c r="B625" s="1" t="n">
        <v>45883</v>
      </c>
      <c r="C625" s="1" t="n">
        <v>45899</v>
      </c>
      <c r="D625" t="inlineStr">
        <is>
          <t>VÄSTERBOTTENS LÄN</t>
        </is>
      </c>
      <c r="E625" t="inlineStr">
        <is>
          <t>VILHELMINA</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38409-2025</t>
        </is>
      </c>
      <c r="B626" s="1" t="n">
        <v>45883.59429398148</v>
      </c>
      <c r="C626" s="1" t="n">
        <v>45899</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38427-2025</t>
        </is>
      </c>
      <c r="B627" s="1" t="n">
        <v>45883.63611111111</v>
      </c>
      <c r="C627" s="1" t="n">
        <v>45899</v>
      </c>
      <c r="D627" t="inlineStr">
        <is>
          <t>VÄSTERBOTTENS LÄN</t>
        </is>
      </c>
      <c r="E627" t="inlineStr">
        <is>
          <t>VILHELMINA</t>
        </is>
      </c>
      <c r="F627" t="inlineStr">
        <is>
          <t>SCA</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38540-2025</t>
        </is>
      </c>
      <c r="B628" s="1" t="n">
        <v>45884.42768518518</v>
      </c>
      <c r="C628" s="1" t="n">
        <v>45899</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38620-2025</t>
        </is>
      </c>
      <c r="B629" s="1" t="n">
        <v>45884.55297453704</v>
      </c>
      <c r="C629" s="1" t="n">
        <v>45899</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33319-2025</t>
        </is>
      </c>
      <c r="B630" s="1" t="n">
        <v>45841</v>
      </c>
      <c r="C630" s="1" t="n">
        <v>45899</v>
      </c>
      <c r="D630" t="inlineStr">
        <is>
          <t>VÄSTERBOTTENS LÄN</t>
        </is>
      </c>
      <c r="E630" t="inlineStr">
        <is>
          <t>VILHELMINA</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33320-2025</t>
        </is>
      </c>
      <c r="B631" s="1" t="n">
        <v>45841.34461805555</v>
      </c>
      <c r="C631" s="1" t="n">
        <v>45899</v>
      </c>
      <c r="D631" t="inlineStr">
        <is>
          <t>VÄSTERBOTTENS LÄN</t>
        </is>
      </c>
      <c r="E631" t="inlineStr">
        <is>
          <t>VILHELMINA</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38543-2025</t>
        </is>
      </c>
      <c r="B632" s="1" t="n">
        <v>45884.42813657408</v>
      </c>
      <c r="C632" s="1" t="n">
        <v>45899</v>
      </c>
      <c r="D632" t="inlineStr">
        <is>
          <t>VÄSTERBOTTENS LÄN</t>
        </is>
      </c>
      <c r="E632" t="inlineStr">
        <is>
          <t>VILHELMINA</t>
        </is>
      </c>
      <c r="G632" t="n">
        <v>2.4</v>
      </c>
      <c r="H632" t="n">
        <v>0</v>
      </c>
      <c r="I632" t="n">
        <v>0</v>
      </c>
      <c r="J632" t="n">
        <v>0</v>
      </c>
      <c r="K632" t="n">
        <v>0</v>
      </c>
      <c r="L632" t="n">
        <v>0</v>
      </c>
      <c r="M632" t="n">
        <v>0</v>
      </c>
      <c r="N632" t="n">
        <v>0</v>
      </c>
      <c r="O632" t="n">
        <v>0</v>
      </c>
      <c r="P632" t="n">
        <v>0</v>
      </c>
      <c r="Q632" t="n">
        <v>0</v>
      </c>
      <c r="R632" s="2" t="inlineStr"/>
    </row>
    <row r="633" ht="15" customHeight="1">
      <c r="A633" t="inlineStr">
        <is>
          <t>A 38211-2025</t>
        </is>
      </c>
      <c r="B633" s="1" t="n">
        <v>45882.93524305556</v>
      </c>
      <c r="C633" s="1" t="n">
        <v>45899</v>
      </c>
      <c r="D633" t="inlineStr">
        <is>
          <t>VÄSTERBOTTENS LÄN</t>
        </is>
      </c>
      <c r="E633" t="inlineStr">
        <is>
          <t>VILHELMINA</t>
        </is>
      </c>
      <c r="G633" t="n">
        <v>13.8</v>
      </c>
      <c r="H633" t="n">
        <v>0</v>
      </c>
      <c r="I633" t="n">
        <v>0</v>
      </c>
      <c r="J633" t="n">
        <v>0</v>
      </c>
      <c r="K633" t="n">
        <v>0</v>
      </c>
      <c r="L633" t="n">
        <v>0</v>
      </c>
      <c r="M633" t="n">
        <v>0</v>
      </c>
      <c r="N633" t="n">
        <v>0</v>
      </c>
      <c r="O633" t="n">
        <v>0</v>
      </c>
      <c r="P633" t="n">
        <v>0</v>
      </c>
      <c r="Q633" t="n">
        <v>0</v>
      </c>
      <c r="R633" s="2" t="inlineStr"/>
    </row>
    <row r="634" ht="15" customHeight="1">
      <c r="A634" t="inlineStr">
        <is>
          <t>A 38212-2025</t>
        </is>
      </c>
      <c r="B634" s="1" t="n">
        <v>45882.95137731481</v>
      </c>
      <c r="C634" s="1" t="n">
        <v>45899</v>
      </c>
      <c r="D634" t="inlineStr">
        <is>
          <t>VÄSTERBOTTENS LÄN</t>
        </is>
      </c>
      <c r="E634" t="inlineStr">
        <is>
          <t>VILHELMINA</t>
        </is>
      </c>
      <c r="G634" t="n">
        <v>11.7</v>
      </c>
      <c r="H634" t="n">
        <v>0</v>
      </c>
      <c r="I634" t="n">
        <v>0</v>
      </c>
      <c r="J634" t="n">
        <v>0</v>
      </c>
      <c r="K634" t="n">
        <v>0</v>
      </c>
      <c r="L634" t="n">
        <v>0</v>
      </c>
      <c r="M634" t="n">
        <v>0</v>
      </c>
      <c r="N634" t="n">
        <v>0</v>
      </c>
      <c r="O634" t="n">
        <v>0</v>
      </c>
      <c r="P634" t="n">
        <v>0</v>
      </c>
      <c r="Q634" t="n">
        <v>0</v>
      </c>
      <c r="R634" s="2" t="inlineStr"/>
    </row>
    <row r="635" ht="15" customHeight="1">
      <c r="A635" t="inlineStr">
        <is>
          <t>A 8215-2023</t>
        </is>
      </c>
      <c r="B635" s="1" t="n">
        <v>44971</v>
      </c>
      <c r="C635" s="1" t="n">
        <v>45899</v>
      </c>
      <c r="D635" t="inlineStr">
        <is>
          <t>VÄSTERBOTTENS LÄN</t>
        </is>
      </c>
      <c r="E635" t="inlineStr">
        <is>
          <t>VILHELMINA</t>
        </is>
      </c>
      <c r="G635" t="n">
        <v>0.8</v>
      </c>
      <c r="H635" t="n">
        <v>0</v>
      </c>
      <c r="I635" t="n">
        <v>0</v>
      </c>
      <c r="J635" t="n">
        <v>0</v>
      </c>
      <c r="K635" t="n">
        <v>0</v>
      </c>
      <c r="L635" t="n">
        <v>0</v>
      </c>
      <c r="M635" t="n">
        <v>0</v>
      </c>
      <c r="N635" t="n">
        <v>0</v>
      </c>
      <c r="O635" t="n">
        <v>0</v>
      </c>
      <c r="P635" t="n">
        <v>0</v>
      </c>
      <c r="Q635" t="n">
        <v>0</v>
      </c>
      <c r="R635" s="2" t="inlineStr"/>
    </row>
    <row r="636" ht="15" customHeight="1">
      <c r="A636" t="inlineStr">
        <is>
          <t>A 38387-2025</t>
        </is>
      </c>
      <c r="B636" s="1" t="n">
        <v>45883.57451388889</v>
      </c>
      <c r="C636" s="1" t="n">
        <v>45899</v>
      </c>
      <c r="D636" t="inlineStr">
        <is>
          <t>VÄSTERBOTTENS LÄN</t>
        </is>
      </c>
      <c r="E636" t="inlineStr">
        <is>
          <t>VILHELMINA</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48754-2021</t>
        </is>
      </c>
      <c r="B637" s="1" t="n">
        <v>44452</v>
      </c>
      <c r="C637" s="1" t="n">
        <v>45899</v>
      </c>
      <c r="D637" t="inlineStr">
        <is>
          <t>VÄSTERBOTTENS LÄN</t>
        </is>
      </c>
      <c r="E637" t="inlineStr">
        <is>
          <t>VILHELMINA</t>
        </is>
      </c>
      <c r="G637" t="n">
        <v>5.6</v>
      </c>
      <c r="H637" t="n">
        <v>0</v>
      </c>
      <c r="I637" t="n">
        <v>0</v>
      </c>
      <c r="J637" t="n">
        <v>0</v>
      </c>
      <c r="K637" t="n">
        <v>0</v>
      </c>
      <c r="L637" t="n">
        <v>0</v>
      </c>
      <c r="M637" t="n">
        <v>0</v>
      </c>
      <c r="N637" t="n">
        <v>0</v>
      </c>
      <c r="O637" t="n">
        <v>0</v>
      </c>
      <c r="P637" t="n">
        <v>0</v>
      </c>
      <c r="Q637" t="n">
        <v>0</v>
      </c>
      <c r="R637" s="2" t="inlineStr"/>
    </row>
    <row r="638" ht="15" customHeight="1">
      <c r="A638" t="inlineStr">
        <is>
          <t>A 48756-2021</t>
        </is>
      </c>
      <c r="B638" s="1" t="n">
        <v>44452</v>
      </c>
      <c r="C638" s="1" t="n">
        <v>45899</v>
      </c>
      <c r="D638" t="inlineStr">
        <is>
          <t>VÄSTERBOTTENS LÄN</t>
        </is>
      </c>
      <c r="E638" t="inlineStr">
        <is>
          <t>VILHELMINA</t>
        </is>
      </c>
      <c r="G638" t="n">
        <v>13.3</v>
      </c>
      <c r="H638" t="n">
        <v>0</v>
      </c>
      <c r="I638" t="n">
        <v>0</v>
      </c>
      <c r="J638" t="n">
        <v>0</v>
      </c>
      <c r="K638" t="n">
        <v>0</v>
      </c>
      <c r="L638" t="n">
        <v>0</v>
      </c>
      <c r="M638" t="n">
        <v>0</v>
      </c>
      <c r="N638" t="n">
        <v>0</v>
      </c>
      <c r="O638" t="n">
        <v>0</v>
      </c>
      <c r="P638" t="n">
        <v>0</v>
      </c>
      <c r="Q638" t="n">
        <v>0</v>
      </c>
      <c r="R638" s="2" t="inlineStr"/>
    </row>
    <row r="639" ht="15" customHeight="1">
      <c r="A639" t="inlineStr">
        <is>
          <t>A 38454-2025</t>
        </is>
      </c>
      <c r="B639" s="1" t="n">
        <v>45883.67839120371</v>
      </c>
      <c r="C639" s="1" t="n">
        <v>45899</v>
      </c>
      <c r="D639" t="inlineStr">
        <is>
          <t>VÄSTERBOTTENS LÄN</t>
        </is>
      </c>
      <c r="E639" t="inlineStr">
        <is>
          <t>VILHELMINA</t>
        </is>
      </c>
      <c r="G639" t="n">
        <v>4.8</v>
      </c>
      <c r="H639" t="n">
        <v>0</v>
      </c>
      <c r="I639" t="n">
        <v>0</v>
      </c>
      <c r="J639" t="n">
        <v>0</v>
      </c>
      <c r="K639" t="n">
        <v>0</v>
      </c>
      <c r="L639" t="n">
        <v>0</v>
      </c>
      <c r="M639" t="n">
        <v>0</v>
      </c>
      <c r="N639" t="n">
        <v>0</v>
      </c>
      <c r="O639" t="n">
        <v>0</v>
      </c>
      <c r="P639" t="n">
        <v>0</v>
      </c>
      <c r="Q639" t="n">
        <v>0</v>
      </c>
      <c r="R639" s="2" t="inlineStr"/>
    </row>
    <row r="640" ht="15" customHeight="1">
      <c r="A640" t="inlineStr">
        <is>
          <t>A 54727-2024</t>
        </is>
      </c>
      <c r="B640" s="1" t="n">
        <v>45618.43804398148</v>
      </c>
      <c r="C640" s="1" t="n">
        <v>45899</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54804-2024</t>
        </is>
      </c>
      <c r="B641" s="1" t="n">
        <v>45618</v>
      </c>
      <c r="C641" s="1" t="n">
        <v>45899</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38355-2025</t>
        </is>
      </c>
      <c r="B642" s="1" t="n">
        <v>45883.53228009259</v>
      </c>
      <c r="C642" s="1" t="n">
        <v>45899</v>
      </c>
      <c r="D642" t="inlineStr">
        <is>
          <t>VÄSTERBOTTENS LÄN</t>
        </is>
      </c>
      <c r="E642" t="inlineStr">
        <is>
          <t>VILHELMINA</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33322-2025</t>
        </is>
      </c>
      <c r="B643" s="1" t="n">
        <v>45841.3452662037</v>
      </c>
      <c r="C643" s="1" t="n">
        <v>45899</v>
      </c>
      <c r="D643" t="inlineStr">
        <is>
          <t>VÄSTERBOTTENS LÄN</t>
        </is>
      </c>
      <c r="E643" t="inlineStr">
        <is>
          <t>VILHELMINA</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38357-2025</t>
        </is>
      </c>
      <c r="B644" s="1" t="n">
        <v>45883.53263888889</v>
      </c>
      <c r="C644" s="1" t="n">
        <v>45899</v>
      </c>
      <c r="D644" t="inlineStr">
        <is>
          <t>VÄSTERBOTTENS LÄN</t>
        </is>
      </c>
      <c r="E644" t="inlineStr">
        <is>
          <t>VILHELMINA</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38356-2025</t>
        </is>
      </c>
      <c r="B645" s="1" t="n">
        <v>45883.53247685185</v>
      </c>
      <c r="C645" s="1" t="n">
        <v>45899</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38360-2025</t>
        </is>
      </c>
      <c r="B646" s="1" t="n">
        <v>45883.53290509259</v>
      </c>
      <c r="C646" s="1" t="n">
        <v>45899</v>
      </c>
      <c r="D646" t="inlineStr">
        <is>
          <t>VÄSTERBOTTENS LÄN</t>
        </is>
      </c>
      <c r="E646" t="inlineStr">
        <is>
          <t>VILHELMINA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38243-2025</t>
        </is>
      </c>
      <c r="B647" s="1" t="n">
        <v>45883.36553240741</v>
      </c>
      <c r="C647" s="1" t="n">
        <v>45899</v>
      </c>
      <c r="D647" t="inlineStr">
        <is>
          <t>VÄSTERBOTTENS LÄN</t>
        </is>
      </c>
      <c r="E647" t="inlineStr">
        <is>
          <t>VILHELMINA</t>
        </is>
      </c>
      <c r="G647" t="n">
        <v>4.7</v>
      </c>
      <c r="H647" t="n">
        <v>0</v>
      </c>
      <c r="I647" t="n">
        <v>0</v>
      </c>
      <c r="J647" t="n">
        <v>0</v>
      </c>
      <c r="K647" t="n">
        <v>0</v>
      </c>
      <c r="L647" t="n">
        <v>0</v>
      </c>
      <c r="M647" t="n">
        <v>0</v>
      </c>
      <c r="N647" t="n">
        <v>0</v>
      </c>
      <c r="O647" t="n">
        <v>0</v>
      </c>
      <c r="P647" t="n">
        <v>0</v>
      </c>
      <c r="Q647" t="n">
        <v>0</v>
      </c>
      <c r="R647" s="2" t="inlineStr"/>
    </row>
    <row r="648" ht="15" customHeight="1">
      <c r="A648" t="inlineStr">
        <is>
          <t>A 38429-2025</t>
        </is>
      </c>
      <c r="B648" s="1" t="n">
        <v>45883.63638888889</v>
      </c>
      <c r="C648" s="1" t="n">
        <v>45899</v>
      </c>
      <c r="D648" t="inlineStr">
        <is>
          <t>VÄSTERBOTTENS LÄN</t>
        </is>
      </c>
      <c r="E648" t="inlineStr">
        <is>
          <t>VILHELMINA</t>
        </is>
      </c>
      <c r="G648" t="n">
        <v>5.5</v>
      </c>
      <c r="H648" t="n">
        <v>0</v>
      </c>
      <c r="I648" t="n">
        <v>0</v>
      </c>
      <c r="J648" t="n">
        <v>0</v>
      </c>
      <c r="K648" t="n">
        <v>0</v>
      </c>
      <c r="L648" t="n">
        <v>0</v>
      </c>
      <c r="M648" t="n">
        <v>0</v>
      </c>
      <c r="N648" t="n">
        <v>0</v>
      </c>
      <c r="O648" t="n">
        <v>0</v>
      </c>
      <c r="P648" t="n">
        <v>0</v>
      </c>
      <c r="Q648" t="n">
        <v>0</v>
      </c>
      <c r="R648" s="2" t="inlineStr"/>
    </row>
    <row r="649" ht="15" customHeight="1">
      <c r="A649" t="inlineStr">
        <is>
          <t>A 38430-2025</t>
        </is>
      </c>
      <c r="B649" s="1" t="n">
        <v>45883.6364699074</v>
      </c>
      <c r="C649" s="1" t="n">
        <v>45899</v>
      </c>
      <c r="D649" t="inlineStr">
        <is>
          <t>VÄSTERBOTTENS LÄN</t>
        </is>
      </c>
      <c r="E649" t="inlineStr">
        <is>
          <t>VILHELMINA</t>
        </is>
      </c>
      <c r="G649" t="n">
        <v>36.7</v>
      </c>
      <c r="H649" t="n">
        <v>0</v>
      </c>
      <c r="I649" t="n">
        <v>0</v>
      </c>
      <c r="J649" t="n">
        <v>0</v>
      </c>
      <c r="K649" t="n">
        <v>0</v>
      </c>
      <c r="L649" t="n">
        <v>0</v>
      </c>
      <c r="M649" t="n">
        <v>0</v>
      </c>
      <c r="N649" t="n">
        <v>0</v>
      </c>
      <c r="O649" t="n">
        <v>0</v>
      </c>
      <c r="P649" t="n">
        <v>0</v>
      </c>
      <c r="Q649" t="n">
        <v>0</v>
      </c>
      <c r="R649" s="2" t="inlineStr"/>
    </row>
    <row r="650" ht="15" customHeight="1">
      <c r="A650" t="inlineStr">
        <is>
          <t>A 20653-2021</t>
        </is>
      </c>
      <c r="B650" s="1" t="n">
        <v>44316.41677083333</v>
      </c>
      <c r="C650" s="1" t="n">
        <v>45899</v>
      </c>
      <c r="D650" t="inlineStr">
        <is>
          <t>VÄSTERBOTTENS LÄN</t>
        </is>
      </c>
      <c r="E650" t="inlineStr">
        <is>
          <t>VILHELMINA</t>
        </is>
      </c>
      <c r="F650" t="inlineStr">
        <is>
          <t>Kommuner</t>
        </is>
      </c>
      <c r="G650" t="n">
        <v>2.5</v>
      </c>
      <c r="H650" t="n">
        <v>0</v>
      </c>
      <c r="I650" t="n">
        <v>0</v>
      </c>
      <c r="J650" t="n">
        <v>0</v>
      </c>
      <c r="K650" t="n">
        <v>0</v>
      </c>
      <c r="L650" t="n">
        <v>0</v>
      </c>
      <c r="M650" t="n">
        <v>0</v>
      </c>
      <c r="N650" t="n">
        <v>0</v>
      </c>
      <c r="O650" t="n">
        <v>0</v>
      </c>
      <c r="P650" t="n">
        <v>0</v>
      </c>
      <c r="Q650" t="n">
        <v>0</v>
      </c>
      <c r="R650" s="2" t="inlineStr"/>
    </row>
    <row r="651" ht="15" customHeight="1">
      <c r="A651" t="inlineStr">
        <is>
          <t>A 38242-2025</t>
        </is>
      </c>
      <c r="B651" s="1" t="n">
        <v>45883.36547453704</v>
      </c>
      <c r="C651" s="1" t="n">
        <v>45899</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11114-2022</t>
        </is>
      </c>
      <c r="B652" s="1" t="n">
        <v>44628.925625</v>
      </c>
      <c r="C652" s="1" t="n">
        <v>45899</v>
      </c>
      <c r="D652" t="inlineStr">
        <is>
          <t>VÄSTERBOTTENS LÄN</t>
        </is>
      </c>
      <c r="E652" t="inlineStr">
        <is>
          <t>VILHELMINA</t>
        </is>
      </c>
      <c r="G652" t="n">
        <v>8.6</v>
      </c>
      <c r="H652" t="n">
        <v>0</v>
      </c>
      <c r="I652" t="n">
        <v>0</v>
      </c>
      <c r="J652" t="n">
        <v>0</v>
      </c>
      <c r="K652" t="n">
        <v>0</v>
      </c>
      <c r="L652" t="n">
        <v>0</v>
      </c>
      <c r="M652" t="n">
        <v>0</v>
      </c>
      <c r="N652" t="n">
        <v>0</v>
      </c>
      <c r="O652" t="n">
        <v>0</v>
      </c>
      <c r="P652" t="n">
        <v>0</v>
      </c>
      <c r="Q652" t="n">
        <v>0</v>
      </c>
      <c r="R652" s="2" t="inlineStr"/>
    </row>
    <row r="653" ht="15" customHeight="1">
      <c r="A653" t="inlineStr">
        <is>
          <t>A 20510-2024</t>
        </is>
      </c>
      <c r="B653" s="1" t="n">
        <v>45435.94324074074</v>
      </c>
      <c r="C653" s="1" t="n">
        <v>45899</v>
      </c>
      <c r="D653" t="inlineStr">
        <is>
          <t>VÄSTERBOTTENS LÄN</t>
        </is>
      </c>
      <c r="E653" t="inlineStr">
        <is>
          <t>VILHELMINA</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20523-2024</t>
        </is>
      </c>
      <c r="B654" s="1" t="n">
        <v>45435.94553240741</v>
      </c>
      <c r="C654" s="1" t="n">
        <v>45899</v>
      </c>
      <c r="D654" t="inlineStr">
        <is>
          <t>VÄSTERBOTTENS LÄN</t>
        </is>
      </c>
      <c r="E654" t="inlineStr">
        <is>
          <t>VILHELMINA</t>
        </is>
      </c>
      <c r="F654" t="inlineStr">
        <is>
          <t>SCA</t>
        </is>
      </c>
      <c r="G654" t="n">
        <v>3.2</v>
      </c>
      <c r="H654" t="n">
        <v>0</v>
      </c>
      <c r="I654" t="n">
        <v>0</v>
      </c>
      <c r="J654" t="n">
        <v>0</v>
      </c>
      <c r="K654" t="n">
        <v>0</v>
      </c>
      <c r="L654" t="n">
        <v>0</v>
      </c>
      <c r="M654" t="n">
        <v>0</v>
      </c>
      <c r="N654" t="n">
        <v>0</v>
      </c>
      <c r="O654" t="n">
        <v>0</v>
      </c>
      <c r="P654" t="n">
        <v>0</v>
      </c>
      <c r="Q654" t="n">
        <v>0</v>
      </c>
      <c r="R654" s="2" t="inlineStr"/>
    </row>
    <row r="655" ht="15" customHeight="1">
      <c r="A655" t="inlineStr">
        <is>
          <t>A 33641-2025</t>
        </is>
      </c>
      <c r="B655" s="1" t="n">
        <v>45841.65045138889</v>
      </c>
      <c r="C655" s="1" t="n">
        <v>45899</v>
      </c>
      <c r="D655" t="inlineStr">
        <is>
          <t>VÄSTERBOTTENS LÄN</t>
        </is>
      </c>
      <c r="E655" t="inlineStr">
        <is>
          <t>VILHELMINA</t>
        </is>
      </c>
      <c r="G655" t="n">
        <v>7.3</v>
      </c>
      <c r="H655" t="n">
        <v>0</v>
      </c>
      <c r="I655" t="n">
        <v>0</v>
      </c>
      <c r="J655" t="n">
        <v>0</v>
      </c>
      <c r="K655" t="n">
        <v>0</v>
      </c>
      <c r="L655" t="n">
        <v>0</v>
      </c>
      <c r="M655" t="n">
        <v>0</v>
      </c>
      <c r="N655" t="n">
        <v>0</v>
      </c>
      <c r="O655" t="n">
        <v>0</v>
      </c>
      <c r="P655" t="n">
        <v>0</v>
      </c>
      <c r="Q655" t="n">
        <v>0</v>
      </c>
      <c r="R655" s="2" t="inlineStr"/>
    </row>
    <row r="656" ht="15" customHeight="1">
      <c r="A656" t="inlineStr">
        <is>
          <t>A 32455-2024</t>
        </is>
      </c>
      <c r="B656" s="1" t="n">
        <v>45512.95870370371</v>
      </c>
      <c r="C656" s="1" t="n">
        <v>45899</v>
      </c>
      <c r="D656" t="inlineStr">
        <is>
          <t>VÄSTERBOTTENS LÄN</t>
        </is>
      </c>
      <c r="E656" t="inlineStr">
        <is>
          <t>VILHELMINA</t>
        </is>
      </c>
      <c r="F656" t="inlineStr">
        <is>
          <t>SCA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38597-2025</t>
        </is>
      </c>
      <c r="B657" s="1" t="n">
        <v>45884.49061342593</v>
      </c>
      <c r="C657" s="1" t="n">
        <v>45899</v>
      </c>
      <c r="D657" t="inlineStr">
        <is>
          <t>VÄSTERBOTTENS LÄN</t>
        </is>
      </c>
      <c r="E657" t="inlineStr">
        <is>
          <t>VILHELMINA</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38580-2025</t>
        </is>
      </c>
      <c r="B658" s="1" t="n">
        <v>45884.46951388889</v>
      </c>
      <c r="C658" s="1" t="n">
        <v>45899</v>
      </c>
      <c r="D658" t="inlineStr">
        <is>
          <t>VÄSTERBOTTENS LÄN</t>
        </is>
      </c>
      <c r="E658" t="inlineStr">
        <is>
          <t>VILHELMINA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56763-2023</t>
        </is>
      </c>
      <c r="B659" s="1" t="n">
        <v>45238</v>
      </c>
      <c r="C659" s="1" t="n">
        <v>45899</v>
      </c>
      <c r="D659" t="inlineStr">
        <is>
          <t>VÄSTERBOTTENS LÄN</t>
        </is>
      </c>
      <c r="E659" t="inlineStr">
        <is>
          <t>VILHELMINA</t>
        </is>
      </c>
      <c r="F659" t="inlineStr">
        <is>
          <t>Allmännings- och besparingsskogar</t>
        </is>
      </c>
      <c r="G659" t="n">
        <v>77</v>
      </c>
      <c r="H659" t="n">
        <v>0</v>
      </c>
      <c r="I659" t="n">
        <v>0</v>
      </c>
      <c r="J659" t="n">
        <v>0</v>
      </c>
      <c r="K659" t="n">
        <v>0</v>
      </c>
      <c r="L659" t="n">
        <v>0</v>
      </c>
      <c r="M659" t="n">
        <v>0</v>
      </c>
      <c r="N659" t="n">
        <v>0</v>
      </c>
      <c r="O659" t="n">
        <v>0</v>
      </c>
      <c r="P659" t="n">
        <v>0</v>
      </c>
      <c r="Q659" t="n">
        <v>0</v>
      </c>
      <c r="R659" s="2" t="inlineStr"/>
    </row>
    <row r="660" ht="15" customHeight="1">
      <c r="A660" t="inlineStr">
        <is>
          <t>A 37346-2024</t>
        </is>
      </c>
      <c r="B660" s="1" t="n">
        <v>45540</v>
      </c>
      <c r="C660" s="1" t="n">
        <v>45899</v>
      </c>
      <c r="D660" t="inlineStr">
        <is>
          <t>VÄSTERBOTTENS LÄN</t>
        </is>
      </c>
      <c r="E660" t="inlineStr">
        <is>
          <t>VILHELMINA</t>
        </is>
      </c>
      <c r="G660" t="n">
        <v>100.3</v>
      </c>
      <c r="H660" t="n">
        <v>0</v>
      </c>
      <c r="I660" t="n">
        <v>0</v>
      </c>
      <c r="J660" t="n">
        <v>0</v>
      </c>
      <c r="K660" t="n">
        <v>0</v>
      </c>
      <c r="L660" t="n">
        <v>0</v>
      </c>
      <c r="M660" t="n">
        <v>0</v>
      </c>
      <c r="N660" t="n">
        <v>0</v>
      </c>
      <c r="O660" t="n">
        <v>0</v>
      </c>
      <c r="P660" t="n">
        <v>0</v>
      </c>
      <c r="Q660" t="n">
        <v>0</v>
      </c>
      <c r="R660" s="2" t="inlineStr"/>
    </row>
    <row r="661" ht="15" customHeight="1">
      <c r="A661" t="inlineStr">
        <is>
          <t>A 35757-2023</t>
        </is>
      </c>
      <c r="B661" s="1" t="n">
        <v>45147.95444444445</v>
      </c>
      <c r="C661" s="1" t="n">
        <v>45899</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72-2025</t>
        </is>
      </c>
      <c r="B662" s="1" t="n">
        <v>45659</v>
      </c>
      <c r="C662" s="1" t="n">
        <v>45899</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9181-2023</t>
        </is>
      </c>
      <c r="B663" s="1" t="n">
        <v>44972</v>
      </c>
      <c r="C663" s="1" t="n">
        <v>45899</v>
      </c>
      <c r="D663" t="inlineStr">
        <is>
          <t>VÄSTERBOTTENS LÄN</t>
        </is>
      </c>
      <c r="E663" t="inlineStr">
        <is>
          <t>VILHELMINA</t>
        </is>
      </c>
      <c r="F663" t="inlineStr">
        <is>
          <t>Allmännings- och besparingsskogar</t>
        </is>
      </c>
      <c r="G663" t="n">
        <v>220.1</v>
      </c>
      <c r="H663" t="n">
        <v>0</v>
      </c>
      <c r="I663" t="n">
        <v>0</v>
      </c>
      <c r="J663" t="n">
        <v>0</v>
      </c>
      <c r="K663" t="n">
        <v>0</v>
      </c>
      <c r="L663" t="n">
        <v>0</v>
      </c>
      <c r="M663" t="n">
        <v>0</v>
      </c>
      <c r="N663" t="n">
        <v>0</v>
      </c>
      <c r="O663" t="n">
        <v>0</v>
      </c>
      <c r="P663" t="n">
        <v>0</v>
      </c>
      <c r="Q663" t="n">
        <v>0</v>
      </c>
      <c r="R663" s="2" t="inlineStr"/>
    </row>
    <row r="664" ht="15" customHeight="1">
      <c r="A664" t="inlineStr">
        <is>
          <t>A 34413-2025</t>
        </is>
      </c>
      <c r="B664" s="1" t="n">
        <v>45845</v>
      </c>
      <c r="C664" s="1" t="n">
        <v>45899</v>
      </c>
      <c r="D664" t="inlineStr">
        <is>
          <t>VÄSTERBOTTENS LÄN</t>
        </is>
      </c>
      <c r="E664" t="inlineStr">
        <is>
          <t>VILHELMINA</t>
        </is>
      </c>
      <c r="G664" t="n">
        <v>6.8</v>
      </c>
      <c r="H664" t="n">
        <v>0</v>
      </c>
      <c r="I664" t="n">
        <v>0</v>
      </c>
      <c r="J664" t="n">
        <v>0</v>
      </c>
      <c r="K664" t="n">
        <v>0</v>
      </c>
      <c r="L664" t="n">
        <v>0</v>
      </c>
      <c r="M664" t="n">
        <v>0</v>
      </c>
      <c r="N664" t="n">
        <v>0</v>
      </c>
      <c r="O664" t="n">
        <v>0</v>
      </c>
      <c r="P664" t="n">
        <v>0</v>
      </c>
      <c r="Q664" t="n">
        <v>0</v>
      </c>
      <c r="R664" s="2" t="inlineStr"/>
    </row>
    <row r="665" ht="15" customHeight="1">
      <c r="A665" t="inlineStr">
        <is>
          <t>A 39138-2025</t>
        </is>
      </c>
      <c r="B665" s="1" t="n">
        <v>45888.59435185185</v>
      </c>
      <c r="C665" s="1" t="n">
        <v>45899</v>
      </c>
      <c r="D665" t="inlineStr">
        <is>
          <t>VÄSTERBOTTENS LÄN</t>
        </is>
      </c>
      <c r="E665" t="inlineStr">
        <is>
          <t>VILHELMINA</t>
        </is>
      </c>
      <c r="G665" t="n">
        <v>6.7</v>
      </c>
      <c r="H665" t="n">
        <v>0</v>
      </c>
      <c r="I665" t="n">
        <v>0</v>
      </c>
      <c r="J665" t="n">
        <v>0</v>
      </c>
      <c r="K665" t="n">
        <v>0</v>
      </c>
      <c r="L665" t="n">
        <v>0</v>
      </c>
      <c r="M665" t="n">
        <v>0</v>
      </c>
      <c r="N665" t="n">
        <v>0</v>
      </c>
      <c r="O665" t="n">
        <v>0</v>
      </c>
      <c r="P665" t="n">
        <v>0</v>
      </c>
      <c r="Q665" t="n">
        <v>0</v>
      </c>
      <c r="R665" s="2" t="inlineStr"/>
    </row>
    <row r="666" ht="15" customHeight="1">
      <c r="A666" t="inlineStr">
        <is>
          <t>A 54457-2024</t>
        </is>
      </c>
      <c r="B666" s="1" t="n">
        <v>45617</v>
      </c>
      <c r="C666" s="1" t="n">
        <v>45899</v>
      </c>
      <c r="D666" t="inlineStr">
        <is>
          <t>VÄSTERBOTTENS LÄN</t>
        </is>
      </c>
      <c r="E666" t="inlineStr">
        <is>
          <t>VILHELMINA</t>
        </is>
      </c>
      <c r="F666" t="inlineStr">
        <is>
          <t>SCA</t>
        </is>
      </c>
      <c r="G666" t="n">
        <v>8</v>
      </c>
      <c r="H666" t="n">
        <v>0</v>
      </c>
      <c r="I666" t="n">
        <v>0</v>
      </c>
      <c r="J666" t="n">
        <v>0</v>
      </c>
      <c r="K666" t="n">
        <v>0</v>
      </c>
      <c r="L666" t="n">
        <v>0</v>
      </c>
      <c r="M666" t="n">
        <v>0</v>
      </c>
      <c r="N666" t="n">
        <v>0</v>
      </c>
      <c r="O666" t="n">
        <v>0</v>
      </c>
      <c r="P666" t="n">
        <v>0</v>
      </c>
      <c r="Q666" t="n">
        <v>0</v>
      </c>
      <c r="R666" s="2" t="inlineStr"/>
    </row>
    <row r="667" ht="15" customHeight="1">
      <c r="A667" t="inlineStr">
        <is>
          <t>A 26143-2025</t>
        </is>
      </c>
      <c r="B667" s="1" t="n">
        <v>45805</v>
      </c>
      <c r="C667" s="1" t="n">
        <v>45899</v>
      </c>
      <c r="D667" t="inlineStr">
        <is>
          <t>VÄSTERBOTTENS LÄN</t>
        </is>
      </c>
      <c r="E667" t="inlineStr">
        <is>
          <t>VILHELMINA</t>
        </is>
      </c>
      <c r="G667" t="n">
        <v>20</v>
      </c>
      <c r="H667" t="n">
        <v>0</v>
      </c>
      <c r="I667" t="n">
        <v>0</v>
      </c>
      <c r="J667" t="n">
        <v>0</v>
      </c>
      <c r="K667" t="n">
        <v>0</v>
      </c>
      <c r="L667" t="n">
        <v>0</v>
      </c>
      <c r="M667" t="n">
        <v>0</v>
      </c>
      <c r="N667" t="n">
        <v>0</v>
      </c>
      <c r="O667" t="n">
        <v>0</v>
      </c>
      <c r="P667" t="n">
        <v>0</v>
      </c>
      <c r="Q667" t="n">
        <v>0</v>
      </c>
      <c r="R667" s="2" t="inlineStr"/>
    </row>
    <row r="668" ht="15" customHeight="1">
      <c r="A668" t="inlineStr">
        <is>
          <t>A 31851-2024</t>
        </is>
      </c>
      <c r="B668" s="1" t="n">
        <v>45509</v>
      </c>
      <c r="C668" s="1" t="n">
        <v>45899</v>
      </c>
      <c r="D668" t="inlineStr">
        <is>
          <t>VÄSTERBOTTENS LÄN</t>
        </is>
      </c>
      <c r="E668" t="inlineStr">
        <is>
          <t>VILHELMINA</t>
        </is>
      </c>
      <c r="G668" t="n">
        <v>5.1</v>
      </c>
      <c r="H668" t="n">
        <v>0</v>
      </c>
      <c r="I668" t="n">
        <v>0</v>
      </c>
      <c r="J668" t="n">
        <v>0</v>
      </c>
      <c r="K668" t="n">
        <v>0</v>
      </c>
      <c r="L668" t="n">
        <v>0</v>
      </c>
      <c r="M668" t="n">
        <v>0</v>
      </c>
      <c r="N668" t="n">
        <v>0</v>
      </c>
      <c r="O668" t="n">
        <v>0</v>
      </c>
      <c r="P668" t="n">
        <v>0</v>
      </c>
      <c r="Q668" t="n">
        <v>0</v>
      </c>
      <c r="R668" s="2" t="inlineStr"/>
    </row>
    <row r="669" ht="15" customHeight="1">
      <c r="A669" t="inlineStr">
        <is>
          <t>A 26553-2023</t>
        </is>
      </c>
      <c r="B669" s="1" t="n">
        <v>45089</v>
      </c>
      <c r="C669" s="1" t="n">
        <v>45899</v>
      </c>
      <c r="D669" t="inlineStr">
        <is>
          <t>VÄSTERBOTTENS LÄN</t>
        </is>
      </c>
      <c r="E669" t="inlineStr">
        <is>
          <t>VILHELMINA</t>
        </is>
      </c>
      <c r="G669" t="n">
        <v>5.5</v>
      </c>
      <c r="H669" t="n">
        <v>0</v>
      </c>
      <c r="I669" t="n">
        <v>0</v>
      </c>
      <c r="J669" t="n">
        <v>0</v>
      </c>
      <c r="K669" t="n">
        <v>0</v>
      </c>
      <c r="L669" t="n">
        <v>0</v>
      </c>
      <c r="M669" t="n">
        <v>0</v>
      </c>
      <c r="N669" t="n">
        <v>0</v>
      </c>
      <c r="O669" t="n">
        <v>0</v>
      </c>
      <c r="P669" t="n">
        <v>0</v>
      </c>
      <c r="Q669" t="n">
        <v>0</v>
      </c>
      <c r="R669" s="2" t="inlineStr"/>
    </row>
    <row r="670" ht="15" customHeight="1">
      <c r="A670" t="inlineStr">
        <is>
          <t>A 59022-2024</t>
        </is>
      </c>
      <c r="B670" s="1" t="n">
        <v>45636</v>
      </c>
      <c r="C670" s="1" t="n">
        <v>45899</v>
      </c>
      <c r="D670" t="inlineStr">
        <is>
          <t>VÄSTERBOTTENS LÄN</t>
        </is>
      </c>
      <c r="E670" t="inlineStr">
        <is>
          <t>VILHELMINA</t>
        </is>
      </c>
      <c r="F670" t="inlineStr">
        <is>
          <t>Allmännings- och besparingsskogar</t>
        </is>
      </c>
      <c r="G670" t="n">
        <v>35.1</v>
      </c>
      <c r="H670" t="n">
        <v>0</v>
      </c>
      <c r="I670" t="n">
        <v>0</v>
      </c>
      <c r="J670" t="n">
        <v>0</v>
      </c>
      <c r="K670" t="n">
        <v>0</v>
      </c>
      <c r="L670" t="n">
        <v>0</v>
      </c>
      <c r="M670" t="n">
        <v>0</v>
      </c>
      <c r="N670" t="n">
        <v>0</v>
      </c>
      <c r="O670" t="n">
        <v>0</v>
      </c>
      <c r="P670" t="n">
        <v>0</v>
      </c>
      <c r="Q670" t="n">
        <v>0</v>
      </c>
      <c r="R670" s="2" t="inlineStr"/>
    </row>
    <row r="671" ht="15" customHeight="1">
      <c r="A671" t="inlineStr">
        <is>
          <t>A 58934-2024</t>
        </is>
      </c>
      <c r="B671" s="1" t="n">
        <v>45636</v>
      </c>
      <c r="C671" s="1" t="n">
        <v>45899</v>
      </c>
      <c r="D671" t="inlineStr">
        <is>
          <t>VÄSTERBOTTENS LÄN</t>
        </is>
      </c>
      <c r="E671" t="inlineStr">
        <is>
          <t>VILHELMINA</t>
        </is>
      </c>
      <c r="F671" t="inlineStr">
        <is>
          <t>Allmännings- och besparingsskogar</t>
        </is>
      </c>
      <c r="G671" t="n">
        <v>45.6</v>
      </c>
      <c r="H671" t="n">
        <v>0</v>
      </c>
      <c r="I671" t="n">
        <v>0</v>
      </c>
      <c r="J671" t="n">
        <v>0</v>
      </c>
      <c r="K671" t="n">
        <v>0</v>
      </c>
      <c r="L671" t="n">
        <v>0</v>
      </c>
      <c r="M671" t="n">
        <v>0</v>
      </c>
      <c r="N671" t="n">
        <v>0</v>
      </c>
      <c r="O671" t="n">
        <v>0</v>
      </c>
      <c r="P671" t="n">
        <v>0</v>
      </c>
      <c r="Q671" t="n">
        <v>0</v>
      </c>
      <c r="R671" s="2" t="inlineStr"/>
    </row>
    <row r="672" ht="15" customHeight="1">
      <c r="A672" t="inlineStr">
        <is>
          <t>A 58943-2024</t>
        </is>
      </c>
      <c r="B672" s="1" t="n">
        <v>45636.5433449074</v>
      </c>
      <c r="C672" s="1" t="n">
        <v>45899</v>
      </c>
      <c r="D672" t="inlineStr">
        <is>
          <t>VÄSTERBOTTENS LÄN</t>
        </is>
      </c>
      <c r="E672" t="inlineStr">
        <is>
          <t>VILHELMINA</t>
        </is>
      </c>
      <c r="F672" t="inlineStr">
        <is>
          <t>Kommuner</t>
        </is>
      </c>
      <c r="G672" t="n">
        <v>4.1</v>
      </c>
      <c r="H672" t="n">
        <v>0</v>
      </c>
      <c r="I672" t="n">
        <v>0</v>
      </c>
      <c r="J672" t="n">
        <v>0</v>
      </c>
      <c r="K672" t="n">
        <v>0</v>
      </c>
      <c r="L672" t="n">
        <v>0</v>
      </c>
      <c r="M672" t="n">
        <v>0</v>
      </c>
      <c r="N672" t="n">
        <v>0</v>
      </c>
      <c r="O672" t="n">
        <v>0</v>
      </c>
      <c r="P672" t="n">
        <v>0</v>
      </c>
      <c r="Q672" t="n">
        <v>0</v>
      </c>
      <c r="R672" s="2" t="inlineStr"/>
    </row>
    <row r="673" ht="15" customHeight="1">
      <c r="A673" t="inlineStr">
        <is>
          <t>A 34253-2025</t>
        </is>
      </c>
      <c r="B673" s="1" t="n">
        <v>45845</v>
      </c>
      <c r="C673" s="1" t="n">
        <v>45899</v>
      </c>
      <c r="D673" t="inlineStr">
        <is>
          <t>VÄSTERBOTTENS LÄN</t>
        </is>
      </c>
      <c r="E673" t="inlineStr">
        <is>
          <t>VILHELMINA</t>
        </is>
      </c>
      <c r="G673" t="n">
        <v>14.3</v>
      </c>
      <c r="H673" t="n">
        <v>0</v>
      </c>
      <c r="I673" t="n">
        <v>0</v>
      </c>
      <c r="J673" t="n">
        <v>0</v>
      </c>
      <c r="K673" t="n">
        <v>0</v>
      </c>
      <c r="L673" t="n">
        <v>0</v>
      </c>
      <c r="M673" t="n">
        <v>0</v>
      </c>
      <c r="N673" t="n">
        <v>0</v>
      </c>
      <c r="O673" t="n">
        <v>0</v>
      </c>
      <c r="P673" t="n">
        <v>0</v>
      </c>
      <c r="Q673" t="n">
        <v>0</v>
      </c>
      <c r="R673" s="2" t="inlineStr"/>
    </row>
    <row r="674" ht="15" customHeight="1">
      <c r="A674" t="inlineStr">
        <is>
          <t>A 74-2025</t>
        </is>
      </c>
      <c r="B674" s="1" t="n">
        <v>45659</v>
      </c>
      <c r="C674" s="1" t="n">
        <v>45899</v>
      </c>
      <c r="D674" t="inlineStr">
        <is>
          <t>VÄSTERBOTTENS LÄN</t>
        </is>
      </c>
      <c r="E674" t="inlineStr">
        <is>
          <t>VILHELMINA</t>
        </is>
      </c>
      <c r="G674" t="n">
        <v>5.9</v>
      </c>
      <c r="H674" t="n">
        <v>0</v>
      </c>
      <c r="I674" t="n">
        <v>0</v>
      </c>
      <c r="J674" t="n">
        <v>0</v>
      </c>
      <c r="K674" t="n">
        <v>0</v>
      </c>
      <c r="L674" t="n">
        <v>0</v>
      </c>
      <c r="M674" t="n">
        <v>0</v>
      </c>
      <c r="N674" t="n">
        <v>0</v>
      </c>
      <c r="O674" t="n">
        <v>0</v>
      </c>
      <c r="P674" t="n">
        <v>0</v>
      </c>
      <c r="Q674" t="n">
        <v>0</v>
      </c>
      <c r="R674" s="2" t="inlineStr"/>
    </row>
    <row r="675" ht="15" customHeight="1">
      <c r="A675" t="inlineStr">
        <is>
          <t>A 78-2025</t>
        </is>
      </c>
      <c r="B675" s="1" t="n">
        <v>45659</v>
      </c>
      <c r="C675" s="1" t="n">
        <v>45899</v>
      </c>
      <c r="D675" t="inlineStr">
        <is>
          <t>VÄSTERBOTTENS LÄN</t>
        </is>
      </c>
      <c r="E675" t="inlineStr">
        <is>
          <t>VILHELMINA</t>
        </is>
      </c>
      <c r="G675" t="n">
        <v>7.3</v>
      </c>
      <c r="H675" t="n">
        <v>0</v>
      </c>
      <c r="I675" t="n">
        <v>0</v>
      </c>
      <c r="J675" t="n">
        <v>0</v>
      </c>
      <c r="K675" t="n">
        <v>0</v>
      </c>
      <c r="L675" t="n">
        <v>0</v>
      </c>
      <c r="M675" t="n">
        <v>0</v>
      </c>
      <c r="N675" t="n">
        <v>0</v>
      </c>
      <c r="O675" t="n">
        <v>0</v>
      </c>
      <c r="P675" t="n">
        <v>0</v>
      </c>
      <c r="Q675" t="n">
        <v>0</v>
      </c>
      <c r="R675" s="2" t="inlineStr"/>
    </row>
    <row r="676" ht="15" customHeight="1">
      <c r="A676" t="inlineStr">
        <is>
          <t>A 23278-2021</t>
        </is>
      </c>
      <c r="B676" s="1" t="n">
        <v>44328</v>
      </c>
      <c r="C676" s="1" t="n">
        <v>45899</v>
      </c>
      <c r="D676" t="inlineStr">
        <is>
          <t>VÄSTERBOTTENS LÄN</t>
        </is>
      </c>
      <c r="E676" t="inlineStr">
        <is>
          <t>VILHELMINA</t>
        </is>
      </c>
      <c r="F676" t="inlineStr">
        <is>
          <t>Allmännings- och besparingsskogar</t>
        </is>
      </c>
      <c r="G676" t="n">
        <v>13.6</v>
      </c>
      <c r="H676" t="n">
        <v>0</v>
      </c>
      <c r="I676" t="n">
        <v>0</v>
      </c>
      <c r="J676" t="n">
        <v>0</v>
      </c>
      <c r="K676" t="n">
        <v>0</v>
      </c>
      <c r="L676" t="n">
        <v>0</v>
      </c>
      <c r="M676" t="n">
        <v>0</v>
      </c>
      <c r="N676" t="n">
        <v>0</v>
      </c>
      <c r="O676" t="n">
        <v>0</v>
      </c>
      <c r="P676" t="n">
        <v>0</v>
      </c>
      <c r="Q676" t="n">
        <v>0</v>
      </c>
      <c r="R676" s="2" t="inlineStr"/>
    </row>
    <row r="677" ht="15" customHeight="1">
      <c r="A677" t="inlineStr">
        <is>
          <t>A 39320-2025</t>
        </is>
      </c>
      <c r="B677" s="1" t="n">
        <v>45889.46940972222</v>
      </c>
      <c r="C677" s="1" t="n">
        <v>45899</v>
      </c>
      <c r="D677" t="inlineStr">
        <is>
          <t>VÄSTERBOTTENS LÄN</t>
        </is>
      </c>
      <c r="E677" t="inlineStr">
        <is>
          <t>VILHELMINA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39571-2025</t>
        </is>
      </c>
      <c r="B678" s="1" t="n">
        <v>45890.49021990741</v>
      </c>
      <c r="C678" s="1" t="n">
        <v>45899</v>
      </c>
      <c r="D678" t="inlineStr">
        <is>
          <t>VÄSTERBOTTENS LÄN</t>
        </is>
      </c>
      <c r="E678" t="inlineStr">
        <is>
          <t>VILHELMINA</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54387-2024</t>
        </is>
      </c>
      <c r="B679" s="1" t="n">
        <v>45617</v>
      </c>
      <c r="C679" s="1" t="n">
        <v>45899</v>
      </c>
      <c r="D679" t="inlineStr">
        <is>
          <t>VÄSTERBOTTENS LÄN</t>
        </is>
      </c>
      <c r="E679" t="inlineStr">
        <is>
          <t>VILHELMINA</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39533-2025</t>
        </is>
      </c>
      <c r="B680" s="1" t="n">
        <v>45890.44863425926</v>
      </c>
      <c r="C680" s="1" t="n">
        <v>45899</v>
      </c>
      <c r="D680" t="inlineStr">
        <is>
          <t>VÄSTERBOTTENS LÄN</t>
        </is>
      </c>
      <c r="E680" t="inlineStr">
        <is>
          <t>VILHELMINA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34569-2025</t>
        </is>
      </c>
      <c r="B681" s="1" t="n">
        <v>45847.58480324074</v>
      </c>
      <c r="C681" s="1" t="n">
        <v>45899</v>
      </c>
      <c r="D681" t="inlineStr">
        <is>
          <t>VÄSTERBOTTENS LÄN</t>
        </is>
      </c>
      <c r="E681" t="inlineStr">
        <is>
          <t>VILHELMINA</t>
        </is>
      </c>
      <c r="G681" t="n">
        <v>5.3</v>
      </c>
      <c r="H681" t="n">
        <v>0</v>
      </c>
      <c r="I681" t="n">
        <v>0</v>
      </c>
      <c r="J681" t="n">
        <v>0</v>
      </c>
      <c r="K681" t="n">
        <v>0</v>
      </c>
      <c r="L681" t="n">
        <v>0</v>
      </c>
      <c r="M681" t="n">
        <v>0</v>
      </c>
      <c r="N681" t="n">
        <v>0</v>
      </c>
      <c r="O681" t="n">
        <v>0</v>
      </c>
      <c r="P681" t="n">
        <v>0</v>
      </c>
      <c r="Q681" t="n">
        <v>0</v>
      </c>
      <c r="R681" s="2" t="inlineStr"/>
    </row>
    <row r="682" ht="15" customHeight="1">
      <c r="A682" t="inlineStr">
        <is>
          <t>A 34542-2025</t>
        </is>
      </c>
      <c r="B682" s="1" t="n">
        <v>45847.53211805555</v>
      </c>
      <c r="C682" s="1" t="n">
        <v>45899</v>
      </c>
      <c r="D682" t="inlineStr">
        <is>
          <t>VÄSTERBOTTENS LÄN</t>
        </is>
      </c>
      <c r="E682" t="inlineStr">
        <is>
          <t>VILHELMINA</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41484-2022</t>
        </is>
      </c>
      <c r="B683" s="1" t="n">
        <v>44826</v>
      </c>
      <c r="C683" s="1" t="n">
        <v>45899</v>
      </c>
      <c r="D683" t="inlineStr">
        <is>
          <t>VÄSTERBOTTENS LÄN</t>
        </is>
      </c>
      <c r="E683" t="inlineStr">
        <is>
          <t>VILHELMINA</t>
        </is>
      </c>
      <c r="F683" t="inlineStr">
        <is>
          <t>SCA</t>
        </is>
      </c>
      <c r="G683" t="n">
        <v>18.1</v>
      </c>
      <c r="H683" t="n">
        <v>0</v>
      </c>
      <c r="I683" t="n">
        <v>0</v>
      </c>
      <c r="J683" t="n">
        <v>0</v>
      </c>
      <c r="K683" t="n">
        <v>0</v>
      </c>
      <c r="L683" t="n">
        <v>0</v>
      </c>
      <c r="M683" t="n">
        <v>0</v>
      </c>
      <c r="N683" t="n">
        <v>0</v>
      </c>
      <c r="O683" t="n">
        <v>0</v>
      </c>
      <c r="P683" t="n">
        <v>0</v>
      </c>
      <c r="Q683" t="n">
        <v>0</v>
      </c>
      <c r="R683" s="2" t="inlineStr"/>
    </row>
    <row r="684" ht="15" customHeight="1">
      <c r="A684" t="inlineStr">
        <is>
          <t>A 47253-2022</t>
        </is>
      </c>
      <c r="B684" s="1" t="n">
        <v>44852</v>
      </c>
      <c r="C684" s="1" t="n">
        <v>45899</v>
      </c>
      <c r="D684" t="inlineStr">
        <is>
          <t>VÄSTERBOTTENS LÄN</t>
        </is>
      </c>
      <c r="E684" t="inlineStr">
        <is>
          <t>VILHELMINA</t>
        </is>
      </c>
      <c r="F684" t="inlineStr">
        <is>
          <t>SCA</t>
        </is>
      </c>
      <c r="G684" t="n">
        <v>0.3</v>
      </c>
      <c r="H684" t="n">
        <v>0</v>
      </c>
      <c r="I684" t="n">
        <v>0</v>
      </c>
      <c r="J684" t="n">
        <v>0</v>
      </c>
      <c r="K684" t="n">
        <v>0</v>
      </c>
      <c r="L684" t="n">
        <v>0</v>
      </c>
      <c r="M684" t="n">
        <v>0</v>
      </c>
      <c r="N684" t="n">
        <v>0</v>
      </c>
      <c r="O684" t="n">
        <v>0</v>
      </c>
      <c r="P684" t="n">
        <v>0</v>
      </c>
      <c r="Q684" t="n">
        <v>0</v>
      </c>
      <c r="R684" s="2" t="inlineStr"/>
    </row>
    <row r="685" ht="15" customHeight="1">
      <c r="A685" t="inlineStr">
        <is>
          <t>A 34563-2025</t>
        </is>
      </c>
      <c r="B685" s="1" t="n">
        <v>45847.57950231482</v>
      </c>
      <c r="C685" s="1" t="n">
        <v>45899</v>
      </c>
      <c r="D685" t="inlineStr">
        <is>
          <t>VÄSTERBOTTENS LÄN</t>
        </is>
      </c>
      <c r="E685" t="inlineStr">
        <is>
          <t>VILHELMINA</t>
        </is>
      </c>
      <c r="G685" t="n">
        <v>20.6</v>
      </c>
      <c r="H685" t="n">
        <v>0</v>
      </c>
      <c r="I685" t="n">
        <v>0</v>
      </c>
      <c r="J685" t="n">
        <v>0</v>
      </c>
      <c r="K685" t="n">
        <v>0</v>
      </c>
      <c r="L685" t="n">
        <v>0</v>
      </c>
      <c r="M685" t="n">
        <v>0</v>
      </c>
      <c r="N685" t="n">
        <v>0</v>
      </c>
      <c r="O685" t="n">
        <v>0</v>
      </c>
      <c r="P685" t="n">
        <v>0</v>
      </c>
      <c r="Q685" t="n">
        <v>0</v>
      </c>
      <c r="R685" s="2" t="inlineStr"/>
    </row>
    <row r="686" ht="15" customHeight="1">
      <c r="A686" t="inlineStr">
        <is>
          <t>A 39558-2025</t>
        </is>
      </c>
      <c r="B686" s="1" t="n">
        <v>45890.46978009259</v>
      </c>
      <c r="C686" s="1" t="n">
        <v>45899</v>
      </c>
      <c r="D686" t="inlineStr">
        <is>
          <t>VÄSTERBOTTENS LÄN</t>
        </is>
      </c>
      <c r="E686" t="inlineStr">
        <is>
          <t>VILHELMINA</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39378-2025</t>
        </is>
      </c>
      <c r="B687" s="1" t="n">
        <v>45889.59453703704</v>
      </c>
      <c r="C687" s="1" t="n">
        <v>45899</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39534-2025</t>
        </is>
      </c>
      <c r="B688" s="1" t="n">
        <v>45890.44875</v>
      </c>
      <c r="C688" s="1" t="n">
        <v>45899</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40220-2025</t>
        </is>
      </c>
      <c r="B689" s="1" t="n">
        <v>45894</v>
      </c>
      <c r="C689" s="1" t="n">
        <v>45899</v>
      </c>
      <c r="D689" t="inlineStr">
        <is>
          <t>VÄSTERBOTTENS LÄN</t>
        </is>
      </c>
      <c r="E689" t="inlineStr">
        <is>
          <t>VILHELMINA</t>
        </is>
      </c>
      <c r="G689" t="n">
        <v>4.6</v>
      </c>
      <c r="H689" t="n">
        <v>0</v>
      </c>
      <c r="I689" t="n">
        <v>0</v>
      </c>
      <c r="J689" t="n">
        <v>0</v>
      </c>
      <c r="K689" t="n">
        <v>0</v>
      </c>
      <c r="L689" t="n">
        <v>0</v>
      </c>
      <c r="M689" t="n">
        <v>0</v>
      </c>
      <c r="N689" t="n">
        <v>0</v>
      </c>
      <c r="O689" t="n">
        <v>0</v>
      </c>
      <c r="P689" t="n">
        <v>0</v>
      </c>
      <c r="Q689" t="n">
        <v>0</v>
      </c>
      <c r="R689" s="2" t="inlineStr"/>
    </row>
    <row r="690" ht="15" customHeight="1">
      <c r="A690" t="inlineStr">
        <is>
          <t>A 47011-2024</t>
        </is>
      </c>
      <c r="B690" s="1" t="n">
        <v>45586.38592592593</v>
      </c>
      <c r="C690" s="1" t="n">
        <v>45899</v>
      </c>
      <c r="D690" t="inlineStr">
        <is>
          <t>VÄSTERBOTTENS LÄN</t>
        </is>
      </c>
      <c r="E690" t="inlineStr">
        <is>
          <t>VILHELMINA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35412-2024</t>
        </is>
      </c>
      <c r="B691" s="1" t="n">
        <v>45531.4075</v>
      </c>
      <c r="C691" s="1" t="n">
        <v>45899</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14961-2022</t>
        </is>
      </c>
      <c r="B692" s="1" t="n">
        <v>44657</v>
      </c>
      <c r="C692" s="1" t="n">
        <v>45899</v>
      </c>
      <c r="D692" t="inlineStr">
        <is>
          <t>VÄSTERBOTTENS LÄN</t>
        </is>
      </c>
      <c r="E692" t="inlineStr">
        <is>
          <t>VILHELMINA</t>
        </is>
      </c>
      <c r="G692" t="n">
        <v>19.9</v>
      </c>
      <c r="H692" t="n">
        <v>0</v>
      </c>
      <c r="I692" t="n">
        <v>0</v>
      </c>
      <c r="J692" t="n">
        <v>0</v>
      </c>
      <c r="K692" t="n">
        <v>0</v>
      </c>
      <c r="L692" t="n">
        <v>0</v>
      </c>
      <c r="M692" t="n">
        <v>0</v>
      </c>
      <c r="N692" t="n">
        <v>0</v>
      </c>
      <c r="O692" t="n">
        <v>0</v>
      </c>
      <c r="P692" t="n">
        <v>0</v>
      </c>
      <c r="Q692" t="n">
        <v>0</v>
      </c>
      <c r="R692" s="2" t="inlineStr"/>
    </row>
    <row r="693" ht="15" customHeight="1">
      <c r="A693" t="inlineStr">
        <is>
          <t>A 44634-2024</t>
        </is>
      </c>
      <c r="B693" s="1" t="n">
        <v>45574</v>
      </c>
      <c r="C693" s="1" t="n">
        <v>45899</v>
      </c>
      <c r="D693" t="inlineStr">
        <is>
          <t>VÄSTERBOTTENS LÄN</t>
        </is>
      </c>
      <c r="E693" t="inlineStr">
        <is>
          <t>VILHELMINA</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40196-2025</t>
        </is>
      </c>
      <c r="B694" s="1" t="n">
        <v>45894.65951388889</v>
      </c>
      <c r="C694" s="1" t="n">
        <v>45899</v>
      </c>
      <c r="D694" t="inlineStr">
        <is>
          <t>VÄSTERBOTTENS LÄN</t>
        </is>
      </c>
      <c r="E694" t="inlineStr">
        <is>
          <t>VILHELMINA</t>
        </is>
      </c>
      <c r="G694" t="n">
        <v>23.3</v>
      </c>
      <c r="H694" t="n">
        <v>0</v>
      </c>
      <c r="I694" t="n">
        <v>0</v>
      </c>
      <c r="J694" t="n">
        <v>0</v>
      </c>
      <c r="K694" t="n">
        <v>0</v>
      </c>
      <c r="L694" t="n">
        <v>0</v>
      </c>
      <c r="M694" t="n">
        <v>0</v>
      </c>
      <c r="N694" t="n">
        <v>0</v>
      </c>
      <c r="O694" t="n">
        <v>0</v>
      </c>
      <c r="P694" t="n">
        <v>0</v>
      </c>
      <c r="Q694" t="n">
        <v>0</v>
      </c>
      <c r="R694" s="2" t="inlineStr"/>
    </row>
    <row r="695" ht="15" customHeight="1">
      <c r="A695" t="inlineStr">
        <is>
          <t>A 40144-2025</t>
        </is>
      </c>
      <c r="B695" s="1" t="n">
        <v>45894.57322916666</v>
      </c>
      <c r="C695" s="1" t="n">
        <v>45899</v>
      </c>
      <c r="D695" t="inlineStr">
        <is>
          <t>VÄSTERBOTTENS LÄN</t>
        </is>
      </c>
      <c r="E695" t="inlineStr">
        <is>
          <t>VILHELMINA</t>
        </is>
      </c>
      <c r="G695" t="n">
        <v>6.3</v>
      </c>
      <c r="H695" t="n">
        <v>0</v>
      </c>
      <c r="I695" t="n">
        <v>0</v>
      </c>
      <c r="J695" t="n">
        <v>0</v>
      </c>
      <c r="K695" t="n">
        <v>0</v>
      </c>
      <c r="L695" t="n">
        <v>0</v>
      </c>
      <c r="M695" t="n">
        <v>0</v>
      </c>
      <c r="N695" t="n">
        <v>0</v>
      </c>
      <c r="O695" t="n">
        <v>0</v>
      </c>
      <c r="P695" t="n">
        <v>0</v>
      </c>
      <c r="Q695" t="n">
        <v>0</v>
      </c>
      <c r="R695" s="2" t="inlineStr"/>
    </row>
    <row r="696" ht="15" customHeight="1">
      <c r="A696" t="inlineStr">
        <is>
          <t>A 37505-2023</t>
        </is>
      </c>
      <c r="B696" s="1" t="n">
        <v>45158.31186342592</v>
      </c>
      <c r="C696" s="1" t="n">
        <v>45899</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66952-2021</t>
        </is>
      </c>
      <c r="B697" s="1" t="n">
        <v>44522</v>
      </c>
      <c r="C697" s="1" t="n">
        <v>45899</v>
      </c>
      <c r="D697" t="inlineStr">
        <is>
          <t>VÄSTERBOTTENS LÄN</t>
        </is>
      </c>
      <c r="E697" t="inlineStr">
        <is>
          <t>VILHELMINA</t>
        </is>
      </c>
      <c r="F697" t="inlineStr">
        <is>
          <t>Allmännings- och besparingsskogar</t>
        </is>
      </c>
      <c r="G697" t="n">
        <v>70</v>
      </c>
      <c r="H697" t="n">
        <v>0</v>
      </c>
      <c r="I697" t="n">
        <v>0</v>
      </c>
      <c r="J697" t="n">
        <v>0</v>
      </c>
      <c r="K697" t="n">
        <v>0</v>
      </c>
      <c r="L697" t="n">
        <v>0</v>
      </c>
      <c r="M697" t="n">
        <v>0</v>
      </c>
      <c r="N697" t="n">
        <v>0</v>
      </c>
      <c r="O697" t="n">
        <v>0</v>
      </c>
      <c r="P697" t="n">
        <v>0</v>
      </c>
      <c r="Q697" t="n">
        <v>0</v>
      </c>
      <c r="R697" s="2" t="inlineStr"/>
    </row>
    <row r="698" ht="15" customHeight="1">
      <c r="A698" t="inlineStr">
        <is>
          <t>A 3096-2021</t>
        </is>
      </c>
      <c r="B698" s="1" t="n">
        <v>44216.93865740741</v>
      </c>
      <c r="C698" s="1" t="n">
        <v>45899</v>
      </c>
      <c r="D698" t="inlineStr">
        <is>
          <t>VÄSTERBOTTENS LÄN</t>
        </is>
      </c>
      <c r="E698" t="inlineStr">
        <is>
          <t>VILHELMINA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26000-2023</t>
        </is>
      </c>
      <c r="B699" s="1" t="n">
        <v>45090</v>
      </c>
      <c r="C699" s="1" t="n">
        <v>45899</v>
      </c>
      <c r="D699" t="inlineStr">
        <is>
          <t>VÄSTERBOTTENS LÄN</t>
        </is>
      </c>
      <c r="E699" t="inlineStr">
        <is>
          <t>VILHELMINA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36669-2025</t>
        </is>
      </c>
      <c r="B700" s="1" t="n">
        <v>45873</v>
      </c>
      <c r="C700" s="1" t="n">
        <v>45899</v>
      </c>
      <c r="D700" t="inlineStr">
        <is>
          <t>VÄSTERBOTTENS LÄN</t>
        </is>
      </c>
      <c r="E700" t="inlineStr">
        <is>
          <t>VILHELMINA</t>
        </is>
      </c>
      <c r="G700" t="n">
        <v>12.5</v>
      </c>
      <c r="H700" t="n">
        <v>0</v>
      </c>
      <c r="I700" t="n">
        <v>0</v>
      </c>
      <c r="J700" t="n">
        <v>0</v>
      </c>
      <c r="K700" t="n">
        <v>0</v>
      </c>
      <c r="L700" t="n">
        <v>0</v>
      </c>
      <c r="M700" t="n">
        <v>0</v>
      </c>
      <c r="N700" t="n">
        <v>0</v>
      </c>
      <c r="O700" t="n">
        <v>0</v>
      </c>
      <c r="P700" t="n">
        <v>0</v>
      </c>
      <c r="Q700" t="n">
        <v>0</v>
      </c>
      <c r="R700" s="2" t="inlineStr"/>
    </row>
    <row r="701" ht="15" customHeight="1">
      <c r="A701" t="inlineStr">
        <is>
          <t>A 27881-2022</t>
        </is>
      </c>
      <c r="B701" s="1" t="n">
        <v>44743</v>
      </c>
      <c r="C701" s="1" t="n">
        <v>45899</v>
      </c>
      <c r="D701" t="inlineStr">
        <is>
          <t>VÄSTERBOTTENS LÄN</t>
        </is>
      </c>
      <c r="E701" t="inlineStr">
        <is>
          <t>VILHELMINA</t>
        </is>
      </c>
      <c r="F701" t="inlineStr">
        <is>
          <t>Sveaskog</t>
        </is>
      </c>
      <c r="G701" t="n">
        <v>14.3</v>
      </c>
      <c r="H701" t="n">
        <v>0</v>
      </c>
      <c r="I701" t="n">
        <v>0</v>
      </c>
      <c r="J701" t="n">
        <v>0</v>
      </c>
      <c r="K701" t="n">
        <v>0</v>
      </c>
      <c r="L701" t="n">
        <v>0</v>
      </c>
      <c r="M701" t="n">
        <v>0</v>
      </c>
      <c r="N701" t="n">
        <v>0</v>
      </c>
      <c r="O701" t="n">
        <v>0</v>
      </c>
      <c r="P701" t="n">
        <v>0</v>
      </c>
      <c r="Q701" t="n">
        <v>0</v>
      </c>
      <c r="R701" s="2" t="inlineStr"/>
    </row>
    <row r="702" ht="15" customHeight="1">
      <c r="A702" t="inlineStr">
        <is>
          <t>A 49241-2024</t>
        </is>
      </c>
      <c r="B702" s="1" t="n">
        <v>45595</v>
      </c>
      <c r="C702" s="1" t="n">
        <v>45899</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21726-2021</t>
        </is>
      </c>
      <c r="B703" s="1" t="n">
        <v>44322</v>
      </c>
      <c r="C703" s="1" t="n">
        <v>45899</v>
      </c>
      <c r="D703" t="inlineStr">
        <is>
          <t>VÄSTERBOTTENS LÄN</t>
        </is>
      </c>
      <c r="E703" t="inlineStr">
        <is>
          <t>VILHELMINA</t>
        </is>
      </c>
      <c r="G703" t="n">
        <v>19.6</v>
      </c>
      <c r="H703" t="n">
        <v>0</v>
      </c>
      <c r="I703" t="n">
        <v>0</v>
      </c>
      <c r="J703" t="n">
        <v>0</v>
      </c>
      <c r="K703" t="n">
        <v>0</v>
      </c>
      <c r="L703" t="n">
        <v>0</v>
      </c>
      <c r="M703" t="n">
        <v>0</v>
      </c>
      <c r="N703" t="n">
        <v>0</v>
      </c>
      <c r="O703" t="n">
        <v>0</v>
      </c>
      <c r="P703" t="n">
        <v>0</v>
      </c>
      <c r="Q703" t="n">
        <v>0</v>
      </c>
      <c r="R703" s="2" t="inlineStr"/>
    </row>
    <row r="704" ht="15" customHeight="1">
      <c r="A704" t="inlineStr">
        <is>
          <t>A 35285-2025</t>
        </is>
      </c>
      <c r="B704" s="1" t="n">
        <v>45854</v>
      </c>
      <c r="C704" s="1" t="n">
        <v>45899</v>
      </c>
      <c r="D704" t="inlineStr">
        <is>
          <t>VÄSTERBOTTENS LÄN</t>
        </is>
      </c>
      <c r="E704" t="inlineStr">
        <is>
          <t>VILHELMINA</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35287-2025</t>
        </is>
      </c>
      <c r="B705" s="1" t="n">
        <v>45854.3653587963</v>
      </c>
      <c r="C705" s="1" t="n">
        <v>45899</v>
      </c>
      <c r="D705" t="inlineStr">
        <is>
          <t>VÄSTERBOTTENS LÄN</t>
        </is>
      </c>
      <c r="E705" t="inlineStr">
        <is>
          <t>VILHELMINA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35288-2025</t>
        </is>
      </c>
      <c r="B706" s="1" t="n">
        <v>45854.36543981481</v>
      </c>
      <c r="C706" s="1" t="n">
        <v>45899</v>
      </c>
      <c r="D706" t="inlineStr">
        <is>
          <t>VÄSTERBOTTENS LÄN</t>
        </is>
      </c>
      <c r="E706" t="inlineStr">
        <is>
          <t>VILHELMINA</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72057-2021</t>
        </is>
      </c>
      <c r="B707" s="1" t="n">
        <v>44540</v>
      </c>
      <c r="C707" s="1" t="n">
        <v>45899</v>
      </c>
      <c r="D707" t="inlineStr">
        <is>
          <t>VÄSTERBOTTENS LÄN</t>
        </is>
      </c>
      <c r="E707" t="inlineStr">
        <is>
          <t>VILHELMINA</t>
        </is>
      </c>
      <c r="G707" t="n">
        <v>7</v>
      </c>
      <c r="H707" t="n">
        <v>0</v>
      </c>
      <c r="I707" t="n">
        <v>0</v>
      </c>
      <c r="J707" t="n">
        <v>0</v>
      </c>
      <c r="K707" t="n">
        <v>0</v>
      </c>
      <c r="L707" t="n">
        <v>0</v>
      </c>
      <c r="M707" t="n">
        <v>0</v>
      </c>
      <c r="N707" t="n">
        <v>0</v>
      </c>
      <c r="O707" t="n">
        <v>0</v>
      </c>
      <c r="P707" t="n">
        <v>0</v>
      </c>
      <c r="Q707" t="n">
        <v>0</v>
      </c>
      <c r="R707" s="2" t="inlineStr"/>
    </row>
    <row r="708" ht="15" customHeight="1">
      <c r="A708" t="inlineStr">
        <is>
          <t>A 5575-2025</t>
        </is>
      </c>
      <c r="B708" s="1" t="n">
        <v>45693.53200231482</v>
      </c>
      <c r="C708" s="1" t="n">
        <v>45899</v>
      </c>
      <c r="D708" t="inlineStr">
        <is>
          <t>VÄSTERBOTTENS LÄN</t>
        </is>
      </c>
      <c r="E708" t="inlineStr">
        <is>
          <t>VILHELMINA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61777-2023</t>
        </is>
      </c>
      <c r="B709" s="1" t="n">
        <v>45265</v>
      </c>
      <c r="C709" s="1" t="n">
        <v>45899</v>
      </c>
      <c r="D709" t="inlineStr">
        <is>
          <t>VÄSTERBOTTENS LÄN</t>
        </is>
      </c>
      <c r="E709" t="inlineStr">
        <is>
          <t>VILHELMINA</t>
        </is>
      </c>
      <c r="F709" t="inlineStr">
        <is>
          <t>SCA</t>
        </is>
      </c>
      <c r="G709" t="n">
        <v>20.6</v>
      </c>
      <c r="H709" t="n">
        <v>0</v>
      </c>
      <c r="I709" t="n">
        <v>0</v>
      </c>
      <c r="J709" t="n">
        <v>0</v>
      </c>
      <c r="K709" t="n">
        <v>0</v>
      </c>
      <c r="L709" t="n">
        <v>0</v>
      </c>
      <c r="M709" t="n">
        <v>0</v>
      </c>
      <c r="N709" t="n">
        <v>0</v>
      </c>
      <c r="O709" t="n">
        <v>0</v>
      </c>
      <c r="P709" t="n">
        <v>0</v>
      </c>
      <c r="Q709" t="n">
        <v>0</v>
      </c>
      <c r="R709" s="2" t="inlineStr"/>
    </row>
    <row r="710" ht="15" customHeight="1">
      <c r="A710" t="inlineStr">
        <is>
          <t>A 35230-2025</t>
        </is>
      </c>
      <c r="B710" s="1" t="n">
        <v>45853.59447916667</v>
      </c>
      <c r="C710" s="1" t="n">
        <v>45899</v>
      </c>
      <c r="D710" t="inlineStr">
        <is>
          <t>VÄSTERBOTTENS LÄN</t>
        </is>
      </c>
      <c r="E710" t="inlineStr">
        <is>
          <t>VILHELMINA</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35231-2025</t>
        </is>
      </c>
      <c r="B711" s="1" t="n">
        <v>45853.59453703704</v>
      </c>
      <c r="C711" s="1" t="n">
        <v>45899</v>
      </c>
      <c r="D711" t="inlineStr">
        <is>
          <t>VÄSTERBOTTENS LÄN</t>
        </is>
      </c>
      <c r="E711" t="inlineStr">
        <is>
          <t>VILHELMINA</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60311-2024</t>
        </is>
      </c>
      <c r="B712" s="1" t="n">
        <v>45643.34430555555</v>
      </c>
      <c r="C712" s="1" t="n">
        <v>45899</v>
      </c>
      <c r="D712" t="inlineStr">
        <is>
          <t>VÄSTERBOTTENS LÄN</t>
        </is>
      </c>
      <c r="E712" t="inlineStr">
        <is>
          <t>VILHELMINA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29922-2024</t>
        </is>
      </c>
      <c r="B713" s="1" t="n">
        <v>45487.9563425926</v>
      </c>
      <c r="C713" s="1" t="n">
        <v>45899</v>
      </c>
      <c r="D713" t="inlineStr">
        <is>
          <t>VÄSTERBOTTENS LÄN</t>
        </is>
      </c>
      <c r="E713" t="inlineStr">
        <is>
          <t>VILHELMINA</t>
        </is>
      </c>
      <c r="F713" t="inlineStr">
        <is>
          <t>SCA</t>
        </is>
      </c>
      <c r="G713" t="n">
        <v>5.2</v>
      </c>
      <c r="H713" t="n">
        <v>0</v>
      </c>
      <c r="I713" t="n">
        <v>0</v>
      </c>
      <c r="J713" t="n">
        <v>0</v>
      </c>
      <c r="K713" t="n">
        <v>0</v>
      </c>
      <c r="L713" t="n">
        <v>0</v>
      </c>
      <c r="M713" t="n">
        <v>0</v>
      </c>
      <c r="N713" t="n">
        <v>0</v>
      </c>
      <c r="O713" t="n">
        <v>0</v>
      </c>
      <c r="P713" t="n">
        <v>0</v>
      </c>
      <c r="Q713" t="n">
        <v>0</v>
      </c>
      <c r="R713" s="2" t="inlineStr"/>
    </row>
    <row r="714" ht="15" customHeight="1">
      <c r="A714" t="inlineStr">
        <is>
          <t>A 12365-2025</t>
        </is>
      </c>
      <c r="B714" s="1" t="n">
        <v>45730.37549768519</v>
      </c>
      <c r="C714" s="1" t="n">
        <v>45899</v>
      </c>
      <c r="D714" t="inlineStr">
        <is>
          <t>VÄSTERBOTTENS LÄN</t>
        </is>
      </c>
      <c r="E714" t="inlineStr">
        <is>
          <t>VILHELMINA</t>
        </is>
      </c>
      <c r="F714" t="inlineStr">
        <is>
          <t>Övriga statliga verk och myndigheter</t>
        </is>
      </c>
      <c r="G714" t="n">
        <v>11.5</v>
      </c>
      <c r="H714" t="n">
        <v>0</v>
      </c>
      <c r="I714" t="n">
        <v>0</v>
      </c>
      <c r="J714" t="n">
        <v>0</v>
      </c>
      <c r="K714" t="n">
        <v>0</v>
      </c>
      <c r="L714" t="n">
        <v>0</v>
      </c>
      <c r="M714" t="n">
        <v>0</v>
      </c>
      <c r="N714" t="n">
        <v>0</v>
      </c>
      <c r="O714" t="n">
        <v>0</v>
      </c>
      <c r="P714" t="n">
        <v>0</v>
      </c>
      <c r="Q714" t="n">
        <v>0</v>
      </c>
      <c r="R714" s="2" t="inlineStr"/>
    </row>
    <row r="715" ht="15" customHeight="1">
      <c r="A715" t="inlineStr">
        <is>
          <t>A 12370-2025</t>
        </is>
      </c>
      <c r="B715" s="1" t="n">
        <v>45730.37681712963</v>
      </c>
      <c r="C715" s="1" t="n">
        <v>45899</v>
      </c>
      <c r="D715" t="inlineStr">
        <is>
          <t>VÄSTERBOTTENS LÄN</t>
        </is>
      </c>
      <c r="E715" t="inlineStr">
        <is>
          <t>VILHELMINA</t>
        </is>
      </c>
      <c r="F715" t="inlineStr">
        <is>
          <t>Övriga statliga verk och myndigheter</t>
        </is>
      </c>
      <c r="G715" t="n">
        <v>8.9</v>
      </c>
      <c r="H715" t="n">
        <v>0</v>
      </c>
      <c r="I715" t="n">
        <v>0</v>
      </c>
      <c r="J715" t="n">
        <v>0</v>
      </c>
      <c r="K715" t="n">
        <v>0</v>
      </c>
      <c r="L715" t="n">
        <v>0</v>
      </c>
      <c r="M715" t="n">
        <v>0</v>
      </c>
      <c r="N715" t="n">
        <v>0</v>
      </c>
      <c r="O715" t="n">
        <v>0</v>
      </c>
      <c r="P715" t="n">
        <v>0</v>
      </c>
      <c r="Q715" t="n">
        <v>0</v>
      </c>
      <c r="R715" s="2" t="inlineStr"/>
    </row>
    <row r="716" ht="15" customHeight="1">
      <c r="A716" t="inlineStr">
        <is>
          <t>A 41171-2025</t>
        </is>
      </c>
      <c r="B716" s="1" t="n">
        <v>45898</v>
      </c>
      <c r="C716" s="1" t="n">
        <v>45899</v>
      </c>
      <c r="D716" t="inlineStr">
        <is>
          <t>VÄSTERBOTTENS LÄN</t>
        </is>
      </c>
      <c r="E716" t="inlineStr">
        <is>
          <t>VILHELMINA</t>
        </is>
      </c>
      <c r="F716" t="inlineStr">
        <is>
          <t>Övriga Aktiebolag</t>
        </is>
      </c>
      <c r="G716" t="n">
        <v>5.6</v>
      </c>
      <c r="H716" t="n">
        <v>0</v>
      </c>
      <c r="I716" t="n">
        <v>0</v>
      </c>
      <c r="J716" t="n">
        <v>0</v>
      </c>
      <c r="K716" t="n">
        <v>0</v>
      </c>
      <c r="L716" t="n">
        <v>0</v>
      </c>
      <c r="M716" t="n">
        <v>0</v>
      </c>
      <c r="N716" t="n">
        <v>0</v>
      </c>
      <c r="O716" t="n">
        <v>0</v>
      </c>
      <c r="P716" t="n">
        <v>0</v>
      </c>
      <c r="Q716" t="n">
        <v>0</v>
      </c>
      <c r="R716" s="2" t="inlineStr"/>
    </row>
    <row r="717" ht="15" customHeight="1">
      <c r="A717" t="inlineStr">
        <is>
          <t>A 2022-2024</t>
        </is>
      </c>
      <c r="B717" s="1" t="n">
        <v>45308</v>
      </c>
      <c r="C717" s="1" t="n">
        <v>45899</v>
      </c>
      <c r="D717" t="inlineStr">
        <is>
          <t>VÄSTERBOTTENS LÄN</t>
        </is>
      </c>
      <c r="E717" t="inlineStr">
        <is>
          <t>VILHELMINA</t>
        </is>
      </c>
      <c r="G717" t="n">
        <v>8.5</v>
      </c>
      <c r="H717" t="n">
        <v>0</v>
      </c>
      <c r="I717" t="n">
        <v>0</v>
      </c>
      <c r="J717" t="n">
        <v>0</v>
      </c>
      <c r="K717" t="n">
        <v>0</v>
      </c>
      <c r="L717" t="n">
        <v>0</v>
      </c>
      <c r="M717" t="n">
        <v>0</v>
      </c>
      <c r="N717" t="n">
        <v>0</v>
      </c>
      <c r="O717" t="n">
        <v>0</v>
      </c>
      <c r="P717" t="n">
        <v>0</v>
      </c>
      <c r="Q717" t="n">
        <v>0</v>
      </c>
      <c r="R717" s="2" t="inlineStr"/>
    </row>
    <row r="718" ht="15" customHeight="1">
      <c r="A718" t="inlineStr">
        <is>
          <t>A 17732-2024</t>
        </is>
      </c>
      <c r="B718" s="1" t="n">
        <v>45415</v>
      </c>
      <c r="C718" s="1" t="n">
        <v>45899</v>
      </c>
      <c r="D718" t="inlineStr">
        <is>
          <t>VÄSTERBOTTENS LÄN</t>
        </is>
      </c>
      <c r="E718" t="inlineStr">
        <is>
          <t>VILHELMINA</t>
        </is>
      </c>
      <c r="G718" t="n">
        <v>0.6</v>
      </c>
      <c r="H718" t="n">
        <v>0</v>
      </c>
      <c r="I718" t="n">
        <v>0</v>
      </c>
      <c r="J718" t="n">
        <v>0</v>
      </c>
      <c r="K718" t="n">
        <v>0</v>
      </c>
      <c r="L718" t="n">
        <v>0</v>
      </c>
      <c r="M718" t="n">
        <v>0</v>
      </c>
      <c r="N718" t="n">
        <v>0</v>
      </c>
      <c r="O718" t="n">
        <v>0</v>
      </c>
      <c r="P718" t="n">
        <v>0</v>
      </c>
      <c r="Q718" t="n">
        <v>0</v>
      </c>
      <c r="R718" s="2" t="inlineStr"/>
    </row>
    <row r="719" ht="15" customHeight="1">
      <c r="A719" t="inlineStr">
        <is>
          <t>A 24457-2024</t>
        </is>
      </c>
      <c r="B719" s="1" t="n">
        <v>45457.96708333334</v>
      </c>
      <c r="C719" s="1" t="n">
        <v>45899</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36214-2023</t>
        </is>
      </c>
      <c r="B720" s="1" t="n">
        <v>45149.95256944445</v>
      </c>
      <c r="C720" s="1" t="n">
        <v>45899</v>
      </c>
      <c r="D720" t="inlineStr">
        <is>
          <t>VÄSTERBOTTENS LÄN</t>
        </is>
      </c>
      <c r="E720" t="inlineStr">
        <is>
          <t>VILHELMINA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15639-2024</t>
        </is>
      </c>
      <c r="B721" s="1" t="n">
        <v>45403</v>
      </c>
      <c r="C721" s="1" t="n">
        <v>45899</v>
      </c>
      <c r="D721" t="inlineStr">
        <is>
          <t>VÄSTERBOTTENS LÄN</t>
        </is>
      </c>
      <c r="E721" t="inlineStr">
        <is>
          <t>VILHELMINA</t>
        </is>
      </c>
      <c r="G721" t="n">
        <v>81.90000000000001</v>
      </c>
      <c r="H721" t="n">
        <v>0</v>
      </c>
      <c r="I721" t="n">
        <v>0</v>
      </c>
      <c r="J721" t="n">
        <v>0</v>
      </c>
      <c r="K721" t="n">
        <v>0</v>
      </c>
      <c r="L721" t="n">
        <v>0</v>
      </c>
      <c r="M721" t="n">
        <v>0</v>
      </c>
      <c r="N721" t="n">
        <v>0</v>
      </c>
      <c r="O721" t="n">
        <v>0</v>
      </c>
      <c r="P721" t="n">
        <v>0</v>
      </c>
      <c r="Q721" t="n">
        <v>0</v>
      </c>
      <c r="R721" s="2" t="inlineStr"/>
    </row>
    <row r="722" ht="15" customHeight="1">
      <c r="A722" t="inlineStr">
        <is>
          <t>A 31696-2024</t>
        </is>
      </c>
      <c r="B722" s="1" t="n">
        <v>45508</v>
      </c>
      <c r="C722" s="1" t="n">
        <v>45899</v>
      </c>
      <c r="D722" t="inlineStr">
        <is>
          <t>VÄSTERBOTTENS LÄN</t>
        </is>
      </c>
      <c r="E722" t="inlineStr">
        <is>
          <t>VILHELMINA</t>
        </is>
      </c>
      <c r="G722" t="n">
        <v>7.7</v>
      </c>
      <c r="H722" t="n">
        <v>0</v>
      </c>
      <c r="I722" t="n">
        <v>0</v>
      </c>
      <c r="J722" t="n">
        <v>0</v>
      </c>
      <c r="K722" t="n">
        <v>0</v>
      </c>
      <c r="L722" t="n">
        <v>0</v>
      </c>
      <c r="M722" t="n">
        <v>0</v>
      </c>
      <c r="N722" t="n">
        <v>0</v>
      </c>
      <c r="O722" t="n">
        <v>0</v>
      </c>
      <c r="P722" t="n">
        <v>0</v>
      </c>
      <c r="Q722" t="n">
        <v>0</v>
      </c>
      <c r="R722" s="2" t="inlineStr"/>
    </row>
    <row r="723" ht="15" customHeight="1">
      <c r="A723" t="inlineStr">
        <is>
          <t>A 34130-2024</t>
        </is>
      </c>
      <c r="B723" s="1" t="n">
        <v>45524.34668981482</v>
      </c>
      <c r="C723" s="1" t="n">
        <v>45899</v>
      </c>
      <c r="D723" t="inlineStr">
        <is>
          <t>VÄSTERBOTTENS LÄN</t>
        </is>
      </c>
      <c r="E723" t="inlineStr">
        <is>
          <t>VILHELMINA</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18781-2021</t>
        </is>
      </c>
      <c r="B724" s="1" t="n">
        <v>44307</v>
      </c>
      <c r="C724" s="1" t="n">
        <v>45899</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23176-2024</t>
        </is>
      </c>
      <c r="B725" s="1" t="n">
        <v>45450.94366898148</v>
      </c>
      <c r="C725" s="1" t="n">
        <v>45899</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49888-2024</t>
        </is>
      </c>
      <c r="B726" s="1" t="n">
        <v>45597.5109837963</v>
      </c>
      <c r="C726" s="1" t="n">
        <v>45899</v>
      </c>
      <c r="D726" t="inlineStr">
        <is>
          <t>VÄSTERBOTTENS LÄN</t>
        </is>
      </c>
      <c r="E726" t="inlineStr">
        <is>
          <t>VILHELMINA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44516-2024</t>
        </is>
      </c>
      <c r="B727" s="1" t="n">
        <v>45574</v>
      </c>
      <c r="C727" s="1" t="n">
        <v>45899</v>
      </c>
      <c r="D727" t="inlineStr">
        <is>
          <t>VÄSTERBOTTENS LÄN</t>
        </is>
      </c>
      <c r="E727" t="inlineStr">
        <is>
          <t>VILHELMINA</t>
        </is>
      </c>
      <c r="G727" t="n">
        <v>2.9</v>
      </c>
      <c r="H727" t="n">
        <v>0</v>
      </c>
      <c r="I727" t="n">
        <v>0</v>
      </c>
      <c r="J727" t="n">
        <v>0</v>
      </c>
      <c r="K727" t="n">
        <v>0</v>
      </c>
      <c r="L727" t="n">
        <v>0</v>
      </c>
      <c r="M727" t="n">
        <v>0</v>
      </c>
      <c r="N727" t="n">
        <v>0</v>
      </c>
      <c r="O727" t="n">
        <v>0</v>
      </c>
      <c r="P727" t="n">
        <v>0</v>
      </c>
      <c r="Q727" t="n">
        <v>0</v>
      </c>
      <c r="R727" s="2" t="inlineStr"/>
    </row>
    <row r="728" ht="15" customHeight="1">
      <c r="A728" t="inlineStr">
        <is>
          <t>A 36320-2024</t>
        </is>
      </c>
      <c r="B728" s="1" t="n">
        <v>45534.63586805556</v>
      </c>
      <c r="C728" s="1" t="n">
        <v>45899</v>
      </c>
      <c r="D728" t="inlineStr">
        <is>
          <t>VÄSTERBOTTENS LÄN</t>
        </is>
      </c>
      <c r="E728" t="inlineStr">
        <is>
          <t>VILHELMINA</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13768-2024</t>
        </is>
      </c>
      <c r="B729" s="1" t="n">
        <v>45390.95230324074</v>
      </c>
      <c r="C729" s="1" t="n">
        <v>45899</v>
      </c>
      <c r="D729" t="inlineStr">
        <is>
          <t>VÄSTERBOTTENS LÄN</t>
        </is>
      </c>
      <c r="E729" t="inlineStr">
        <is>
          <t>VILHELMINA</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12593-2022</t>
        </is>
      </c>
      <c r="B730" s="1" t="n">
        <v>44640</v>
      </c>
      <c r="C730" s="1" t="n">
        <v>45899</v>
      </c>
      <c r="D730" t="inlineStr">
        <is>
          <t>VÄSTERBOTTENS LÄN</t>
        </is>
      </c>
      <c r="E730" t="inlineStr">
        <is>
          <t>VILHELMINA</t>
        </is>
      </c>
      <c r="G730" t="n">
        <v>10.4</v>
      </c>
      <c r="H730" t="n">
        <v>0</v>
      </c>
      <c r="I730" t="n">
        <v>0</v>
      </c>
      <c r="J730" t="n">
        <v>0</v>
      </c>
      <c r="K730" t="n">
        <v>0</v>
      </c>
      <c r="L730" t="n">
        <v>0</v>
      </c>
      <c r="M730" t="n">
        <v>0</v>
      </c>
      <c r="N730" t="n">
        <v>0</v>
      </c>
      <c r="O730" t="n">
        <v>0</v>
      </c>
      <c r="P730" t="n">
        <v>0</v>
      </c>
      <c r="Q730" t="n">
        <v>0</v>
      </c>
      <c r="R730" s="2" t="inlineStr"/>
    </row>
    <row r="731" ht="15" customHeight="1">
      <c r="A731" t="inlineStr">
        <is>
          <t>A 69502-2020</t>
        </is>
      </c>
      <c r="B731" s="1" t="n">
        <v>44193</v>
      </c>
      <c r="C731" s="1" t="n">
        <v>45899</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28695-2024</t>
        </is>
      </c>
      <c r="B732" s="1" t="n">
        <v>45478</v>
      </c>
      <c r="C732" s="1" t="n">
        <v>45899</v>
      </c>
      <c r="D732" t="inlineStr">
        <is>
          <t>VÄSTERBOTTENS LÄN</t>
        </is>
      </c>
      <c r="E732" t="inlineStr">
        <is>
          <t>VILHELMINA</t>
        </is>
      </c>
      <c r="F732" t="inlineStr">
        <is>
          <t>Allmännings- och besparingsskogar</t>
        </is>
      </c>
      <c r="G732" t="n">
        <v>3.1</v>
      </c>
      <c r="H732" t="n">
        <v>0</v>
      </c>
      <c r="I732" t="n">
        <v>0</v>
      </c>
      <c r="J732" t="n">
        <v>0</v>
      </c>
      <c r="K732" t="n">
        <v>0</v>
      </c>
      <c r="L732" t="n">
        <v>0</v>
      </c>
      <c r="M732" t="n">
        <v>0</v>
      </c>
      <c r="N732" t="n">
        <v>0</v>
      </c>
      <c r="O732" t="n">
        <v>0</v>
      </c>
      <c r="P732" t="n">
        <v>0</v>
      </c>
      <c r="Q732" t="n">
        <v>0</v>
      </c>
      <c r="R732" s="2" t="inlineStr"/>
    </row>
    <row r="733" ht="15" customHeight="1">
      <c r="A733" t="inlineStr">
        <is>
          <t>A 15782-2025</t>
        </is>
      </c>
      <c r="B733" s="1" t="n">
        <v>45748</v>
      </c>
      <c r="C733" s="1" t="n">
        <v>45899</v>
      </c>
      <c r="D733" t="inlineStr">
        <is>
          <t>VÄSTERBOTTENS LÄN</t>
        </is>
      </c>
      <c r="E733" t="inlineStr">
        <is>
          <t>VILHELMINA</t>
        </is>
      </c>
      <c r="G733" t="n">
        <v>2.5</v>
      </c>
      <c r="H733" t="n">
        <v>0</v>
      </c>
      <c r="I733" t="n">
        <v>0</v>
      </c>
      <c r="J733" t="n">
        <v>0</v>
      </c>
      <c r="K733" t="n">
        <v>0</v>
      </c>
      <c r="L733" t="n">
        <v>0</v>
      </c>
      <c r="M733" t="n">
        <v>0</v>
      </c>
      <c r="N733" t="n">
        <v>0</v>
      </c>
      <c r="O733" t="n">
        <v>0</v>
      </c>
      <c r="P733" t="n">
        <v>0</v>
      </c>
      <c r="Q733" t="n">
        <v>0</v>
      </c>
      <c r="R733" s="2" t="inlineStr"/>
    </row>
    <row r="734" ht="15" customHeight="1">
      <c r="A734" t="inlineStr">
        <is>
          <t>A 15792-2025</t>
        </is>
      </c>
      <c r="B734" s="1" t="n">
        <v>45748.63356481482</v>
      </c>
      <c r="C734" s="1" t="n">
        <v>45899</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23543-2024</t>
        </is>
      </c>
      <c r="B735" s="1" t="n">
        <v>45453</v>
      </c>
      <c r="C735" s="1" t="n">
        <v>45899</v>
      </c>
      <c r="D735" t="inlineStr">
        <is>
          <t>VÄSTERBOTTENS LÄN</t>
        </is>
      </c>
      <c r="E735" t="inlineStr">
        <is>
          <t>VILHELMINA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40781-2023</t>
        </is>
      </c>
      <c r="B736" s="1" t="n">
        <v>45170.95747685185</v>
      </c>
      <c r="C736" s="1" t="n">
        <v>45899</v>
      </c>
      <c r="D736" t="inlineStr">
        <is>
          <t>VÄSTERBOTTENS LÄN</t>
        </is>
      </c>
      <c r="E736" t="inlineStr">
        <is>
          <t>VILHELMINA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19600-2025</t>
        </is>
      </c>
      <c r="B737" s="1" t="n">
        <v>45770</v>
      </c>
      <c r="C737" s="1" t="n">
        <v>45899</v>
      </c>
      <c r="D737" t="inlineStr">
        <is>
          <t>VÄSTERBOTTENS LÄN</t>
        </is>
      </c>
      <c r="E737" t="inlineStr">
        <is>
          <t>VILHELMINA</t>
        </is>
      </c>
      <c r="G737" t="n">
        <v>3.7</v>
      </c>
      <c r="H737" t="n">
        <v>0</v>
      </c>
      <c r="I737" t="n">
        <v>0</v>
      </c>
      <c r="J737" t="n">
        <v>0</v>
      </c>
      <c r="K737" t="n">
        <v>0</v>
      </c>
      <c r="L737" t="n">
        <v>0</v>
      </c>
      <c r="M737" t="n">
        <v>0</v>
      </c>
      <c r="N737" t="n">
        <v>0</v>
      </c>
      <c r="O737" t="n">
        <v>0</v>
      </c>
      <c r="P737" t="n">
        <v>0</v>
      </c>
      <c r="Q737" t="n">
        <v>0</v>
      </c>
      <c r="R737" s="2" t="inlineStr"/>
    </row>
    <row r="738" ht="15" customHeight="1">
      <c r="A738" t="inlineStr">
        <is>
          <t>A 53987-2021</t>
        </is>
      </c>
      <c r="B738" s="1" t="n">
        <v>44470.31884259259</v>
      </c>
      <c r="C738" s="1" t="n">
        <v>45899</v>
      </c>
      <c r="D738" t="inlineStr">
        <is>
          <t>VÄSTERBOTTENS LÄN</t>
        </is>
      </c>
      <c r="E738" t="inlineStr">
        <is>
          <t>VILHELMINA</t>
        </is>
      </c>
      <c r="F738" t="inlineStr">
        <is>
          <t>Kommuner</t>
        </is>
      </c>
      <c r="G738" t="n">
        <v>10</v>
      </c>
      <c r="H738" t="n">
        <v>0</v>
      </c>
      <c r="I738" t="n">
        <v>0</v>
      </c>
      <c r="J738" t="n">
        <v>0</v>
      </c>
      <c r="K738" t="n">
        <v>0</v>
      </c>
      <c r="L738" t="n">
        <v>0</v>
      </c>
      <c r="M738" t="n">
        <v>0</v>
      </c>
      <c r="N738" t="n">
        <v>0</v>
      </c>
      <c r="O738" t="n">
        <v>0</v>
      </c>
      <c r="P738" t="n">
        <v>0</v>
      </c>
      <c r="Q738" t="n">
        <v>0</v>
      </c>
      <c r="R738" s="2" t="inlineStr"/>
    </row>
    <row r="739" ht="15" customHeight="1">
      <c r="A739" t="inlineStr">
        <is>
          <t>A 62101-2024</t>
        </is>
      </c>
      <c r="B739" s="1" t="n">
        <v>45656.51119212963</v>
      </c>
      <c r="C739" s="1" t="n">
        <v>45899</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20336-2025</t>
        </is>
      </c>
      <c r="B740" s="1" t="n">
        <v>45775.36528935185</v>
      </c>
      <c r="C740" s="1" t="n">
        <v>45899</v>
      </c>
      <c r="D740" t="inlineStr">
        <is>
          <t>VÄSTERBOTTENS LÄN</t>
        </is>
      </c>
      <c r="E740" t="inlineStr">
        <is>
          <t>VILHELMINA</t>
        </is>
      </c>
      <c r="F740" t="inlineStr">
        <is>
          <t>SCA</t>
        </is>
      </c>
      <c r="G740" t="n">
        <v>9.4</v>
      </c>
      <c r="H740" t="n">
        <v>0</v>
      </c>
      <c r="I740" t="n">
        <v>0</v>
      </c>
      <c r="J740" t="n">
        <v>0</v>
      </c>
      <c r="K740" t="n">
        <v>0</v>
      </c>
      <c r="L740" t="n">
        <v>0</v>
      </c>
      <c r="M740" t="n">
        <v>0</v>
      </c>
      <c r="N740" t="n">
        <v>0</v>
      </c>
      <c r="O740" t="n">
        <v>0</v>
      </c>
      <c r="P740" t="n">
        <v>0</v>
      </c>
      <c r="Q740" t="n">
        <v>0</v>
      </c>
      <c r="R740" s="2" t="inlineStr"/>
    </row>
    <row r="741" ht="15" customHeight="1">
      <c r="A741" t="inlineStr">
        <is>
          <t>A 237-2025</t>
        </is>
      </c>
      <c r="B741" s="1" t="n">
        <v>45660.40270833333</v>
      </c>
      <c r="C741" s="1" t="n">
        <v>45899</v>
      </c>
      <c r="D741" t="inlineStr">
        <is>
          <t>VÄSTERBOTTENS LÄN</t>
        </is>
      </c>
      <c r="E741" t="inlineStr">
        <is>
          <t>VILHELMINA</t>
        </is>
      </c>
      <c r="G741" t="n">
        <v>4.6</v>
      </c>
      <c r="H741" t="n">
        <v>0</v>
      </c>
      <c r="I741" t="n">
        <v>0</v>
      </c>
      <c r="J741" t="n">
        <v>0</v>
      </c>
      <c r="K741" t="n">
        <v>0</v>
      </c>
      <c r="L741" t="n">
        <v>0</v>
      </c>
      <c r="M741" t="n">
        <v>0</v>
      </c>
      <c r="N741" t="n">
        <v>0</v>
      </c>
      <c r="O741" t="n">
        <v>0</v>
      </c>
      <c r="P741" t="n">
        <v>0</v>
      </c>
      <c r="Q741" t="n">
        <v>0</v>
      </c>
      <c r="R741" s="2" t="inlineStr"/>
    </row>
    <row r="742" ht="15" customHeight="1">
      <c r="A742" t="inlineStr">
        <is>
          <t>A 242-2025</t>
        </is>
      </c>
      <c r="B742" s="1" t="n">
        <v>45660.41033564815</v>
      </c>
      <c r="C742" s="1" t="n">
        <v>45899</v>
      </c>
      <c r="D742" t="inlineStr">
        <is>
          <t>VÄSTERBOTTENS LÄN</t>
        </is>
      </c>
      <c r="E742" t="inlineStr">
        <is>
          <t>VILHELMINA</t>
        </is>
      </c>
      <c r="G742" t="n">
        <v>2.7</v>
      </c>
      <c r="H742" t="n">
        <v>0</v>
      </c>
      <c r="I742" t="n">
        <v>0</v>
      </c>
      <c r="J742" t="n">
        <v>0</v>
      </c>
      <c r="K742" t="n">
        <v>0</v>
      </c>
      <c r="L742" t="n">
        <v>0</v>
      </c>
      <c r="M742" t="n">
        <v>0</v>
      </c>
      <c r="N742" t="n">
        <v>0</v>
      </c>
      <c r="O742" t="n">
        <v>0</v>
      </c>
      <c r="P742" t="n">
        <v>0</v>
      </c>
      <c r="Q742" t="n">
        <v>0</v>
      </c>
      <c r="R742" s="2" t="inlineStr"/>
    </row>
    <row r="743" ht="15" customHeight="1">
      <c r="A743" t="inlineStr">
        <is>
          <t>A 296-2025</t>
        </is>
      </c>
      <c r="B743" s="1" t="n">
        <v>45660.53215277778</v>
      </c>
      <c r="C743" s="1" t="n">
        <v>45899</v>
      </c>
      <c r="D743" t="inlineStr">
        <is>
          <t>VÄSTERBOTTENS LÄN</t>
        </is>
      </c>
      <c r="E743" t="inlineStr">
        <is>
          <t>VILHELMINA</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32658-2021</t>
        </is>
      </c>
      <c r="B744" s="1" t="n">
        <v>44371</v>
      </c>
      <c r="C744" s="1" t="n">
        <v>45899</v>
      </c>
      <c r="D744" t="inlineStr">
        <is>
          <t>VÄSTERBOTTENS LÄN</t>
        </is>
      </c>
      <c r="E744" t="inlineStr">
        <is>
          <t>VILHELMINA</t>
        </is>
      </c>
      <c r="G744" t="n">
        <v>2.2</v>
      </c>
      <c r="H744" t="n">
        <v>0</v>
      </c>
      <c r="I744" t="n">
        <v>0</v>
      </c>
      <c r="J744" t="n">
        <v>0</v>
      </c>
      <c r="K744" t="n">
        <v>0</v>
      </c>
      <c r="L744" t="n">
        <v>0</v>
      </c>
      <c r="M744" t="n">
        <v>0</v>
      </c>
      <c r="N744" t="n">
        <v>0</v>
      </c>
      <c r="O744" t="n">
        <v>0</v>
      </c>
      <c r="P744" t="n">
        <v>0</v>
      </c>
      <c r="Q744" t="n">
        <v>0</v>
      </c>
      <c r="R744" s="2" t="inlineStr"/>
    </row>
    <row r="745" ht="15" customHeight="1">
      <c r="A745" t="inlineStr">
        <is>
          <t>A 468-2024</t>
        </is>
      </c>
      <c r="B745" s="1" t="n">
        <v>45297</v>
      </c>
      <c r="C745" s="1" t="n">
        <v>45899</v>
      </c>
      <c r="D745" t="inlineStr">
        <is>
          <t>VÄSTERBOTTENS LÄN</t>
        </is>
      </c>
      <c r="E745" t="inlineStr">
        <is>
          <t>VILHELMINA</t>
        </is>
      </c>
      <c r="G745" t="n">
        <v>6.7</v>
      </c>
      <c r="H745" t="n">
        <v>0</v>
      </c>
      <c r="I745" t="n">
        <v>0</v>
      </c>
      <c r="J745" t="n">
        <v>0</v>
      </c>
      <c r="K745" t="n">
        <v>0</v>
      </c>
      <c r="L745" t="n">
        <v>0</v>
      </c>
      <c r="M745" t="n">
        <v>0</v>
      </c>
      <c r="N745" t="n">
        <v>0</v>
      </c>
      <c r="O745" t="n">
        <v>0</v>
      </c>
      <c r="P745" t="n">
        <v>0</v>
      </c>
      <c r="Q745" t="n">
        <v>0</v>
      </c>
      <c r="R745" s="2" t="inlineStr"/>
    </row>
    <row r="746" ht="15" customHeight="1">
      <c r="A746" t="inlineStr">
        <is>
          <t>A 46373-2020</t>
        </is>
      </c>
      <c r="B746" s="1" t="n">
        <v>44092</v>
      </c>
      <c r="C746" s="1" t="n">
        <v>45899</v>
      </c>
      <c r="D746" t="inlineStr">
        <is>
          <t>VÄSTERBOTTENS LÄN</t>
        </is>
      </c>
      <c r="E746" t="inlineStr">
        <is>
          <t>VILHELMINA</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29347-2021</t>
        </is>
      </c>
      <c r="B747" s="1" t="n">
        <v>44361</v>
      </c>
      <c r="C747" s="1" t="n">
        <v>45899</v>
      </c>
      <c r="D747" t="inlineStr">
        <is>
          <t>VÄSTERBOTTENS LÄN</t>
        </is>
      </c>
      <c r="E747" t="inlineStr">
        <is>
          <t>VILHELMINA</t>
        </is>
      </c>
      <c r="F747" t="inlineStr">
        <is>
          <t>Allmännings- och besparingsskogar</t>
        </is>
      </c>
      <c r="G747" t="n">
        <v>52</v>
      </c>
      <c r="H747" t="n">
        <v>0</v>
      </c>
      <c r="I747" t="n">
        <v>0</v>
      </c>
      <c r="J747" t="n">
        <v>0</v>
      </c>
      <c r="K747" t="n">
        <v>0</v>
      </c>
      <c r="L747" t="n">
        <v>0</v>
      </c>
      <c r="M747" t="n">
        <v>0</v>
      </c>
      <c r="N747" t="n">
        <v>0</v>
      </c>
      <c r="O747" t="n">
        <v>0</v>
      </c>
      <c r="P747" t="n">
        <v>0</v>
      </c>
      <c r="Q747" t="n">
        <v>0</v>
      </c>
      <c r="R747" s="2" t="inlineStr"/>
    </row>
    <row r="748" ht="15" customHeight="1">
      <c r="A748" t="inlineStr">
        <is>
          <t>A 30574-2024</t>
        </is>
      </c>
      <c r="B748" s="1" t="n">
        <v>45492.9580324074</v>
      </c>
      <c r="C748" s="1" t="n">
        <v>45899</v>
      </c>
      <c r="D748" t="inlineStr">
        <is>
          <t>VÄSTERBOTTENS LÄN</t>
        </is>
      </c>
      <c r="E748" t="inlineStr">
        <is>
          <t>VILHELMINA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30681-2024</t>
        </is>
      </c>
      <c r="B749" s="1" t="n">
        <v>45495.9509837963</v>
      </c>
      <c r="C749" s="1" t="n">
        <v>45899</v>
      </c>
      <c r="D749" t="inlineStr">
        <is>
          <t>VÄSTERBOTTENS LÄN</t>
        </is>
      </c>
      <c r="E749" t="inlineStr">
        <is>
          <t>VILHELMINA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40462-2024</t>
        </is>
      </c>
      <c r="B750" s="1" t="n">
        <v>45555.51084490741</v>
      </c>
      <c r="C750" s="1" t="n">
        <v>45899</v>
      </c>
      <c r="D750" t="inlineStr">
        <is>
          <t>VÄSTERBOTTENS LÄN</t>
        </is>
      </c>
      <c r="E750" t="inlineStr">
        <is>
          <t>VILHELMINA</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56830-2023</t>
        </is>
      </c>
      <c r="B751" s="1" t="n">
        <v>45238</v>
      </c>
      <c r="C751" s="1" t="n">
        <v>45899</v>
      </c>
      <c r="D751" t="inlineStr">
        <is>
          <t>VÄSTERBOTTENS LÄN</t>
        </is>
      </c>
      <c r="E751" t="inlineStr">
        <is>
          <t>VILHELMINA</t>
        </is>
      </c>
      <c r="F751" t="inlineStr">
        <is>
          <t>Allmännings- och besparingsskogar</t>
        </is>
      </c>
      <c r="G751" t="n">
        <v>66</v>
      </c>
      <c r="H751" t="n">
        <v>0</v>
      </c>
      <c r="I751" t="n">
        <v>0</v>
      </c>
      <c r="J751" t="n">
        <v>0</v>
      </c>
      <c r="K751" t="n">
        <v>0</v>
      </c>
      <c r="L751" t="n">
        <v>0</v>
      </c>
      <c r="M751" t="n">
        <v>0</v>
      </c>
      <c r="N751" t="n">
        <v>0</v>
      </c>
      <c r="O751" t="n">
        <v>0</v>
      </c>
      <c r="P751" t="n">
        <v>0</v>
      </c>
      <c r="Q751" t="n">
        <v>0</v>
      </c>
      <c r="R751" s="2" t="inlineStr"/>
    </row>
    <row r="752" ht="15" customHeight="1">
      <c r="A752" t="inlineStr">
        <is>
          <t>A 56847-2023</t>
        </is>
      </c>
      <c r="B752" s="1" t="n">
        <v>45238</v>
      </c>
      <c r="C752" s="1" t="n">
        <v>45899</v>
      </c>
      <c r="D752" t="inlineStr">
        <is>
          <t>VÄSTERBOTTENS LÄN</t>
        </is>
      </c>
      <c r="E752" t="inlineStr">
        <is>
          <t>VILHELMINA</t>
        </is>
      </c>
      <c r="F752" t="inlineStr">
        <is>
          <t>Allmännings- och besparingsskogar</t>
        </is>
      </c>
      <c r="G752" t="n">
        <v>41</v>
      </c>
      <c r="H752" t="n">
        <v>0</v>
      </c>
      <c r="I752" t="n">
        <v>0</v>
      </c>
      <c r="J752" t="n">
        <v>0</v>
      </c>
      <c r="K752" t="n">
        <v>0</v>
      </c>
      <c r="L752" t="n">
        <v>0</v>
      </c>
      <c r="M752" t="n">
        <v>0</v>
      </c>
      <c r="N752" t="n">
        <v>0</v>
      </c>
      <c r="O752" t="n">
        <v>0</v>
      </c>
      <c r="P752" t="n">
        <v>0</v>
      </c>
      <c r="Q752" t="n">
        <v>0</v>
      </c>
      <c r="R752" s="2" t="inlineStr"/>
    </row>
    <row r="753" ht="15" customHeight="1">
      <c r="A753" t="inlineStr">
        <is>
          <t>A 20534-2025</t>
        </is>
      </c>
      <c r="B753" s="1" t="n">
        <v>45775.61550925926</v>
      </c>
      <c r="C753" s="1" t="n">
        <v>45899</v>
      </c>
      <c r="D753" t="inlineStr">
        <is>
          <t>VÄSTERBOTTENS LÄN</t>
        </is>
      </c>
      <c r="E753" t="inlineStr">
        <is>
          <t>VILHELMINA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10833-2022</t>
        </is>
      </c>
      <c r="B754" s="1" t="n">
        <v>44627</v>
      </c>
      <c r="C754" s="1" t="n">
        <v>45899</v>
      </c>
      <c r="D754" t="inlineStr">
        <is>
          <t>VÄSTERBOTTENS LÄN</t>
        </is>
      </c>
      <c r="E754" t="inlineStr">
        <is>
          <t>VILHELMINA</t>
        </is>
      </c>
      <c r="G754" t="n">
        <v>5.4</v>
      </c>
      <c r="H754" t="n">
        <v>0</v>
      </c>
      <c r="I754" t="n">
        <v>0</v>
      </c>
      <c r="J754" t="n">
        <v>0</v>
      </c>
      <c r="K754" t="n">
        <v>0</v>
      </c>
      <c r="L754" t="n">
        <v>0</v>
      </c>
      <c r="M754" t="n">
        <v>0</v>
      </c>
      <c r="N754" t="n">
        <v>0</v>
      </c>
      <c r="O754" t="n">
        <v>0</v>
      </c>
      <c r="P754" t="n">
        <v>0</v>
      </c>
      <c r="Q754" t="n">
        <v>0</v>
      </c>
      <c r="R754" s="2" t="inlineStr"/>
    </row>
    <row r="755" ht="15" customHeight="1">
      <c r="A755" t="inlineStr">
        <is>
          <t>A 56823-2023</t>
        </is>
      </c>
      <c r="B755" s="1" t="n">
        <v>45238</v>
      </c>
      <c r="C755" s="1" t="n">
        <v>45899</v>
      </c>
      <c r="D755" t="inlineStr">
        <is>
          <t>VÄSTERBOTTENS LÄN</t>
        </is>
      </c>
      <c r="E755" t="inlineStr">
        <is>
          <t>VILHELMINA</t>
        </is>
      </c>
      <c r="F755" t="inlineStr">
        <is>
          <t>Allmännings- och besparingsskogar</t>
        </is>
      </c>
      <c r="G755" t="n">
        <v>82</v>
      </c>
      <c r="H755" t="n">
        <v>0</v>
      </c>
      <c r="I755" t="n">
        <v>0</v>
      </c>
      <c r="J755" t="n">
        <v>0</v>
      </c>
      <c r="K755" t="n">
        <v>0</v>
      </c>
      <c r="L755" t="n">
        <v>0</v>
      </c>
      <c r="M755" t="n">
        <v>0</v>
      </c>
      <c r="N755" t="n">
        <v>0</v>
      </c>
      <c r="O755" t="n">
        <v>0</v>
      </c>
      <c r="P755" t="n">
        <v>0</v>
      </c>
      <c r="Q755" t="n">
        <v>0</v>
      </c>
      <c r="R755" s="2" t="inlineStr"/>
    </row>
    <row r="756" ht="15" customHeight="1">
      <c r="A756" t="inlineStr">
        <is>
          <t>A 46372-2021</t>
        </is>
      </c>
      <c r="B756" s="1" t="n">
        <v>44442.94226851852</v>
      </c>
      <c r="C756" s="1" t="n">
        <v>45899</v>
      </c>
      <c r="D756" t="inlineStr">
        <is>
          <t>VÄSTERBOTTENS LÄN</t>
        </is>
      </c>
      <c r="E756" t="inlineStr">
        <is>
          <t>VILHELMINA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28722-2022</t>
        </is>
      </c>
      <c r="B757" s="1" t="n">
        <v>44748</v>
      </c>
      <c r="C757" s="1" t="n">
        <v>45899</v>
      </c>
      <c r="D757" t="inlineStr">
        <is>
          <t>VÄSTERBOTTENS LÄN</t>
        </is>
      </c>
      <c r="E757" t="inlineStr">
        <is>
          <t>VILHELMINA</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43251-2024</t>
        </is>
      </c>
      <c r="B758" s="1" t="n">
        <v>45568.34429398148</v>
      </c>
      <c r="C758" s="1" t="n">
        <v>45899</v>
      </c>
      <c r="D758" t="inlineStr">
        <is>
          <t>VÄSTERBOTTENS LÄN</t>
        </is>
      </c>
      <c r="E758" t="inlineStr">
        <is>
          <t>VILHELMINA</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60842-2023</t>
        </is>
      </c>
      <c r="B759" s="1" t="n">
        <v>45260.9258912037</v>
      </c>
      <c r="C759" s="1" t="n">
        <v>45899</v>
      </c>
      <c r="D759" t="inlineStr">
        <is>
          <t>VÄSTERBOTTENS LÄN</t>
        </is>
      </c>
      <c r="E759" t="inlineStr">
        <is>
          <t>VILHELMINA</t>
        </is>
      </c>
      <c r="G759" t="n">
        <v>2.9</v>
      </c>
      <c r="H759" t="n">
        <v>0</v>
      </c>
      <c r="I759" t="n">
        <v>0</v>
      </c>
      <c r="J759" t="n">
        <v>0</v>
      </c>
      <c r="K759" t="n">
        <v>0</v>
      </c>
      <c r="L759" t="n">
        <v>0</v>
      </c>
      <c r="M759" t="n">
        <v>0</v>
      </c>
      <c r="N759" t="n">
        <v>0</v>
      </c>
      <c r="O759" t="n">
        <v>0</v>
      </c>
      <c r="P759" t="n">
        <v>0</v>
      </c>
      <c r="Q759" t="n">
        <v>0</v>
      </c>
      <c r="R759" s="2" t="inlineStr"/>
    </row>
    <row r="760" ht="15" customHeight="1">
      <c r="A760" t="inlineStr">
        <is>
          <t>A 12373-2024</t>
        </is>
      </c>
      <c r="B760" s="1" t="n">
        <v>45378</v>
      </c>
      <c r="C760" s="1" t="n">
        <v>45899</v>
      </c>
      <c r="D760" t="inlineStr">
        <is>
          <t>VÄSTERBOTTENS LÄN</t>
        </is>
      </c>
      <c r="E760" t="inlineStr">
        <is>
          <t>VILHELMINA</t>
        </is>
      </c>
      <c r="G760" t="n">
        <v>0.7</v>
      </c>
      <c r="H760" t="n">
        <v>0</v>
      </c>
      <c r="I760" t="n">
        <v>0</v>
      </c>
      <c r="J760" t="n">
        <v>0</v>
      </c>
      <c r="K760" t="n">
        <v>0</v>
      </c>
      <c r="L760" t="n">
        <v>0</v>
      </c>
      <c r="M760" t="n">
        <v>0</v>
      </c>
      <c r="N760" t="n">
        <v>0</v>
      </c>
      <c r="O760" t="n">
        <v>0</v>
      </c>
      <c r="P760" t="n">
        <v>0</v>
      </c>
      <c r="Q760" t="n">
        <v>0</v>
      </c>
      <c r="R760" s="2" t="inlineStr"/>
    </row>
    <row r="761" ht="15" customHeight="1">
      <c r="A761" t="inlineStr">
        <is>
          <t>A 12374-2025</t>
        </is>
      </c>
      <c r="B761" s="1" t="n">
        <v>45730</v>
      </c>
      <c r="C761" s="1" t="n">
        <v>45899</v>
      </c>
      <c r="D761" t="inlineStr">
        <is>
          <t>VÄSTERBOTTENS LÄN</t>
        </is>
      </c>
      <c r="E761" t="inlineStr">
        <is>
          <t>VILHELMINA</t>
        </is>
      </c>
      <c r="F761" t="inlineStr">
        <is>
          <t>Övriga statliga verk och myndigheter</t>
        </is>
      </c>
      <c r="G761" t="n">
        <v>18.7</v>
      </c>
      <c r="H761" t="n">
        <v>0</v>
      </c>
      <c r="I761" t="n">
        <v>0</v>
      </c>
      <c r="J761" t="n">
        <v>0</v>
      </c>
      <c r="K761" t="n">
        <v>0</v>
      </c>
      <c r="L761" t="n">
        <v>0</v>
      </c>
      <c r="M761" t="n">
        <v>0</v>
      </c>
      <c r="N761" t="n">
        <v>0</v>
      </c>
      <c r="O761" t="n">
        <v>0</v>
      </c>
      <c r="P761" t="n">
        <v>0</v>
      </c>
      <c r="Q761" t="n">
        <v>0</v>
      </c>
      <c r="R761" s="2" t="inlineStr"/>
    </row>
    <row r="762" ht="15" customHeight="1">
      <c r="A762" t="inlineStr">
        <is>
          <t>A 12375-2025</t>
        </is>
      </c>
      <c r="B762" s="1" t="n">
        <v>45730</v>
      </c>
      <c r="C762" s="1" t="n">
        <v>45899</v>
      </c>
      <c r="D762" t="inlineStr">
        <is>
          <t>VÄSTERBOTTENS LÄN</t>
        </is>
      </c>
      <c r="E762" t="inlineStr">
        <is>
          <t>VILHELMINA</t>
        </is>
      </c>
      <c r="F762" t="inlineStr">
        <is>
          <t>Övriga statliga verk och myndigheter</t>
        </is>
      </c>
      <c r="G762" t="n">
        <v>22.3</v>
      </c>
      <c r="H762" t="n">
        <v>0</v>
      </c>
      <c r="I762" t="n">
        <v>0</v>
      </c>
      <c r="J762" t="n">
        <v>0</v>
      </c>
      <c r="K762" t="n">
        <v>0</v>
      </c>
      <c r="L762" t="n">
        <v>0</v>
      </c>
      <c r="M762" t="n">
        <v>0</v>
      </c>
      <c r="N762" t="n">
        <v>0</v>
      </c>
      <c r="O762" t="n">
        <v>0</v>
      </c>
      <c r="P762" t="n">
        <v>0</v>
      </c>
      <c r="Q762" t="n">
        <v>0</v>
      </c>
      <c r="R762" s="2" t="inlineStr"/>
    </row>
    <row r="763" ht="15" customHeight="1">
      <c r="A763" t="inlineStr">
        <is>
          <t>A 48471-2023</t>
        </is>
      </c>
      <c r="B763" s="1" t="n">
        <v>45206.9575462963</v>
      </c>
      <c r="C763" s="1" t="n">
        <v>45899</v>
      </c>
      <c r="D763" t="inlineStr">
        <is>
          <t>VÄSTERBOTTENS LÄN</t>
        </is>
      </c>
      <c r="E763" t="inlineStr">
        <is>
          <t>VILHELMINA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21843-2024</t>
        </is>
      </c>
      <c r="B764" s="1" t="n">
        <v>45442.96064814815</v>
      </c>
      <c r="C764" s="1" t="n">
        <v>45899</v>
      </c>
      <c r="D764" t="inlineStr">
        <is>
          <t>VÄSTERBOTTENS LÄN</t>
        </is>
      </c>
      <c r="E764" t="inlineStr">
        <is>
          <t>VILHELMINA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34819-2024</t>
        </is>
      </c>
      <c r="B765" s="1" t="n">
        <v>45526.71134259259</v>
      </c>
      <c r="C765" s="1" t="n">
        <v>45899</v>
      </c>
      <c r="D765" t="inlineStr">
        <is>
          <t>VÄSTERBOTTENS LÄN</t>
        </is>
      </c>
      <c r="E765" t="inlineStr">
        <is>
          <t>VILHELMINA</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12043-2023</t>
        </is>
      </c>
      <c r="B766" s="1" t="n">
        <v>44995</v>
      </c>
      <c r="C766" s="1" t="n">
        <v>45899</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55688-2023</t>
        </is>
      </c>
      <c r="B767" s="1" t="n">
        <v>45232</v>
      </c>
      <c r="C767" s="1" t="n">
        <v>45899</v>
      </c>
      <c r="D767" t="inlineStr">
        <is>
          <t>VÄSTERBOTTENS LÄN</t>
        </is>
      </c>
      <c r="E767" t="inlineStr">
        <is>
          <t>VILHELMINA</t>
        </is>
      </c>
      <c r="G767" t="n">
        <v>6.4</v>
      </c>
      <c r="H767" t="n">
        <v>0</v>
      </c>
      <c r="I767" t="n">
        <v>0</v>
      </c>
      <c r="J767" t="n">
        <v>0</v>
      </c>
      <c r="K767" t="n">
        <v>0</v>
      </c>
      <c r="L767" t="n">
        <v>0</v>
      </c>
      <c r="M767" t="n">
        <v>0</v>
      </c>
      <c r="N767" t="n">
        <v>0</v>
      </c>
      <c r="O767" t="n">
        <v>0</v>
      </c>
      <c r="P767" t="n">
        <v>0</v>
      </c>
      <c r="Q767" t="n">
        <v>0</v>
      </c>
      <c r="R767" s="2" t="inlineStr"/>
    </row>
    <row r="768" ht="15" customHeight="1">
      <c r="A768" t="inlineStr">
        <is>
          <t>A 48117-2022</t>
        </is>
      </c>
      <c r="B768" s="1" t="n">
        <v>44857</v>
      </c>
      <c r="C768" s="1" t="n">
        <v>45899</v>
      </c>
      <c r="D768" t="inlineStr">
        <is>
          <t>VÄSTERBOTTENS LÄN</t>
        </is>
      </c>
      <c r="E768" t="inlineStr">
        <is>
          <t>VILHELMINA</t>
        </is>
      </c>
      <c r="G768" t="n">
        <v>5.6</v>
      </c>
      <c r="H768" t="n">
        <v>0</v>
      </c>
      <c r="I768" t="n">
        <v>0</v>
      </c>
      <c r="J768" t="n">
        <v>0</v>
      </c>
      <c r="K768" t="n">
        <v>0</v>
      </c>
      <c r="L768" t="n">
        <v>0</v>
      </c>
      <c r="M768" t="n">
        <v>0</v>
      </c>
      <c r="N768" t="n">
        <v>0</v>
      </c>
      <c r="O768" t="n">
        <v>0</v>
      </c>
      <c r="P768" t="n">
        <v>0</v>
      </c>
      <c r="Q768" t="n">
        <v>0</v>
      </c>
      <c r="R768" s="2" t="inlineStr"/>
    </row>
    <row r="769" ht="15" customHeight="1">
      <c r="A769" t="inlineStr">
        <is>
          <t>A 4869-2023</t>
        </is>
      </c>
      <c r="B769" s="1" t="n">
        <v>44957</v>
      </c>
      <c r="C769" s="1" t="n">
        <v>45899</v>
      </c>
      <c r="D769" t="inlineStr">
        <is>
          <t>VÄSTERBOTTENS LÄN</t>
        </is>
      </c>
      <c r="E769" t="inlineStr">
        <is>
          <t>VILHELMINA</t>
        </is>
      </c>
      <c r="G769" t="n">
        <v>5.7</v>
      </c>
      <c r="H769" t="n">
        <v>0</v>
      </c>
      <c r="I769" t="n">
        <v>0</v>
      </c>
      <c r="J769" t="n">
        <v>0</v>
      </c>
      <c r="K769" t="n">
        <v>0</v>
      </c>
      <c r="L769" t="n">
        <v>0</v>
      </c>
      <c r="M769" t="n">
        <v>0</v>
      </c>
      <c r="N769" t="n">
        <v>0</v>
      </c>
      <c r="O769" t="n">
        <v>0</v>
      </c>
      <c r="P769" t="n">
        <v>0</v>
      </c>
      <c r="Q769" t="n">
        <v>0</v>
      </c>
      <c r="R769" s="2" t="inlineStr"/>
    </row>
    <row r="770" ht="15" customHeight="1">
      <c r="A770" t="inlineStr">
        <is>
          <t>A 10268-2025</t>
        </is>
      </c>
      <c r="B770" s="1" t="n">
        <v>45720</v>
      </c>
      <c r="C770" s="1" t="n">
        <v>45899</v>
      </c>
      <c r="D770" t="inlineStr">
        <is>
          <t>VÄSTERBOTTENS LÄN</t>
        </is>
      </c>
      <c r="E770" t="inlineStr">
        <is>
          <t>VILHELMINA</t>
        </is>
      </c>
      <c r="G770" t="n">
        <v>1.9</v>
      </c>
      <c r="H770" t="n">
        <v>0</v>
      </c>
      <c r="I770" t="n">
        <v>0</v>
      </c>
      <c r="J770" t="n">
        <v>0</v>
      </c>
      <c r="K770" t="n">
        <v>0</v>
      </c>
      <c r="L770" t="n">
        <v>0</v>
      </c>
      <c r="M770" t="n">
        <v>0</v>
      </c>
      <c r="N770" t="n">
        <v>0</v>
      </c>
      <c r="O770" t="n">
        <v>0</v>
      </c>
      <c r="P770" t="n">
        <v>0</v>
      </c>
      <c r="Q770" t="n">
        <v>0</v>
      </c>
      <c r="R770" s="2" t="inlineStr"/>
    </row>
    <row r="771" ht="15" customHeight="1">
      <c r="A771" t="inlineStr">
        <is>
          <t>A 61270-2022</t>
        </is>
      </c>
      <c r="B771" s="1" t="n">
        <v>44909</v>
      </c>
      <c r="C771" s="1" t="n">
        <v>45899</v>
      </c>
      <c r="D771" t="inlineStr">
        <is>
          <t>VÄSTERBOTTENS LÄN</t>
        </is>
      </c>
      <c r="E771" t="inlineStr">
        <is>
          <t>VILHELMINA</t>
        </is>
      </c>
      <c r="G771" t="n">
        <v>8.9</v>
      </c>
      <c r="H771" t="n">
        <v>0</v>
      </c>
      <c r="I771" t="n">
        <v>0</v>
      </c>
      <c r="J771" t="n">
        <v>0</v>
      </c>
      <c r="K771" t="n">
        <v>0</v>
      </c>
      <c r="L771" t="n">
        <v>0</v>
      </c>
      <c r="M771" t="n">
        <v>0</v>
      </c>
      <c r="N771" t="n">
        <v>0</v>
      </c>
      <c r="O771" t="n">
        <v>0</v>
      </c>
      <c r="P771" t="n">
        <v>0</v>
      </c>
      <c r="Q771" t="n">
        <v>0</v>
      </c>
      <c r="R771" s="2" t="inlineStr"/>
    </row>
    <row r="772" ht="15" customHeight="1">
      <c r="A772" t="inlineStr">
        <is>
          <t>A 34799-2023</t>
        </is>
      </c>
      <c r="B772" s="1" t="n">
        <v>45140</v>
      </c>
      <c r="C772" s="1" t="n">
        <v>45899</v>
      </c>
      <c r="D772" t="inlineStr">
        <is>
          <t>VÄSTERBOTTENS LÄN</t>
        </is>
      </c>
      <c r="E772" t="inlineStr">
        <is>
          <t>VILHELMINA</t>
        </is>
      </c>
      <c r="G772" t="n">
        <v>17.4</v>
      </c>
      <c r="H772" t="n">
        <v>0</v>
      </c>
      <c r="I772" t="n">
        <v>0</v>
      </c>
      <c r="J772" t="n">
        <v>0</v>
      </c>
      <c r="K772" t="n">
        <v>0</v>
      </c>
      <c r="L772" t="n">
        <v>0</v>
      </c>
      <c r="M772" t="n">
        <v>0</v>
      </c>
      <c r="N772" t="n">
        <v>0</v>
      </c>
      <c r="O772" t="n">
        <v>0</v>
      </c>
      <c r="P772" t="n">
        <v>0</v>
      </c>
      <c r="Q772" t="n">
        <v>0</v>
      </c>
      <c r="R772" s="2" t="inlineStr"/>
    </row>
    <row r="773" ht="15" customHeight="1">
      <c r="A773" t="inlineStr">
        <is>
          <t>A 30572-2024</t>
        </is>
      </c>
      <c r="B773" s="1" t="n">
        <v>45492.95777777778</v>
      </c>
      <c r="C773" s="1" t="n">
        <v>45899</v>
      </c>
      <c r="D773" t="inlineStr">
        <is>
          <t>VÄSTERBOTTENS LÄN</t>
        </is>
      </c>
      <c r="E773" t="inlineStr">
        <is>
          <t>VILHELMINA</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30582-2024</t>
        </is>
      </c>
      <c r="B774" s="1" t="n">
        <v>45492</v>
      </c>
      <c r="C774" s="1" t="n">
        <v>45899</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55620-2024</t>
        </is>
      </c>
      <c r="B775" s="1" t="n">
        <v>45622</v>
      </c>
      <c r="C775" s="1" t="n">
        <v>45899</v>
      </c>
      <c r="D775" t="inlineStr">
        <is>
          <t>VÄSTERBOTTENS LÄN</t>
        </is>
      </c>
      <c r="E775" t="inlineStr">
        <is>
          <t>VILHELMINA</t>
        </is>
      </c>
      <c r="F775" t="inlineStr">
        <is>
          <t>SCA</t>
        </is>
      </c>
      <c r="G775" t="n">
        <v>21.4</v>
      </c>
      <c r="H775" t="n">
        <v>0</v>
      </c>
      <c r="I775" t="n">
        <v>0</v>
      </c>
      <c r="J775" t="n">
        <v>0</v>
      </c>
      <c r="K775" t="n">
        <v>0</v>
      </c>
      <c r="L775" t="n">
        <v>0</v>
      </c>
      <c r="M775" t="n">
        <v>0</v>
      </c>
      <c r="N775" t="n">
        <v>0</v>
      </c>
      <c r="O775" t="n">
        <v>0</v>
      </c>
      <c r="P775" t="n">
        <v>0</v>
      </c>
      <c r="Q775" t="n">
        <v>0</v>
      </c>
      <c r="R775" s="2" t="inlineStr"/>
    </row>
    <row r="776" ht="15" customHeight="1">
      <c r="A776" t="inlineStr">
        <is>
          <t>A 37320-2021</t>
        </is>
      </c>
      <c r="B776" s="1" t="n">
        <v>44397</v>
      </c>
      <c r="C776" s="1" t="n">
        <v>45899</v>
      </c>
      <c r="D776" t="inlineStr">
        <is>
          <t>VÄSTERBOTTENS LÄN</t>
        </is>
      </c>
      <c r="E776" t="inlineStr">
        <is>
          <t>VILHELMINA</t>
        </is>
      </c>
      <c r="F776" t="inlineStr">
        <is>
          <t>Kommuner</t>
        </is>
      </c>
      <c r="G776" t="n">
        <v>1.2</v>
      </c>
      <c r="H776" t="n">
        <v>0</v>
      </c>
      <c r="I776" t="n">
        <v>0</v>
      </c>
      <c r="J776" t="n">
        <v>0</v>
      </c>
      <c r="K776" t="n">
        <v>0</v>
      </c>
      <c r="L776" t="n">
        <v>0</v>
      </c>
      <c r="M776" t="n">
        <v>0</v>
      </c>
      <c r="N776" t="n">
        <v>0</v>
      </c>
      <c r="O776" t="n">
        <v>0</v>
      </c>
      <c r="P776" t="n">
        <v>0</v>
      </c>
      <c r="Q776" t="n">
        <v>0</v>
      </c>
      <c r="R776" s="2" t="inlineStr"/>
    </row>
    <row r="777" ht="15" customHeight="1">
      <c r="A777" t="inlineStr">
        <is>
          <t>A 60227-2022</t>
        </is>
      </c>
      <c r="B777" s="1" t="n">
        <v>44903</v>
      </c>
      <c r="C777" s="1" t="n">
        <v>45899</v>
      </c>
      <c r="D777" t="inlineStr">
        <is>
          <t>VÄSTERBOTTENS LÄN</t>
        </is>
      </c>
      <c r="E777" t="inlineStr">
        <is>
          <t>VILHELMINA</t>
        </is>
      </c>
      <c r="G777" t="n">
        <v>11</v>
      </c>
      <c r="H777" t="n">
        <v>0</v>
      </c>
      <c r="I777" t="n">
        <v>0</v>
      </c>
      <c r="J777" t="n">
        <v>0</v>
      </c>
      <c r="K777" t="n">
        <v>0</v>
      </c>
      <c r="L777" t="n">
        <v>0</v>
      </c>
      <c r="M777" t="n">
        <v>0</v>
      </c>
      <c r="N777" t="n">
        <v>0</v>
      </c>
      <c r="O777" t="n">
        <v>0</v>
      </c>
      <c r="P777" t="n">
        <v>0</v>
      </c>
      <c r="Q777" t="n">
        <v>0</v>
      </c>
      <c r="R777" s="2" t="inlineStr"/>
    </row>
    <row r="778" ht="15" customHeight="1">
      <c r="A778" t="inlineStr">
        <is>
          <t>A 10956-2023</t>
        </is>
      </c>
      <c r="B778" s="1" t="n">
        <v>44985</v>
      </c>
      <c r="C778" s="1" t="n">
        <v>45899</v>
      </c>
      <c r="D778" t="inlineStr">
        <is>
          <t>VÄSTERBOTTENS LÄN</t>
        </is>
      </c>
      <c r="E778" t="inlineStr">
        <is>
          <t>VILHELMINA</t>
        </is>
      </c>
      <c r="G778" t="n">
        <v>3.3</v>
      </c>
      <c r="H778" t="n">
        <v>0</v>
      </c>
      <c r="I778" t="n">
        <v>0</v>
      </c>
      <c r="J778" t="n">
        <v>0</v>
      </c>
      <c r="K778" t="n">
        <v>0</v>
      </c>
      <c r="L778" t="n">
        <v>0</v>
      </c>
      <c r="M778" t="n">
        <v>0</v>
      </c>
      <c r="N778" t="n">
        <v>0</v>
      </c>
      <c r="O778" t="n">
        <v>0</v>
      </c>
      <c r="P778" t="n">
        <v>0</v>
      </c>
      <c r="Q778" t="n">
        <v>0</v>
      </c>
      <c r="R778" s="2" t="inlineStr"/>
    </row>
    <row r="779" ht="15" customHeight="1">
      <c r="A779" t="inlineStr">
        <is>
          <t>A 19223-2025</t>
        </is>
      </c>
      <c r="B779" s="1" t="n">
        <v>45769</v>
      </c>
      <c r="C779" s="1" t="n">
        <v>45899</v>
      </c>
      <c r="D779" t="inlineStr">
        <is>
          <t>VÄSTERBOTTENS LÄN</t>
        </is>
      </c>
      <c r="E779" t="inlineStr">
        <is>
          <t>VILHELMINA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45899</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45899</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45899</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45899</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22440-2025</t>
        </is>
      </c>
      <c r="B784" s="1" t="n">
        <v>45786</v>
      </c>
      <c r="C784" s="1" t="n">
        <v>45899</v>
      </c>
      <c r="D784" t="inlineStr">
        <is>
          <t>VÄSTERBOTTENS LÄN</t>
        </is>
      </c>
      <c r="E784" t="inlineStr">
        <is>
          <t>VILHELMINA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11139-2022</t>
        </is>
      </c>
      <c r="B785" s="1" t="n">
        <v>44628</v>
      </c>
      <c r="C785" s="1" t="n">
        <v>45899</v>
      </c>
      <c r="D785" t="inlineStr">
        <is>
          <t>VÄSTERBOTTENS LÄN</t>
        </is>
      </c>
      <c r="E785" t="inlineStr">
        <is>
          <t>VILHELMINA</t>
        </is>
      </c>
      <c r="G785" t="n">
        <v>13.6</v>
      </c>
      <c r="H785" t="n">
        <v>0</v>
      </c>
      <c r="I785" t="n">
        <v>0</v>
      </c>
      <c r="J785" t="n">
        <v>0</v>
      </c>
      <c r="K785" t="n">
        <v>0</v>
      </c>
      <c r="L785" t="n">
        <v>0</v>
      </c>
      <c r="M785" t="n">
        <v>0</v>
      </c>
      <c r="N785" t="n">
        <v>0</v>
      </c>
      <c r="O785" t="n">
        <v>0</v>
      </c>
      <c r="P785" t="n">
        <v>0</v>
      </c>
      <c r="Q785" t="n">
        <v>0</v>
      </c>
      <c r="R785" s="2" t="inlineStr"/>
    </row>
    <row r="786" ht="15" customHeight="1">
      <c r="A786" t="inlineStr">
        <is>
          <t>A 40468-2021</t>
        </is>
      </c>
      <c r="B786" s="1" t="n">
        <v>44419.94174768519</v>
      </c>
      <c r="C786" s="1" t="n">
        <v>45899</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14959-2022</t>
        </is>
      </c>
      <c r="B787" s="1" t="n">
        <v>44657</v>
      </c>
      <c r="C787" s="1" t="n">
        <v>45899</v>
      </c>
      <c r="D787" t="inlineStr">
        <is>
          <t>VÄSTERBOTTENS LÄN</t>
        </is>
      </c>
      <c r="E787" t="inlineStr">
        <is>
          <t>VILHELMINA</t>
        </is>
      </c>
      <c r="G787" t="n">
        <v>71.8</v>
      </c>
      <c r="H787" t="n">
        <v>0</v>
      </c>
      <c r="I787" t="n">
        <v>0</v>
      </c>
      <c r="J787" t="n">
        <v>0</v>
      </c>
      <c r="K787" t="n">
        <v>0</v>
      </c>
      <c r="L787" t="n">
        <v>0</v>
      </c>
      <c r="M787" t="n">
        <v>0</v>
      </c>
      <c r="N787" t="n">
        <v>0</v>
      </c>
      <c r="O787" t="n">
        <v>0</v>
      </c>
      <c r="P787" t="n">
        <v>0</v>
      </c>
      <c r="Q787" t="n">
        <v>0</v>
      </c>
      <c r="R787" s="2" t="inlineStr"/>
    </row>
    <row r="788" ht="15" customHeight="1">
      <c r="A788" t="inlineStr">
        <is>
          <t>A 16720-2025</t>
        </is>
      </c>
      <c r="B788" s="1" t="n">
        <v>45754.49039351852</v>
      </c>
      <c r="C788" s="1" t="n">
        <v>45899</v>
      </c>
      <c r="D788" t="inlineStr">
        <is>
          <t>VÄSTERBOTTENS LÄN</t>
        </is>
      </c>
      <c r="E788" t="inlineStr">
        <is>
          <t>VILHELMINA</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2187-2021</t>
        </is>
      </c>
      <c r="B789" s="1" t="n">
        <v>44211</v>
      </c>
      <c r="C789" s="1" t="n">
        <v>45899</v>
      </c>
      <c r="D789" t="inlineStr">
        <is>
          <t>VÄSTERBOTTENS LÄN</t>
        </is>
      </c>
      <c r="E789" t="inlineStr">
        <is>
          <t>VILHELMINA</t>
        </is>
      </c>
      <c r="F789" t="inlineStr">
        <is>
          <t>Allmännings- och besparingsskogar</t>
        </is>
      </c>
      <c r="G789" t="n">
        <v>21.3</v>
      </c>
      <c r="H789" t="n">
        <v>0</v>
      </c>
      <c r="I789" t="n">
        <v>0</v>
      </c>
      <c r="J789" t="n">
        <v>0</v>
      </c>
      <c r="K789" t="n">
        <v>0</v>
      </c>
      <c r="L789" t="n">
        <v>0</v>
      </c>
      <c r="M789" t="n">
        <v>0</v>
      </c>
      <c r="N789" t="n">
        <v>0</v>
      </c>
      <c r="O789" t="n">
        <v>0</v>
      </c>
      <c r="P789" t="n">
        <v>0</v>
      </c>
      <c r="Q789" t="n">
        <v>0</v>
      </c>
      <c r="R789" s="2" t="inlineStr"/>
    </row>
    <row r="790" ht="15" customHeight="1">
      <c r="A790" t="inlineStr">
        <is>
          <t>A 12825-2023</t>
        </is>
      </c>
      <c r="B790" s="1" t="n">
        <v>45000</v>
      </c>
      <c r="C790" s="1" t="n">
        <v>45899</v>
      </c>
      <c r="D790" t="inlineStr">
        <is>
          <t>VÄSTERBOTTENS LÄN</t>
        </is>
      </c>
      <c r="E790" t="inlineStr">
        <is>
          <t>VILHELMINA</t>
        </is>
      </c>
      <c r="G790" t="n">
        <v>22.4</v>
      </c>
      <c r="H790" t="n">
        <v>0</v>
      </c>
      <c r="I790" t="n">
        <v>0</v>
      </c>
      <c r="J790" t="n">
        <v>0</v>
      </c>
      <c r="K790" t="n">
        <v>0</v>
      </c>
      <c r="L790" t="n">
        <v>0</v>
      </c>
      <c r="M790" t="n">
        <v>0</v>
      </c>
      <c r="N790" t="n">
        <v>0</v>
      </c>
      <c r="O790" t="n">
        <v>0</v>
      </c>
      <c r="P790" t="n">
        <v>0</v>
      </c>
      <c r="Q790" t="n">
        <v>0</v>
      </c>
      <c r="R790" s="2" t="inlineStr"/>
    </row>
    <row r="791" ht="15" customHeight="1">
      <c r="A791" t="inlineStr">
        <is>
          <t>A 402-2023</t>
        </is>
      </c>
      <c r="B791" s="1" t="n">
        <v>44923</v>
      </c>
      <c r="C791" s="1" t="n">
        <v>45899</v>
      </c>
      <c r="D791" t="inlineStr">
        <is>
          <t>VÄSTERBOTTENS LÄN</t>
        </is>
      </c>
      <c r="E791" t="inlineStr">
        <is>
          <t>VILHELMINA</t>
        </is>
      </c>
      <c r="G791" t="n">
        <v>14.7</v>
      </c>
      <c r="H791" t="n">
        <v>0</v>
      </c>
      <c r="I791" t="n">
        <v>0</v>
      </c>
      <c r="J791" t="n">
        <v>0</v>
      </c>
      <c r="K791" t="n">
        <v>0</v>
      </c>
      <c r="L791" t="n">
        <v>0</v>
      </c>
      <c r="M791" t="n">
        <v>0</v>
      </c>
      <c r="N791" t="n">
        <v>0</v>
      </c>
      <c r="O791" t="n">
        <v>0</v>
      </c>
      <c r="P791" t="n">
        <v>0</v>
      </c>
      <c r="Q791" t="n">
        <v>0</v>
      </c>
      <c r="R791" s="2" t="inlineStr"/>
    </row>
    <row r="792" ht="15" customHeight="1">
      <c r="A792" t="inlineStr">
        <is>
          <t>A 6638-2025</t>
        </is>
      </c>
      <c r="B792" s="1" t="n">
        <v>45700</v>
      </c>
      <c r="C792" s="1" t="n">
        <v>45899</v>
      </c>
      <c r="D792" t="inlineStr">
        <is>
          <t>VÄSTERBOTTENS LÄN</t>
        </is>
      </c>
      <c r="E792" t="inlineStr">
        <is>
          <t>VILHELMINA</t>
        </is>
      </c>
      <c r="G792" t="n">
        <v>21.5</v>
      </c>
      <c r="H792" t="n">
        <v>0</v>
      </c>
      <c r="I792" t="n">
        <v>0</v>
      </c>
      <c r="J792" t="n">
        <v>0</v>
      </c>
      <c r="K792" t="n">
        <v>0</v>
      </c>
      <c r="L792" t="n">
        <v>0</v>
      </c>
      <c r="M792" t="n">
        <v>0</v>
      </c>
      <c r="N792" t="n">
        <v>0</v>
      </c>
      <c r="O792" t="n">
        <v>0</v>
      </c>
      <c r="P792" t="n">
        <v>0</v>
      </c>
      <c r="Q792" t="n">
        <v>0</v>
      </c>
      <c r="R792" s="2" t="inlineStr"/>
    </row>
    <row r="793" ht="15" customHeight="1">
      <c r="A793" t="inlineStr">
        <is>
          <t>A 210-2022</t>
        </is>
      </c>
      <c r="B793" s="1" t="n">
        <v>44564.80189814815</v>
      </c>
      <c r="C793" s="1" t="n">
        <v>45899</v>
      </c>
      <c r="D793" t="inlineStr">
        <is>
          <t>VÄSTERBOTTENS LÄN</t>
        </is>
      </c>
      <c r="E793" t="inlineStr">
        <is>
          <t>VILHELMINA</t>
        </is>
      </c>
      <c r="G793" t="n">
        <v>2</v>
      </c>
      <c r="H793" t="n">
        <v>0</v>
      </c>
      <c r="I793" t="n">
        <v>0</v>
      </c>
      <c r="J793" t="n">
        <v>0</v>
      </c>
      <c r="K793" t="n">
        <v>0</v>
      </c>
      <c r="L793" t="n">
        <v>0</v>
      </c>
      <c r="M793" t="n">
        <v>0</v>
      </c>
      <c r="N793" t="n">
        <v>0</v>
      </c>
      <c r="O793" t="n">
        <v>0</v>
      </c>
      <c r="P793" t="n">
        <v>0</v>
      </c>
      <c r="Q793" t="n">
        <v>0</v>
      </c>
      <c r="R793" s="2" t="inlineStr"/>
    </row>
    <row r="794" ht="15" customHeight="1">
      <c r="A794" t="inlineStr">
        <is>
          <t>A 36408-2023</t>
        </is>
      </c>
      <c r="B794" s="1" t="n">
        <v>45152</v>
      </c>
      <c r="C794" s="1" t="n">
        <v>45899</v>
      </c>
      <c r="D794" t="inlineStr">
        <is>
          <t>VÄSTERBOTTENS LÄN</t>
        </is>
      </c>
      <c r="E794" t="inlineStr">
        <is>
          <t>VILHELMINA</t>
        </is>
      </c>
      <c r="G794" t="n">
        <v>4.4</v>
      </c>
      <c r="H794" t="n">
        <v>0</v>
      </c>
      <c r="I794" t="n">
        <v>0</v>
      </c>
      <c r="J794" t="n">
        <v>0</v>
      </c>
      <c r="K794" t="n">
        <v>0</v>
      </c>
      <c r="L794" t="n">
        <v>0</v>
      </c>
      <c r="M794" t="n">
        <v>0</v>
      </c>
      <c r="N794" t="n">
        <v>0</v>
      </c>
      <c r="O794" t="n">
        <v>0</v>
      </c>
      <c r="P794" t="n">
        <v>0</v>
      </c>
      <c r="Q794" t="n">
        <v>0</v>
      </c>
      <c r="R794" s="2" t="inlineStr"/>
    </row>
    <row r="795" ht="15" customHeight="1">
      <c r="A795" t="inlineStr">
        <is>
          <t>A 57108-2023</t>
        </is>
      </c>
      <c r="B795" s="1" t="n">
        <v>45239</v>
      </c>
      <c r="C795" s="1" t="n">
        <v>45899</v>
      </c>
      <c r="D795" t="inlineStr">
        <is>
          <t>VÄSTERBOTTENS LÄN</t>
        </is>
      </c>
      <c r="E795" t="inlineStr">
        <is>
          <t>VILHELMINA</t>
        </is>
      </c>
      <c r="G795" t="n">
        <v>0.6</v>
      </c>
      <c r="H795" t="n">
        <v>0</v>
      </c>
      <c r="I795" t="n">
        <v>0</v>
      </c>
      <c r="J795" t="n">
        <v>0</v>
      </c>
      <c r="K795" t="n">
        <v>0</v>
      </c>
      <c r="L795" t="n">
        <v>0</v>
      </c>
      <c r="M795" t="n">
        <v>0</v>
      </c>
      <c r="N795" t="n">
        <v>0</v>
      </c>
      <c r="O795" t="n">
        <v>0</v>
      </c>
      <c r="P795" t="n">
        <v>0</v>
      </c>
      <c r="Q795" t="n">
        <v>0</v>
      </c>
      <c r="R795" s="2" t="inlineStr"/>
    </row>
    <row r="796" ht="15" customHeight="1">
      <c r="A796" t="inlineStr">
        <is>
          <t>A 38555-2024</t>
        </is>
      </c>
      <c r="B796" s="1" t="n">
        <v>45546</v>
      </c>
      <c r="C796" s="1" t="n">
        <v>45899</v>
      </c>
      <c r="D796" t="inlineStr">
        <is>
          <t>VÄSTERBOTTENS LÄN</t>
        </is>
      </c>
      <c r="E796" t="inlineStr">
        <is>
          <t>VILHELMINA</t>
        </is>
      </c>
      <c r="G796" t="n">
        <v>7.8</v>
      </c>
      <c r="H796" t="n">
        <v>0</v>
      </c>
      <c r="I796" t="n">
        <v>0</v>
      </c>
      <c r="J796" t="n">
        <v>0</v>
      </c>
      <c r="K796" t="n">
        <v>0</v>
      </c>
      <c r="L796" t="n">
        <v>0</v>
      </c>
      <c r="M796" t="n">
        <v>0</v>
      </c>
      <c r="N796" t="n">
        <v>0</v>
      </c>
      <c r="O796" t="n">
        <v>0</v>
      </c>
      <c r="P796" t="n">
        <v>0</v>
      </c>
      <c r="Q796" t="n">
        <v>0</v>
      </c>
      <c r="R796" s="2" t="inlineStr"/>
    </row>
    <row r="797" ht="15" customHeight="1">
      <c r="A797" t="inlineStr">
        <is>
          <t>A 19349-2024</t>
        </is>
      </c>
      <c r="B797" s="1" t="n">
        <v>45428.97231481481</v>
      </c>
      <c r="C797" s="1" t="n">
        <v>45899</v>
      </c>
      <c r="D797" t="inlineStr">
        <is>
          <t>VÄSTERBOTTENS LÄN</t>
        </is>
      </c>
      <c r="E797" t="inlineStr">
        <is>
          <t>VILHELMINA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18692-2023</t>
        </is>
      </c>
      <c r="B798" s="1" t="n">
        <v>45042</v>
      </c>
      <c r="C798" s="1" t="n">
        <v>45899</v>
      </c>
      <c r="D798" t="inlineStr">
        <is>
          <t>VÄSTERBOTTENS LÄN</t>
        </is>
      </c>
      <c r="E798" t="inlineStr">
        <is>
          <t>VILHELMINA</t>
        </is>
      </c>
      <c r="F798" t="inlineStr">
        <is>
          <t>Allmännings- och besparingsskogar</t>
        </is>
      </c>
      <c r="G798" t="n">
        <v>0.6</v>
      </c>
      <c r="H798" t="n">
        <v>0</v>
      </c>
      <c r="I798" t="n">
        <v>0</v>
      </c>
      <c r="J798" t="n">
        <v>0</v>
      </c>
      <c r="K798" t="n">
        <v>0</v>
      </c>
      <c r="L798" t="n">
        <v>0</v>
      </c>
      <c r="M798" t="n">
        <v>0</v>
      </c>
      <c r="N798" t="n">
        <v>0</v>
      </c>
      <c r="O798" t="n">
        <v>0</v>
      </c>
      <c r="P798" t="n">
        <v>0</v>
      </c>
      <c r="Q798" t="n">
        <v>0</v>
      </c>
      <c r="R798" s="2" t="inlineStr"/>
    </row>
    <row r="799" ht="15" customHeight="1">
      <c r="A799" t="inlineStr">
        <is>
          <t>A 58363-2021</t>
        </is>
      </c>
      <c r="B799" s="1" t="n">
        <v>44488</v>
      </c>
      <c r="C799" s="1" t="n">
        <v>45899</v>
      </c>
      <c r="D799" t="inlineStr">
        <is>
          <t>VÄSTERBOTTENS LÄN</t>
        </is>
      </c>
      <c r="E799" t="inlineStr">
        <is>
          <t>VILHELMINA</t>
        </is>
      </c>
      <c r="G799" t="n">
        <v>7.3</v>
      </c>
      <c r="H799" t="n">
        <v>0</v>
      </c>
      <c r="I799" t="n">
        <v>0</v>
      </c>
      <c r="J799" t="n">
        <v>0</v>
      </c>
      <c r="K799" t="n">
        <v>0</v>
      </c>
      <c r="L799" t="n">
        <v>0</v>
      </c>
      <c r="M799" t="n">
        <v>0</v>
      </c>
      <c r="N799" t="n">
        <v>0</v>
      </c>
      <c r="O799" t="n">
        <v>0</v>
      </c>
      <c r="P799" t="n">
        <v>0</v>
      </c>
      <c r="Q799" t="n">
        <v>0</v>
      </c>
      <c r="R799" s="2" t="inlineStr"/>
    </row>
    <row r="800" ht="15" customHeight="1">
      <c r="A800" t="inlineStr">
        <is>
          <t>A 61778-2023</t>
        </is>
      </c>
      <c r="B800" s="1" t="n">
        <v>45265.95667824074</v>
      </c>
      <c r="C800" s="1" t="n">
        <v>45899</v>
      </c>
      <c r="D800" t="inlineStr">
        <is>
          <t>VÄSTERBOTTENS LÄN</t>
        </is>
      </c>
      <c r="E800" t="inlineStr">
        <is>
          <t>VILHELMINA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29104-2024</t>
        </is>
      </c>
      <c r="B801" s="1" t="n">
        <v>45481.95178240741</v>
      </c>
      <c r="C801" s="1" t="n">
        <v>45899</v>
      </c>
      <c r="D801" t="inlineStr">
        <is>
          <t>VÄSTERBOTTENS LÄN</t>
        </is>
      </c>
      <c r="E801" t="inlineStr">
        <is>
          <t>VILHELMINA</t>
        </is>
      </c>
      <c r="F801" t="inlineStr">
        <is>
          <t>SCA</t>
        </is>
      </c>
      <c r="G801" t="n">
        <v>5.1</v>
      </c>
      <c r="H801" t="n">
        <v>0</v>
      </c>
      <c r="I801" t="n">
        <v>0</v>
      </c>
      <c r="J801" t="n">
        <v>0</v>
      </c>
      <c r="K801" t="n">
        <v>0</v>
      </c>
      <c r="L801" t="n">
        <v>0</v>
      </c>
      <c r="M801" t="n">
        <v>0</v>
      </c>
      <c r="N801" t="n">
        <v>0</v>
      </c>
      <c r="O801" t="n">
        <v>0</v>
      </c>
      <c r="P801" t="n">
        <v>0</v>
      </c>
      <c r="Q801" t="n">
        <v>0</v>
      </c>
      <c r="R801" s="2" t="inlineStr"/>
    </row>
    <row r="802" ht="15" customHeight="1">
      <c r="A802" t="inlineStr">
        <is>
          <t>A 8750-2021</t>
        </is>
      </c>
      <c r="B802" s="1" t="n">
        <v>44246</v>
      </c>
      <c r="C802" s="1" t="n">
        <v>45899</v>
      </c>
      <c r="D802" t="inlineStr">
        <is>
          <t>VÄSTERBOTTENS LÄN</t>
        </is>
      </c>
      <c r="E802" t="inlineStr">
        <is>
          <t>VILHELMINA</t>
        </is>
      </c>
      <c r="G802" t="n">
        <v>5.2</v>
      </c>
      <c r="H802" t="n">
        <v>0</v>
      </c>
      <c r="I802" t="n">
        <v>0</v>
      </c>
      <c r="J802" t="n">
        <v>0</v>
      </c>
      <c r="K802" t="n">
        <v>0</v>
      </c>
      <c r="L802" t="n">
        <v>0</v>
      </c>
      <c r="M802" t="n">
        <v>0</v>
      </c>
      <c r="N802" t="n">
        <v>0</v>
      </c>
      <c r="O802" t="n">
        <v>0</v>
      </c>
      <c r="P802" t="n">
        <v>0</v>
      </c>
      <c r="Q802" t="n">
        <v>0</v>
      </c>
      <c r="R802" s="2" t="inlineStr"/>
    </row>
    <row r="803" ht="15" customHeight="1">
      <c r="A803" t="inlineStr">
        <is>
          <t>A 53034-2023</t>
        </is>
      </c>
      <c r="B803" s="1" t="n">
        <v>45226.96258101852</v>
      </c>
      <c r="C803" s="1" t="n">
        <v>45899</v>
      </c>
      <c r="D803" t="inlineStr">
        <is>
          <t>VÄSTERBOTTENS LÄN</t>
        </is>
      </c>
      <c r="E803" t="inlineStr">
        <is>
          <t>VILHELMINA</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46164-2023</t>
        </is>
      </c>
      <c r="B804" s="1" t="n">
        <v>45190</v>
      </c>
      <c r="C804" s="1" t="n">
        <v>45899</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47193-2020</t>
        </is>
      </c>
      <c r="B805" s="1" t="n">
        <v>44097</v>
      </c>
      <c r="C805" s="1" t="n">
        <v>45899</v>
      </c>
      <c r="D805" t="inlineStr">
        <is>
          <t>VÄSTERBOTTENS LÄN</t>
        </is>
      </c>
      <c r="E805" t="inlineStr">
        <is>
          <t>VILHELMINA</t>
        </is>
      </c>
      <c r="G805" t="n">
        <v>6.8</v>
      </c>
      <c r="H805" t="n">
        <v>0</v>
      </c>
      <c r="I805" t="n">
        <v>0</v>
      </c>
      <c r="J805" t="n">
        <v>0</v>
      </c>
      <c r="K805" t="n">
        <v>0</v>
      </c>
      <c r="L805" t="n">
        <v>0</v>
      </c>
      <c r="M805" t="n">
        <v>0</v>
      </c>
      <c r="N805" t="n">
        <v>0</v>
      </c>
      <c r="O805" t="n">
        <v>0</v>
      </c>
      <c r="P805" t="n">
        <v>0</v>
      </c>
      <c r="Q805" t="n">
        <v>0</v>
      </c>
      <c r="R805" s="2" t="inlineStr"/>
    </row>
    <row r="806" ht="15" customHeight="1">
      <c r="A806" t="inlineStr">
        <is>
          <t>A 6706-2021</t>
        </is>
      </c>
      <c r="B806" s="1" t="n">
        <v>44235</v>
      </c>
      <c r="C806" s="1" t="n">
        <v>45899</v>
      </c>
      <c r="D806" t="inlineStr">
        <is>
          <t>VÄSTERBOTTENS LÄN</t>
        </is>
      </c>
      <c r="E806" t="inlineStr">
        <is>
          <t>VILHELMINA</t>
        </is>
      </c>
      <c r="G806" t="n">
        <v>3.8</v>
      </c>
      <c r="H806" t="n">
        <v>0</v>
      </c>
      <c r="I806" t="n">
        <v>0</v>
      </c>
      <c r="J806" t="n">
        <v>0</v>
      </c>
      <c r="K806" t="n">
        <v>0</v>
      </c>
      <c r="L806" t="n">
        <v>0</v>
      </c>
      <c r="M806" t="n">
        <v>0</v>
      </c>
      <c r="N806" t="n">
        <v>0</v>
      </c>
      <c r="O806" t="n">
        <v>0</v>
      </c>
      <c r="P806" t="n">
        <v>0</v>
      </c>
      <c r="Q806" t="n">
        <v>0</v>
      </c>
      <c r="R806" s="2" t="inlineStr"/>
    </row>
    <row r="807" ht="15" customHeight="1">
      <c r="A807" t="inlineStr">
        <is>
          <t>A 53606-2024</t>
        </is>
      </c>
      <c r="B807" s="1" t="n">
        <v>45614</v>
      </c>
      <c r="C807" s="1" t="n">
        <v>45899</v>
      </c>
      <c r="D807" t="inlineStr">
        <is>
          <t>VÄSTERBOTTENS LÄN</t>
        </is>
      </c>
      <c r="E807" t="inlineStr">
        <is>
          <t>VILHELMINA</t>
        </is>
      </c>
      <c r="F807" t="inlineStr">
        <is>
          <t>SCA</t>
        </is>
      </c>
      <c r="G807" t="n">
        <v>10.1</v>
      </c>
      <c r="H807" t="n">
        <v>0</v>
      </c>
      <c r="I807" t="n">
        <v>0</v>
      </c>
      <c r="J807" t="n">
        <v>0</v>
      </c>
      <c r="K807" t="n">
        <v>0</v>
      </c>
      <c r="L807" t="n">
        <v>0</v>
      </c>
      <c r="M807" t="n">
        <v>0</v>
      </c>
      <c r="N807" t="n">
        <v>0</v>
      </c>
      <c r="O807" t="n">
        <v>0</v>
      </c>
      <c r="P807" t="n">
        <v>0</v>
      </c>
      <c r="Q807" t="n">
        <v>0</v>
      </c>
      <c r="R807" s="2" t="inlineStr"/>
    </row>
    <row r="808" ht="15" customHeight="1">
      <c r="A808" t="inlineStr">
        <is>
          <t>A 33786-2024</t>
        </is>
      </c>
      <c r="B808" s="1" t="n">
        <v>45520.58966435185</v>
      </c>
      <c r="C808" s="1" t="n">
        <v>45899</v>
      </c>
      <c r="D808" t="inlineStr">
        <is>
          <t>VÄSTERBOTTENS LÄN</t>
        </is>
      </c>
      <c r="E808" t="inlineStr">
        <is>
          <t>VILHELMINA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50505-2023</t>
        </is>
      </c>
      <c r="B809" s="1" t="n">
        <v>45216.95800925926</v>
      </c>
      <c r="C809" s="1" t="n">
        <v>45899</v>
      </c>
      <c r="D809" t="inlineStr">
        <is>
          <t>VÄSTERBOTTENS LÄN</t>
        </is>
      </c>
      <c r="E809" t="inlineStr">
        <is>
          <t>VILHELMINA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6369-2024</t>
        </is>
      </c>
      <c r="B810" s="1" t="n">
        <v>45338</v>
      </c>
      <c r="C810" s="1" t="n">
        <v>45899</v>
      </c>
      <c r="D810" t="inlineStr">
        <is>
          <t>VÄSTERBOTTENS LÄN</t>
        </is>
      </c>
      <c r="E810" t="inlineStr">
        <is>
          <t>VILHELMINA</t>
        </is>
      </c>
      <c r="G810" t="n">
        <v>3.6</v>
      </c>
      <c r="H810" t="n">
        <v>0</v>
      </c>
      <c r="I810" t="n">
        <v>0</v>
      </c>
      <c r="J810" t="n">
        <v>0</v>
      </c>
      <c r="K810" t="n">
        <v>0</v>
      </c>
      <c r="L810" t="n">
        <v>0</v>
      </c>
      <c r="M810" t="n">
        <v>0</v>
      </c>
      <c r="N810" t="n">
        <v>0</v>
      </c>
      <c r="O810" t="n">
        <v>0</v>
      </c>
      <c r="P810" t="n">
        <v>0</v>
      </c>
      <c r="Q810" t="n">
        <v>0</v>
      </c>
      <c r="R810" s="2" t="inlineStr"/>
    </row>
    <row r="811" ht="15" customHeight="1">
      <c r="A811" t="inlineStr">
        <is>
          <t>A 28869-2024</t>
        </is>
      </c>
      <c r="B811" s="1" t="n">
        <v>45478.94722222222</v>
      </c>
      <c r="C811" s="1" t="n">
        <v>45899</v>
      </c>
      <c r="D811" t="inlineStr">
        <is>
          <t>VÄSTERBOTTENS LÄN</t>
        </is>
      </c>
      <c r="E811" t="inlineStr">
        <is>
          <t>VILHELMINA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1470-2021</t>
        </is>
      </c>
      <c r="B812" s="1" t="n">
        <v>44208</v>
      </c>
      <c r="C812" s="1" t="n">
        <v>45899</v>
      </c>
      <c r="D812" t="inlineStr">
        <is>
          <t>VÄSTERBOTTENS LÄN</t>
        </is>
      </c>
      <c r="E812" t="inlineStr">
        <is>
          <t>VILHELMINA</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25102-2021</t>
        </is>
      </c>
      <c r="B813" s="1" t="n">
        <v>44341</v>
      </c>
      <c r="C813" s="1" t="n">
        <v>45899</v>
      </c>
      <c r="D813" t="inlineStr">
        <is>
          <t>VÄSTERBOTTENS LÄN</t>
        </is>
      </c>
      <c r="E813" t="inlineStr">
        <is>
          <t>VILHELMINA</t>
        </is>
      </c>
      <c r="G813" t="n">
        <v>6.7</v>
      </c>
      <c r="H813" t="n">
        <v>0</v>
      </c>
      <c r="I813" t="n">
        <v>0</v>
      </c>
      <c r="J813" t="n">
        <v>0</v>
      </c>
      <c r="K813" t="n">
        <v>0</v>
      </c>
      <c r="L813" t="n">
        <v>0</v>
      </c>
      <c r="M813" t="n">
        <v>0</v>
      </c>
      <c r="N813" t="n">
        <v>0</v>
      </c>
      <c r="O813" t="n">
        <v>0</v>
      </c>
      <c r="P813" t="n">
        <v>0</v>
      </c>
      <c r="Q813" t="n">
        <v>0</v>
      </c>
      <c r="R813" s="2" t="inlineStr"/>
    </row>
    <row r="814" ht="15" customHeight="1">
      <c r="A814" t="inlineStr">
        <is>
          <t>A 20322-2022</t>
        </is>
      </c>
      <c r="B814" s="1" t="n">
        <v>44698</v>
      </c>
      <c r="C814" s="1" t="n">
        <v>45899</v>
      </c>
      <c r="D814" t="inlineStr">
        <is>
          <t>VÄSTERBOTTENS LÄN</t>
        </is>
      </c>
      <c r="E814" t="inlineStr">
        <is>
          <t>VILHELMINA</t>
        </is>
      </c>
      <c r="G814" t="n">
        <v>10.5</v>
      </c>
      <c r="H814" t="n">
        <v>0</v>
      </c>
      <c r="I814" t="n">
        <v>0</v>
      </c>
      <c r="J814" t="n">
        <v>0</v>
      </c>
      <c r="K814" t="n">
        <v>0</v>
      </c>
      <c r="L814" t="n">
        <v>0</v>
      </c>
      <c r="M814" t="n">
        <v>0</v>
      </c>
      <c r="N814" t="n">
        <v>0</v>
      </c>
      <c r="O814" t="n">
        <v>0</v>
      </c>
      <c r="P814" t="n">
        <v>0</v>
      </c>
      <c r="Q814" t="n">
        <v>0</v>
      </c>
      <c r="R814" s="2" t="inlineStr"/>
    </row>
    <row r="815" ht="15" customHeight="1">
      <c r="A815" t="inlineStr">
        <is>
          <t>A 2742-2023</t>
        </is>
      </c>
      <c r="B815" s="1" t="n">
        <v>44943</v>
      </c>
      <c r="C815" s="1" t="n">
        <v>45899</v>
      </c>
      <c r="D815" t="inlineStr">
        <is>
          <t>VÄSTERBOTTENS LÄN</t>
        </is>
      </c>
      <c r="E815" t="inlineStr">
        <is>
          <t>VILHELMINA</t>
        </is>
      </c>
      <c r="G815" t="n">
        <v>34.8</v>
      </c>
      <c r="H815" t="n">
        <v>0</v>
      </c>
      <c r="I815" t="n">
        <v>0</v>
      </c>
      <c r="J815" t="n">
        <v>0</v>
      </c>
      <c r="K815" t="n">
        <v>0</v>
      </c>
      <c r="L815" t="n">
        <v>0</v>
      </c>
      <c r="M815" t="n">
        <v>0</v>
      </c>
      <c r="N815" t="n">
        <v>0</v>
      </c>
      <c r="O815" t="n">
        <v>0</v>
      </c>
      <c r="P815" t="n">
        <v>0</v>
      </c>
      <c r="Q815" t="n">
        <v>0</v>
      </c>
      <c r="R815" s="2" t="inlineStr"/>
    </row>
    <row r="816" ht="15" customHeight="1">
      <c r="A816" t="inlineStr">
        <is>
          <t>A 26947-2024</t>
        </is>
      </c>
      <c r="B816" s="1" t="n">
        <v>45470.9693287037</v>
      </c>
      <c r="C816" s="1" t="n">
        <v>45899</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26557-2023</t>
        </is>
      </c>
      <c r="B817" s="1" t="n">
        <v>45089</v>
      </c>
      <c r="C817" s="1" t="n">
        <v>45899</v>
      </c>
      <c r="D817" t="inlineStr">
        <is>
          <t>VÄSTERBOTTENS LÄN</t>
        </is>
      </c>
      <c r="E817" t="inlineStr">
        <is>
          <t>VILHELMINA</t>
        </is>
      </c>
      <c r="G817" t="n">
        <v>0.5</v>
      </c>
      <c r="H817" t="n">
        <v>0</v>
      </c>
      <c r="I817" t="n">
        <v>0</v>
      </c>
      <c r="J817" t="n">
        <v>0</v>
      </c>
      <c r="K817" t="n">
        <v>0</v>
      </c>
      <c r="L817" t="n">
        <v>0</v>
      </c>
      <c r="M817" t="n">
        <v>0</v>
      </c>
      <c r="N817" t="n">
        <v>0</v>
      </c>
      <c r="O817" t="n">
        <v>0</v>
      </c>
      <c r="P817" t="n">
        <v>0</v>
      </c>
      <c r="Q817" t="n">
        <v>0</v>
      </c>
      <c r="R817" s="2" t="inlineStr"/>
    </row>
    <row r="818" ht="15" customHeight="1">
      <c r="A818" t="inlineStr">
        <is>
          <t>A 19397-2023</t>
        </is>
      </c>
      <c r="B818" s="1" t="n">
        <v>45048</v>
      </c>
      <c r="C818" s="1" t="n">
        <v>45899</v>
      </c>
      <c r="D818" t="inlineStr">
        <is>
          <t>VÄSTERBOTTENS LÄN</t>
        </is>
      </c>
      <c r="E818" t="inlineStr">
        <is>
          <t>VILHELMINA</t>
        </is>
      </c>
      <c r="G818" t="n">
        <v>12.8</v>
      </c>
      <c r="H818" t="n">
        <v>0</v>
      </c>
      <c r="I818" t="n">
        <v>0</v>
      </c>
      <c r="J818" t="n">
        <v>0</v>
      </c>
      <c r="K818" t="n">
        <v>0</v>
      </c>
      <c r="L818" t="n">
        <v>0</v>
      </c>
      <c r="M818" t="n">
        <v>0</v>
      </c>
      <c r="N818" t="n">
        <v>0</v>
      </c>
      <c r="O818" t="n">
        <v>0</v>
      </c>
      <c r="P818" t="n">
        <v>0</v>
      </c>
      <c r="Q818" t="n">
        <v>0</v>
      </c>
      <c r="R818" s="2" t="inlineStr"/>
    </row>
    <row r="819" ht="15" customHeight="1">
      <c r="A819" t="inlineStr">
        <is>
          <t>A 36957-2023</t>
        </is>
      </c>
      <c r="B819" s="1" t="n">
        <v>45154.92628472222</v>
      </c>
      <c r="C819" s="1" t="n">
        <v>45899</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45899</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5947-2023</t>
        </is>
      </c>
      <c r="B821" s="1" t="n">
        <v>44963.92259259259</v>
      </c>
      <c r="C821" s="1" t="n">
        <v>45899</v>
      </c>
      <c r="D821" t="inlineStr">
        <is>
          <t>VÄSTERBOTTENS LÄN</t>
        </is>
      </c>
      <c r="E821" t="inlineStr">
        <is>
          <t>VILHELMINA</t>
        </is>
      </c>
      <c r="G821" t="n">
        <v>4.3</v>
      </c>
      <c r="H821" t="n">
        <v>0</v>
      </c>
      <c r="I821" t="n">
        <v>0</v>
      </c>
      <c r="J821" t="n">
        <v>0</v>
      </c>
      <c r="K821" t="n">
        <v>0</v>
      </c>
      <c r="L821" t="n">
        <v>0</v>
      </c>
      <c r="M821" t="n">
        <v>0</v>
      </c>
      <c r="N821" t="n">
        <v>0</v>
      </c>
      <c r="O821" t="n">
        <v>0</v>
      </c>
      <c r="P821" t="n">
        <v>0</v>
      </c>
      <c r="Q821" t="n">
        <v>0</v>
      </c>
      <c r="R821" s="2" t="inlineStr"/>
    </row>
    <row r="822" ht="15" customHeight="1">
      <c r="A822" t="inlineStr">
        <is>
          <t>A 65179-2021</t>
        </is>
      </c>
      <c r="B822" s="1" t="n">
        <v>44515</v>
      </c>
      <c r="C822" s="1" t="n">
        <v>45899</v>
      </c>
      <c r="D822" t="inlineStr">
        <is>
          <t>VÄSTERBOTTENS LÄN</t>
        </is>
      </c>
      <c r="E822" t="inlineStr">
        <is>
          <t>VILHELMINA</t>
        </is>
      </c>
      <c r="G822" t="n">
        <v>8</v>
      </c>
      <c r="H822" t="n">
        <v>0</v>
      </c>
      <c r="I822" t="n">
        <v>0</v>
      </c>
      <c r="J822" t="n">
        <v>0</v>
      </c>
      <c r="K822" t="n">
        <v>0</v>
      </c>
      <c r="L822" t="n">
        <v>0</v>
      </c>
      <c r="M822" t="n">
        <v>0</v>
      </c>
      <c r="N822" t="n">
        <v>0</v>
      </c>
      <c r="O822" t="n">
        <v>0</v>
      </c>
      <c r="P822" t="n">
        <v>0</v>
      </c>
      <c r="Q822" t="n">
        <v>0</v>
      </c>
      <c r="R822" s="2" t="inlineStr"/>
    </row>
    <row r="823" ht="15" customHeight="1">
      <c r="A823" t="inlineStr">
        <is>
          <t>A 26499-2024</t>
        </is>
      </c>
      <c r="B823" s="1" t="n">
        <v>45469</v>
      </c>
      <c r="C823" s="1" t="n">
        <v>45899</v>
      </c>
      <c r="D823" t="inlineStr">
        <is>
          <t>VÄSTERBOTTENS LÄN</t>
        </is>
      </c>
      <c r="E823" t="inlineStr">
        <is>
          <t>VILHELMINA</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45899</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16719-2025</t>
        </is>
      </c>
      <c r="B825" s="1" t="n">
        <v>45754.49008101852</v>
      </c>
      <c r="C825" s="1" t="n">
        <v>45899</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37325-2022</t>
        </is>
      </c>
      <c r="B826" s="1" t="n">
        <v>44806</v>
      </c>
      <c r="C826" s="1" t="n">
        <v>45899</v>
      </c>
      <c r="D826" t="inlineStr">
        <is>
          <t>VÄSTERBOTTENS LÄN</t>
        </is>
      </c>
      <c r="E826" t="inlineStr">
        <is>
          <t>VILHELMINA</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45899</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45899</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45899</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45899</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45899</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45899</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45899</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45899</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45899</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45899</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45899</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45899</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45899</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45899</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45899</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45899</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45899</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45899</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58179-2024</t>
        </is>
      </c>
      <c r="B845" s="1" t="n">
        <v>45632.4690162037</v>
      </c>
      <c r="C845" s="1" t="n">
        <v>45899</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367-2024</t>
        </is>
      </c>
      <c r="B846" s="1" t="n">
        <v>45295</v>
      </c>
      <c r="C846" s="1" t="n">
        <v>45899</v>
      </c>
      <c r="D846" t="inlineStr">
        <is>
          <t>VÄSTERBOTTENS LÄN</t>
        </is>
      </c>
      <c r="E846" t="inlineStr">
        <is>
          <t>VILHELMINA</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12765-2025</t>
        </is>
      </c>
      <c r="B847" s="1" t="n">
        <v>45733</v>
      </c>
      <c r="C847" s="1" t="n">
        <v>45899</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33828-2024</t>
        </is>
      </c>
      <c r="B848" s="1" t="n">
        <v>45520.61695601852</v>
      </c>
      <c r="C848" s="1" t="n">
        <v>45899</v>
      </c>
      <c r="D848" t="inlineStr">
        <is>
          <t>VÄSTERBOTTENS LÄN</t>
        </is>
      </c>
      <c r="E848" t="inlineStr">
        <is>
          <t>VILHELMINA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13557-2024</t>
        </is>
      </c>
      <c r="B849" s="1" t="n">
        <v>45388</v>
      </c>
      <c r="C849" s="1" t="n">
        <v>45899</v>
      </c>
      <c r="D849" t="inlineStr">
        <is>
          <t>VÄSTERBOTTENS LÄN</t>
        </is>
      </c>
      <c r="E849" t="inlineStr">
        <is>
          <t>VILHELMINA</t>
        </is>
      </c>
      <c r="G849" t="n">
        <v>11.2</v>
      </c>
      <c r="H849" t="n">
        <v>0</v>
      </c>
      <c r="I849" t="n">
        <v>0</v>
      </c>
      <c r="J849" t="n">
        <v>0</v>
      </c>
      <c r="K849" t="n">
        <v>0</v>
      </c>
      <c r="L849" t="n">
        <v>0</v>
      </c>
      <c r="M849" t="n">
        <v>0</v>
      </c>
      <c r="N849" t="n">
        <v>0</v>
      </c>
      <c r="O849" t="n">
        <v>0</v>
      </c>
      <c r="P849" t="n">
        <v>0</v>
      </c>
      <c r="Q849" t="n">
        <v>0</v>
      </c>
      <c r="R849" s="2" t="inlineStr"/>
    </row>
    <row r="850" ht="15" customHeight="1">
      <c r="A850" t="inlineStr">
        <is>
          <t>A 54984-2023</t>
        </is>
      </c>
      <c r="B850" s="1" t="n">
        <v>45236</v>
      </c>
      <c r="C850" s="1" t="n">
        <v>45899</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27917-2024</t>
        </is>
      </c>
      <c r="B851" s="1" t="n">
        <v>45475.94844907407</v>
      </c>
      <c r="C851" s="1" t="n">
        <v>45899</v>
      </c>
      <c r="D851" t="inlineStr">
        <is>
          <t>VÄSTERBOTTENS LÄN</t>
        </is>
      </c>
      <c r="E851" t="inlineStr">
        <is>
          <t>VILHELMINA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55978-2024</t>
        </is>
      </c>
      <c r="B852" s="1" t="n">
        <v>45623</v>
      </c>
      <c r="C852" s="1" t="n">
        <v>45899</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45972-2023</t>
        </is>
      </c>
      <c r="B853" s="1" t="n">
        <v>45195</v>
      </c>
      <c r="C853" s="1" t="n">
        <v>45899</v>
      </c>
      <c r="D853" t="inlineStr">
        <is>
          <t>VÄSTERBOTTENS LÄN</t>
        </is>
      </c>
      <c r="E853" t="inlineStr">
        <is>
          <t>VILHELMINA</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21844-2024</t>
        </is>
      </c>
      <c r="B854" s="1" t="n">
        <v>45442</v>
      </c>
      <c r="C854" s="1" t="n">
        <v>45899</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12371-2025</t>
        </is>
      </c>
      <c r="B855" s="1" t="n">
        <v>45730</v>
      </c>
      <c r="C855" s="1" t="n">
        <v>45899</v>
      </c>
      <c r="D855" t="inlineStr">
        <is>
          <t>VÄSTERBOTTENS LÄN</t>
        </is>
      </c>
      <c r="E855" t="inlineStr">
        <is>
          <t>VILHELMINA</t>
        </is>
      </c>
      <c r="F855" t="inlineStr">
        <is>
          <t>Övriga statliga verk och myndigheter</t>
        </is>
      </c>
      <c r="G855" t="n">
        <v>37.1</v>
      </c>
      <c r="H855" t="n">
        <v>0</v>
      </c>
      <c r="I855" t="n">
        <v>0</v>
      </c>
      <c r="J855" t="n">
        <v>0</v>
      </c>
      <c r="K855" t="n">
        <v>0</v>
      </c>
      <c r="L855" t="n">
        <v>0</v>
      </c>
      <c r="M855" t="n">
        <v>0</v>
      </c>
      <c r="N855" t="n">
        <v>0</v>
      </c>
      <c r="O855" t="n">
        <v>0</v>
      </c>
      <c r="P855" t="n">
        <v>0</v>
      </c>
      <c r="Q855" t="n">
        <v>0</v>
      </c>
      <c r="R855" s="2" t="inlineStr"/>
    </row>
    <row r="856" ht="15" customHeight="1">
      <c r="A856" t="inlineStr">
        <is>
          <t>A 14993-2025</t>
        </is>
      </c>
      <c r="B856" s="1" t="n">
        <v>45743</v>
      </c>
      <c r="C856" s="1" t="n">
        <v>45899</v>
      </c>
      <c r="D856" t="inlineStr">
        <is>
          <t>VÄSTERBOTTENS LÄN</t>
        </is>
      </c>
      <c r="E856" t="inlineStr">
        <is>
          <t>VILHELMINA</t>
        </is>
      </c>
      <c r="G856" t="n">
        <v>2.1</v>
      </c>
      <c r="H856" t="n">
        <v>0</v>
      </c>
      <c r="I856" t="n">
        <v>0</v>
      </c>
      <c r="J856" t="n">
        <v>0</v>
      </c>
      <c r="K856" t="n">
        <v>0</v>
      </c>
      <c r="L856" t="n">
        <v>0</v>
      </c>
      <c r="M856" t="n">
        <v>0</v>
      </c>
      <c r="N856" t="n">
        <v>0</v>
      </c>
      <c r="O856" t="n">
        <v>0</v>
      </c>
      <c r="P856" t="n">
        <v>0</v>
      </c>
      <c r="Q856" t="n">
        <v>0</v>
      </c>
      <c r="R856" s="2" t="inlineStr"/>
    </row>
    <row r="857" ht="15" customHeight="1">
      <c r="A857" t="inlineStr">
        <is>
          <t>A 23270-2021</t>
        </is>
      </c>
      <c r="B857" s="1" t="n">
        <v>44328</v>
      </c>
      <c r="C857" s="1" t="n">
        <v>45899</v>
      </c>
      <c r="D857" t="inlineStr">
        <is>
          <t>VÄSTERBOTTENS LÄN</t>
        </is>
      </c>
      <c r="E857" t="inlineStr">
        <is>
          <t>VILHELMINA</t>
        </is>
      </c>
      <c r="F857" t="inlineStr">
        <is>
          <t>Allmännings- och besparingsskogar</t>
        </is>
      </c>
      <c r="G857" t="n">
        <v>14.7</v>
      </c>
      <c r="H857" t="n">
        <v>0</v>
      </c>
      <c r="I857" t="n">
        <v>0</v>
      </c>
      <c r="J857" t="n">
        <v>0</v>
      </c>
      <c r="K857" t="n">
        <v>0</v>
      </c>
      <c r="L857" t="n">
        <v>0</v>
      </c>
      <c r="M857" t="n">
        <v>0</v>
      </c>
      <c r="N857" t="n">
        <v>0</v>
      </c>
      <c r="O857" t="n">
        <v>0</v>
      </c>
      <c r="P857" t="n">
        <v>0</v>
      </c>
      <c r="Q857" t="n">
        <v>0</v>
      </c>
      <c r="R857" s="2" t="inlineStr"/>
    </row>
    <row r="858" ht="15" customHeight="1">
      <c r="A858" t="inlineStr">
        <is>
          <t>A 48423-2023</t>
        </is>
      </c>
      <c r="B858" s="1" t="n">
        <v>45205</v>
      </c>
      <c r="C858" s="1" t="n">
        <v>45899</v>
      </c>
      <c r="D858" t="inlineStr">
        <is>
          <t>VÄSTERBOTTENS LÄN</t>
        </is>
      </c>
      <c r="E858" t="inlineStr">
        <is>
          <t>VILHELMINA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51131-2024</t>
        </is>
      </c>
      <c r="B859" s="1" t="n">
        <v>45603</v>
      </c>
      <c r="C859" s="1" t="n">
        <v>45899</v>
      </c>
      <c r="D859" t="inlineStr">
        <is>
          <t>VÄSTERBOTTENS LÄN</t>
        </is>
      </c>
      <c r="E859" t="inlineStr">
        <is>
          <t>VILHELMINA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54931-2023</t>
        </is>
      </c>
      <c r="B860" s="1" t="n">
        <v>45229</v>
      </c>
      <c r="C860" s="1" t="n">
        <v>45899</v>
      </c>
      <c r="D860" t="inlineStr">
        <is>
          <t>VÄSTERBOTTENS LÄN</t>
        </is>
      </c>
      <c r="E860" t="inlineStr">
        <is>
          <t>VILHELMINA</t>
        </is>
      </c>
      <c r="G860" t="n">
        <v>14.5</v>
      </c>
      <c r="H860" t="n">
        <v>0</v>
      </c>
      <c r="I860" t="n">
        <v>0</v>
      </c>
      <c r="J860" t="n">
        <v>0</v>
      </c>
      <c r="K860" t="n">
        <v>0</v>
      </c>
      <c r="L860" t="n">
        <v>0</v>
      </c>
      <c r="M860" t="n">
        <v>0</v>
      </c>
      <c r="N860" t="n">
        <v>0</v>
      </c>
      <c r="O860" t="n">
        <v>0</v>
      </c>
      <c r="P860" t="n">
        <v>0</v>
      </c>
      <c r="Q860" t="n">
        <v>0</v>
      </c>
      <c r="R860" s="2" t="inlineStr"/>
    </row>
    <row r="861" ht="15" customHeight="1">
      <c r="A861" t="inlineStr">
        <is>
          <t>A 42976-2024</t>
        </is>
      </c>
      <c r="B861" s="1" t="n">
        <v>45567.37387731481</v>
      </c>
      <c r="C861" s="1" t="n">
        <v>45899</v>
      </c>
      <c r="D861" t="inlineStr">
        <is>
          <t>VÄSTERBOTTENS LÄN</t>
        </is>
      </c>
      <c r="E861" t="inlineStr">
        <is>
          <t>VILHELMINA</t>
        </is>
      </c>
      <c r="F861" t="inlineStr">
        <is>
          <t>SCA</t>
        </is>
      </c>
      <c r="G861" t="n">
        <v>20.6</v>
      </c>
      <c r="H861" t="n">
        <v>0</v>
      </c>
      <c r="I861" t="n">
        <v>0</v>
      </c>
      <c r="J861" t="n">
        <v>0</v>
      </c>
      <c r="K861" t="n">
        <v>0</v>
      </c>
      <c r="L861" t="n">
        <v>0</v>
      </c>
      <c r="M861" t="n">
        <v>0</v>
      </c>
      <c r="N861" t="n">
        <v>0</v>
      </c>
      <c r="O861" t="n">
        <v>0</v>
      </c>
      <c r="P861" t="n">
        <v>0</v>
      </c>
      <c r="Q861" t="n">
        <v>0</v>
      </c>
      <c r="R861" s="2" t="inlineStr"/>
    </row>
    <row r="862" ht="15" customHeight="1">
      <c r="A862" t="inlineStr">
        <is>
          <t>A 7982-2025</t>
        </is>
      </c>
      <c r="B862" s="1" t="n">
        <v>45707.46905092592</v>
      </c>
      <c r="C862" s="1" t="n">
        <v>45899</v>
      </c>
      <c r="D862" t="inlineStr">
        <is>
          <t>VÄSTERBOTTENS LÄN</t>
        </is>
      </c>
      <c r="E862" t="inlineStr">
        <is>
          <t>VILHELMINA</t>
        </is>
      </c>
      <c r="G862" t="n">
        <v>6</v>
      </c>
      <c r="H862" t="n">
        <v>0</v>
      </c>
      <c r="I862" t="n">
        <v>0</v>
      </c>
      <c r="J862" t="n">
        <v>0</v>
      </c>
      <c r="K862" t="n">
        <v>0</v>
      </c>
      <c r="L862" t="n">
        <v>0</v>
      </c>
      <c r="M862" t="n">
        <v>0</v>
      </c>
      <c r="N862" t="n">
        <v>0</v>
      </c>
      <c r="O862" t="n">
        <v>0</v>
      </c>
      <c r="P862" t="n">
        <v>0</v>
      </c>
      <c r="Q862" t="n">
        <v>0</v>
      </c>
      <c r="R862" s="2" t="inlineStr"/>
    </row>
    <row r="863" ht="15" customHeight="1">
      <c r="A863" t="inlineStr">
        <is>
          <t>A 9197-2023</t>
        </is>
      </c>
      <c r="B863" s="1" t="n">
        <v>44977</v>
      </c>
      <c r="C863" s="1" t="n">
        <v>45899</v>
      </c>
      <c r="D863" t="inlineStr">
        <is>
          <t>VÄSTERBOTTENS LÄN</t>
        </is>
      </c>
      <c r="E863" t="inlineStr">
        <is>
          <t>VILHELMINA</t>
        </is>
      </c>
      <c r="G863" t="n">
        <v>8.9</v>
      </c>
      <c r="H863" t="n">
        <v>0</v>
      </c>
      <c r="I863" t="n">
        <v>0</v>
      </c>
      <c r="J863" t="n">
        <v>0</v>
      </c>
      <c r="K863" t="n">
        <v>0</v>
      </c>
      <c r="L863" t="n">
        <v>0</v>
      </c>
      <c r="M863" t="n">
        <v>0</v>
      </c>
      <c r="N863" t="n">
        <v>0</v>
      </c>
      <c r="O863" t="n">
        <v>0</v>
      </c>
      <c r="P863" t="n">
        <v>0</v>
      </c>
      <c r="Q863" t="n">
        <v>0</v>
      </c>
      <c r="R863" s="2" t="inlineStr"/>
    </row>
    <row r="864" ht="15" customHeight="1">
      <c r="A864" t="inlineStr">
        <is>
          <t>A 15176-2022</t>
        </is>
      </c>
      <c r="B864" s="1" t="n">
        <v>44658</v>
      </c>
      <c r="C864" s="1" t="n">
        <v>45899</v>
      </c>
      <c r="D864" t="inlineStr">
        <is>
          <t>VÄSTERBOTTENS LÄN</t>
        </is>
      </c>
      <c r="E864" t="inlineStr">
        <is>
          <t>VILHELMINA</t>
        </is>
      </c>
      <c r="G864" t="n">
        <v>1.6</v>
      </c>
      <c r="H864" t="n">
        <v>0</v>
      </c>
      <c r="I864" t="n">
        <v>0</v>
      </c>
      <c r="J864" t="n">
        <v>0</v>
      </c>
      <c r="K864" t="n">
        <v>0</v>
      </c>
      <c r="L864" t="n">
        <v>0</v>
      </c>
      <c r="M864" t="n">
        <v>0</v>
      </c>
      <c r="N864" t="n">
        <v>0</v>
      </c>
      <c r="O864" t="n">
        <v>0</v>
      </c>
      <c r="P864" t="n">
        <v>0</v>
      </c>
      <c r="Q864" t="n">
        <v>0</v>
      </c>
      <c r="R864" s="2" t="inlineStr"/>
    </row>
    <row r="865" ht="15" customHeight="1">
      <c r="A865" t="inlineStr">
        <is>
          <t>A 35755-2023</t>
        </is>
      </c>
      <c r="B865" s="1" t="n">
        <v>45147.9540625</v>
      </c>
      <c r="C865" s="1" t="n">
        <v>45899</v>
      </c>
      <c r="D865" t="inlineStr">
        <is>
          <t>VÄSTERBOTTENS LÄN</t>
        </is>
      </c>
      <c r="E865" t="inlineStr">
        <is>
          <t>VILHELMINA</t>
        </is>
      </c>
      <c r="F865" t="inlineStr">
        <is>
          <t>SCA</t>
        </is>
      </c>
      <c r="G865" t="n">
        <v>5.9</v>
      </c>
      <c r="H865" t="n">
        <v>0</v>
      </c>
      <c r="I865" t="n">
        <v>0</v>
      </c>
      <c r="J865" t="n">
        <v>0</v>
      </c>
      <c r="K865" t="n">
        <v>0</v>
      </c>
      <c r="L865" t="n">
        <v>0</v>
      </c>
      <c r="M865" t="n">
        <v>0</v>
      </c>
      <c r="N865" t="n">
        <v>0</v>
      </c>
      <c r="O865" t="n">
        <v>0</v>
      </c>
      <c r="P865" t="n">
        <v>0</v>
      </c>
      <c r="Q865" t="n">
        <v>0</v>
      </c>
      <c r="R865" s="2" t="inlineStr"/>
    </row>
    <row r="866" ht="15" customHeight="1">
      <c r="A866" t="inlineStr">
        <is>
          <t>A 36219-2023</t>
        </is>
      </c>
      <c r="B866" s="1" t="n">
        <v>45149.95310185185</v>
      </c>
      <c r="C866" s="1" t="n">
        <v>45899</v>
      </c>
      <c r="D866" t="inlineStr">
        <is>
          <t>VÄSTERBOTTENS LÄN</t>
        </is>
      </c>
      <c r="E866" t="inlineStr">
        <is>
          <t>VILHELMINA</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35758-2023</t>
        </is>
      </c>
      <c r="B867" s="1" t="n">
        <v>45147.95452546296</v>
      </c>
      <c r="C867" s="1" t="n">
        <v>45899</v>
      </c>
      <c r="D867" t="inlineStr">
        <is>
          <t>VÄSTERBOTTENS LÄN</t>
        </is>
      </c>
      <c r="E867" t="inlineStr">
        <is>
          <t>VILHELMINA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12368-2025</t>
        </is>
      </c>
      <c r="B868" s="1" t="n">
        <v>45730.37633101852</v>
      </c>
      <c r="C868" s="1" t="n">
        <v>45899</v>
      </c>
      <c r="D868" t="inlineStr">
        <is>
          <t>VÄSTERBOTTENS LÄN</t>
        </is>
      </c>
      <c r="E868" t="inlineStr">
        <is>
          <t>VILHELMINA</t>
        </is>
      </c>
      <c r="F868" t="inlineStr">
        <is>
          <t>Övriga statliga verk och myndigheter</t>
        </is>
      </c>
      <c r="G868" t="n">
        <v>14.8</v>
      </c>
      <c r="H868" t="n">
        <v>0</v>
      </c>
      <c r="I868" t="n">
        <v>0</v>
      </c>
      <c r="J868" t="n">
        <v>0</v>
      </c>
      <c r="K868" t="n">
        <v>0</v>
      </c>
      <c r="L868" t="n">
        <v>0</v>
      </c>
      <c r="M868" t="n">
        <v>0</v>
      </c>
      <c r="N868" t="n">
        <v>0</v>
      </c>
      <c r="O868" t="n">
        <v>0</v>
      </c>
      <c r="P868" t="n">
        <v>0</v>
      </c>
      <c r="Q868" t="n">
        <v>0</v>
      </c>
      <c r="R868" s="2" t="inlineStr"/>
    </row>
    <row r="869" ht="15" customHeight="1">
      <c r="A869" t="inlineStr">
        <is>
          <t>A 12373-2025</t>
        </is>
      </c>
      <c r="B869" s="1" t="n">
        <v>45730</v>
      </c>
      <c r="C869" s="1" t="n">
        <v>45899</v>
      </c>
      <c r="D869" t="inlineStr">
        <is>
          <t>VÄSTERBOTTENS LÄN</t>
        </is>
      </c>
      <c r="E869" t="inlineStr">
        <is>
          <t>VILHELMINA</t>
        </is>
      </c>
      <c r="F869" t="inlineStr">
        <is>
          <t>Övriga statliga verk och myndigheter</t>
        </is>
      </c>
      <c r="G869" t="n">
        <v>25.5</v>
      </c>
      <c r="H869" t="n">
        <v>0</v>
      </c>
      <c r="I869" t="n">
        <v>0</v>
      </c>
      <c r="J869" t="n">
        <v>0</v>
      </c>
      <c r="K869" t="n">
        <v>0</v>
      </c>
      <c r="L869" t="n">
        <v>0</v>
      </c>
      <c r="M869" t="n">
        <v>0</v>
      </c>
      <c r="N869" t="n">
        <v>0</v>
      </c>
      <c r="O869" t="n">
        <v>0</v>
      </c>
      <c r="P869" t="n">
        <v>0</v>
      </c>
      <c r="Q869" t="n">
        <v>0</v>
      </c>
      <c r="R869" s="2" t="inlineStr"/>
    </row>
    <row r="870" ht="15" customHeight="1">
      <c r="A870" t="inlineStr">
        <is>
          <t>A 60782-2023</t>
        </is>
      </c>
      <c r="B870" s="1" t="n">
        <v>45259</v>
      </c>
      <c r="C870" s="1" t="n">
        <v>45899</v>
      </c>
      <c r="D870" t="inlineStr">
        <is>
          <t>VÄSTERBOTTENS LÄN</t>
        </is>
      </c>
      <c r="E870" t="inlineStr">
        <is>
          <t>VILHELMINA</t>
        </is>
      </c>
      <c r="G870" t="n">
        <v>12.7</v>
      </c>
      <c r="H870" t="n">
        <v>0</v>
      </c>
      <c r="I870" t="n">
        <v>0</v>
      </c>
      <c r="J870" t="n">
        <v>0</v>
      </c>
      <c r="K870" t="n">
        <v>0</v>
      </c>
      <c r="L870" t="n">
        <v>0</v>
      </c>
      <c r="M870" t="n">
        <v>0</v>
      </c>
      <c r="N870" t="n">
        <v>0</v>
      </c>
      <c r="O870" t="n">
        <v>0</v>
      </c>
      <c r="P870" t="n">
        <v>0</v>
      </c>
      <c r="Q870" t="n">
        <v>0</v>
      </c>
      <c r="R870" s="2" t="inlineStr"/>
    </row>
    <row r="871" ht="15" customHeight="1">
      <c r="A871" t="inlineStr">
        <is>
          <t>A 9815-2024</t>
        </is>
      </c>
      <c r="B871" s="1" t="n">
        <v>45362.96927083333</v>
      </c>
      <c r="C871" s="1" t="n">
        <v>45899</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60151-2024</t>
        </is>
      </c>
      <c r="B872" s="1" t="n">
        <v>45642.61490740741</v>
      </c>
      <c r="C872" s="1" t="n">
        <v>45899</v>
      </c>
      <c r="D872" t="inlineStr">
        <is>
          <t>VÄSTERBOTTENS LÄN</t>
        </is>
      </c>
      <c r="E872" t="inlineStr">
        <is>
          <t>VILHELMINA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8908-2023</t>
        </is>
      </c>
      <c r="B873" s="1" t="n">
        <v>44972</v>
      </c>
      <c r="C873" s="1" t="n">
        <v>45899</v>
      </c>
      <c r="D873" t="inlineStr">
        <is>
          <t>VÄSTERBOTTENS LÄN</t>
        </is>
      </c>
      <c r="E873" t="inlineStr">
        <is>
          <t>VILHELMINA</t>
        </is>
      </c>
      <c r="F873" t="inlineStr">
        <is>
          <t>Allmännings- och besparingsskogar</t>
        </is>
      </c>
      <c r="G873" t="n">
        <v>22.3</v>
      </c>
      <c r="H873" t="n">
        <v>0</v>
      </c>
      <c r="I873" t="n">
        <v>0</v>
      </c>
      <c r="J873" t="n">
        <v>0</v>
      </c>
      <c r="K873" t="n">
        <v>0</v>
      </c>
      <c r="L873" t="n">
        <v>0</v>
      </c>
      <c r="M873" t="n">
        <v>0</v>
      </c>
      <c r="N873" t="n">
        <v>0</v>
      </c>
      <c r="O873" t="n">
        <v>0</v>
      </c>
      <c r="P873" t="n">
        <v>0</v>
      </c>
      <c r="Q873" t="n">
        <v>0</v>
      </c>
      <c r="R873" s="2" t="inlineStr"/>
    </row>
    <row r="874" ht="15" customHeight="1">
      <c r="A874" t="inlineStr">
        <is>
          <t>A 6665-2021</t>
        </is>
      </c>
      <c r="B874" s="1" t="n">
        <v>44235</v>
      </c>
      <c r="C874" s="1" t="n">
        <v>45899</v>
      </c>
      <c r="D874" t="inlineStr">
        <is>
          <t>VÄSTERBOTTENS LÄN</t>
        </is>
      </c>
      <c r="E874" t="inlineStr">
        <is>
          <t>VILHELMINA</t>
        </is>
      </c>
      <c r="G874" t="n">
        <v>20</v>
      </c>
      <c r="H874" t="n">
        <v>0</v>
      </c>
      <c r="I874" t="n">
        <v>0</v>
      </c>
      <c r="J874" t="n">
        <v>0</v>
      </c>
      <c r="K874" t="n">
        <v>0</v>
      </c>
      <c r="L874" t="n">
        <v>0</v>
      </c>
      <c r="M874" t="n">
        <v>0</v>
      </c>
      <c r="N874" t="n">
        <v>0</v>
      </c>
      <c r="O874" t="n">
        <v>0</v>
      </c>
      <c r="P874" t="n">
        <v>0</v>
      </c>
      <c r="Q874" t="n">
        <v>0</v>
      </c>
      <c r="R874" s="2" t="inlineStr"/>
    </row>
    <row r="875" ht="15" customHeight="1">
      <c r="A875" t="inlineStr">
        <is>
          <t>A 48424-2023</t>
        </is>
      </c>
      <c r="B875" s="1" t="n">
        <v>45205</v>
      </c>
      <c r="C875" s="1" t="n">
        <v>45899</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44714-2021</t>
        </is>
      </c>
      <c r="B876" s="1" t="n">
        <v>44435</v>
      </c>
      <c r="C876" s="1" t="n">
        <v>45899</v>
      </c>
      <c r="D876" t="inlineStr">
        <is>
          <t>VÄSTERBOTTENS LÄN</t>
        </is>
      </c>
      <c r="E876" t="inlineStr">
        <is>
          <t>VILHELMINA</t>
        </is>
      </c>
      <c r="G876" t="n">
        <v>4.3</v>
      </c>
      <c r="H876" t="n">
        <v>0</v>
      </c>
      <c r="I876" t="n">
        <v>0</v>
      </c>
      <c r="J876" t="n">
        <v>0</v>
      </c>
      <c r="K876" t="n">
        <v>0</v>
      </c>
      <c r="L876" t="n">
        <v>0</v>
      </c>
      <c r="M876" t="n">
        <v>0</v>
      </c>
      <c r="N876" t="n">
        <v>0</v>
      </c>
      <c r="O876" t="n">
        <v>0</v>
      </c>
      <c r="P876" t="n">
        <v>0</v>
      </c>
      <c r="Q876" t="n">
        <v>0</v>
      </c>
      <c r="R876" s="2" t="inlineStr"/>
    </row>
    <row r="877" ht="15" customHeight="1">
      <c r="A877" t="inlineStr">
        <is>
          <t>A 19221-2025</t>
        </is>
      </c>
      <c r="B877" s="1" t="n">
        <v>45769</v>
      </c>
      <c r="C877" s="1" t="n">
        <v>45899</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8556-2025</t>
        </is>
      </c>
      <c r="B878" s="1" t="n">
        <v>45709</v>
      </c>
      <c r="C878" s="1" t="n">
        <v>45899</v>
      </c>
      <c r="D878" t="inlineStr">
        <is>
          <t>VÄSTERBOTTENS LÄN</t>
        </is>
      </c>
      <c r="E878" t="inlineStr">
        <is>
          <t>VILHELMINA</t>
        </is>
      </c>
      <c r="G878" t="n">
        <v>1</v>
      </c>
      <c r="H878" t="n">
        <v>0</v>
      </c>
      <c r="I878" t="n">
        <v>0</v>
      </c>
      <c r="J878" t="n">
        <v>0</v>
      </c>
      <c r="K878" t="n">
        <v>0</v>
      </c>
      <c r="L878" t="n">
        <v>0</v>
      </c>
      <c r="M878" t="n">
        <v>0</v>
      </c>
      <c r="N878" t="n">
        <v>0</v>
      </c>
      <c r="O878" t="n">
        <v>0</v>
      </c>
      <c r="P878" t="n">
        <v>0</v>
      </c>
      <c r="Q878" t="n">
        <v>0</v>
      </c>
      <c r="R878" s="2" t="inlineStr"/>
    </row>
    <row r="879" ht="15" customHeight="1">
      <c r="A879" t="inlineStr">
        <is>
          <t>A 57324-2022</t>
        </is>
      </c>
      <c r="B879" s="1" t="n">
        <v>44889</v>
      </c>
      <c r="C879" s="1" t="n">
        <v>45899</v>
      </c>
      <c r="D879" t="inlineStr">
        <is>
          <t>VÄSTERBOTTENS LÄN</t>
        </is>
      </c>
      <c r="E879" t="inlineStr">
        <is>
          <t>VILHELMINA</t>
        </is>
      </c>
      <c r="G879" t="n">
        <v>1.7</v>
      </c>
      <c r="H879" t="n">
        <v>0</v>
      </c>
      <c r="I879" t="n">
        <v>0</v>
      </c>
      <c r="J879" t="n">
        <v>0</v>
      </c>
      <c r="K879" t="n">
        <v>0</v>
      </c>
      <c r="L879" t="n">
        <v>0</v>
      </c>
      <c r="M879" t="n">
        <v>0</v>
      </c>
      <c r="N879" t="n">
        <v>0</v>
      </c>
      <c r="O879" t="n">
        <v>0</v>
      </c>
      <c r="P879" t="n">
        <v>0</v>
      </c>
      <c r="Q879" t="n">
        <v>0</v>
      </c>
      <c r="R879" s="2" t="inlineStr"/>
    </row>
    <row r="880" ht="15" customHeight="1">
      <c r="A880" t="inlineStr">
        <is>
          <t>A 14254-2025</t>
        </is>
      </c>
      <c r="B880" s="1" t="n">
        <v>45740.61644675926</v>
      </c>
      <c r="C880" s="1" t="n">
        <v>45899</v>
      </c>
      <c r="D880" t="inlineStr">
        <is>
          <t>VÄSTERBOTTENS LÄN</t>
        </is>
      </c>
      <c r="E880" t="inlineStr">
        <is>
          <t>VILHELMINA</t>
        </is>
      </c>
      <c r="G880" t="n">
        <v>2</v>
      </c>
      <c r="H880" t="n">
        <v>0</v>
      </c>
      <c r="I880" t="n">
        <v>0</v>
      </c>
      <c r="J880" t="n">
        <v>0</v>
      </c>
      <c r="K880" t="n">
        <v>0</v>
      </c>
      <c r="L880" t="n">
        <v>0</v>
      </c>
      <c r="M880" t="n">
        <v>0</v>
      </c>
      <c r="N880" t="n">
        <v>0</v>
      </c>
      <c r="O880" t="n">
        <v>0</v>
      </c>
      <c r="P880" t="n">
        <v>0</v>
      </c>
      <c r="Q880" t="n">
        <v>0</v>
      </c>
      <c r="R880" s="2" t="inlineStr"/>
    </row>
    <row r="881" ht="15" customHeight="1">
      <c r="A881" t="inlineStr">
        <is>
          <t>A 17307-2025</t>
        </is>
      </c>
      <c r="B881" s="1" t="n">
        <v>45756</v>
      </c>
      <c r="C881" s="1" t="n">
        <v>45899</v>
      </c>
      <c r="D881" t="inlineStr">
        <is>
          <t>VÄSTERBOTTENS LÄN</t>
        </is>
      </c>
      <c r="E881" t="inlineStr">
        <is>
          <t>VILHELMINA</t>
        </is>
      </c>
      <c r="G881" t="n">
        <v>11.2</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45142.95103009259</v>
      </c>
      <c r="C882" s="1" t="n">
        <v>45899</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c r="A883" t="inlineStr">
        <is>
          <t>A 252-2025</t>
        </is>
      </c>
      <c r="B883" s="1" t="n">
        <v>45660.42734953704</v>
      </c>
      <c r="C883" s="1" t="n">
        <v>45899</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2025-08-30T08:29:49Z</dcterms:created>
  <dcterms:modified xmlns:dcterms="http://purl.org/dc/terms/" xmlns:xsi="http://www.w3.org/2001/XMLSchema-instance" xsi:type="dcterms:W3CDTF">2025-08-30T08:29:50Z</dcterms:modified>
</cp:coreProperties>
</file>