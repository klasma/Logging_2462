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46110</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46110</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46110</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46110</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46110</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59481-2025</t>
        </is>
      </c>
      <c r="B13" s="1" t="n">
        <v>45989</v>
      </c>
      <c r="C13" s="1" t="n">
        <v>46110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46110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46110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10361-2026</t>
        </is>
      </c>
      <c r="B16" s="1" t="n">
        <v>46076</v>
      </c>
      <c r="C16" s="1" t="n">
        <v>46110</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46110</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27113-2021</t>
        </is>
      </c>
      <c r="B18" s="1" t="n">
        <v>44350</v>
      </c>
      <c r="C18" s="1" t="n">
        <v>46110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46110</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10362-2026</t>
        </is>
      </c>
      <c r="B20" s="1" t="n">
        <v>46076</v>
      </c>
      <c r="C20" s="1" t="n">
        <v>46110</v>
      </c>
      <c r="D20" t="inlineStr">
        <is>
          <t>VÄSTERBOTTENS LÄN</t>
        </is>
      </c>
      <c r="E20" t="inlineStr">
        <is>
          <t>VILHELMINA</t>
        </is>
      </c>
      <c r="G20" t="n">
        <v>40.6</v>
      </c>
      <c r="H20" t="n">
        <v>6</v>
      </c>
      <c r="I20" t="n">
        <v>3</v>
      </c>
      <c r="J20" t="n">
        <v>17</v>
      </c>
      <c r="K20" t="n">
        <v>4</v>
      </c>
      <c r="L20" t="n">
        <v>0</v>
      </c>
      <c r="M20" t="n">
        <v>0</v>
      </c>
      <c r="N20" t="n">
        <v>0</v>
      </c>
      <c r="O20" t="n">
        <v>21</v>
      </c>
      <c r="P20" t="n">
        <v>4</v>
      </c>
      <c r="Q20" t="n">
        <v>25</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14897-2026</t>
        </is>
      </c>
      <c r="B21" s="1" t="n">
        <v>46104</v>
      </c>
      <c r="C21" s="1" t="n">
        <v>46110</v>
      </c>
      <c r="D21" t="inlineStr">
        <is>
          <t>VÄSTERBOTTENS LÄN</t>
        </is>
      </c>
      <c r="E21" t="inlineStr">
        <is>
          <t>VILHELMINA</t>
        </is>
      </c>
      <c r="F21" t="inlineStr">
        <is>
          <t>Allmännings- och besparingsskogar</t>
        </is>
      </c>
      <c r="G21" t="n">
        <v>24.9</v>
      </c>
      <c r="H21" t="n">
        <v>2</v>
      </c>
      <c r="I21" t="n">
        <v>6</v>
      </c>
      <c r="J21" t="n">
        <v>14</v>
      </c>
      <c r="K21" t="n">
        <v>5</v>
      </c>
      <c r="L21" t="n">
        <v>0</v>
      </c>
      <c r="M21" t="n">
        <v>0</v>
      </c>
      <c r="N21" t="n">
        <v>0</v>
      </c>
      <c r="O21" t="n">
        <v>19</v>
      </c>
      <c r="P21" t="n">
        <v>5</v>
      </c>
      <c r="Q21" t="n">
        <v>25</v>
      </c>
      <c r="R2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1">
        <f>HYPERLINK("https://klasma.github.io/Logging_2462/artfynd/A 14897-2026 artfynd.xlsx", "A 14897-2026")</f>
        <v/>
      </c>
      <c r="T21">
        <f>HYPERLINK("https://klasma.github.io/Logging_2462/kartor/A 14897-2026 karta.png", "A 14897-2026")</f>
        <v/>
      </c>
      <c r="V21">
        <f>HYPERLINK("https://klasma.github.io/Logging_2462/klagomål/A 14897-2026 FSC-klagomål.docx", "A 14897-2026")</f>
        <v/>
      </c>
      <c r="W21">
        <f>HYPERLINK("https://klasma.github.io/Logging_2462/klagomålsmail/A 14897-2026 FSC-klagomål mail.docx", "A 14897-2026")</f>
        <v/>
      </c>
      <c r="X21">
        <f>HYPERLINK("https://klasma.github.io/Logging_2462/tillsyn/A 14897-2026 tillsynsbegäran.docx", "A 14897-2026")</f>
        <v/>
      </c>
      <c r="Y21">
        <f>HYPERLINK("https://klasma.github.io/Logging_2462/tillsynsmail/A 14897-2026 tillsynsbegäran mail.docx", "A 14897-2026")</f>
        <v/>
      </c>
      <c r="Z21">
        <f>HYPERLINK("https://klasma.github.io/Logging_2462/fåglar/A 14897-2026 prioriterade fågelarter.docx", "A 14897-2026")</f>
        <v/>
      </c>
    </row>
    <row r="22" ht="15" customHeight="1">
      <c r="A22" t="inlineStr">
        <is>
          <t>A 60375-2021</t>
        </is>
      </c>
      <c r="B22" s="1" t="n">
        <v>44494</v>
      </c>
      <c r="C22" s="1" t="n">
        <v>46110</v>
      </c>
      <c r="D22" t="inlineStr">
        <is>
          <t>VÄSTERBOTTENS LÄN</t>
        </is>
      </c>
      <c r="E22" t="inlineStr">
        <is>
          <t>VILHELMINA</t>
        </is>
      </c>
      <c r="G22" t="n">
        <v>115.1</v>
      </c>
      <c r="H22" t="n">
        <v>6</v>
      </c>
      <c r="I22" t="n">
        <v>4</v>
      </c>
      <c r="J22" t="n">
        <v>15</v>
      </c>
      <c r="K22" t="n">
        <v>3</v>
      </c>
      <c r="L22" t="n">
        <v>0</v>
      </c>
      <c r="M22" t="n">
        <v>0</v>
      </c>
      <c r="N22" t="n">
        <v>0</v>
      </c>
      <c r="O22" t="n">
        <v>18</v>
      </c>
      <c r="P22" t="n">
        <v>3</v>
      </c>
      <c r="Q22" t="n">
        <v>25</v>
      </c>
      <c r="R2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2">
        <f>HYPERLINK("https://klasma.github.io/Logging_2462/artfynd/A 60375-2021 artfynd.xlsx", "A 60375-2021")</f>
        <v/>
      </c>
      <c r="T22">
        <f>HYPERLINK("https://klasma.github.io/Logging_2462/kartor/A 60375-2021 karta.png", "A 60375-2021")</f>
        <v/>
      </c>
      <c r="V22">
        <f>HYPERLINK("https://klasma.github.io/Logging_2462/klagomål/A 60375-2021 FSC-klagomål.docx", "A 60375-2021")</f>
        <v/>
      </c>
      <c r="W22">
        <f>HYPERLINK("https://klasma.github.io/Logging_2462/klagomålsmail/A 60375-2021 FSC-klagomål mail.docx", "A 60375-2021")</f>
        <v/>
      </c>
      <c r="X22">
        <f>HYPERLINK("https://klasma.github.io/Logging_2462/tillsyn/A 60375-2021 tillsynsbegäran.docx", "A 60375-2021")</f>
        <v/>
      </c>
      <c r="Y22">
        <f>HYPERLINK("https://klasma.github.io/Logging_2462/tillsynsmail/A 60375-2021 tillsynsbegäran mail.docx", "A 60375-2021")</f>
        <v/>
      </c>
      <c r="Z22">
        <f>HYPERLINK("https://klasma.github.io/Logging_2462/fåglar/A 60375-2021 prioriterade fågelarter.docx", "A 60375-2021")</f>
        <v/>
      </c>
    </row>
    <row r="23" ht="15" customHeight="1">
      <c r="A23" t="inlineStr">
        <is>
          <t>A 56621-2024</t>
        </is>
      </c>
      <c r="B23" s="1" t="n">
        <v>45625</v>
      </c>
      <c r="C23" s="1" t="n">
        <v>46110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46110</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46110</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46110</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46110</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46110</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46110</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46110</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46110</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9048-2023</t>
        </is>
      </c>
      <c r="B32" s="1" t="n">
        <v>44972</v>
      </c>
      <c r="C32" s="1" t="n">
        <v>46110</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9057-2023</t>
        </is>
      </c>
      <c r="B33" s="1" t="n">
        <v>44972</v>
      </c>
      <c r="C33" s="1" t="n">
        <v>46110</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46110</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46110</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46110</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59489-2025</t>
        </is>
      </c>
      <c r="B37" s="1" t="n">
        <v>45989</v>
      </c>
      <c r="C37" s="1" t="n">
        <v>46110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46110</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46110</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28796-2024</t>
        </is>
      </c>
      <c r="B40" s="1" t="n">
        <v>45478</v>
      </c>
      <c r="C40" s="1" t="n">
        <v>46110</v>
      </c>
      <c r="D40" t="inlineStr">
        <is>
          <t>VÄSTERBOTTENS LÄN</t>
        </is>
      </c>
      <c r="E40" t="inlineStr">
        <is>
          <t>VILHELMINA</t>
        </is>
      </c>
      <c r="G40" t="n">
        <v>20</v>
      </c>
      <c r="H40" t="n">
        <v>3</v>
      </c>
      <c r="I40" t="n">
        <v>2</v>
      </c>
      <c r="J40" t="n">
        <v>10</v>
      </c>
      <c r="K40" t="n">
        <v>3</v>
      </c>
      <c r="L40" t="n">
        <v>0</v>
      </c>
      <c r="M40" t="n">
        <v>0</v>
      </c>
      <c r="N40" t="n">
        <v>0</v>
      </c>
      <c r="O40" t="n">
        <v>13</v>
      </c>
      <c r="P40" t="n">
        <v>3</v>
      </c>
      <c r="Q40" t="n">
        <v>16</v>
      </c>
      <c r="R40" s="2" t="inlineStr">
        <is>
          <t>Gräddticka
Rynkskinn
Ulltickeporing
Garnlav
Granticka
Gränsticka
Harticka
Kötticka
Lunglav
Rosenticka
Talltita
Tretåig hackspett
Ullticka
Blodticka
Trådticka
Tjäder</t>
        </is>
      </c>
      <c r="S40">
        <f>HYPERLINK("https://klasma.github.io/Logging_2462/artfynd/A 28796-2024 artfynd.xlsx", "A 28796-2024")</f>
        <v/>
      </c>
      <c r="T40">
        <f>HYPERLINK("https://klasma.github.io/Logging_2462/kartor/A 28796-2024 karta.png", "A 28796-2024")</f>
        <v/>
      </c>
      <c r="V40">
        <f>HYPERLINK("https://klasma.github.io/Logging_2462/klagomål/A 28796-2024 FSC-klagomål.docx", "A 28796-2024")</f>
        <v/>
      </c>
      <c r="W40">
        <f>HYPERLINK("https://klasma.github.io/Logging_2462/klagomålsmail/A 28796-2024 FSC-klagomål mail.docx", "A 28796-2024")</f>
        <v/>
      </c>
      <c r="X40">
        <f>HYPERLINK("https://klasma.github.io/Logging_2462/tillsyn/A 28796-2024 tillsynsbegäran.docx", "A 28796-2024")</f>
        <v/>
      </c>
      <c r="Y40">
        <f>HYPERLINK("https://klasma.github.io/Logging_2462/tillsynsmail/A 28796-2024 tillsynsbegäran mail.docx", "A 28796-2024")</f>
        <v/>
      </c>
      <c r="Z40">
        <f>HYPERLINK("https://klasma.github.io/Logging_2462/fåglar/A 28796-2024 prioriterade fågelarter.docx", "A 28796-2024")</f>
        <v/>
      </c>
    </row>
    <row r="41" ht="15" customHeight="1">
      <c r="A41" t="inlineStr">
        <is>
          <t>A 54843-2021</t>
        </is>
      </c>
      <c r="B41" s="1" t="n">
        <v>44474</v>
      </c>
      <c r="C41" s="1" t="n">
        <v>46110</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46110</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15049-2024</t>
        </is>
      </c>
      <c r="B43" s="1" t="n">
        <v>45399</v>
      </c>
      <c r="C43" s="1" t="n">
        <v>46110</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59019-2024</t>
        </is>
      </c>
      <c r="B44" s="1" t="n">
        <v>45636</v>
      </c>
      <c r="C44" s="1" t="n">
        <v>46110</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46110</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44016-2025</t>
        </is>
      </c>
      <c r="B46" s="1" t="n">
        <v>45915</v>
      </c>
      <c r="C46" s="1" t="n">
        <v>46110</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46110</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15051-2024</t>
        </is>
      </c>
      <c r="B48" s="1" t="n">
        <v>45399</v>
      </c>
      <c r="C48" s="1" t="n">
        <v>46110</v>
      </c>
      <c r="D48" t="inlineStr">
        <is>
          <t>VÄSTERBOTTENS LÄN</t>
        </is>
      </c>
      <c r="E48" t="inlineStr">
        <is>
          <t>VILHELMINA</t>
        </is>
      </c>
      <c r="F48" t="inlineStr">
        <is>
          <t>SCA</t>
        </is>
      </c>
      <c r="G48" t="n">
        <v>8.300000000000001</v>
      </c>
      <c r="H48" t="n">
        <v>1</v>
      </c>
      <c r="I48" t="n">
        <v>1</v>
      </c>
      <c r="J48" t="n">
        <v>11</v>
      </c>
      <c r="K48" t="n">
        <v>1</v>
      </c>
      <c r="L48" t="n">
        <v>0</v>
      </c>
      <c r="M48" t="n">
        <v>0</v>
      </c>
      <c r="N48" t="n">
        <v>0</v>
      </c>
      <c r="O48" t="n">
        <v>12</v>
      </c>
      <c r="P48" t="n">
        <v>1</v>
      </c>
      <c r="Q48" t="n">
        <v>13</v>
      </c>
      <c r="R48" s="2" t="inlineStr">
        <is>
          <t>Rynkskinn
Gammelgransskål
Garnlav
Granticka
Gränsticka
Harticka
Liten svartspik
Rosenticka
Tretåig hackspett
Ullticka
Vitgrynig nållav
Vitskaftad svartspik
Trådticka</t>
        </is>
      </c>
      <c r="S48">
        <f>HYPERLINK("https://klasma.github.io/Logging_2462/artfynd/A 15051-2024 artfynd.xlsx", "A 15051-2024")</f>
        <v/>
      </c>
      <c r="T48">
        <f>HYPERLINK("https://klasma.github.io/Logging_2462/kartor/A 15051-2024 karta.png", "A 15051-2024")</f>
        <v/>
      </c>
      <c r="V48">
        <f>HYPERLINK("https://klasma.github.io/Logging_2462/klagomål/A 15051-2024 FSC-klagomål.docx", "A 15051-2024")</f>
        <v/>
      </c>
      <c r="W48">
        <f>HYPERLINK("https://klasma.github.io/Logging_2462/klagomålsmail/A 15051-2024 FSC-klagomål mail.docx", "A 15051-2024")</f>
        <v/>
      </c>
      <c r="X48">
        <f>HYPERLINK("https://klasma.github.io/Logging_2462/tillsyn/A 15051-2024 tillsynsbegäran.docx", "A 15051-2024")</f>
        <v/>
      </c>
      <c r="Y48">
        <f>HYPERLINK("https://klasma.github.io/Logging_2462/tillsynsmail/A 15051-2024 tillsynsbegäran mail.docx", "A 15051-2024")</f>
        <v/>
      </c>
      <c r="Z48">
        <f>HYPERLINK("https://klasma.github.io/Logging_2462/fåglar/A 15051-2024 prioriterade fågelarter.docx", "A 15051-2024")</f>
        <v/>
      </c>
    </row>
    <row r="49" ht="15" customHeight="1">
      <c r="A49" t="inlineStr">
        <is>
          <t>A 38930-2025</t>
        </is>
      </c>
      <c r="B49" s="1" t="n">
        <v>45887</v>
      </c>
      <c r="C49" s="1" t="n">
        <v>46110</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46110</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46110</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29392-2021</t>
        </is>
      </c>
      <c r="B52" s="1" t="n">
        <v>44361</v>
      </c>
      <c r="C52" s="1" t="n">
        <v>46110</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13699-2026</t>
        </is>
      </c>
      <c r="B53" s="1" t="n">
        <v>46097</v>
      </c>
      <c r="C53" s="1" t="n">
        <v>46110</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49141-2023</t>
        </is>
      </c>
      <c r="B54" s="1" t="n">
        <v>45205</v>
      </c>
      <c r="C54" s="1" t="n">
        <v>46110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7762-2024</t>
        </is>
      </c>
      <c r="B55" s="1" t="n">
        <v>45349</v>
      </c>
      <c r="C55" s="1" t="n">
        <v>46110</v>
      </c>
      <c r="D55" t="inlineStr">
        <is>
          <t>VÄSTERBOTTENS LÄN</t>
        </is>
      </c>
      <c r="E55" t="inlineStr">
        <is>
          <t>VILHELMINA</t>
        </is>
      </c>
      <c r="G55" t="n">
        <v>4.8</v>
      </c>
      <c r="H55" t="n">
        <v>3</v>
      </c>
      <c r="I55" t="n">
        <v>2</v>
      </c>
      <c r="J55" t="n">
        <v>9</v>
      </c>
      <c r="K55" t="n">
        <v>0</v>
      </c>
      <c r="L55" t="n">
        <v>0</v>
      </c>
      <c r="M55" t="n">
        <v>0</v>
      </c>
      <c r="N55" t="n">
        <v>0</v>
      </c>
      <c r="O55" t="n">
        <v>9</v>
      </c>
      <c r="P55" t="n">
        <v>0</v>
      </c>
      <c r="Q55" t="n">
        <v>11</v>
      </c>
      <c r="R55" s="2" t="inlineStr">
        <is>
          <t>Gammelgransskål
Garnlav
Granticka
Järpe
Skogshare
Skrovellav
Talltita
Tretåig hackspett
Vitgrynig nållav
Korallblylav
Luddlav</t>
        </is>
      </c>
      <c r="S55">
        <f>HYPERLINK("https://klasma.github.io/Logging_2462/artfynd/A 7762-2024 artfynd.xlsx", "A 7762-2024")</f>
        <v/>
      </c>
      <c r="T55">
        <f>HYPERLINK("https://klasma.github.io/Logging_2462/kartor/A 7762-2024 karta.png", "A 7762-2024")</f>
        <v/>
      </c>
      <c r="V55">
        <f>HYPERLINK("https://klasma.github.io/Logging_2462/klagomål/A 7762-2024 FSC-klagomål.docx", "A 7762-2024")</f>
        <v/>
      </c>
      <c r="W55">
        <f>HYPERLINK("https://klasma.github.io/Logging_2462/klagomålsmail/A 7762-2024 FSC-klagomål mail.docx", "A 7762-2024")</f>
        <v/>
      </c>
      <c r="X55">
        <f>HYPERLINK("https://klasma.github.io/Logging_2462/tillsyn/A 7762-2024 tillsynsbegäran.docx", "A 7762-2024")</f>
        <v/>
      </c>
      <c r="Y55">
        <f>HYPERLINK("https://klasma.github.io/Logging_2462/tillsynsmail/A 7762-2024 tillsynsbegäran mail.docx", "A 7762-2024")</f>
        <v/>
      </c>
      <c r="Z55">
        <f>HYPERLINK("https://klasma.github.io/Logging_2462/fåglar/A 7762-2024 prioriterade fågelarter.docx", "A 7762-2024")</f>
        <v/>
      </c>
    </row>
    <row r="56" ht="15" customHeight="1">
      <c r="A56" t="inlineStr">
        <is>
          <t>A 14963-2022</t>
        </is>
      </c>
      <c r="B56" s="1" t="n">
        <v>44657</v>
      </c>
      <c r="C56" s="1" t="n">
        <v>46110</v>
      </c>
      <c r="D56" t="inlineStr">
        <is>
          <t>VÄSTERBOTTENS LÄN</t>
        </is>
      </c>
      <c r="E56" t="inlineStr">
        <is>
          <t>VILHELMINA</t>
        </is>
      </c>
      <c r="G56" t="n">
        <v>11.5</v>
      </c>
      <c r="H56" t="n">
        <v>4</v>
      </c>
      <c r="I56" t="n">
        <v>0</v>
      </c>
      <c r="J56" t="n">
        <v>7</v>
      </c>
      <c r="K56" t="n">
        <v>2</v>
      </c>
      <c r="L56" t="n">
        <v>0</v>
      </c>
      <c r="M56" t="n">
        <v>0</v>
      </c>
      <c r="N56" t="n">
        <v>0</v>
      </c>
      <c r="O56" t="n">
        <v>9</v>
      </c>
      <c r="P56" t="n">
        <v>2</v>
      </c>
      <c r="Q56" t="n">
        <v>11</v>
      </c>
      <c r="R56" s="2" t="inlineStr">
        <is>
          <t>Ostticka
Ulltickeporing
Garnlav
Granticka
Harticka
Rosenticka
Talltita
Tretåig hackspett
Ullticka
Kungsfågel
Lavskrika</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15047-2024</t>
        </is>
      </c>
      <c r="B57" s="1" t="n">
        <v>45399</v>
      </c>
      <c r="C57" s="1" t="n">
        <v>46110</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6963-2023</t>
        </is>
      </c>
      <c r="B58" s="1" t="n">
        <v>44964</v>
      </c>
      <c r="C58" s="1" t="n">
        <v>46110</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46110</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46110</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6969-2023</t>
        </is>
      </c>
      <c r="B61" s="1" t="n">
        <v>44964</v>
      </c>
      <c r="C61" s="1" t="n">
        <v>46110</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56840-2023</t>
        </is>
      </c>
      <c r="B62" s="1" t="n">
        <v>45238</v>
      </c>
      <c r="C62" s="1" t="n">
        <v>46110</v>
      </c>
      <c r="D62" t="inlineStr">
        <is>
          <t>VÄSTERBOTTENS LÄN</t>
        </is>
      </c>
      <c r="E62" t="inlineStr">
        <is>
          <t>VILHELMINA</t>
        </is>
      </c>
      <c r="F62" t="inlineStr">
        <is>
          <t>Allmännings- och besparingsskogar</t>
        </is>
      </c>
      <c r="G62" t="n">
        <v>55</v>
      </c>
      <c r="H62" t="n">
        <v>0</v>
      </c>
      <c r="I62" t="n">
        <v>1</v>
      </c>
      <c r="J62" t="n">
        <v>7</v>
      </c>
      <c r="K62" t="n">
        <v>2</v>
      </c>
      <c r="L62" t="n">
        <v>0</v>
      </c>
      <c r="M62" t="n">
        <v>0</v>
      </c>
      <c r="N62" t="n">
        <v>0</v>
      </c>
      <c r="O62" t="n">
        <v>9</v>
      </c>
      <c r="P62" t="n">
        <v>2</v>
      </c>
      <c r="Q62" t="n">
        <v>10</v>
      </c>
      <c r="R62" s="2" t="inlineStr">
        <is>
          <t>Kristallticka
Tajgaskinn
Doftskinn
Gammelgransskål
Granticka
Gränsticka
Harticka
Rosenticka
Skrovellav
Sotlav</t>
        </is>
      </c>
      <c r="S62">
        <f>HYPERLINK("https://klasma.github.io/Logging_2462/artfynd/A 56840-2023 artfynd.xlsx", "A 56840-2023")</f>
        <v/>
      </c>
      <c r="T62">
        <f>HYPERLINK("https://klasma.github.io/Logging_2462/kartor/A 56840-2023 karta.png", "A 56840-2023")</f>
        <v/>
      </c>
      <c r="V62">
        <f>HYPERLINK("https://klasma.github.io/Logging_2462/klagomål/A 56840-2023 FSC-klagomål.docx", "A 56840-2023")</f>
        <v/>
      </c>
      <c r="W62">
        <f>HYPERLINK("https://klasma.github.io/Logging_2462/klagomålsmail/A 56840-2023 FSC-klagomål mail.docx", "A 56840-2023")</f>
        <v/>
      </c>
      <c r="X62">
        <f>HYPERLINK("https://klasma.github.io/Logging_2462/tillsyn/A 56840-2023 tillsynsbegäran.docx", "A 56840-2023")</f>
        <v/>
      </c>
      <c r="Y62">
        <f>HYPERLINK("https://klasma.github.io/Logging_2462/tillsynsmail/A 56840-2023 tillsynsbegäran mail.docx", "A 56840-2023")</f>
        <v/>
      </c>
    </row>
    <row r="63" ht="15" customHeight="1">
      <c r="A63" t="inlineStr">
        <is>
          <t>A 31884-2024</t>
        </is>
      </c>
      <c r="B63" s="1" t="n">
        <v>45509</v>
      </c>
      <c r="C63" s="1" t="n">
        <v>46110</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60737-2024</t>
        </is>
      </c>
      <c r="B64" s="1" t="n">
        <v>45644</v>
      </c>
      <c r="C64" s="1" t="n">
        <v>46110</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59036-2024</t>
        </is>
      </c>
      <c r="B65" s="1" t="n">
        <v>45636</v>
      </c>
      <c r="C65" s="1" t="n">
        <v>46110</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30810-2024</t>
        </is>
      </c>
      <c r="B66" s="1" t="n">
        <v>45497</v>
      </c>
      <c r="C66" s="1" t="n">
        <v>46110</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46110</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46110</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33322-2025</t>
        </is>
      </c>
      <c r="B69" s="1" t="n">
        <v>45841.3452662037</v>
      </c>
      <c r="C69" s="1" t="n">
        <v>46110</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30345-2024</t>
        </is>
      </c>
      <c r="B70" s="1" t="n">
        <v>45490</v>
      </c>
      <c r="C70" s="1" t="n">
        <v>46110</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28799-2024</t>
        </is>
      </c>
      <c r="B71" s="1" t="n">
        <v>45478</v>
      </c>
      <c r="C71" s="1" t="n">
        <v>46110</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46110</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46110</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32456-2024</t>
        </is>
      </c>
      <c r="B74" s="1" t="n">
        <v>45512</v>
      </c>
      <c r="C74" s="1" t="n">
        <v>46110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46110</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46110</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25564-2024</t>
        </is>
      </c>
      <c r="B77" s="1" t="n">
        <v>45463</v>
      </c>
      <c r="C77" s="1" t="n">
        <v>46110</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46110</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46110</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46110</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46110</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46110</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46110</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46110</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57099-2024</t>
        </is>
      </c>
      <c r="B85" s="1" t="n">
        <v>45629</v>
      </c>
      <c r="C85" s="1" t="n">
        <v>46110</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44874-2024</t>
        </is>
      </c>
      <c r="B86" s="1" t="n">
        <v>45575</v>
      </c>
      <c r="C86" s="1" t="n">
        <v>46110</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39678-2024</t>
        </is>
      </c>
      <c r="B87" s="1" t="n">
        <v>45552</v>
      </c>
      <c r="C87" s="1" t="n">
        <v>46110</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46110</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37325-2022</t>
        </is>
      </c>
      <c r="B89" s="1" t="n">
        <v>44806</v>
      </c>
      <c r="C89" s="1" t="n">
        <v>46110</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46110</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8562-2026</t>
        </is>
      </c>
      <c r="B91" s="1" t="n">
        <v>46065</v>
      </c>
      <c r="C91" s="1" t="n">
        <v>46110</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59482-2025</t>
        </is>
      </c>
      <c r="B92" s="1" t="n">
        <v>45989</v>
      </c>
      <c r="C92" s="1" t="n">
        <v>46110</v>
      </c>
      <c r="D92" t="inlineStr">
        <is>
          <t>VÄSTERBOTTENS LÄN</t>
        </is>
      </c>
      <c r="E92" t="inlineStr">
        <is>
          <t>VILHELMINA</t>
        </is>
      </c>
      <c r="F92" t="inlineStr">
        <is>
          <t>Allmännings- och besparingsskogar</t>
        </is>
      </c>
      <c r="G92" t="n">
        <v>12</v>
      </c>
      <c r="H92" t="n">
        <v>1</v>
      </c>
      <c r="I92" t="n">
        <v>0</v>
      </c>
      <c r="J92" t="n">
        <v>5</v>
      </c>
      <c r="K92" t="n">
        <v>0</v>
      </c>
      <c r="L92" t="n">
        <v>0</v>
      </c>
      <c r="M92" t="n">
        <v>0</v>
      </c>
      <c r="N92" t="n">
        <v>0</v>
      </c>
      <c r="O92" t="n">
        <v>5</v>
      </c>
      <c r="P92" t="n">
        <v>0</v>
      </c>
      <c r="Q92" t="n">
        <v>5</v>
      </c>
      <c r="R92" s="2" t="inlineStr">
        <is>
          <t>Granticka
Harticka
Rödbrun blekspik
Tretåig hackspett
Ullticka</t>
        </is>
      </c>
      <c r="S92">
        <f>HYPERLINK("https://klasma.github.io/Logging_2462/artfynd/A 59482-2025 artfynd.xlsx", "A 59482-2025")</f>
        <v/>
      </c>
      <c r="T92">
        <f>HYPERLINK("https://klasma.github.io/Logging_2462/kartor/A 59482-2025 karta.png", "A 59482-2025")</f>
        <v/>
      </c>
      <c r="V92">
        <f>HYPERLINK("https://klasma.github.io/Logging_2462/klagomål/A 59482-2025 FSC-klagomål.docx", "A 59482-2025")</f>
        <v/>
      </c>
      <c r="W92">
        <f>HYPERLINK("https://klasma.github.io/Logging_2462/klagomålsmail/A 59482-2025 FSC-klagomål mail.docx", "A 59482-2025")</f>
        <v/>
      </c>
      <c r="X92">
        <f>HYPERLINK("https://klasma.github.io/Logging_2462/tillsyn/A 59482-2025 tillsynsbegäran.docx", "A 59482-2025")</f>
        <v/>
      </c>
      <c r="Y92">
        <f>HYPERLINK("https://klasma.github.io/Logging_2462/tillsynsmail/A 59482-2025 tillsynsbegäran mail.docx", "A 59482-2025")</f>
        <v/>
      </c>
      <c r="Z92">
        <f>HYPERLINK("https://klasma.github.io/Logging_2462/fåglar/A 59482-2025 prioriterade fågelarter.docx", "A 59482-2025")</f>
        <v/>
      </c>
    </row>
    <row r="93" ht="15" customHeight="1">
      <c r="A93" t="inlineStr">
        <is>
          <t>A 10364-2026</t>
        </is>
      </c>
      <c r="B93" s="1" t="n">
        <v>46076</v>
      </c>
      <c r="C93" s="1" t="n">
        <v>46110</v>
      </c>
      <c r="D93" t="inlineStr">
        <is>
          <t>VÄSTERBOTTENS LÄN</t>
        </is>
      </c>
      <c r="E93" t="inlineStr">
        <is>
          <t>VILHELMINA</t>
        </is>
      </c>
      <c r="G93" t="n">
        <v>13.3</v>
      </c>
      <c r="H93" t="n">
        <v>1</v>
      </c>
      <c r="I93" t="n">
        <v>0</v>
      </c>
      <c r="J93" t="n">
        <v>5</v>
      </c>
      <c r="K93" t="n">
        <v>0</v>
      </c>
      <c r="L93" t="n">
        <v>0</v>
      </c>
      <c r="M93" t="n">
        <v>0</v>
      </c>
      <c r="N93" t="n">
        <v>0</v>
      </c>
      <c r="O93" t="n">
        <v>5</v>
      </c>
      <c r="P93" t="n">
        <v>0</v>
      </c>
      <c r="Q93" t="n">
        <v>5</v>
      </c>
      <c r="R93" s="2" t="inlineStr">
        <is>
          <t>Gammelgransskål
Garnlav
Gränsticka
Harticka
Tretåig hackspett</t>
        </is>
      </c>
      <c r="S93">
        <f>HYPERLINK("https://klasma.github.io/Logging_2462/artfynd/A 10364-2026 artfynd.xlsx", "A 10364-2026")</f>
        <v/>
      </c>
      <c r="T93">
        <f>HYPERLINK("https://klasma.github.io/Logging_2462/kartor/A 10364-2026 karta.png", "A 10364-2026")</f>
        <v/>
      </c>
      <c r="V93">
        <f>HYPERLINK("https://klasma.github.io/Logging_2462/klagomål/A 10364-2026 FSC-klagomål.docx", "A 10364-2026")</f>
        <v/>
      </c>
      <c r="W93">
        <f>HYPERLINK("https://klasma.github.io/Logging_2462/klagomålsmail/A 10364-2026 FSC-klagomål mail.docx", "A 10364-2026")</f>
        <v/>
      </c>
      <c r="X93">
        <f>HYPERLINK("https://klasma.github.io/Logging_2462/tillsyn/A 10364-2026 tillsynsbegäran.docx", "A 10364-2026")</f>
        <v/>
      </c>
      <c r="Y93">
        <f>HYPERLINK("https://klasma.github.io/Logging_2462/tillsynsmail/A 10364-2026 tillsynsbegäran mail.docx", "A 10364-2026")</f>
        <v/>
      </c>
      <c r="Z93">
        <f>HYPERLINK("https://klasma.github.io/Logging_2462/fåglar/A 10364-2026 prioriterade fågelarter.docx", "A 10364-2026")</f>
        <v/>
      </c>
    </row>
    <row r="94" ht="15" customHeight="1">
      <c r="A94" t="inlineStr">
        <is>
          <t>A 31198-2023</t>
        </is>
      </c>
      <c r="B94" s="1" t="n">
        <v>45113</v>
      </c>
      <c r="C94" s="1" t="n">
        <v>46110</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46110</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37322-2022</t>
        </is>
      </c>
      <c r="B96" s="1" t="n">
        <v>44806</v>
      </c>
      <c r="C96" s="1" t="n">
        <v>46110</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8565-2026</t>
        </is>
      </c>
      <c r="B97" s="1" t="n">
        <v>46065</v>
      </c>
      <c r="C97" s="1" t="n">
        <v>46110</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Kötticka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63151-2025</t>
        </is>
      </c>
      <c r="B98" s="1" t="n">
        <v>46009</v>
      </c>
      <c r="C98" s="1" t="n">
        <v>46110</v>
      </c>
      <c r="D98" t="inlineStr">
        <is>
          <t>VÄSTERBOTTENS LÄN</t>
        </is>
      </c>
      <c r="E98" t="inlineStr">
        <is>
          <t>VILHELMINA</t>
        </is>
      </c>
      <c r="G98" t="n">
        <v>41.7</v>
      </c>
      <c r="H98" t="n">
        <v>0</v>
      </c>
      <c r="I98" t="n">
        <v>1</v>
      </c>
      <c r="J98" t="n">
        <v>3</v>
      </c>
      <c r="K98" t="n">
        <v>0</v>
      </c>
      <c r="L98" t="n">
        <v>0</v>
      </c>
      <c r="M98" t="n">
        <v>0</v>
      </c>
      <c r="N98" t="n">
        <v>0</v>
      </c>
      <c r="O98" t="n">
        <v>3</v>
      </c>
      <c r="P98" t="n">
        <v>0</v>
      </c>
      <c r="Q98" t="n">
        <v>4</v>
      </c>
      <c r="R98" s="2" t="inlineStr">
        <is>
          <t>Blå taggsvamp
Garnlav
Vedflamlav
Skinnlav</t>
        </is>
      </c>
      <c r="S98">
        <f>HYPERLINK("https://klasma.github.io/Logging_2462/artfynd/A 63151-2025 artfynd.xlsx", "A 63151-2025")</f>
        <v/>
      </c>
      <c r="T98">
        <f>HYPERLINK("https://klasma.github.io/Logging_2462/kartor/A 63151-2025 karta.png", "A 63151-2025")</f>
        <v/>
      </c>
      <c r="V98">
        <f>HYPERLINK("https://klasma.github.io/Logging_2462/klagomål/A 63151-2025 FSC-klagomål.docx", "A 63151-2025")</f>
        <v/>
      </c>
      <c r="W98">
        <f>HYPERLINK("https://klasma.github.io/Logging_2462/klagomålsmail/A 63151-2025 FSC-klagomål mail.docx", "A 63151-2025")</f>
        <v/>
      </c>
      <c r="X98">
        <f>HYPERLINK("https://klasma.github.io/Logging_2462/tillsyn/A 63151-2025 tillsynsbegäran.docx", "A 63151-2025")</f>
        <v/>
      </c>
      <c r="Y98">
        <f>HYPERLINK("https://klasma.github.io/Logging_2462/tillsynsmail/A 63151-2025 tillsynsbegäran mail.docx", "A 63151-2025")</f>
        <v/>
      </c>
    </row>
    <row r="99" ht="15" customHeight="1">
      <c r="A99" t="inlineStr">
        <is>
          <t>A 28867-2024</t>
        </is>
      </c>
      <c r="B99" s="1" t="n">
        <v>45478</v>
      </c>
      <c r="C99" s="1" t="n">
        <v>46110</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38124-2024</t>
        </is>
      </c>
      <c r="B100" s="1" t="n">
        <v>45545</v>
      </c>
      <c r="C100" s="1" t="n">
        <v>46110</v>
      </c>
      <c r="D100" t="inlineStr">
        <is>
          <t>VÄSTERBOTTENS LÄN</t>
        </is>
      </c>
      <c r="E100" t="inlineStr">
        <is>
          <t>VILHELMINA</t>
        </is>
      </c>
      <c r="F100" t="inlineStr">
        <is>
          <t>SCA</t>
        </is>
      </c>
      <c r="G100" t="n">
        <v>3.2</v>
      </c>
      <c r="H100" t="n">
        <v>3</v>
      </c>
      <c r="I100" t="n">
        <v>0</v>
      </c>
      <c r="J100" t="n">
        <v>3</v>
      </c>
      <c r="K100" t="n">
        <v>0</v>
      </c>
      <c r="L100" t="n">
        <v>0</v>
      </c>
      <c r="M100" t="n">
        <v>0</v>
      </c>
      <c r="N100" t="n">
        <v>0</v>
      </c>
      <c r="O100" t="n">
        <v>3</v>
      </c>
      <c r="P100" t="n">
        <v>0</v>
      </c>
      <c r="Q100" t="n">
        <v>4</v>
      </c>
      <c r="R100" s="2" t="inlineStr">
        <is>
          <t>Garnlav
Spillkråka
Tretåig hackspett
Lavskrika</t>
        </is>
      </c>
      <c r="S100">
        <f>HYPERLINK("https://klasma.github.io/Logging_2462/artfynd/A 38124-2024 artfynd.xlsx", "A 38124-2024")</f>
        <v/>
      </c>
      <c r="T100">
        <f>HYPERLINK("https://klasma.github.io/Logging_2462/kartor/A 38124-2024 karta.png", "A 38124-2024")</f>
        <v/>
      </c>
      <c r="V100">
        <f>HYPERLINK("https://klasma.github.io/Logging_2462/klagomål/A 38124-2024 FSC-klagomål.docx", "A 38124-2024")</f>
        <v/>
      </c>
      <c r="W100">
        <f>HYPERLINK("https://klasma.github.io/Logging_2462/klagomålsmail/A 38124-2024 FSC-klagomål mail.docx", "A 38124-2024")</f>
        <v/>
      </c>
      <c r="X100">
        <f>HYPERLINK("https://klasma.github.io/Logging_2462/tillsyn/A 38124-2024 tillsynsbegäran.docx", "A 38124-2024")</f>
        <v/>
      </c>
      <c r="Y100">
        <f>HYPERLINK("https://klasma.github.io/Logging_2462/tillsynsmail/A 38124-2024 tillsynsbegäran mail.docx", "A 38124-2024")</f>
        <v/>
      </c>
      <c r="Z100">
        <f>HYPERLINK("https://klasma.github.io/Logging_2462/fåglar/A 38124-2024 prioriterade fågelarter.docx", "A 38124-2024")</f>
        <v/>
      </c>
    </row>
    <row r="101" ht="15" customHeight="1">
      <c r="A101" t="inlineStr">
        <is>
          <t>A 44382-2023</t>
        </is>
      </c>
      <c r="B101" s="1" t="n">
        <v>45188.94413194444</v>
      </c>
      <c r="C101" s="1" t="n">
        <v>46110</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25036-2024</t>
        </is>
      </c>
      <c r="B102" s="1" t="n">
        <v>45461</v>
      </c>
      <c r="C102" s="1" t="n">
        <v>46110</v>
      </c>
      <c r="D102" t="inlineStr">
        <is>
          <t>VÄSTERBOTTENS LÄN</t>
        </is>
      </c>
      <c r="E102" t="inlineStr">
        <is>
          <t>VILHELMINA</t>
        </is>
      </c>
      <c r="F102" t="inlineStr">
        <is>
          <t>SCA</t>
        </is>
      </c>
      <c r="G102" t="n">
        <v>7</v>
      </c>
      <c r="H102" t="n">
        <v>3</v>
      </c>
      <c r="I102" t="n">
        <v>1</v>
      </c>
      <c r="J102" t="n">
        <v>1</v>
      </c>
      <c r="K102" t="n">
        <v>0</v>
      </c>
      <c r="L102" t="n">
        <v>0</v>
      </c>
      <c r="M102" t="n">
        <v>0</v>
      </c>
      <c r="N102" t="n">
        <v>0</v>
      </c>
      <c r="O102" t="n">
        <v>1</v>
      </c>
      <c r="P102" t="n">
        <v>0</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13604-2022</t>
        </is>
      </c>
      <c r="B103" s="1" t="n">
        <v>44648</v>
      </c>
      <c r="C103" s="1" t="n">
        <v>46110</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46110</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54780-2024</t>
        </is>
      </c>
      <c r="B105" s="1" t="n">
        <v>45618</v>
      </c>
      <c r="C105" s="1" t="n">
        <v>46110</v>
      </c>
      <c r="D105" t="inlineStr">
        <is>
          <t>VÄSTERBOTTENS LÄN</t>
        </is>
      </c>
      <c r="E105" t="inlineStr">
        <is>
          <t>VILHELMINA</t>
        </is>
      </c>
      <c r="F105" t="inlineStr">
        <is>
          <t>SCA</t>
        </is>
      </c>
      <c r="G105" t="n">
        <v>8.199999999999999</v>
      </c>
      <c r="H105" t="n">
        <v>0</v>
      </c>
      <c r="I105" t="n">
        <v>0</v>
      </c>
      <c r="J105" t="n">
        <v>3</v>
      </c>
      <c r="K105" t="n">
        <v>0</v>
      </c>
      <c r="L105" t="n">
        <v>0</v>
      </c>
      <c r="M105" t="n">
        <v>0</v>
      </c>
      <c r="N105" t="n">
        <v>0</v>
      </c>
      <c r="O105" t="n">
        <v>3</v>
      </c>
      <c r="P105" t="n">
        <v>0</v>
      </c>
      <c r="Q105" t="n">
        <v>3</v>
      </c>
      <c r="R105" s="2" t="inlineStr">
        <is>
          <t>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42063-2024</t>
        </is>
      </c>
      <c r="B106" s="1" t="n">
        <v>45561</v>
      </c>
      <c r="C106" s="1" t="n">
        <v>46110</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38123-2024</t>
        </is>
      </c>
      <c r="B107" s="1" t="n">
        <v>45545</v>
      </c>
      <c r="C107" s="1" t="n">
        <v>46110</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47036-2025</t>
        </is>
      </c>
      <c r="B108" s="1" t="n">
        <v>45929.594375</v>
      </c>
      <c r="C108" s="1" t="n">
        <v>46110</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38534-2024</t>
        </is>
      </c>
      <c r="B109" s="1" t="n">
        <v>45546</v>
      </c>
      <c r="C109" s="1" t="n">
        <v>46110</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53897-2025</t>
        </is>
      </c>
      <c r="B110" s="1" t="n">
        <v>45961.42766203704</v>
      </c>
      <c r="C110" s="1" t="n">
        <v>46110</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32779-2025</t>
        </is>
      </c>
      <c r="B111" s="1" t="n">
        <v>45839.46946759259</v>
      </c>
      <c r="C111" s="1" t="n">
        <v>46110</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56618-2024</t>
        </is>
      </c>
      <c r="B112" s="1" t="n">
        <v>45625</v>
      </c>
      <c r="C112" s="1" t="n">
        <v>46110</v>
      </c>
      <c r="D112" t="inlineStr">
        <is>
          <t>VÄSTERBOTTENS LÄN</t>
        </is>
      </c>
      <c r="E112" t="inlineStr">
        <is>
          <t>VILHELMINA</t>
        </is>
      </c>
      <c r="F112" t="inlineStr">
        <is>
          <t>Allmännings- och besparingsskogar</t>
        </is>
      </c>
      <c r="G112" t="n">
        <v>17.1</v>
      </c>
      <c r="H112" t="n">
        <v>1</v>
      </c>
      <c r="I112" t="n">
        <v>0</v>
      </c>
      <c r="J112" t="n">
        <v>3</v>
      </c>
      <c r="K112" t="n">
        <v>0</v>
      </c>
      <c r="L112" t="n">
        <v>0</v>
      </c>
      <c r="M112" t="n">
        <v>0</v>
      </c>
      <c r="N112" t="n">
        <v>0</v>
      </c>
      <c r="O112" t="n">
        <v>3</v>
      </c>
      <c r="P112" t="n">
        <v>0</v>
      </c>
      <c r="Q112" t="n">
        <v>3</v>
      </c>
      <c r="R112" s="2" t="inlineStr">
        <is>
          <t>Granticka
Tretåig hackspett
Ullticka</t>
        </is>
      </c>
      <c r="S112">
        <f>HYPERLINK("https://klasma.github.io/Logging_2462/artfynd/A 56618-2024 artfynd.xlsx", "A 56618-2024")</f>
        <v/>
      </c>
      <c r="T112">
        <f>HYPERLINK("https://klasma.github.io/Logging_2462/kartor/A 56618-2024 karta.png", "A 56618-2024")</f>
        <v/>
      </c>
      <c r="V112">
        <f>HYPERLINK("https://klasma.github.io/Logging_2462/klagomål/A 56618-2024 FSC-klagomål.docx", "A 56618-2024")</f>
        <v/>
      </c>
      <c r="W112">
        <f>HYPERLINK("https://klasma.github.io/Logging_2462/klagomålsmail/A 56618-2024 FSC-klagomål mail.docx", "A 56618-2024")</f>
        <v/>
      </c>
      <c r="X112">
        <f>HYPERLINK("https://klasma.github.io/Logging_2462/tillsyn/A 56618-2024 tillsynsbegäran.docx", "A 56618-2024")</f>
        <v/>
      </c>
      <c r="Y112">
        <f>HYPERLINK("https://klasma.github.io/Logging_2462/tillsynsmail/A 56618-2024 tillsynsbegäran mail.docx", "A 56618-2024")</f>
        <v/>
      </c>
      <c r="Z112">
        <f>HYPERLINK("https://klasma.github.io/Logging_2462/fåglar/A 56618-2024 prioriterade fågelarter.docx", "A 56618-2024")</f>
        <v/>
      </c>
    </row>
    <row r="113" ht="15" customHeight="1">
      <c r="A113" t="inlineStr">
        <is>
          <t>A 41646-2024</t>
        </is>
      </c>
      <c r="B113" s="1" t="n">
        <v>45560</v>
      </c>
      <c r="C113" s="1" t="n">
        <v>46110</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7807-2026</t>
        </is>
      </c>
      <c r="B114" s="1" t="n">
        <v>46062.60943287037</v>
      </c>
      <c r="C114" s="1" t="n">
        <v>46110</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16463-2025</t>
        </is>
      </c>
      <c r="B115" s="1" t="n">
        <v>45751</v>
      </c>
      <c r="C115" s="1" t="n">
        <v>46110</v>
      </c>
      <c r="D115" t="inlineStr">
        <is>
          <t>VÄSTERBOTTENS LÄN</t>
        </is>
      </c>
      <c r="E115" t="inlineStr">
        <is>
          <t>VILHELMINA</t>
        </is>
      </c>
      <c r="G115" t="n">
        <v>8.1</v>
      </c>
      <c r="H115" t="n">
        <v>1</v>
      </c>
      <c r="I115" t="n">
        <v>0</v>
      </c>
      <c r="J115" t="n">
        <v>3</v>
      </c>
      <c r="K115" t="n">
        <v>0</v>
      </c>
      <c r="L115" t="n">
        <v>0</v>
      </c>
      <c r="M115" t="n">
        <v>0</v>
      </c>
      <c r="N115" t="n">
        <v>0</v>
      </c>
      <c r="O115" t="n">
        <v>3</v>
      </c>
      <c r="P115" t="n">
        <v>0</v>
      </c>
      <c r="Q115" t="n">
        <v>3</v>
      </c>
      <c r="R115" s="2" t="inlineStr">
        <is>
          <t>Granticka
Gränsticka
Tretåig hackspett</t>
        </is>
      </c>
      <c r="S115">
        <f>HYPERLINK("https://klasma.github.io/Logging_2462/artfynd/A 16463-2025 artfynd.xlsx", "A 16463-2025")</f>
        <v/>
      </c>
      <c r="T115">
        <f>HYPERLINK("https://klasma.github.io/Logging_2462/kartor/A 16463-2025 karta.png", "A 16463-2025")</f>
        <v/>
      </c>
      <c r="V115">
        <f>HYPERLINK("https://klasma.github.io/Logging_2462/klagomål/A 16463-2025 FSC-klagomål.docx", "A 16463-2025")</f>
        <v/>
      </c>
      <c r="W115">
        <f>HYPERLINK("https://klasma.github.io/Logging_2462/klagomålsmail/A 16463-2025 FSC-klagomål mail.docx", "A 16463-2025")</f>
        <v/>
      </c>
      <c r="X115">
        <f>HYPERLINK("https://klasma.github.io/Logging_2462/tillsyn/A 16463-2025 tillsynsbegäran.docx", "A 16463-2025")</f>
        <v/>
      </c>
      <c r="Y115">
        <f>HYPERLINK("https://klasma.github.io/Logging_2462/tillsynsmail/A 16463-2025 tillsynsbegäran mail.docx", "A 16463-2025")</f>
        <v/>
      </c>
      <c r="Z115">
        <f>HYPERLINK("https://klasma.github.io/Logging_2462/fåglar/A 16463-2025 prioriterade fågelarter.docx", "A 16463-2025")</f>
        <v/>
      </c>
    </row>
    <row r="116" ht="15" customHeight="1">
      <c r="A116" t="inlineStr">
        <is>
          <t>A 65382-2021</t>
        </is>
      </c>
      <c r="B116" s="1" t="n">
        <v>44515</v>
      </c>
      <c r="C116" s="1" t="n">
        <v>46110</v>
      </c>
      <c r="D116" t="inlineStr">
        <is>
          <t>VÄSTERBOTTENS LÄN</t>
        </is>
      </c>
      <c r="E116" t="inlineStr">
        <is>
          <t>VILHELMINA</t>
        </is>
      </c>
      <c r="G116" t="n">
        <v>10.7</v>
      </c>
      <c r="H116" t="n">
        <v>0</v>
      </c>
      <c r="I116" t="n">
        <v>0</v>
      </c>
      <c r="J116" t="n">
        <v>2</v>
      </c>
      <c r="K116" t="n">
        <v>1</v>
      </c>
      <c r="L116" t="n">
        <v>0</v>
      </c>
      <c r="M116" t="n">
        <v>0</v>
      </c>
      <c r="N116" t="n">
        <v>0</v>
      </c>
      <c r="O116" t="n">
        <v>3</v>
      </c>
      <c r="P116" t="n">
        <v>1</v>
      </c>
      <c r="Q116" t="n">
        <v>3</v>
      </c>
      <c r="R116" s="2" t="inlineStr">
        <is>
          <t>Rynkskinn
Lunglav
Rosenticka</t>
        </is>
      </c>
      <c r="S116">
        <f>HYPERLINK("https://klasma.github.io/Logging_2462/artfynd/A 65382-2021 artfynd.xlsx", "A 65382-2021")</f>
        <v/>
      </c>
      <c r="T116">
        <f>HYPERLINK("https://klasma.github.io/Logging_2462/kartor/A 65382-2021 karta.png", "A 65382-2021")</f>
        <v/>
      </c>
      <c r="V116">
        <f>HYPERLINK("https://klasma.github.io/Logging_2462/klagomål/A 65382-2021 FSC-klagomål.docx", "A 65382-2021")</f>
        <v/>
      </c>
      <c r="W116">
        <f>HYPERLINK("https://klasma.github.io/Logging_2462/klagomålsmail/A 65382-2021 FSC-klagomål mail.docx", "A 65382-2021")</f>
        <v/>
      </c>
      <c r="X116">
        <f>HYPERLINK("https://klasma.github.io/Logging_2462/tillsyn/A 65382-2021 tillsynsbegäran.docx", "A 65382-2021")</f>
        <v/>
      </c>
      <c r="Y116">
        <f>HYPERLINK("https://klasma.github.io/Logging_2462/tillsynsmail/A 65382-2021 tillsynsbegäran mail.docx", "A 65382-2021")</f>
        <v/>
      </c>
    </row>
    <row r="117" ht="15" customHeight="1">
      <c r="A117" t="inlineStr">
        <is>
          <t>A 9157-2023</t>
        </is>
      </c>
      <c r="B117" s="1" t="n">
        <v>44972</v>
      </c>
      <c r="C117" s="1" t="n">
        <v>46110</v>
      </c>
      <c r="D117" t="inlineStr">
        <is>
          <t>VÄSTERBOTTENS LÄN</t>
        </is>
      </c>
      <c r="E117" t="inlineStr">
        <is>
          <t>VILHELMINA</t>
        </is>
      </c>
      <c r="F117" t="inlineStr">
        <is>
          <t>Allmännings- och besparingsskogar</t>
        </is>
      </c>
      <c r="G117" t="n">
        <v>411</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HYPERLINK("https://klasma.github.io/Logging_2462/artfynd/A 9157-2023 artfynd.xlsx", "A 9157-2023")</f>
        <v/>
      </c>
      <c r="T117">
        <f>HYPERLINK("https://klasma.github.io/Logging_2462/kartor/A 9157-2023 karta.png", "A 9157-2023")</f>
        <v/>
      </c>
      <c r="V117">
        <f>HYPERLINK("https://klasma.github.io/Logging_2462/klagomål/A 9157-2023 FSC-klagomål.docx", "A 9157-2023")</f>
        <v/>
      </c>
      <c r="W117">
        <f>HYPERLINK("https://klasma.github.io/Logging_2462/klagomålsmail/A 9157-2023 FSC-klagomål mail.docx", "A 9157-2023")</f>
        <v/>
      </c>
      <c r="X117">
        <f>HYPERLINK("https://klasma.github.io/Logging_2462/tillsyn/A 9157-2023 tillsynsbegäran.docx", "A 9157-2023")</f>
        <v/>
      </c>
      <c r="Y117">
        <f>HYPERLINK("https://klasma.github.io/Logging_2462/tillsynsmail/A 9157-2023 tillsynsbegäran mail.docx", "A 9157-2023")</f>
        <v/>
      </c>
    </row>
    <row r="118" ht="15" customHeight="1">
      <c r="A118" t="inlineStr">
        <is>
          <t>A 19234-2021</t>
        </is>
      </c>
      <c r="B118" s="1" t="n">
        <v>44309</v>
      </c>
      <c r="C118" s="1" t="n">
        <v>46110</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46110</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46110</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46110</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46110</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46110</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46110</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4802-2026</t>
        </is>
      </c>
      <c r="B125" s="1" t="n">
        <v>46048</v>
      </c>
      <c r="C125" s="1" t="n">
        <v>46110</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41645-2024</t>
        </is>
      </c>
      <c r="B126" s="1" t="n">
        <v>45560</v>
      </c>
      <c r="C126" s="1" t="n">
        <v>46110</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25037-2024</t>
        </is>
      </c>
      <c r="B127" s="1" t="n">
        <v>45461</v>
      </c>
      <c r="C127" s="1" t="n">
        <v>46110</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29140-2025</t>
        </is>
      </c>
      <c r="B128" s="1" t="n">
        <v>45821</v>
      </c>
      <c r="C128" s="1" t="n">
        <v>46110</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46110</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65586-2021</t>
        </is>
      </c>
      <c r="B130" s="1" t="n">
        <v>44518</v>
      </c>
      <c r="C130" s="1" t="n">
        <v>46110</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48652-2025</t>
        </is>
      </c>
      <c r="B131" s="1" t="n">
        <v>45936</v>
      </c>
      <c r="C131" s="1" t="n">
        <v>46110</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13211-2026</t>
        </is>
      </c>
      <c r="B132" s="1" t="n">
        <v>46093.61508101852</v>
      </c>
      <c r="C132" s="1" t="n">
        <v>46110</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13708-2026</t>
        </is>
      </c>
      <c r="B133" s="1" t="n">
        <v>46097</v>
      </c>
      <c r="C133" s="1" t="n">
        <v>46110</v>
      </c>
      <c r="D133" t="inlineStr">
        <is>
          <t>VÄSTERBOTTENS LÄN</t>
        </is>
      </c>
      <c r="E133" t="inlineStr">
        <is>
          <t>VILHELMINA</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HYPERLINK("https://klasma.github.io/Logging_2462/artfynd/A 13708-2026 artfynd.xlsx", "A 13708-2026")</f>
        <v/>
      </c>
      <c r="T133">
        <f>HYPERLINK("https://klasma.github.io/Logging_2462/kartor/A 13708-2026 karta.png", "A 13708-2026")</f>
        <v/>
      </c>
      <c r="V133">
        <f>HYPERLINK("https://klasma.github.io/Logging_2462/klagomål/A 13708-2026 FSC-klagomål.docx", "A 13708-2026")</f>
        <v/>
      </c>
      <c r="W133">
        <f>HYPERLINK("https://klasma.github.io/Logging_2462/klagomålsmail/A 13708-2026 FSC-klagomål mail.docx", "A 13708-2026")</f>
        <v/>
      </c>
      <c r="X133">
        <f>HYPERLINK("https://klasma.github.io/Logging_2462/tillsyn/A 13708-2026 tillsynsbegäran.docx", "A 13708-2026")</f>
        <v/>
      </c>
      <c r="Y133">
        <f>HYPERLINK("https://klasma.github.io/Logging_2462/tillsynsmail/A 13708-2026 tillsynsbegäran mail.docx", "A 13708-2026")</f>
        <v/>
      </c>
      <c r="Z133">
        <f>HYPERLINK("https://klasma.github.io/Logging_2462/fåglar/A 13708-2026 prioriterade fågelarter.docx", "A 13708-2026")</f>
        <v/>
      </c>
    </row>
    <row r="134" ht="15" customHeight="1">
      <c r="A134" t="inlineStr">
        <is>
          <t>A 60379-2024</t>
        </is>
      </c>
      <c r="B134" s="1" t="n">
        <v>45643</v>
      </c>
      <c r="C134" s="1" t="n">
        <v>46110</v>
      </c>
      <c r="D134" t="inlineStr">
        <is>
          <t>VÄSTERBOTTENS LÄN</t>
        </is>
      </c>
      <c r="E134" t="inlineStr">
        <is>
          <t>VILHELMINA</t>
        </is>
      </c>
      <c r="F134" t="inlineStr">
        <is>
          <t>SCA</t>
        </is>
      </c>
      <c r="G134" t="n">
        <v>12.4</v>
      </c>
      <c r="H134" t="n">
        <v>0</v>
      </c>
      <c r="I134" t="n">
        <v>0</v>
      </c>
      <c r="J134" t="n">
        <v>2</v>
      </c>
      <c r="K134" t="n">
        <v>0</v>
      </c>
      <c r="L134" t="n">
        <v>0</v>
      </c>
      <c r="M134" t="n">
        <v>0</v>
      </c>
      <c r="N134" t="n">
        <v>0</v>
      </c>
      <c r="O134" t="n">
        <v>2</v>
      </c>
      <c r="P134" t="n">
        <v>0</v>
      </c>
      <c r="Q134" t="n">
        <v>2</v>
      </c>
      <c r="R134" s="2" t="inlineStr">
        <is>
          <t>Skrovellav
Ullticka</t>
        </is>
      </c>
      <c r="S134">
        <f>HYPERLINK("https://klasma.github.io/Logging_2462/artfynd/A 60379-2024 artfynd.xlsx", "A 60379-2024")</f>
        <v/>
      </c>
      <c r="T134">
        <f>HYPERLINK("https://klasma.github.io/Logging_2462/kartor/A 60379-2024 karta.png", "A 60379-2024")</f>
        <v/>
      </c>
      <c r="V134">
        <f>HYPERLINK("https://klasma.github.io/Logging_2462/klagomål/A 60379-2024 FSC-klagomål.docx", "A 60379-2024")</f>
        <v/>
      </c>
      <c r="W134">
        <f>HYPERLINK("https://klasma.github.io/Logging_2462/klagomålsmail/A 60379-2024 FSC-klagomål mail.docx", "A 60379-2024")</f>
        <v/>
      </c>
      <c r="X134">
        <f>HYPERLINK("https://klasma.github.io/Logging_2462/tillsyn/A 60379-2024 tillsynsbegäran.docx", "A 60379-2024")</f>
        <v/>
      </c>
      <c r="Y134">
        <f>HYPERLINK("https://klasma.github.io/Logging_2462/tillsynsmail/A 60379-2024 tillsynsbegäran mail.docx", "A 60379-2024")</f>
        <v/>
      </c>
    </row>
    <row r="135" ht="15" customHeight="1">
      <c r="A135" t="inlineStr">
        <is>
          <t>A 11207-2026</t>
        </is>
      </c>
      <c r="B135" s="1" t="n">
        <v>46080</v>
      </c>
      <c r="C135" s="1" t="n">
        <v>46110</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46110</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36998-2025</t>
        </is>
      </c>
      <c r="B137" s="1" t="n">
        <v>45874</v>
      </c>
      <c r="C137" s="1" t="n">
        <v>46110</v>
      </c>
      <c r="D137" t="inlineStr">
        <is>
          <t>VÄSTERBOTTENS LÄN</t>
        </is>
      </c>
      <c r="E137" t="inlineStr">
        <is>
          <t>VILHELMINA</t>
        </is>
      </c>
      <c r="F137" t="inlineStr">
        <is>
          <t>SCA</t>
        </is>
      </c>
      <c r="G137" t="n">
        <v>16.9</v>
      </c>
      <c r="H137" t="n">
        <v>1</v>
      </c>
      <c r="I137" t="n">
        <v>1</v>
      </c>
      <c r="J137" t="n">
        <v>1</v>
      </c>
      <c r="K137" t="n">
        <v>0</v>
      </c>
      <c r="L137" t="n">
        <v>0</v>
      </c>
      <c r="M137" t="n">
        <v>0</v>
      </c>
      <c r="N137" t="n">
        <v>0</v>
      </c>
      <c r="O137" t="n">
        <v>1</v>
      </c>
      <c r="P137" t="n">
        <v>0</v>
      </c>
      <c r="Q137" t="n">
        <v>2</v>
      </c>
      <c r="R137" s="2" t="inlineStr">
        <is>
          <t>Granticka
Lappranunkel</t>
        </is>
      </c>
      <c r="S137">
        <f>HYPERLINK("https://klasma.github.io/Logging_2462/artfynd/A 36998-2025 artfynd.xlsx", "A 36998-2025")</f>
        <v/>
      </c>
      <c r="T137">
        <f>HYPERLINK("https://klasma.github.io/Logging_2462/kartor/A 36998-2025 karta.png", "A 36998-2025")</f>
        <v/>
      </c>
      <c r="V137">
        <f>HYPERLINK("https://klasma.github.io/Logging_2462/klagomål/A 36998-2025 FSC-klagomål.docx", "A 36998-2025")</f>
        <v/>
      </c>
      <c r="W137">
        <f>HYPERLINK("https://klasma.github.io/Logging_2462/klagomålsmail/A 36998-2025 FSC-klagomål mail.docx", "A 36998-2025")</f>
        <v/>
      </c>
      <c r="X137">
        <f>HYPERLINK("https://klasma.github.io/Logging_2462/tillsyn/A 36998-2025 tillsynsbegäran.docx", "A 36998-2025")</f>
        <v/>
      </c>
      <c r="Y137">
        <f>HYPERLINK("https://klasma.github.io/Logging_2462/tillsynsmail/A 36998-2025 tillsynsbegäran mail.docx", "A 36998-2025")</f>
        <v/>
      </c>
    </row>
    <row r="138" ht="15" customHeight="1">
      <c r="A138" t="inlineStr">
        <is>
          <t>A 30717-2023</t>
        </is>
      </c>
      <c r="B138" s="1" t="n">
        <v>45112</v>
      </c>
      <c r="C138" s="1" t="n">
        <v>46110</v>
      </c>
      <c r="D138" t="inlineStr">
        <is>
          <t>VÄSTERBOTTENS LÄN</t>
        </is>
      </c>
      <c r="E138" t="inlineStr">
        <is>
          <t>VILHELMINA</t>
        </is>
      </c>
      <c r="G138" t="n">
        <v>22.7</v>
      </c>
      <c r="H138" t="n">
        <v>0</v>
      </c>
      <c r="I138" t="n">
        <v>0</v>
      </c>
      <c r="J138" t="n">
        <v>2</v>
      </c>
      <c r="K138" t="n">
        <v>0</v>
      </c>
      <c r="L138" t="n">
        <v>0</v>
      </c>
      <c r="M138" t="n">
        <v>0</v>
      </c>
      <c r="N138" t="n">
        <v>0</v>
      </c>
      <c r="O138" t="n">
        <v>2</v>
      </c>
      <c r="P138" t="n">
        <v>0</v>
      </c>
      <c r="Q138" t="n">
        <v>2</v>
      </c>
      <c r="R138" s="2" t="inlineStr">
        <is>
          <t>Garnlav
Ullticka</t>
        </is>
      </c>
      <c r="S138">
        <f>HYPERLINK("https://klasma.github.io/Logging_2462/artfynd/A 30717-2023 artfynd.xlsx", "A 30717-2023")</f>
        <v/>
      </c>
      <c r="T138">
        <f>HYPERLINK("https://klasma.github.io/Logging_2462/kartor/A 30717-2023 karta.png", "A 30717-2023")</f>
        <v/>
      </c>
      <c r="V138">
        <f>HYPERLINK("https://klasma.github.io/Logging_2462/klagomål/A 30717-2023 FSC-klagomål.docx", "A 30717-2023")</f>
        <v/>
      </c>
      <c r="W138">
        <f>HYPERLINK("https://klasma.github.io/Logging_2462/klagomålsmail/A 30717-2023 FSC-klagomål mail.docx", "A 30717-2023")</f>
        <v/>
      </c>
      <c r="X138">
        <f>HYPERLINK("https://klasma.github.io/Logging_2462/tillsyn/A 30717-2023 tillsynsbegäran.docx", "A 30717-2023")</f>
        <v/>
      </c>
      <c r="Y138">
        <f>HYPERLINK("https://klasma.github.io/Logging_2462/tillsynsmail/A 30717-2023 tillsynsbegäran mail.docx", "A 30717-2023")</f>
        <v/>
      </c>
    </row>
    <row r="139" ht="15" customHeight="1">
      <c r="A139" t="inlineStr">
        <is>
          <t>A 37785-2021</t>
        </is>
      </c>
      <c r="B139" s="1" t="n">
        <v>44401</v>
      </c>
      <c r="C139" s="1" t="n">
        <v>46110</v>
      </c>
      <c r="D139" t="inlineStr">
        <is>
          <t>VÄSTERBOTTENS LÄN</t>
        </is>
      </c>
      <c r="E139" t="inlineStr">
        <is>
          <t>VILHELMINA</t>
        </is>
      </c>
      <c r="G139" t="n">
        <v>51.5</v>
      </c>
      <c r="H139" t="n">
        <v>1</v>
      </c>
      <c r="I139" t="n">
        <v>0</v>
      </c>
      <c r="J139" t="n">
        <v>1</v>
      </c>
      <c r="K139" t="n">
        <v>0</v>
      </c>
      <c r="L139" t="n">
        <v>0</v>
      </c>
      <c r="M139" t="n">
        <v>0</v>
      </c>
      <c r="N139" t="n">
        <v>0</v>
      </c>
      <c r="O139" t="n">
        <v>1</v>
      </c>
      <c r="P139" t="n">
        <v>0</v>
      </c>
      <c r="Q139" t="n">
        <v>2</v>
      </c>
      <c r="R139" s="2" t="inlineStr">
        <is>
          <t>Ullticka
Fläcknycklar</t>
        </is>
      </c>
      <c r="S139">
        <f>HYPERLINK("https://klasma.github.io/Logging_2462/artfynd/A 37785-2021 artfynd.xlsx", "A 37785-2021")</f>
        <v/>
      </c>
      <c r="T139">
        <f>HYPERLINK("https://klasma.github.io/Logging_2462/kartor/A 37785-2021 karta.png", "A 37785-2021")</f>
        <v/>
      </c>
      <c r="V139">
        <f>HYPERLINK("https://klasma.github.io/Logging_2462/klagomål/A 37785-2021 FSC-klagomål.docx", "A 37785-2021")</f>
        <v/>
      </c>
      <c r="W139">
        <f>HYPERLINK("https://klasma.github.io/Logging_2462/klagomålsmail/A 37785-2021 FSC-klagomål mail.docx", "A 37785-2021")</f>
        <v/>
      </c>
      <c r="X139">
        <f>HYPERLINK("https://klasma.github.io/Logging_2462/tillsyn/A 37785-2021 tillsynsbegäran.docx", "A 37785-2021")</f>
        <v/>
      </c>
      <c r="Y139">
        <f>HYPERLINK("https://klasma.github.io/Logging_2462/tillsynsmail/A 37785-2021 tillsynsbegäran mail.docx", "A 37785-2021")</f>
        <v/>
      </c>
    </row>
    <row r="140" ht="15" customHeight="1">
      <c r="A140" t="inlineStr">
        <is>
          <t>A 20983-2025</t>
        </is>
      </c>
      <c r="B140" s="1" t="n">
        <v>45777.46910879629</v>
      </c>
      <c r="C140" s="1" t="n">
        <v>46110</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46110</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46110</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65146-2021</t>
        </is>
      </c>
      <c r="B143" s="1" t="n">
        <v>44515</v>
      </c>
      <c r="C143" s="1" t="n">
        <v>46110</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38929-2025</t>
        </is>
      </c>
      <c r="B144" s="1" t="n">
        <v>45887</v>
      </c>
      <c r="C144" s="1" t="n">
        <v>46110</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25977-2025</t>
        </is>
      </c>
      <c r="B145" s="1" t="n">
        <v>45804</v>
      </c>
      <c r="C145" s="1" t="n">
        <v>46110</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38131-2024</t>
        </is>
      </c>
      <c r="B146" s="1" t="n">
        <v>45545</v>
      </c>
      <c r="C146" s="1" t="n">
        <v>46110</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11832-2023</t>
        </is>
      </c>
      <c r="B147" s="1" t="n">
        <v>44994</v>
      </c>
      <c r="C147" s="1" t="n">
        <v>46110</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29121-2025</t>
        </is>
      </c>
      <c r="B148" s="1" t="n">
        <v>45821</v>
      </c>
      <c r="C148" s="1" t="n">
        <v>46110</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11527-2026</t>
        </is>
      </c>
      <c r="B149" s="1" t="n">
        <v>46083.69060185185</v>
      </c>
      <c r="C149" s="1" t="n">
        <v>46110</v>
      </c>
      <c r="D149" t="inlineStr">
        <is>
          <t>VÄSTERBOTTENS LÄN</t>
        </is>
      </c>
      <c r="E149" t="inlineStr">
        <is>
          <t>VILHELMINA</t>
        </is>
      </c>
      <c r="G149" t="n">
        <v>21.2</v>
      </c>
      <c r="H149" t="n">
        <v>0</v>
      </c>
      <c r="I149" t="n">
        <v>0</v>
      </c>
      <c r="J149" t="n">
        <v>1</v>
      </c>
      <c r="K149" t="n">
        <v>0</v>
      </c>
      <c r="L149" t="n">
        <v>0</v>
      </c>
      <c r="M149" t="n">
        <v>0</v>
      </c>
      <c r="N149" t="n">
        <v>0</v>
      </c>
      <c r="O149" t="n">
        <v>1</v>
      </c>
      <c r="P149" t="n">
        <v>0</v>
      </c>
      <c r="Q149" t="n">
        <v>1</v>
      </c>
      <c r="R149" s="2" t="inlineStr">
        <is>
          <t>Granticka</t>
        </is>
      </c>
      <c r="S149">
        <f>HYPERLINK("https://klasma.github.io/Logging_2462/artfynd/A 11527-2026 artfynd.xlsx", "A 11527-2026")</f>
        <v/>
      </c>
      <c r="T149">
        <f>HYPERLINK("https://klasma.github.io/Logging_2462/kartor/A 11527-2026 karta.png", "A 11527-2026")</f>
        <v/>
      </c>
      <c r="V149">
        <f>HYPERLINK("https://klasma.github.io/Logging_2462/klagomål/A 11527-2026 FSC-klagomål.docx", "A 11527-2026")</f>
        <v/>
      </c>
      <c r="W149">
        <f>HYPERLINK("https://klasma.github.io/Logging_2462/klagomålsmail/A 11527-2026 FSC-klagomål mail.docx", "A 11527-2026")</f>
        <v/>
      </c>
      <c r="X149">
        <f>HYPERLINK("https://klasma.github.io/Logging_2462/tillsyn/A 11527-2026 tillsynsbegäran.docx", "A 11527-2026")</f>
        <v/>
      </c>
      <c r="Y149">
        <f>HYPERLINK("https://klasma.github.io/Logging_2462/tillsynsmail/A 11527-2026 tillsynsbegäran mail.docx", "A 11527-2026")</f>
        <v/>
      </c>
    </row>
    <row r="150" ht="15" customHeight="1">
      <c r="A150" t="inlineStr">
        <is>
          <t>A 59001-2024</t>
        </is>
      </c>
      <c r="B150" s="1" t="n">
        <v>45636</v>
      </c>
      <c r="C150" s="1" t="n">
        <v>46110</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44286-2024</t>
        </is>
      </c>
      <c r="B151" s="1" t="n">
        <v>45573</v>
      </c>
      <c r="C151" s="1" t="n">
        <v>46110</v>
      </c>
      <c r="D151" t="inlineStr">
        <is>
          <t>VÄSTERBOTTENS LÄN</t>
        </is>
      </c>
      <c r="E151" t="inlineStr">
        <is>
          <t>VILHELMINA</t>
        </is>
      </c>
      <c r="G151" t="n">
        <v>29.2</v>
      </c>
      <c r="H151" t="n">
        <v>1</v>
      </c>
      <c r="I151" t="n">
        <v>0</v>
      </c>
      <c r="J151" t="n">
        <v>1</v>
      </c>
      <c r="K151" t="n">
        <v>0</v>
      </c>
      <c r="L151" t="n">
        <v>0</v>
      </c>
      <c r="M151" t="n">
        <v>0</v>
      </c>
      <c r="N151" t="n">
        <v>0</v>
      </c>
      <c r="O151" t="n">
        <v>1</v>
      </c>
      <c r="P151" t="n">
        <v>0</v>
      </c>
      <c r="Q151" t="n">
        <v>1</v>
      </c>
      <c r="R151" s="2" t="inlineStr">
        <is>
          <t>Videsparv</t>
        </is>
      </c>
      <c r="S151">
        <f>HYPERLINK("https://klasma.github.io/Logging_2462/artfynd/A 44286-2024 artfynd.xlsx", "A 44286-2024")</f>
        <v/>
      </c>
      <c r="T151">
        <f>HYPERLINK("https://klasma.github.io/Logging_2462/kartor/A 44286-2024 karta.png", "A 44286-2024")</f>
        <v/>
      </c>
      <c r="V151">
        <f>HYPERLINK("https://klasma.github.io/Logging_2462/klagomål/A 44286-2024 FSC-klagomål.docx", "A 44286-2024")</f>
        <v/>
      </c>
      <c r="W151">
        <f>HYPERLINK("https://klasma.github.io/Logging_2462/klagomålsmail/A 44286-2024 FSC-klagomål mail.docx", "A 44286-2024")</f>
        <v/>
      </c>
      <c r="X151">
        <f>HYPERLINK("https://klasma.github.io/Logging_2462/tillsyn/A 44286-2024 tillsynsbegäran.docx", "A 44286-2024")</f>
        <v/>
      </c>
      <c r="Y151">
        <f>HYPERLINK("https://klasma.github.io/Logging_2462/tillsynsmail/A 44286-2024 tillsynsbegäran mail.docx", "A 44286-2024")</f>
        <v/>
      </c>
      <c r="Z151">
        <f>HYPERLINK("https://klasma.github.io/Logging_2462/fåglar/A 44286-2024 prioriterade fågelarter.docx", "A 44286-2024")</f>
        <v/>
      </c>
    </row>
    <row r="152" ht="15" customHeight="1">
      <c r="A152" t="inlineStr">
        <is>
          <t>A 29434-2025</t>
        </is>
      </c>
      <c r="B152" s="1" t="n">
        <v>45824</v>
      </c>
      <c r="C152" s="1" t="n">
        <v>46110</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48741-2025</t>
        </is>
      </c>
      <c r="B153" s="1" t="n">
        <v>45936</v>
      </c>
      <c r="C153" s="1" t="n">
        <v>46110</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13523-2025</t>
        </is>
      </c>
      <c r="B154" s="1" t="n">
        <v>45736</v>
      </c>
      <c r="C154" s="1" t="n">
        <v>46110</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25374-2024</t>
        </is>
      </c>
      <c r="B155" s="1" t="n">
        <v>45462</v>
      </c>
      <c r="C155" s="1" t="n">
        <v>46110</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66924-2021</t>
        </is>
      </c>
      <c r="B156" s="1" t="n">
        <v>44522</v>
      </c>
      <c r="C156" s="1" t="n">
        <v>46110</v>
      </c>
      <c r="D156" t="inlineStr">
        <is>
          <t>VÄSTERBOTTENS LÄN</t>
        </is>
      </c>
      <c r="E156" t="inlineStr">
        <is>
          <t>VILHELMINA</t>
        </is>
      </c>
      <c r="F156" t="inlineStr">
        <is>
          <t>Allmännings- och besparingsskogar</t>
        </is>
      </c>
      <c r="G156" t="n">
        <v>335.4</v>
      </c>
      <c r="H156" t="n">
        <v>1</v>
      </c>
      <c r="I156" t="n">
        <v>0</v>
      </c>
      <c r="J156" t="n">
        <v>1</v>
      </c>
      <c r="K156" t="n">
        <v>0</v>
      </c>
      <c r="L156" t="n">
        <v>0</v>
      </c>
      <c r="M156" t="n">
        <v>0</v>
      </c>
      <c r="N156" t="n">
        <v>0</v>
      </c>
      <c r="O156" t="n">
        <v>1</v>
      </c>
      <c r="P156" t="n">
        <v>0</v>
      </c>
      <c r="Q156" t="n">
        <v>1</v>
      </c>
      <c r="R156" s="2" t="inlineStr">
        <is>
          <t>Utter</t>
        </is>
      </c>
      <c r="S156">
        <f>HYPERLINK("https://klasma.github.io/Logging_2462/artfynd/A 66924-2021 artfynd.xlsx", "A 66924-2021")</f>
        <v/>
      </c>
      <c r="T156">
        <f>HYPERLINK("https://klasma.github.io/Logging_2462/kartor/A 66924-2021 karta.png", "A 66924-2021")</f>
        <v/>
      </c>
      <c r="V156">
        <f>HYPERLINK("https://klasma.github.io/Logging_2462/klagomål/A 66924-2021 FSC-klagomål.docx", "A 66924-2021")</f>
        <v/>
      </c>
      <c r="W156">
        <f>HYPERLINK("https://klasma.github.io/Logging_2462/klagomålsmail/A 66924-2021 FSC-klagomål mail.docx", "A 66924-2021")</f>
        <v/>
      </c>
      <c r="X156">
        <f>HYPERLINK("https://klasma.github.io/Logging_2462/tillsyn/A 66924-2021 tillsynsbegäran.docx", "A 66924-2021")</f>
        <v/>
      </c>
      <c r="Y156">
        <f>HYPERLINK("https://klasma.github.io/Logging_2462/tillsynsmail/A 66924-2021 tillsynsbegäran mail.docx", "A 66924-2021")</f>
        <v/>
      </c>
    </row>
    <row r="157" ht="15" customHeight="1">
      <c r="A157" t="inlineStr">
        <is>
          <t>A 6566-2026</t>
        </is>
      </c>
      <c r="B157" s="1" t="n">
        <v>46056.44005787037</v>
      </c>
      <c r="C157" s="1" t="n">
        <v>46110</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47248-2024</t>
        </is>
      </c>
      <c r="B158" s="1" t="n">
        <v>45586</v>
      </c>
      <c r="C158" s="1" t="n">
        <v>46110</v>
      </c>
      <c r="D158" t="inlineStr">
        <is>
          <t>VÄSTERBOTTENS LÄN</t>
        </is>
      </c>
      <c r="E158" t="inlineStr">
        <is>
          <t>VILHELMINA</t>
        </is>
      </c>
      <c r="F158" t="inlineStr">
        <is>
          <t>SCA</t>
        </is>
      </c>
      <c r="G158" t="n">
        <v>4</v>
      </c>
      <c r="H158" t="n">
        <v>0</v>
      </c>
      <c r="I158" t="n">
        <v>0</v>
      </c>
      <c r="J158" t="n">
        <v>1</v>
      </c>
      <c r="K158" t="n">
        <v>0</v>
      </c>
      <c r="L158" t="n">
        <v>0</v>
      </c>
      <c r="M158" t="n">
        <v>0</v>
      </c>
      <c r="N158" t="n">
        <v>0</v>
      </c>
      <c r="O158" t="n">
        <v>1</v>
      </c>
      <c r="P158" t="n">
        <v>0</v>
      </c>
      <c r="Q158" t="n">
        <v>1</v>
      </c>
      <c r="R158" s="2" t="inlineStr">
        <is>
          <t>Granticka</t>
        </is>
      </c>
      <c r="S158">
        <f>HYPERLINK("https://klasma.github.io/Logging_2462/artfynd/A 47248-2024 artfynd.xlsx", "A 47248-2024")</f>
        <v/>
      </c>
      <c r="T158">
        <f>HYPERLINK("https://klasma.github.io/Logging_2462/kartor/A 47248-2024 karta.png", "A 47248-2024")</f>
        <v/>
      </c>
      <c r="V158">
        <f>HYPERLINK("https://klasma.github.io/Logging_2462/klagomål/A 47248-2024 FSC-klagomål.docx", "A 47248-2024")</f>
        <v/>
      </c>
      <c r="W158">
        <f>HYPERLINK("https://klasma.github.io/Logging_2462/klagomålsmail/A 47248-2024 FSC-klagomål mail.docx", "A 47248-2024")</f>
        <v/>
      </c>
      <c r="X158">
        <f>HYPERLINK("https://klasma.github.io/Logging_2462/tillsyn/A 47248-2024 tillsynsbegäran.docx", "A 47248-2024")</f>
        <v/>
      </c>
      <c r="Y158">
        <f>HYPERLINK("https://klasma.github.io/Logging_2462/tillsynsmail/A 47248-2024 tillsynsbegäran mail.docx", "A 47248-2024")</f>
        <v/>
      </c>
    </row>
    <row r="159" ht="15" customHeight="1">
      <c r="A159" t="inlineStr">
        <is>
          <t>A 34730-2024</t>
        </is>
      </c>
      <c r="B159" s="1" t="n">
        <v>45526</v>
      </c>
      <c r="C159" s="1" t="n">
        <v>46110</v>
      </c>
      <c r="D159" t="inlineStr">
        <is>
          <t>VÄSTERBOTTENS LÄN</t>
        </is>
      </c>
      <c r="E159" t="inlineStr">
        <is>
          <t>VILHELMINA</t>
        </is>
      </c>
      <c r="G159" t="n">
        <v>19.2</v>
      </c>
      <c r="H159" t="n">
        <v>0</v>
      </c>
      <c r="I159" t="n">
        <v>0</v>
      </c>
      <c r="J159" t="n">
        <v>1</v>
      </c>
      <c r="K159" t="n">
        <v>0</v>
      </c>
      <c r="L159" t="n">
        <v>0</v>
      </c>
      <c r="M159" t="n">
        <v>0</v>
      </c>
      <c r="N159" t="n">
        <v>0</v>
      </c>
      <c r="O159" t="n">
        <v>1</v>
      </c>
      <c r="P159" t="n">
        <v>0</v>
      </c>
      <c r="Q159" t="n">
        <v>1</v>
      </c>
      <c r="R159" s="2" t="inlineStr">
        <is>
          <t>Ullticka</t>
        </is>
      </c>
      <c r="S159">
        <f>HYPERLINK("https://klasma.github.io/Logging_2462/artfynd/A 34730-2024 artfynd.xlsx", "A 34730-2024")</f>
        <v/>
      </c>
      <c r="T159">
        <f>HYPERLINK("https://klasma.github.io/Logging_2462/kartor/A 34730-2024 karta.png", "A 34730-2024")</f>
        <v/>
      </c>
      <c r="V159">
        <f>HYPERLINK("https://klasma.github.io/Logging_2462/klagomål/A 34730-2024 FSC-klagomål.docx", "A 34730-2024")</f>
        <v/>
      </c>
      <c r="W159">
        <f>HYPERLINK("https://klasma.github.io/Logging_2462/klagomålsmail/A 34730-2024 FSC-klagomål mail.docx", "A 34730-2024")</f>
        <v/>
      </c>
      <c r="X159">
        <f>HYPERLINK("https://klasma.github.io/Logging_2462/tillsyn/A 34730-2024 tillsynsbegäran.docx", "A 34730-2024")</f>
        <v/>
      </c>
      <c r="Y159">
        <f>HYPERLINK("https://klasma.github.io/Logging_2462/tillsynsmail/A 34730-2024 tillsynsbegäran mail.docx", "A 34730-2024")</f>
        <v/>
      </c>
    </row>
    <row r="160" ht="15" customHeight="1">
      <c r="A160" t="inlineStr">
        <is>
          <t>A 59664-2023</t>
        </is>
      </c>
      <c r="B160" s="1" t="n">
        <v>45254</v>
      </c>
      <c r="C160" s="1" t="n">
        <v>46110</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74395-2021</t>
        </is>
      </c>
      <c r="B161" s="1" t="n">
        <v>44560</v>
      </c>
      <c r="C161" s="1" t="n">
        <v>46110</v>
      </c>
      <c r="D161" t="inlineStr">
        <is>
          <t>VÄSTERBOTTENS LÄN</t>
        </is>
      </c>
      <c r="E161" t="inlineStr">
        <is>
          <t>VILHELMINA</t>
        </is>
      </c>
      <c r="G161" t="n">
        <v>37.6</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74395-2021 artfynd.xlsx", "A 74395-2021")</f>
        <v/>
      </c>
      <c r="T161">
        <f>HYPERLINK("https://klasma.github.io/Logging_2462/kartor/A 74395-2021 karta.png", "A 74395-2021")</f>
        <v/>
      </c>
      <c r="V161">
        <f>HYPERLINK("https://klasma.github.io/Logging_2462/klagomål/A 74395-2021 FSC-klagomål.docx", "A 74395-2021")</f>
        <v/>
      </c>
      <c r="W161">
        <f>HYPERLINK("https://klasma.github.io/Logging_2462/klagomålsmail/A 74395-2021 FSC-klagomål mail.docx", "A 74395-2021")</f>
        <v/>
      </c>
      <c r="X161">
        <f>HYPERLINK("https://klasma.github.io/Logging_2462/tillsyn/A 74395-2021 tillsynsbegäran.docx", "A 74395-2021")</f>
        <v/>
      </c>
      <c r="Y161">
        <f>HYPERLINK("https://klasma.github.io/Logging_2462/tillsynsmail/A 74395-2021 tillsynsbegäran mail.docx", "A 74395-2021")</f>
        <v/>
      </c>
      <c r="Z161">
        <f>HYPERLINK("https://klasma.github.io/Logging_2462/fåglar/A 74395-2021 prioriterade fågelarter.docx", "A 74395-2021")</f>
        <v/>
      </c>
    </row>
    <row r="162" ht="15" customHeight="1">
      <c r="A162" t="inlineStr">
        <is>
          <t>A 56247-2023</t>
        </is>
      </c>
      <c r="B162" s="1" t="n">
        <v>45240</v>
      </c>
      <c r="C162" s="1" t="n">
        <v>46110</v>
      </c>
      <c r="D162" t="inlineStr">
        <is>
          <t>VÄSTERBOTTENS LÄN</t>
        </is>
      </c>
      <c r="E162" t="inlineStr">
        <is>
          <t>VILHELMINA</t>
        </is>
      </c>
      <c r="F162" t="inlineStr">
        <is>
          <t>SCA</t>
        </is>
      </c>
      <c r="G162" t="n">
        <v>1.3</v>
      </c>
      <c r="H162" t="n">
        <v>0</v>
      </c>
      <c r="I162" t="n">
        <v>0</v>
      </c>
      <c r="J162" t="n">
        <v>1</v>
      </c>
      <c r="K162" t="n">
        <v>0</v>
      </c>
      <c r="L162" t="n">
        <v>0</v>
      </c>
      <c r="M162" t="n">
        <v>0</v>
      </c>
      <c r="N162" t="n">
        <v>0</v>
      </c>
      <c r="O162" t="n">
        <v>1</v>
      </c>
      <c r="P162" t="n">
        <v>0</v>
      </c>
      <c r="Q162" t="n">
        <v>1</v>
      </c>
      <c r="R162" s="2" t="inlineStr">
        <is>
          <t>Harticka</t>
        </is>
      </c>
      <c r="S162">
        <f>HYPERLINK("https://klasma.github.io/Logging_2462/artfynd/A 56247-2023 artfynd.xlsx", "A 56247-2023")</f>
        <v/>
      </c>
      <c r="T162">
        <f>HYPERLINK("https://klasma.github.io/Logging_2462/kartor/A 56247-2023 karta.png", "A 56247-2023")</f>
        <v/>
      </c>
      <c r="V162">
        <f>HYPERLINK("https://klasma.github.io/Logging_2462/klagomål/A 56247-2023 FSC-klagomål.docx", "A 56247-2023")</f>
        <v/>
      </c>
      <c r="W162">
        <f>HYPERLINK("https://klasma.github.io/Logging_2462/klagomålsmail/A 56247-2023 FSC-klagomål mail.docx", "A 56247-2023")</f>
        <v/>
      </c>
      <c r="X162">
        <f>HYPERLINK("https://klasma.github.io/Logging_2462/tillsyn/A 56247-2023 tillsynsbegäran.docx", "A 56247-2023")</f>
        <v/>
      </c>
      <c r="Y162">
        <f>HYPERLINK("https://klasma.github.io/Logging_2462/tillsynsmail/A 56247-2023 tillsynsbegäran mail.docx", "A 56247-2023")</f>
        <v/>
      </c>
    </row>
    <row r="163" ht="15" customHeight="1">
      <c r="A163" t="inlineStr">
        <is>
          <t>A 17253-2025</t>
        </is>
      </c>
      <c r="B163" s="1" t="n">
        <v>45756</v>
      </c>
      <c r="C163" s="1" t="n">
        <v>46110</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25368-2024</t>
        </is>
      </c>
      <c r="B164" s="1" t="n">
        <v>45462</v>
      </c>
      <c r="C164" s="1" t="n">
        <v>46110</v>
      </c>
      <c r="D164" t="inlineStr">
        <is>
          <t>VÄSTERBOTTENS LÄN</t>
        </is>
      </c>
      <c r="E164" t="inlineStr">
        <is>
          <t>VILHELMINA</t>
        </is>
      </c>
      <c r="F164" t="inlineStr">
        <is>
          <t>SCA</t>
        </is>
      </c>
      <c r="G164" t="n">
        <v>2.5</v>
      </c>
      <c r="H164" t="n">
        <v>1</v>
      </c>
      <c r="I164" t="n">
        <v>0</v>
      </c>
      <c r="J164" t="n">
        <v>1</v>
      </c>
      <c r="K164" t="n">
        <v>0</v>
      </c>
      <c r="L164" t="n">
        <v>0</v>
      </c>
      <c r="M164" t="n">
        <v>0</v>
      </c>
      <c r="N164" t="n">
        <v>0</v>
      </c>
      <c r="O164" t="n">
        <v>1</v>
      </c>
      <c r="P164" t="n">
        <v>0</v>
      </c>
      <c r="Q164" t="n">
        <v>1</v>
      </c>
      <c r="R164" s="2" t="inlineStr">
        <is>
          <t>Utter</t>
        </is>
      </c>
      <c r="S164">
        <f>HYPERLINK("https://klasma.github.io/Logging_2462/artfynd/A 25368-2024 artfynd.xlsx", "A 25368-2024")</f>
        <v/>
      </c>
      <c r="T164">
        <f>HYPERLINK("https://klasma.github.io/Logging_2462/kartor/A 25368-2024 karta.png", "A 25368-2024")</f>
        <v/>
      </c>
      <c r="V164">
        <f>HYPERLINK("https://klasma.github.io/Logging_2462/klagomål/A 25368-2024 FSC-klagomål.docx", "A 25368-2024")</f>
        <v/>
      </c>
      <c r="W164">
        <f>HYPERLINK("https://klasma.github.io/Logging_2462/klagomålsmail/A 25368-2024 FSC-klagomål mail.docx", "A 25368-2024")</f>
        <v/>
      </c>
      <c r="X164">
        <f>HYPERLINK("https://klasma.github.io/Logging_2462/tillsyn/A 25368-2024 tillsynsbegäran.docx", "A 25368-2024")</f>
        <v/>
      </c>
      <c r="Y164">
        <f>HYPERLINK("https://klasma.github.io/Logging_2462/tillsynsmail/A 25368-2024 tillsynsbegäran mail.docx", "A 25368-2024")</f>
        <v/>
      </c>
    </row>
    <row r="165" ht="15" customHeight="1">
      <c r="A165" t="inlineStr">
        <is>
          <t>A 38282-2024</t>
        </is>
      </c>
      <c r="B165" s="1" t="n">
        <v>45545</v>
      </c>
      <c r="C165" s="1" t="n">
        <v>46110</v>
      </c>
      <c r="D165" t="inlineStr">
        <is>
          <t>VÄSTERBOTTENS LÄN</t>
        </is>
      </c>
      <c r="E165" t="inlineStr">
        <is>
          <t>VILHELMINA</t>
        </is>
      </c>
      <c r="F165" t="inlineStr">
        <is>
          <t>SCA</t>
        </is>
      </c>
      <c r="G165" t="n">
        <v>3.4</v>
      </c>
      <c r="H165" t="n">
        <v>0</v>
      </c>
      <c r="I165" t="n">
        <v>0</v>
      </c>
      <c r="J165" t="n">
        <v>1</v>
      </c>
      <c r="K165" t="n">
        <v>0</v>
      </c>
      <c r="L165" t="n">
        <v>0</v>
      </c>
      <c r="M165" t="n">
        <v>0</v>
      </c>
      <c r="N165" t="n">
        <v>0</v>
      </c>
      <c r="O165" t="n">
        <v>1</v>
      </c>
      <c r="P165" t="n">
        <v>0</v>
      </c>
      <c r="Q165" t="n">
        <v>1</v>
      </c>
      <c r="R165" s="2" t="inlineStr">
        <is>
          <t>Gränsticka</t>
        </is>
      </c>
      <c r="S165">
        <f>HYPERLINK("https://klasma.github.io/Logging_2462/artfynd/A 38282-2024 artfynd.xlsx", "A 38282-2024")</f>
        <v/>
      </c>
      <c r="T165">
        <f>HYPERLINK("https://klasma.github.io/Logging_2462/kartor/A 38282-2024 karta.png", "A 38282-2024")</f>
        <v/>
      </c>
      <c r="V165">
        <f>HYPERLINK("https://klasma.github.io/Logging_2462/klagomål/A 38282-2024 FSC-klagomål.docx", "A 38282-2024")</f>
        <v/>
      </c>
      <c r="W165">
        <f>HYPERLINK("https://klasma.github.io/Logging_2462/klagomålsmail/A 38282-2024 FSC-klagomål mail.docx", "A 38282-2024")</f>
        <v/>
      </c>
      <c r="X165">
        <f>HYPERLINK("https://klasma.github.io/Logging_2462/tillsyn/A 38282-2024 tillsynsbegäran.docx", "A 38282-2024")</f>
        <v/>
      </c>
      <c r="Y165">
        <f>HYPERLINK("https://klasma.github.io/Logging_2462/tillsynsmail/A 38282-2024 tillsynsbegäran mail.docx", "A 38282-2024")</f>
        <v/>
      </c>
    </row>
    <row r="166" ht="15" customHeight="1">
      <c r="A166" t="inlineStr">
        <is>
          <t>A 34769-2024</t>
        </is>
      </c>
      <c r="B166" s="1" t="n">
        <v>45526.62043981482</v>
      </c>
      <c r="C166" s="1" t="n">
        <v>46110</v>
      </c>
      <c r="D166" t="inlineStr">
        <is>
          <t>VÄSTERBOTTENS LÄN</t>
        </is>
      </c>
      <c r="E166" t="inlineStr">
        <is>
          <t>VILHELMINA</t>
        </is>
      </c>
      <c r="F166" t="inlineStr">
        <is>
          <t>SCA</t>
        </is>
      </c>
      <c r="G166" t="n">
        <v>6.7</v>
      </c>
      <c r="H166" t="n">
        <v>0</v>
      </c>
      <c r="I166" t="n">
        <v>0</v>
      </c>
      <c r="J166" t="n">
        <v>0</v>
      </c>
      <c r="K166" t="n">
        <v>1</v>
      </c>
      <c r="L166" t="n">
        <v>0</v>
      </c>
      <c r="M166" t="n">
        <v>0</v>
      </c>
      <c r="N166" t="n">
        <v>0</v>
      </c>
      <c r="O166" t="n">
        <v>1</v>
      </c>
      <c r="P166" t="n">
        <v>1</v>
      </c>
      <c r="Q166" t="n">
        <v>1</v>
      </c>
      <c r="R166" s="2" t="inlineStr">
        <is>
          <t>Rynkskinn</t>
        </is>
      </c>
      <c r="S166">
        <f>HYPERLINK("https://klasma.github.io/Logging_2462/artfynd/A 34769-2024 artfynd.xlsx", "A 34769-2024")</f>
        <v/>
      </c>
      <c r="T166">
        <f>HYPERLINK("https://klasma.github.io/Logging_2462/kartor/A 34769-2024 karta.png", "A 34769-2024")</f>
        <v/>
      </c>
      <c r="V166">
        <f>HYPERLINK("https://klasma.github.io/Logging_2462/klagomål/A 34769-2024 FSC-klagomål.docx", "A 34769-2024")</f>
        <v/>
      </c>
      <c r="W166">
        <f>HYPERLINK("https://klasma.github.io/Logging_2462/klagomålsmail/A 34769-2024 FSC-klagomål mail.docx", "A 34769-2024")</f>
        <v/>
      </c>
      <c r="X166">
        <f>HYPERLINK("https://klasma.github.io/Logging_2462/tillsyn/A 34769-2024 tillsynsbegäran.docx", "A 34769-2024")</f>
        <v/>
      </c>
      <c r="Y166">
        <f>HYPERLINK("https://klasma.github.io/Logging_2462/tillsynsmail/A 34769-2024 tillsynsbegäran mail.docx", "A 34769-2024")</f>
        <v/>
      </c>
    </row>
    <row r="167" ht="15" customHeight="1">
      <c r="A167" t="inlineStr">
        <is>
          <t>A 29376-2021</t>
        </is>
      </c>
      <c r="B167" s="1" t="n">
        <v>44361</v>
      </c>
      <c r="C167" s="1" t="n">
        <v>46110</v>
      </c>
      <c r="D167" t="inlineStr">
        <is>
          <t>VÄSTERBOTTENS LÄN</t>
        </is>
      </c>
      <c r="E167" t="inlineStr">
        <is>
          <t>VILHELMINA</t>
        </is>
      </c>
      <c r="F167" t="inlineStr">
        <is>
          <t>Allmännings- och besparingsskogar</t>
        </is>
      </c>
      <c r="G167" t="n">
        <v>110.8</v>
      </c>
      <c r="H167" t="n">
        <v>1</v>
      </c>
      <c r="I167" t="n">
        <v>0</v>
      </c>
      <c r="J167" t="n">
        <v>0</v>
      </c>
      <c r="K167" t="n">
        <v>0</v>
      </c>
      <c r="L167" t="n">
        <v>0</v>
      </c>
      <c r="M167" t="n">
        <v>0</v>
      </c>
      <c r="N167" t="n">
        <v>0</v>
      </c>
      <c r="O167" t="n">
        <v>0</v>
      </c>
      <c r="P167" t="n">
        <v>0</v>
      </c>
      <c r="Q167" t="n">
        <v>1</v>
      </c>
      <c r="R167" s="2" t="inlineStr">
        <is>
          <t>Lavskrika</t>
        </is>
      </c>
      <c r="S167">
        <f>HYPERLINK("https://klasma.github.io/Logging_2462/artfynd/A 29376-2021 artfynd.xlsx", "A 29376-2021")</f>
        <v/>
      </c>
      <c r="T167">
        <f>HYPERLINK("https://klasma.github.io/Logging_2462/kartor/A 29376-2021 karta.png", "A 29376-2021")</f>
        <v/>
      </c>
      <c r="V167">
        <f>HYPERLINK("https://klasma.github.io/Logging_2462/klagomål/A 29376-2021 FSC-klagomål.docx", "A 29376-2021")</f>
        <v/>
      </c>
      <c r="W167">
        <f>HYPERLINK("https://klasma.github.io/Logging_2462/klagomålsmail/A 29376-2021 FSC-klagomål mail.docx", "A 29376-2021")</f>
        <v/>
      </c>
      <c r="X167">
        <f>HYPERLINK("https://klasma.github.io/Logging_2462/tillsyn/A 29376-2021 tillsynsbegäran.docx", "A 29376-2021")</f>
        <v/>
      </c>
      <c r="Y167">
        <f>HYPERLINK("https://klasma.github.io/Logging_2462/tillsynsmail/A 29376-2021 tillsynsbegäran mail.docx", "A 29376-2021")</f>
        <v/>
      </c>
      <c r="Z167">
        <f>HYPERLINK("https://klasma.github.io/Logging_2462/fåglar/A 29376-2021 prioriterade fågelarter.docx", "A 29376-2021")</f>
        <v/>
      </c>
    </row>
    <row r="168" ht="15" customHeight="1">
      <c r="A168" t="inlineStr">
        <is>
          <t>A 29317-2023</t>
        </is>
      </c>
      <c r="B168" s="1" t="n">
        <v>45105</v>
      </c>
      <c r="C168" s="1" t="n">
        <v>46110</v>
      </c>
      <c r="D168" t="inlineStr">
        <is>
          <t>VÄSTERBOTTENS LÄN</t>
        </is>
      </c>
      <c r="E168" t="inlineStr">
        <is>
          <t>VILHELMINA</t>
        </is>
      </c>
      <c r="F168" t="inlineStr">
        <is>
          <t>SCA</t>
        </is>
      </c>
      <c r="G168" t="n">
        <v>18.8</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29317-2023 artfynd.xlsx", "A 29317-2023")</f>
        <v/>
      </c>
      <c r="T168">
        <f>HYPERLINK("https://klasma.github.io/Logging_2462/kartor/A 29317-2023 karta.png", "A 29317-2023")</f>
        <v/>
      </c>
      <c r="V168">
        <f>HYPERLINK("https://klasma.github.io/Logging_2462/klagomål/A 29317-2023 FSC-klagomål.docx", "A 29317-2023")</f>
        <v/>
      </c>
      <c r="W168">
        <f>HYPERLINK("https://klasma.github.io/Logging_2462/klagomålsmail/A 29317-2023 FSC-klagomål mail.docx", "A 29317-2023")</f>
        <v/>
      </c>
      <c r="X168">
        <f>HYPERLINK("https://klasma.github.io/Logging_2462/tillsyn/A 29317-2023 tillsynsbegäran.docx", "A 29317-2023")</f>
        <v/>
      </c>
      <c r="Y168">
        <f>HYPERLINK("https://klasma.github.io/Logging_2462/tillsynsmail/A 29317-2023 tillsynsbegäran mail.docx", "A 29317-2023")</f>
        <v/>
      </c>
      <c r="Z168">
        <f>HYPERLINK("https://klasma.github.io/Logging_2462/fåglar/A 29317-2023 prioriterade fågelarter.docx", "A 29317-2023")</f>
        <v/>
      </c>
    </row>
    <row r="169" ht="15" customHeight="1">
      <c r="A169" t="inlineStr">
        <is>
          <t>A 32677-2021</t>
        </is>
      </c>
      <c r="B169" s="1" t="n">
        <v>44371</v>
      </c>
      <c r="C169" s="1" t="n">
        <v>46110</v>
      </c>
      <c r="D169" t="inlineStr">
        <is>
          <t>VÄSTERBOTTENS LÄN</t>
        </is>
      </c>
      <c r="E169" t="inlineStr">
        <is>
          <t>VILHELMINA</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32677-2021 artfynd.xlsx", "A 32677-2021")</f>
        <v/>
      </c>
      <c r="T169">
        <f>HYPERLINK("https://klasma.github.io/Logging_2462/kartor/A 32677-2021 karta.png", "A 32677-2021")</f>
        <v/>
      </c>
      <c r="V169">
        <f>HYPERLINK("https://klasma.github.io/Logging_2462/klagomål/A 32677-2021 FSC-klagomål.docx", "A 32677-2021")</f>
        <v/>
      </c>
      <c r="W169">
        <f>HYPERLINK("https://klasma.github.io/Logging_2462/klagomålsmail/A 32677-2021 FSC-klagomål mail.docx", "A 32677-2021")</f>
        <v/>
      </c>
      <c r="X169">
        <f>HYPERLINK("https://klasma.github.io/Logging_2462/tillsyn/A 32677-2021 tillsynsbegäran.docx", "A 32677-2021")</f>
        <v/>
      </c>
      <c r="Y169">
        <f>HYPERLINK("https://klasma.github.io/Logging_2462/tillsynsmail/A 32677-2021 tillsynsbegäran mail.docx", "A 32677-2021")</f>
        <v/>
      </c>
      <c r="Z169">
        <f>HYPERLINK("https://klasma.github.io/Logging_2462/fåglar/A 32677-2021 prioriterade fågelarter.docx", "A 32677-2021")</f>
        <v/>
      </c>
    </row>
    <row r="170" ht="15" customHeight="1">
      <c r="A170" t="inlineStr">
        <is>
          <t>A 60369-2021</t>
        </is>
      </c>
      <c r="B170" s="1" t="n">
        <v>44494</v>
      </c>
      <c r="C170" s="1" t="n">
        <v>46110</v>
      </c>
      <c r="D170" t="inlineStr">
        <is>
          <t>VÄSTERBOTTENS LÄN</t>
        </is>
      </c>
      <c r="E170" t="inlineStr">
        <is>
          <t>VILHELMINA</t>
        </is>
      </c>
      <c r="G170" t="n">
        <v>0.6</v>
      </c>
      <c r="H170" t="n">
        <v>0</v>
      </c>
      <c r="I170" t="n">
        <v>1</v>
      </c>
      <c r="J170" t="n">
        <v>0</v>
      </c>
      <c r="K170" t="n">
        <v>0</v>
      </c>
      <c r="L170" t="n">
        <v>0</v>
      </c>
      <c r="M170" t="n">
        <v>0</v>
      </c>
      <c r="N170" t="n">
        <v>0</v>
      </c>
      <c r="O170" t="n">
        <v>0</v>
      </c>
      <c r="P170" t="n">
        <v>0</v>
      </c>
      <c r="Q170" t="n">
        <v>1</v>
      </c>
      <c r="R170" s="2" t="inlineStr">
        <is>
          <t>Stuplav</t>
        </is>
      </c>
      <c r="S170">
        <f>HYPERLINK("https://klasma.github.io/Logging_2462/artfynd/A 60369-2021 artfynd.xlsx", "A 60369-2021")</f>
        <v/>
      </c>
      <c r="T170">
        <f>HYPERLINK("https://klasma.github.io/Logging_2462/kartor/A 60369-2021 karta.png", "A 60369-2021")</f>
        <v/>
      </c>
      <c r="V170">
        <f>HYPERLINK("https://klasma.github.io/Logging_2462/klagomål/A 60369-2021 FSC-klagomål.docx", "A 60369-2021")</f>
        <v/>
      </c>
      <c r="W170">
        <f>HYPERLINK("https://klasma.github.io/Logging_2462/klagomålsmail/A 60369-2021 FSC-klagomål mail.docx", "A 60369-2021")</f>
        <v/>
      </c>
      <c r="X170">
        <f>HYPERLINK("https://klasma.github.io/Logging_2462/tillsyn/A 60369-2021 tillsynsbegäran.docx", "A 60369-2021")</f>
        <v/>
      </c>
      <c r="Y170">
        <f>HYPERLINK("https://klasma.github.io/Logging_2462/tillsynsmail/A 60369-2021 tillsynsbegäran mail.docx", "A 60369-2021")</f>
        <v/>
      </c>
    </row>
    <row r="171" ht="15" customHeight="1">
      <c r="A171" t="inlineStr">
        <is>
          <t>A 33913-2024</t>
        </is>
      </c>
      <c r="B171" s="1" t="n">
        <v>45523.38783564815</v>
      </c>
      <c r="C171" s="1" t="n">
        <v>46110</v>
      </c>
      <c r="D171" t="inlineStr">
        <is>
          <t>VÄSTERBOTTENS LÄN</t>
        </is>
      </c>
      <c r="E171" t="inlineStr">
        <is>
          <t>VILHELMINA</t>
        </is>
      </c>
      <c r="F171" t="inlineStr">
        <is>
          <t>SCA</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HYPERLINK("https://klasma.github.io/Logging_2462/artfynd/A 33913-2024 artfynd.xlsx", "A 33913-2024")</f>
        <v/>
      </c>
      <c r="T171">
        <f>HYPERLINK("https://klasma.github.io/Logging_2462/kartor/A 33913-2024 karta.png", "A 33913-2024")</f>
        <v/>
      </c>
      <c r="V171">
        <f>HYPERLINK("https://klasma.github.io/Logging_2462/klagomål/A 33913-2024 FSC-klagomål.docx", "A 33913-2024")</f>
        <v/>
      </c>
      <c r="W171">
        <f>HYPERLINK("https://klasma.github.io/Logging_2462/klagomålsmail/A 33913-2024 FSC-klagomål mail.docx", "A 33913-2024")</f>
        <v/>
      </c>
      <c r="X171">
        <f>HYPERLINK("https://klasma.github.io/Logging_2462/tillsyn/A 33913-2024 tillsynsbegäran.docx", "A 33913-2024")</f>
        <v/>
      </c>
      <c r="Y171">
        <f>HYPERLINK("https://klasma.github.io/Logging_2462/tillsynsmail/A 33913-2024 tillsynsbegäran mail.docx", "A 33913-2024")</f>
        <v/>
      </c>
    </row>
    <row r="172" ht="15" customHeight="1">
      <c r="A172" t="inlineStr">
        <is>
          <t>A 9197-2023</t>
        </is>
      </c>
      <c r="B172" s="1" t="n">
        <v>44977</v>
      </c>
      <c r="C172" s="1" t="n">
        <v>46110</v>
      </c>
      <c r="D172" t="inlineStr">
        <is>
          <t>VÄSTERBOTTENS LÄN</t>
        </is>
      </c>
      <c r="E172" t="inlineStr">
        <is>
          <t>VILHELMINA</t>
        </is>
      </c>
      <c r="G172" t="n">
        <v>8.9</v>
      </c>
      <c r="H172" t="n">
        <v>0</v>
      </c>
      <c r="I172" t="n">
        <v>0</v>
      </c>
      <c r="J172" t="n">
        <v>1</v>
      </c>
      <c r="K172" t="n">
        <v>0</v>
      </c>
      <c r="L172" t="n">
        <v>0</v>
      </c>
      <c r="M172" t="n">
        <v>0</v>
      </c>
      <c r="N172" t="n">
        <v>0</v>
      </c>
      <c r="O172" t="n">
        <v>1</v>
      </c>
      <c r="P172" t="n">
        <v>0</v>
      </c>
      <c r="Q172" t="n">
        <v>1</v>
      </c>
      <c r="R172" s="2" t="inlineStr">
        <is>
          <t>Granticka</t>
        </is>
      </c>
      <c r="S172">
        <f>HYPERLINK("https://klasma.github.io/Logging_2462/artfynd/A 9197-2023 artfynd.xlsx", "A 9197-2023")</f>
        <v/>
      </c>
      <c r="T172">
        <f>HYPERLINK("https://klasma.github.io/Logging_2462/kartor/A 9197-2023 karta.png", "A 9197-2023")</f>
        <v/>
      </c>
      <c r="V172">
        <f>HYPERLINK("https://klasma.github.io/Logging_2462/klagomål/A 9197-2023 FSC-klagomål.docx", "A 9197-2023")</f>
        <v/>
      </c>
      <c r="W172">
        <f>HYPERLINK("https://klasma.github.io/Logging_2462/klagomålsmail/A 9197-2023 FSC-klagomål mail.docx", "A 9197-2023")</f>
        <v/>
      </c>
      <c r="X172">
        <f>HYPERLINK("https://klasma.github.io/Logging_2462/tillsyn/A 9197-2023 tillsynsbegäran.docx", "A 9197-2023")</f>
        <v/>
      </c>
      <c r="Y172">
        <f>HYPERLINK("https://klasma.github.io/Logging_2462/tillsynsmail/A 9197-2023 tillsynsbegäran mail.docx", "A 9197-2023")</f>
        <v/>
      </c>
    </row>
    <row r="173" ht="15" customHeight="1">
      <c r="A173" t="inlineStr">
        <is>
          <t>A 42489-2024</t>
        </is>
      </c>
      <c r="B173" s="1" t="n">
        <v>45565</v>
      </c>
      <c r="C173" s="1" t="n">
        <v>46110</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Granticka</t>
        </is>
      </c>
      <c r="S173">
        <f>HYPERLINK("https://klasma.github.io/Logging_2462/artfynd/A 42489-2024 artfynd.xlsx", "A 42489-2024")</f>
        <v/>
      </c>
      <c r="T173">
        <f>HYPERLINK("https://klasma.github.io/Logging_2462/kartor/A 42489-2024 karta.png", "A 42489-2024")</f>
        <v/>
      </c>
      <c r="V173">
        <f>HYPERLINK("https://klasma.github.io/Logging_2462/klagomål/A 42489-2024 FSC-klagomål.docx", "A 42489-2024")</f>
        <v/>
      </c>
      <c r="W173">
        <f>HYPERLINK("https://klasma.github.io/Logging_2462/klagomålsmail/A 42489-2024 FSC-klagomål mail.docx", "A 42489-2024")</f>
        <v/>
      </c>
      <c r="X173">
        <f>HYPERLINK("https://klasma.github.io/Logging_2462/tillsyn/A 42489-2024 tillsynsbegäran.docx", "A 42489-2024")</f>
        <v/>
      </c>
      <c r="Y173">
        <f>HYPERLINK("https://klasma.github.io/Logging_2462/tillsynsmail/A 42489-2024 tillsynsbegäran mail.docx", "A 42489-2024")</f>
        <v/>
      </c>
    </row>
    <row r="174" ht="15" customHeight="1">
      <c r="A174" t="inlineStr">
        <is>
          <t>A 38416-2022</t>
        </is>
      </c>
      <c r="B174" s="1" t="n">
        <v>44812</v>
      </c>
      <c r="C174" s="1" t="n">
        <v>46110</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46110</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29332-2021</t>
        </is>
      </c>
      <c r="B176" s="1" t="n">
        <v>44361</v>
      </c>
      <c r="C176" s="1" t="n">
        <v>46110</v>
      </c>
      <c r="D176" t="inlineStr">
        <is>
          <t>VÄSTERBOTTENS LÄN</t>
        </is>
      </c>
      <c r="E176" t="inlineStr">
        <is>
          <t>VILHELMINA</t>
        </is>
      </c>
      <c r="F176" t="inlineStr">
        <is>
          <t>Allmännings- och besparingsskogar</t>
        </is>
      </c>
      <c r="G176" t="n">
        <v>51.8</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46110</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9777-2022</t>
        </is>
      </c>
      <c r="B178" s="1" t="n">
        <v>44619.86621527778</v>
      </c>
      <c r="C178" s="1" t="n">
        <v>46110</v>
      </c>
      <c r="D178" t="inlineStr">
        <is>
          <t>VÄSTERBOTTENS LÄN</t>
        </is>
      </c>
      <c r="E178" t="inlineStr">
        <is>
          <t>VILHELMINA</t>
        </is>
      </c>
      <c r="G178" t="n">
        <v>1.7</v>
      </c>
      <c r="H178" t="n">
        <v>0</v>
      </c>
      <c r="I178" t="n">
        <v>0</v>
      </c>
      <c r="J178" t="n">
        <v>0</v>
      </c>
      <c r="K178" t="n">
        <v>0</v>
      </c>
      <c r="L178" t="n">
        <v>0</v>
      </c>
      <c r="M178" t="n">
        <v>0</v>
      </c>
      <c r="N178" t="n">
        <v>0</v>
      </c>
      <c r="O178" t="n">
        <v>0</v>
      </c>
      <c r="P178" t="n">
        <v>0</v>
      </c>
      <c r="Q178" t="n">
        <v>0</v>
      </c>
      <c r="R178" s="2" t="inlineStr"/>
    </row>
    <row r="179" ht="15" customHeight="1">
      <c r="A179" t="inlineStr">
        <is>
          <t>A 37655-2022</t>
        </is>
      </c>
      <c r="B179" s="1" t="n">
        <v>44810</v>
      </c>
      <c r="C179" s="1" t="n">
        <v>46110</v>
      </c>
      <c r="D179" t="inlineStr">
        <is>
          <t>VÄSTERBOTTENS LÄN</t>
        </is>
      </c>
      <c r="E179" t="inlineStr">
        <is>
          <t>VILHELMINA</t>
        </is>
      </c>
      <c r="G179" t="n">
        <v>6.3</v>
      </c>
      <c r="H179" t="n">
        <v>0</v>
      </c>
      <c r="I179" t="n">
        <v>0</v>
      </c>
      <c r="J179" t="n">
        <v>0</v>
      </c>
      <c r="K179" t="n">
        <v>0</v>
      </c>
      <c r="L179" t="n">
        <v>0</v>
      </c>
      <c r="M179" t="n">
        <v>0</v>
      </c>
      <c r="N179" t="n">
        <v>0</v>
      </c>
      <c r="O179" t="n">
        <v>0</v>
      </c>
      <c r="P179" t="n">
        <v>0</v>
      </c>
      <c r="Q179" t="n">
        <v>0</v>
      </c>
      <c r="R179" s="2" t="inlineStr"/>
    </row>
    <row r="180" ht="15" customHeight="1">
      <c r="A180" t="inlineStr">
        <is>
          <t>A 48768-2022</t>
        </is>
      </c>
      <c r="B180" s="1" t="n">
        <v>44859</v>
      </c>
      <c r="C180" s="1" t="n">
        <v>46110</v>
      </c>
      <c r="D180" t="inlineStr">
        <is>
          <t>VÄSTERBOTTENS LÄN</t>
        </is>
      </c>
      <c r="E180" t="inlineStr">
        <is>
          <t>VILHELMINA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46110</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11076-2022</t>
        </is>
      </c>
      <c r="B182" s="1" t="n">
        <v>44628</v>
      </c>
      <c r="C182" s="1" t="n">
        <v>46110</v>
      </c>
      <c r="D182" t="inlineStr">
        <is>
          <t>VÄSTERBOTTENS LÄN</t>
        </is>
      </c>
      <c r="E182" t="inlineStr">
        <is>
          <t>VILHELMINA</t>
        </is>
      </c>
      <c r="G182" t="n">
        <v>7.4</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46110</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46110</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11116-2022</t>
        </is>
      </c>
      <c r="B185" s="1" t="n">
        <v>44628.92569444444</v>
      </c>
      <c r="C185" s="1" t="n">
        <v>46110</v>
      </c>
      <c r="D185" t="inlineStr">
        <is>
          <t>VÄSTERBOTTENS LÄN</t>
        </is>
      </c>
      <c r="E185" t="inlineStr">
        <is>
          <t>VILHELMINA</t>
        </is>
      </c>
      <c r="G185" t="n">
        <v>4.2</v>
      </c>
      <c r="H185" t="n">
        <v>0</v>
      </c>
      <c r="I185" t="n">
        <v>0</v>
      </c>
      <c r="J185" t="n">
        <v>0</v>
      </c>
      <c r="K185" t="n">
        <v>0</v>
      </c>
      <c r="L185" t="n">
        <v>0</v>
      </c>
      <c r="M185" t="n">
        <v>0</v>
      </c>
      <c r="N185" t="n">
        <v>0</v>
      </c>
      <c r="O185" t="n">
        <v>0</v>
      </c>
      <c r="P185" t="n">
        <v>0</v>
      </c>
      <c r="Q185" t="n">
        <v>0</v>
      </c>
      <c r="R185" s="2" t="inlineStr"/>
    </row>
    <row r="186" ht="15" customHeight="1">
      <c r="A186" t="inlineStr">
        <is>
          <t>A 22405-2022</t>
        </is>
      </c>
      <c r="B186" s="1" t="n">
        <v>44713</v>
      </c>
      <c r="C186" s="1" t="n">
        <v>46110</v>
      </c>
      <c r="D186" t="inlineStr">
        <is>
          <t>VÄSTERBOTTENS LÄN</t>
        </is>
      </c>
      <c r="E186" t="inlineStr">
        <is>
          <t>VILHELMINA</t>
        </is>
      </c>
      <c r="G186" t="n">
        <v>13.2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46110</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46110</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46110</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46110</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18497-2022</t>
        </is>
      </c>
      <c r="B191" s="1" t="n">
        <v>44686</v>
      </c>
      <c r="C191" s="1" t="n">
        <v>46110</v>
      </c>
      <c r="D191" t="inlineStr">
        <is>
          <t>VÄSTERBOTTENS LÄN</t>
        </is>
      </c>
      <c r="E191" t="inlineStr">
        <is>
          <t>VILHELMINA</t>
        </is>
      </c>
      <c r="F191" t="inlineStr">
        <is>
          <t>Övriga statliga verk och myndigheter</t>
        </is>
      </c>
      <c r="G191" t="n">
        <v>64.7</v>
      </c>
      <c r="H191" t="n">
        <v>0</v>
      </c>
      <c r="I191" t="n">
        <v>0</v>
      </c>
      <c r="J191" t="n">
        <v>0</v>
      </c>
      <c r="K191" t="n">
        <v>0</v>
      </c>
      <c r="L191" t="n">
        <v>0</v>
      </c>
      <c r="M191" t="n">
        <v>0</v>
      </c>
      <c r="N191" t="n">
        <v>0</v>
      </c>
      <c r="O191" t="n">
        <v>0</v>
      </c>
      <c r="P191" t="n">
        <v>0</v>
      </c>
      <c r="Q191" t="n">
        <v>0</v>
      </c>
      <c r="R191" s="2" t="inlineStr"/>
    </row>
    <row r="192" ht="15" customHeight="1">
      <c r="A192" t="inlineStr">
        <is>
          <t>A 47285-2022</t>
        </is>
      </c>
      <c r="B192" s="1" t="n">
        <v>44852.95126157408</v>
      </c>
      <c r="C192" s="1" t="n">
        <v>46110</v>
      </c>
      <c r="D192" t="inlineStr">
        <is>
          <t>VÄSTERBOTTENS LÄN</t>
        </is>
      </c>
      <c r="E192" t="inlineStr">
        <is>
          <t>VILHELMINA</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18950-2021</t>
        </is>
      </c>
      <c r="B193" s="1" t="n">
        <v>44307</v>
      </c>
      <c r="C193" s="1" t="n">
        <v>46110</v>
      </c>
      <c r="D193" t="inlineStr">
        <is>
          <t>VÄSTERBOTTENS LÄN</t>
        </is>
      </c>
      <c r="E193" t="inlineStr">
        <is>
          <t>VILHELMINA</t>
        </is>
      </c>
      <c r="G193" t="n">
        <v>1.9</v>
      </c>
      <c r="H193" t="n">
        <v>0</v>
      </c>
      <c r="I193" t="n">
        <v>0</v>
      </c>
      <c r="J193" t="n">
        <v>0</v>
      </c>
      <c r="K193" t="n">
        <v>0</v>
      </c>
      <c r="L193" t="n">
        <v>0</v>
      </c>
      <c r="M193" t="n">
        <v>0</v>
      </c>
      <c r="N193" t="n">
        <v>0</v>
      </c>
      <c r="O193" t="n">
        <v>0</v>
      </c>
      <c r="P193" t="n">
        <v>0</v>
      </c>
      <c r="Q193" t="n">
        <v>0</v>
      </c>
      <c r="R193" s="2" t="inlineStr"/>
    </row>
    <row r="194" ht="15" customHeight="1">
      <c r="A194" t="inlineStr">
        <is>
          <t>A 22325-2022</t>
        </is>
      </c>
      <c r="B194" s="1" t="n">
        <v>44712</v>
      </c>
      <c r="C194" s="1" t="n">
        <v>46110</v>
      </c>
      <c r="D194" t="inlineStr">
        <is>
          <t>VÄSTERBOTTENS LÄN</t>
        </is>
      </c>
      <c r="E194" t="inlineStr">
        <is>
          <t>VILHELMINA</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46110</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46110</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46110</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69362-2021</t>
        </is>
      </c>
      <c r="B198" s="1" t="n">
        <v>44531</v>
      </c>
      <c r="C198" s="1" t="n">
        <v>46110</v>
      </c>
      <c r="D198" t="inlineStr">
        <is>
          <t>VÄSTERBOTTENS LÄN</t>
        </is>
      </c>
      <c r="E198" t="inlineStr">
        <is>
          <t>VILHELMINA</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69848-2021</t>
        </is>
      </c>
      <c r="B199" s="1" t="n">
        <v>44532</v>
      </c>
      <c r="C199" s="1" t="n">
        <v>46110</v>
      </c>
      <c r="D199" t="inlineStr">
        <is>
          <t>VÄSTERBOTTENS LÄN</t>
        </is>
      </c>
      <c r="E199" t="inlineStr">
        <is>
          <t>VILHELMINA</t>
        </is>
      </c>
      <c r="G199" t="n">
        <v>2.5</v>
      </c>
      <c r="H199" t="n">
        <v>0</v>
      </c>
      <c r="I199" t="n">
        <v>0</v>
      </c>
      <c r="J199" t="n">
        <v>0</v>
      </c>
      <c r="K199" t="n">
        <v>0</v>
      </c>
      <c r="L199" t="n">
        <v>0</v>
      </c>
      <c r="M199" t="n">
        <v>0</v>
      </c>
      <c r="N199" t="n">
        <v>0</v>
      </c>
      <c r="O199" t="n">
        <v>0</v>
      </c>
      <c r="P199" t="n">
        <v>0</v>
      </c>
      <c r="Q199" t="n">
        <v>0</v>
      </c>
      <c r="R199" s="2" t="inlineStr"/>
    </row>
    <row r="200" ht="15" customHeight="1">
      <c r="A200" t="inlineStr">
        <is>
          <t>A 39389-2022</t>
        </is>
      </c>
      <c r="B200" s="1" t="n">
        <v>44817</v>
      </c>
      <c r="C200" s="1" t="n">
        <v>46110</v>
      </c>
      <c r="D200" t="inlineStr">
        <is>
          <t>VÄSTERBOTTENS LÄN</t>
        </is>
      </c>
      <c r="E200" t="inlineStr">
        <is>
          <t>VILHELMINA</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46110</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46110</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46110</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46110</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46110</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36139-2021</t>
        </is>
      </c>
      <c r="B206" s="1" t="n">
        <v>44389.5819675926</v>
      </c>
      <c r="C206" s="1" t="n">
        <v>46110</v>
      </c>
      <c r="D206" t="inlineStr">
        <is>
          <t>VÄSTERBOTTENS LÄN</t>
        </is>
      </c>
      <c r="E206" t="inlineStr">
        <is>
          <t>VILHELMINA</t>
        </is>
      </c>
      <c r="F206" t="inlineStr">
        <is>
          <t>Sveaskog</t>
        </is>
      </c>
      <c r="G206" t="n">
        <v>2.6</v>
      </c>
      <c r="H206" t="n">
        <v>0</v>
      </c>
      <c r="I206" t="n">
        <v>0</v>
      </c>
      <c r="J206" t="n">
        <v>0</v>
      </c>
      <c r="K206" t="n">
        <v>0</v>
      </c>
      <c r="L206" t="n">
        <v>0</v>
      </c>
      <c r="M206" t="n">
        <v>0</v>
      </c>
      <c r="N206" t="n">
        <v>0</v>
      </c>
      <c r="O206" t="n">
        <v>0</v>
      </c>
      <c r="P206" t="n">
        <v>0</v>
      </c>
      <c r="Q206" t="n">
        <v>0</v>
      </c>
      <c r="R206" s="2" t="inlineStr"/>
    </row>
    <row r="207" ht="15" customHeight="1">
      <c r="A207" t="inlineStr">
        <is>
          <t>A 48527-2022</t>
        </is>
      </c>
      <c r="B207" s="1" t="n">
        <v>44858.95158564814</v>
      </c>
      <c r="C207" s="1" t="n">
        <v>46110</v>
      </c>
      <c r="D207" t="inlineStr">
        <is>
          <t>VÄSTERBOTTENS LÄN</t>
        </is>
      </c>
      <c r="E207" t="inlineStr">
        <is>
          <t>VILHELMINA</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46110</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46110</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46110</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46110</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46110</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46110</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46110</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46110</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46110</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43755-2021</t>
        </is>
      </c>
      <c r="B217" s="1" t="n">
        <v>44433</v>
      </c>
      <c r="C217" s="1" t="n">
        <v>46110</v>
      </c>
      <c r="D217" t="inlineStr">
        <is>
          <t>VÄSTERBOTTENS LÄN</t>
        </is>
      </c>
      <c r="E217" t="inlineStr">
        <is>
          <t>VILHELMINA</t>
        </is>
      </c>
      <c r="F217" t="inlineStr">
        <is>
          <t>Sveaskog</t>
        </is>
      </c>
      <c r="G217" t="n">
        <v>10.4</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46110</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46110</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46110</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46110</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46110</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46110</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46110</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46110</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46110</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46110</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46110</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39186-2021</t>
        </is>
      </c>
      <c r="B229" s="1" t="n">
        <v>44412</v>
      </c>
      <c r="C229" s="1" t="n">
        <v>46110</v>
      </c>
      <c r="D229" t="inlineStr">
        <is>
          <t>VÄSTERBOTTENS LÄN</t>
        </is>
      </c>
      <c r="E229" t="inlineStr">
        <is>
          <t>VILHELMINA</t>
        </is>
      </c>
      <c r="G229" t="n">
        <v>0.3</v>
      </c>
      <c r="H229" t="n">
        <v>0</v>
      </c>
      <c r="I229" t="n">
        <v>0</v>
      </c>
      <c r="J229" t="n">
        <v>0</v>
      </c>
      <c r="K229" t="n">
        <v>0</v>
      </c>
      <c r="L229" t="n">
        <v>0</v>
      </c>
      <c r="M229" t="n">
        <v>0</v>
      </c>
      <c r="N229" t="n">
        <v>0</v>
      </c>
      <c r="O229" t="n">
        <v>0</v>
      </c>
      <c r="P229" t="n">
        <v>0</v>
      </c>
      <c r="Q229" t="n">
        <v>0</v>
      </c>
      <c r="R229" s="2" t="inlineStr"/>
    </row>
    <row r="230" ht="15" customHeight="1">
      <c r="A230" t="inlineStr">
        <is>
          <t>A 21814-2022</t>
        </is>
      </c>
      <c r="B230" s="1" t="n">
        <v>44708</v>
      </c>
      <c r="C230" s="1" t="n">
        <v>46110</v>
      </c>
      <c r="D230" t="inlineStr">
        <is>
          <t>VÄSTERBOTTENS LÄN</t>
        </is>
      </c>
      <c r="E230" t="inlineStr">
        <is>
          <t>VILHELMINA</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46110</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46110</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46110</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46110</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46110</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46110</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46110</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46110</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46110</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46110</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46110</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46110</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46110</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46110</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46110</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46110</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46110</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46110</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46110</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27194-2024</t>
        </is>
      </c>
      <c r="B250" s="1" t="n">
        <v>45471</v>
      </c>
      <c r="C250" s="1" t="n">
        <v>46110</v>
      </c>
      <c r="D250" t="inlineStr">
        <is>
          <t>VÄSTERBOTTENS LÄN</t>
        </is>
      </c>
      <c r="E250" t="inlineStr">
        <is>
          <t>VILHELMINA</t>
        </is>
      </c>
      <c r="G250" t="n">
        <v>8.5</v>
      </c>
      <c r="H250" t="n">
        <v>0</v>
      </c>
      <c r="I250" t="n">
        <v>0</v>
      </c>
      <c r="J250" t="n">
        <v>0</v>
      </c>
      <c r="K250" t="n">
        <v>0</v>
      </c>
      <c r="L250" t="n">
        <v>0</v>
      </c>
      <c r="M250" t="n">
        <v>0</v>
      </c>
      <c r="N250" t="n">
        <v>0</v>
      </c>
      <c r="O250" t="n">
        <v>0</v>
      </c>
      <c r="P250" t="n">
        <v>0</v>
      </c>
      <c r="Q250" t="n">
        <v>0</v>
      </c>
      <c r="R250" s="2" t="inlineStr"/>
    </row>
    <row r="251" ht="15" customHeight="1">
      <c r="A251" t="inlineStr">
        <is>
          <t>A 13200-2025</t>
        </is>
      </c>
      <c r="B251" s="1" t="n">
        <v>45735</v>
      </c>
      <c r="C251" s="1" t="n">
        <v>46110</v>
      </c>
      <c r="D251" t="inlineStr">
        <is>
          <t>VÄSTERBOTTENS LÄN</t>
        </is>
      </c>
      <c r="E251" t="inlineStr">
        <is>
          <t>VILHELMINA</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8718-2025</t>
        </is>
      </c>
      <c r="B252" s="1" t="n">
        <v>45712</v>
      </c>
      <c r="C252" s="1" t="n">
        <v>46110</v>
      </c>
      <c r="D252" t="inlineStr">
        <is>
          <t>VÄSTERBOTTENS LÄN</t>
        </is>
      </c>
      <c r="E252" t="inlineStr">
        <is>
          <t>VILHELMINA</t>
        </is>
      </c>
      <c r="G252" t="n">
        <v>21.3</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46110</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9497-2025</t>
        </is>
      </c>
      <c r="B254" s="1" t="n">
        <v>45715.51086805556</v>
      </c>
      <c r="C254" s="1" t="n">
        <v>46110</v>
      </c>
      <c r="D254" t="inlineStr">
        <is>
          <t>VÄSTERBOTTENS LÄN</t>
        </is>
      </c>
      <c r="E254" t="inlineStr">
        <is>
          <t>VILHELMINA</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19909-2025</t>
        </is>
      </c>
      <c r="B255" s="1" t="n">
        <v>45771.60482638889</v>
      </c>
      <c r="C255" s="1" t="n">
        <v>46110</v>
      </c>
      <c r="D255" t="inlineStr">
        <is>
          <t>VÄSTERBOTTENS LÄN</t>
        </is>
      </c>
      <c r="E255" t="inlineStr">
        <is>
          <t>VILHELMINA</t>
        </is>
      </c>
      <c r="G255" t="n">
        <v>12.4</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45195.94755787037</v>
      </c>
      <c r="C256" s="1" t="n">
        <v>46110</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31896-2024</t>
        </is>
      </c>
      <c r="B257" s="1" t="n">
        <v>45509</v>
      </c>
      <c r="C257" s="1" t="n">
        <v>46110</v>
      </c>
      <c r="D257" t="inlineStr">
        <is>
          <t>VÄSTERBOTTENS LÄN</t>
        </is>
      </c>
      <c r="E257" t="inlineStr">
        <is>
          <t>VILHELMINA</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39914-2023</t>
        </is>
      </c>
      <c r="B258" s="1" t="n">
        <v>45166</v>
      </c>
      <c r="C258" s="1" t="n">
        <v>46110</v>
      </c>
      <c r="D258" t="inlineStr">
        <is>
          <t>VÄSTERBOTTENS LÄN</t>
        </is>
      </c>
      <c r="E258" t="inlineStr">
        <is>
          <t>VILHELMINA</t>
        </is>
      </c>
      <c r="G258" t="n">
        <v>27.5</v>
      </c>
      <c r="H258" t="n">
        <v>0</v>
      </c>
      <c r="I258" t="n">
        <v>0</v>
      </c>
      <c r="J258" t="n">
        <v>0</v>
      </c>
      <c r="K258" t="n">
        <v>0</v>
      </c>
      <c r="L258" t="n">
        <v>0</v>
      </c>
      <c r="M258" t="n">
        <v>0</v>
      </c>
      <c r="N258" t="n">
        <v>0</v>
      </c>
      <c r="O258" t="n">
        <v>0</v>
      </c>
      <c r="P258" t="n">
        <v>0</v>
      </c>
      <c r="Q258" t="n">
        <v>0</v>
      </c>
      <c r="R258" s="2" t="inlineStr"/>
    </row>
    <row r="259" ht="15" customHeight="1">
      <c r="A259" t="inlineStr">
        <is>
          <t>A 20324-2025</t>
        </is>
      </c>
      <c r="B259" s="1" t="n">
        <v>45775</v>
      </c>
      <c r="C259" s="1" t="n">
        <v>46110</v>
      </c>
      <c r="D259" t="inlineStr">
        <is>
          <t>VÄSTERBOTTENS LÄN</t>
        </is>
      </c>
      <c r="E259" t="inlineStr">
        <is>
          <t>VILHELMINA</t>
        </is>
      </c>
      <c r="G259" t="n">
        <v>3.5</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46110</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46110</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12190-2024</t>
        </is>
      </c>
      <c r="B262" s="1" t="n">
        <v>45377.94954861111</v>
      </c>
      <c r="C262" s="1" t="n">
        <v>46110</v>
      </c>
      <c r="D262" t="inlineStr">
        <is>
          <t>VÄSTERBOTTENS LÄN</t>
        </is>
      </c>
      <c r="E262" t="inlineStr">
        <is>
          <t>VILHELMINA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46110</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54985-2023</t>
        </is>
      </c>
      <c r="B264" s="1" t="n">
        <v>45236</v>
      </c>
      <c r="C264" s="1" t="n">
        <v>46110</v>
      </c>
      <c r="D264" t="inlineStr">
        <is>
          <t>VÄSTERBOTTENS LÄN</t>
        </is>
      </c>
      <c r="E264" t="inlineStr">
        <is>
          <t>VILHELMINA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46119-2022</t>
        </is>
      </c>
      <c r="B265" s="1" t="n">
        <v>44847</v>
      </c>
      <c r="C265" s="1" t="n">
        <v>46110</v>
      </c>
      <c r="D265" t="inlineStr">
        <is>
          <t>VÄSTERBOTTENS LÄN</t>
        </is>
      </c>
      <c r="E265" t="inlineStr">
        <is>
          <t>VILHELMINA</t>
        </is>
      </c>
      <c r="G265" t="n">
        <v>12.1</v>
      </c>
      <c r="H265" t="n">
        <v>0</v>
      </c>
      <c r="I265" t="n">
        <v>0</v>
      </c>
      <c r="J265" t="n">
        <v>0</v>
      </c>
      <c r="K265" t="n">
        <v>0</v>
      </c>
      <c r="L265" t="n">
        <v>0</v>
      </c>
      <c r="M265" t="n">
        <v>0</v>
      </c>
      <c r="N265" t="n">
        <v>0</v>
      </c>
      <c r="O265" t="n">
        <v>0</v>
      </c>
      <c r="P265" t="n">
        <v>0</v>
      </c>
      <c r="Q265" t="n">
        <v>0</v>
      </c>
      <c r="R265" s="2" t="inlineStr"/>
    </row>
    <row r="266" ht="15" customHeight="1">
      <c r="A266" t="inlineStr">
        <is>
          <t>A 46121-2022</t>
        </is>
      </c>
      <c r="B266" s="1" t="n">
        <v>44847</v>
      </c>
      <c r="C266" s="1" t="n">
        <v>46110</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20769-2024</t>
        </is>
      </c>
      <c r="B267" s="1" t="n">
        <v>45436.94604166667</v>
      </c>
      <c r="C267" s="1" t="n">
        <v>46110</v>
      </c>
      <c r="D267" t="inlineStr">
        <is>
          <t>VÄSTERBOTTENS LÄN</t>
        </is>
      </c>
      <c r="E267" t="inlineStr">
        <is>
          <t>VILHELMINA</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49599-2022</t>
        </is>
      </c>
      <c r="B268" s="1" t="n">
        <v>44859</v>
      </c>
      <c r="C268" s="1" t="n">
        <v>46110</v>
      </c>
      <c r="D268" t="inlineStr">
        <is>
          <t>VÄSTERBOTTENS LÄN</t>
        </is>
      </c>
      <c r="E268" t="inlineStr">
        <is>
          <t>VILHELMINA</t>
        </is>
      </c>
      <c r="G268" t="n">
        <v>3.6</v>
      </c>
      <c r="H268" t="n">
        <v>0</v>
      </c>
      <c r="I268" t="n">
        <v>0</v>
      </c>
      <c r="J268" t="n">
        <v>0</v>
      </c>
      <c r="K268" t="n">
        <v>0</v>
      </c>
      <c r="L268" t="n">
        <v>0</v>
      </c>
      <c r="M268" t="n">
        <v>0</v>
      </c>
      <c r="N268" t="n">
        <v>0</v>
      </c>
      <c r="O268" t="n">
        <v>0</v>
      </c>
      <c r="P268" t="n">
        <v>0</v>
      </c>
      <c r="Q268" t="n">
        <v>0</v>
      </c>
      <c r="R268" s="2" t="inlineStr"/>
    </row>
    <row r="269" ht="15" customHeight="1">
      <c r="A269" t="inlineStr">
        <is>
          <t>A 23261-2021</t>
        </is>
      </c>
      <c r="B269" s="1" t="n">
        <v>44330</v>
      </c>
      <c r="C269" s="1" t="n">
        <v>46110</v>
      </c>
      <c r="D269" t="inlineStr">
        <is>
          <t>VÄSTERBOTTENS LÄN</t>
        </is>
      </c>
      <c r="E269" t="inlineStr">
        <is>
          <t>VILHELMINA</t>
        </is>
      </c>
      <c r="G269" t="n">
        <v>4.5</v>
      </c>
      <c r="H269" t="n">
        <v>0</v>
      </c>
      <c r="I269" t="n">
        <v>0</v>
      </c>
      <c r="J269" t="n">
        <v>0</v>
      </c>
      <c r="K269" t="n">
        <v>0</v>
      </c>
      <c r="L269" t="n">
        <v>0</v>
      </c>
      <c r="M269" t="n">
        <v>0</v>
      </c>
      <c r="N269" t="n">
        <v>0</v>
      </c>
      <c r="O269" t="n">
        <v>0</v>
      </c>
      <c r="P269" t="n">
        <v>0</v>
      </c>
      <c r="Q269" t="n">
        <v>0</v>
      </c>
      <c r="R269" s="2" t="inlineStr"/>
    </row>
    <row r="270" ht="15" customHeight="1">
      <c r="A270" t="inlineStr">
        <is>
          <t>A 15050-2024</t>
        </is>
      </c>
      <c r="B270" s="1" t="n">
        <v>45399</v>
      </c>
      <c r="C270" s="1" t="n">
        <v>46110</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15059-2024</t>
        </is>
      </c>
      <c r="B271" s="1" t="n">
        <v>45399</v>
      </c>
      <c r="C271" s="1" t="n">
        <v>46110</v>
      </c>
      <c r="D271" t="inlineStr">
        <is>
          <t>VÄSTERBOTTENS LÄN</t>
        </is>
      </c>
      <c r="E271" t="inlineStr">
        <is>
          <t>VILHELMINA</t>
        </is>
      </c>
      <c r="G271" t="n">
        <v>0.8</v>
      </c>
      <c r="H271" t="n">
        <v>0</v>
      </c>
      <c r="I271" t="n">
        <v>0</v>
      </c>
      <c r="J271" t="n">
        <v>0</v>
      </c>
      <c r="K271" t="n">
        <v>0</v>
      </c>
      <c r="L271" t="n">
        <v>0</v>
      </c>
      <c r="M271" t="n">
        <v>0</v>
      </c>
      <c r="N271" t="n">
        <v>0</v>
      </c>
      <c r="O271" t="n">
        <v>0</v>
      </c>
      <c r="P271" t="n">
        <v>0</v>
      </c>
      <c r="Q271" t="n">
        <v>0</v>
      </c>
      <c r="R271" s="2" t="inlineStr"/>
    </row>
    <row r="272" ht="15" customHeight="1">
      <c r="A272" t="inlineStr">
        <is>
          <t>A 46071-2022</t>
        </is>
      </c>
      <c r="B272" s="1" t="n">
        <v>44847</v>
      </c>
      <c r="C272" s="1" t="n">
        <v>46110</v>
      </c>
      <c r="D272" t="inlineStr">
        <is>
          <t>VÄSTERBOTTENS LÄN</t>
        </is>
      </c>
      <c r="E272" t="inlineStr">
        <is>
          <t>VILHELMINA</t>
        </is>
      </c>
      <c r="G272" t="n">
        <v>10.6</v>
      </c>
      <c r="H272" t="n">
        <v>0</v>
      </c>
      <c r="I272" t="n">
        <v>0</v>
      </c>
      <c r="J272" t="n">
        <v>0</v>
      </c>
      <c r="K272" t="n">
        <v>0</v>
      </c>
      <c r="L272" t="n">
        <v>0</v>
      </c>
      <c r="M272" t="n">
        <v>0</v>
      </c>
      <c r="N272" t="n">
        <v>0</v>
      </c>
      <c r="O272" t="n">
        <v>0</v>
      </c>
      <c r="P272" t="n">
        <v>0</v>
      </c>
      <c r="Q272" t="n">
        <v>0</v>
      </c>
      <c r="R272" s="2" t="inlineStr"/>
    </row>
    <row r="273" ht="15" customHeight="1">
      <c r="A273" t="inlineStr">
        <is>
          <t>A 18790-2021</t>
        </is>
      </c>
      <c r="B273" s="1" t="n">
        <v>44307</v>
      </c>
      <c r="C273" s="1" t="n">
        <v>46110</v>
      </c>
      <c r="D273" t="inlineStr">
        <is>
          <t>VÄSTERBOTTENS LÄN</t>
        </is>
      </c>
      <c r="E273" t="inlineStr">
        <is>
          <t>VILHELMINA</t>
        </is>
      </c>
      <c r="G273" t="n">
        <v>1.1</v>
      </c>
      <c r="H273" t="n">
        <v>0</v>
      </c>
      <c r="I273" t="n">
        <v>0</v>
      </c>
      <c r="J273" t="n">
        <v>0</v>
      </c>
      <c r="K273" t="n">
        <v>0</v>
      </c>
      <c r="L273" t="n">
        <v>0</v>
      </c>
      <c r="M273" t="n">
        <v>0</v>
      </c>
      <c r="N273" t="n">
        <v>0</v>
      </c>
      <c r="O273" t="n">
        <v>0</v>
      </c>
      <c r="P273" t="n">
        <v>0</v>
      </c>
      <c r="Q273" t="n">
        <v>0</v>
      </c>
      <c r="R273" s="2" t="inlineStr"/>
    </row>
    <row r="274" ht="15" customHeight="1">
      <c r="A274" t="inlineStr">
        <is>
          <t>A 36082-2022</t>
        </is>
      </c>
      <c r="B274" s="1" t="n">
        <v>44802</v>
      </c>
      <c r="C274" s="1" t="n">
        <v>46110</v>
      </c>
      <c r="D274" t="inlineStr">
        <is>
          <t>VÄSTERBOTTENS LÄN</t>
        </is>
      </c>
      <c r="E274" t="inlineStr">
        <is>
          <t>VILHELMINA</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46110</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23180-2024</t>
        </is>
      </c>
      <c r="B276" s="1" t="n">
        <v>45450.9444212963</v>
      </c>
      <c r="C276" s="1" t="n">
        <v>46110</v>
      </c>
      <c r="D276" t="inlineStr">
        <is>
          <t>VÄSTERBOTTENS LÄN</t>
        </is>
      </c>
      <c r="E276" t="inlineStr">
        <is>
          <t>VILHELMINA</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38360-2025</t>
        </is>
      </c>
      <c r="B277" s="1" t="n">
        <v>45883.53290509259</v>
      </c>
      <c r="C277" s="1" t="n">
        <v>46110</v>
      </c>
      <c r="D277" t="inlineStr">
        <is>
          <t>VÄSTERBOTTENS LÄN</t>
        </is>
      </c>
      <c r="E277" t="inlineStr">
        <is>
          <t>VILHELMINA</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38384-2025</t>
        </is>
      </c>
      <c r="B278" s="1" t="n">
        <v>45883</v>
      </c>
      <c r="C278" s="1" t="n">
        <v>46110</v>
      </c>
      <c r="D278" t="inlineStr">
        <is>
          <t>VÄSTERBOTTENS LÄN</t>
        </is>
      </c>
      <c r="E278" t="inlineStr">
        <is>
          <t>VILHELMINA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38387-2025</t>
        </is>
      </c>
      <c r="B279" s="1" t="n">
        <v>45883.57451388889</v>
      </c>
      <c r="C279" s="1" t="n">
        <v>46110</v>
      </c>
      <c r="D279" t="inlineStr">
        <is>
          <t>VÄSTERBOTTENS LÄN</t>
        </is>
      </c>
      <c r="E279" t="inlineStr">
        <is>
          <t>VILHELMINA</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38454-2025</t>
        </is>
      </c>
      <c r="B280" s="1" t="n">
        <v>45883.67839120371</v>
      </c>
      <c r="C280" s="1" t="n">
        <v>46110</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48068-2022</t>
        </is>
      </c>
      <c r="B281" s="1" t="n">
        <v>44855</v>
      </c>
      <c r="C281" s="1" t="n">
        <v>46110</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36288-2021</t>
        </is>
      </c>
      <c r="B282" s="1" t="n">
        <v>44389</v>
      </c>
      <c r="C282" s="1" t="n">
        <v>46110</v>
      </c>
      <c r="D282" t="inlineStr">
        <is>
          <t>VÄSTERBOTTENS LÄN</t>
        </is>
      </c>
      <c r="E282" t="inlineStr">
        <is>
          <t>VILHELMINA</t>
        </is>
      </c>
      <c r="G282" t="n">
        <v>20.5</v>
      </c>
      <c r="H282" t="n">
        <v>0</v>
      </c>
      <c r="I282" t="n">
        <v>0</v>
      </c>
      <c r="J282" t="n">
        <v>0</v>
      </c>
      <c r="K282" t="n">
        <v>0</v>
      </c>
      <c r="L282" t="n">
        <v>0</v>
      </c>
      <c r="M282" t="n">
        <v>0</v>
      </c>
      <c r="N282" t="n">
        <v>0</v>
      </c>
      <c r="O282" t="n">
        <v>0</v>
      </c>
      <c r="P282" t="n">
        <v>0</v>
      </c>
      <c r="Q282" t="n">
        <v>0</v>
      </c>
      <c r="R282" s="2" t="inlineStr"/>
    </row>
    <row r="283" ht="15" customHeight="1">
      <c r="A283" t="inlineStr">
        <is>
          <t>A 55722-2023</t>
        </is>
      </c>
      <c r="B283" s="1" t="n">
        <v>45232</v>
      </c>
      <c r="C283" s="1" t="n">
        <v>46110</v>
      </c>
      <c r="D283" t="inlineStr">
        <is>
          <t>VÄSTERBOTTENS LÄN</t>
        </is>
      </c>
      <c r="E283" t="inlineStr">
        <is>
          <t>VILHELMINA</t>
        </is>
      </c>
      <c r="G283" t="n">
        <v>5.8</v>
      </c>
      <c r="H283" t="n">
        <v>0</v>
      </c>
      <c r="I283" t="n">
        <v>0</v>
      </c>
      <c r="J283" t="n">
        <v>0</v>
      </c>
      <c r="K283" t="n">
        <v>0</v>
      </c>
      <c r="L283" t="n">
        <v>0</v>
      </c>
      <c r="M283" t="n">
        <v>0</v>
      </c>
      <c r="N283" t="n">
        <v>0</v>
      </c>
      <c r="O283" t="n">
        <v>0</v>
      </c>
      <c r="P283" t="n">
        <v>0</v>
      </c>
      <c r="Q283" t="n">
        <v>0</v>
      </c>
      <c r="R283" s="2" t="inlineStr"/>
    </row>
    <row r="284" ht="15" customHeight="1">
      <c r="A284" t="inlineStr">
        <is>
          <t>A 12189-2024</t>
        </is>
      </c>
      <c r="B284" s="1" t="n">
        <v>45377.94945601852</v>
      </c>
      <c r="C284" s="1" t="n">
        <v>46110</v>
      </c>
      <c r="D284" t="inlineStr">
        <is>
          <t>VÄSTERBOTTENS LÄN</t>
        </is>
      </c>
      <c r="E284" t="inlineStr">
        <is>
          <t>VILHELMINA</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22107-2024</t>
        </is>
      </c>
      <c r="B285" s="1" t="n">
        <v>45443</v>
      </c>
      <c r="C285" s="1" t="n">
        <v>46110</v>
      </c>
      <c r="D285" t="inlineStr">
        <is>
          <t>VÄSTERBOTTENS LÄN</t>
        </is>
      </c>
      <c r="E285" t="inlineStr">
        <is>
          <t>VILHELMINA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56627-2024</t>
        </is>
      </c>
      <c r="B286" s="1" t="n">
        <v>45625</v>
      </c>
      <c r="C286" s="1" t="n">
        <v>46110</v>
      </c>
      <c r="D286" t="inlineStr">
        <is>
          <t>VÄSTERBOTTENS LÄN</t>
        </is>
      </c>
      <c r="E286" t="inlineStr">
        <is>
          <t>VILHELMINA</t>
        </is>
      </c>
      <c r="F286" t="inlineStr">
        <is>
          <t>Allmännings- och besparingsskogar</t>
        </is>
      </c>
      <c r="G286" t="n">
        <v>21.5</v>
      </c>
      <c r="H286" t="n">
        <v>0</v>
      </c>
      <c r="I286" t="n">
        <v>0</v>
      </c>
      <c r="J286" t="n">
        <v>0</v>
      </c>
      <c r="K286" t="n">
        <v>0</v>
      </c>
      <c r="L286" t="n">
        <v>0</v>
      </c>
      <c r="M286" t="n">
        <v>0</v>
      </c>
      <c r="N286" t="n">
        <v>0</v>
      </c>
      <c r="O286" t="n">
        <v>0</v>
      </c>
      <c r="P286" t="n">
        <v>0</v>
      </c>
      <c r="Q286" t="n">
        <v>0</v>
      </c>
      <c r="R286" s="2" t="inlineStr"/>
    </row>
    <row r="287" ht="15" customHeight="1">
      <c r="A287" t="inlineStr">
        <is>
          <t>A 23544-2024</t>
        </is>
      </c>
      <c r="B287" s="1" t="n">
        <v>45453.95314814815</v>
      </c>
      <c r="C287" s="1" t="n">
        <v>46110</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23545-2024</t>
        </is>
      </c>
      <c r="B288" s="1" t="n">
        <v>45453.95326388889</v>
      </c>
      <c r="C288" s="1" t="n">
        <v>46110</v>
      </c>
      <c r="D288" t="inlineStr">
        <is>
          <t>VÄSTERBOTTENS LÄN</t>
        </is>
      </c>
      <c r="E288" t="inlineStr">
        <is>
          <t>VILHELMINA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57565-2025</t>
        </is>
      </c>
      <c r="B289" s="1" t="n">
        <v>45980.71736111111</v>
      </c>
      <c r="C289" s="1" t="n">
        <v>46110</v>
      </c>
      <c r="D289" t="inlineStr">
        <is>
          <t>VÄSTERBOTTENS LÄN</t>
        </is>
      </c>
      <c r="E289" t="inlineStr">
        <is>
          <t>VILHELMINA</t>
        </is>
      </c>
      <c r="G289" t="n">
        <v>22.9</v>
      </c>
      <c r="H289" t="n">
        <v>0</v>
      </c>
      <c r="I289" t="n">
        <v>0</v>
      </c>
      <c r="J289" t="n">
        <v>0</v>
      </c>
      <c r="K289" t="n">
        <v>0</v>
      </c>
      <c r="L289" t="n">
        <v>0</v>
      </c>
      <c r="M289" t="n">
        <v>0</v>
      </c>
      <c r="N289" t="n">
        <v>0</v>
      </c>
      <c r="O289" t="n">
        <v>0</v>
      </c>
      <c r="P289" t="n">
        <v>0</v>
      </c>
      <c r="Q289" t="n">
        <v>0</v>
      </c>
      <c r="R289" s="2" t="inlineStr"/>
    </row>
    <row r="290" ht="15" customHeight="1">
      <c r="A290" t="inlineStr">
        <is>
          <t>A 38430-2025</t>
        </is>
      </c>
      <c r="B290" s="1" t="n">
        <v>45883.6364699074</v>
      </c>
      <c r="C290" s="1" t="n">
        <v>46110</v>
      </c>
      <c r="D290" t="inlineStr">
        <is>
          <t>VÄSTERBOTTENS LÄN</t>
        </is>
      </c>
      <c r="E290" t="inlineStr">
        <is>
          <t>VILHELMINA</t>
        </is>
      </c>
      <c r="G290" t="n">
        <v>36.7</v>
      </c>
      <c r="H290" t="n">
        <v>0</v>
      </c>
      <c r="I290" t="n">
        <v>0</v>
      </c>
      <c r="J290" t="n">
        <v>0</v>
      </c>
      <c r="K290" t="n">
        <v>0</v>
      </c>
      <c r="L290" t="n">
        <v>0</v>
      </c>
      <c r="M290" t="n">
        <v>0</v>
      </c>
      <c r="N290" t="n">
        <v>0</v>
      </c>
      <c r="O290" t="n">
        <v>0</v>
      </c>
      <c r="P290" t="n">
        <v>0</v>
      </c>
      <c r="Q290" t="n">
        <v>0</v>
      </c>
      <c r="R290" s="2" t="inlineStr"/>
    </row>
    <row r="291" ht="15" customHeight="1">
      <c r="A291" t="inlineStr">
        <is>
          <t>A 38580-2025</t>
        </is>
      </c>
      <c r="B291" s="1" t="n">
        <v>45884.46951388889</v>
      </c>
      <c r="C291" s="1" t="n">
        <v>46110</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57207-2025</t>
        </is>
      </c>
      <c r="B292" s="1" t="n">
        <v>45979.59443287037</v>
      </c>
      <c r="C292" s="1" t="n">
        <v>46110</v>
      </c>
      <c r="D292" t="inlineStr">
        <is>
          <t>VÄSTERBOTTENS LÄN</t>
        </is>
      </c>
      <c r="E292" t="inlineStr">
        <is>
          <t>VILHELMINA</t>
        </is>
      </c>
      <c r="G292" t="n">
        <v>2.3</v>
      </c>
      <c r="H292" t="n">
        <v>0</v>
      </c>
      <c r="I292" t="n">
        <v>0</v>
      </c>
      <c r="J292" t="n">
        <v>0</v>
      </c>
      <c r="K292" t="n">
        <v>0</v>
      </c>
      <c r="L292" t="n">
        <v>0</v>
      </c>
      <c r="M292" t="n">
        <v>0</v>
      </c>
      <c r="N292" t="n">
        <v>0</v>
      </c>
      <c r="O292" t="n">
        <v>0</v>
      </c>
      <c r="P292" t="n">
        <v>0</v>
      </c>
      <c r="Q292" t="n">
        <v>0</v>
      </c>
      <c r="R292" s="2" t="inlineStr"/>
    </row>
    <row r="293" ht="15" customHeight="1">
      <c r="A293" t="inlineStr">
        <is>
          <t>A 58074-2025</t>
        </is>
      </c>
      <c r="B293" s="1" t="n">
        <v>45982.55253472222</v>
      </c>
      <c r="C293" s="1" t="n">
        <v>46110</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57812-2025</t>
        </is>
      </c>
      <c r="B294" s="1" t="n">
        <v>45981</v>
      </c>
      <c r="C294" s="1" t="n">
        <v>46110</v>
      </c>
      <c r="D294" t="inlineStr">
        <is>
          <t>VÄSTERBOTTENS LÄN</t>
        </is>
      </c>
      <c r="E294" t="inlineStr">
        <is>
          <t>VILHELMINA</t>
        </is>
      </c>
      <c r="G294" t="n">
        <v>5.9</v>
      </c>
      <c r="H294" t="n">
        <v>0</v>
      </c>
      <c r="I294" t="n">
        <v>0</v>
      </c>
      <c r="J294" t="n">
        <v>0</v>
      </c>
      <c r="K294" t="n">
        <v>0</v>
      </c>
      <c r="L294" t="n">
        <v>0</v>
      </c>
      <c r="M294" t="n">
        <v>0</v>
      </c>
      <c r="N294" t="n">
        <v>0</v>
      </c>
      <c r="O294" t="n">
        <v>0</v>
      </c>
      <c r="P294" t="n">
        <v>0</v>
      </c>
      <c r="Q294" t="n">
        <v>0</v>
      </c>
      <c r="R294" s="2" t="inlineStr"/>
    </row>
    <row r="295" ht="15" customHeight="1">
      <c r="A295" t="inlineStr">
        <is>
          <t>A 32655-2021</t>
        </is>
      </c>
      <c r="B295" s="1" t="n">
        <v>44371</v>
      </c>
      <c r="C295" s="1" t="n">
        <v>46110</v>
      </c>
      <c r="D295" t="inlineStr">
        <is>
          <t>VÄSTERBOTTENS LÄN</t>
        </is>
      </c>
      <c r="E295" t="inlineStr">
        <is>
          <t>VILHELMINA</t>
        </is>
      </c>
      <c r="G295" t="n">
        <v>0.2</v>
      </c>
      <c r="H295" t="n">
        <v>0</v>
      </c>
      <c r="I295" t="n">
        <v>0</v>
      </c>
      <c r="J295" t="n">
        <v>0</v>
      </c>
      <c r="K295" t="n">
        <v>0</v>
      </c>
      <c r="L295" t="n">
        <v>0</v>
      </c>
      <c r="M295" t="n">
        <v>0</v>
      </c>
      <c r="N295" t="n">
        <v>0</v>
      </c>
      <c r="O295" t="n">
        <v>0</v>
      </c>
      <c r="P295" t="n">
        <v>0</v>
      </c>
      <c r="Q295" t="n">
        <v>0</v>
      </c>
      <c r="R295" s="2" t="inlineStr"/>
    </row>
    <row r="296" ht="15" customHeight="1">
      <c r="A296" t="inlineStr">
        <is>
          <t>A 38427-2025</t>
        </is>
      </c>
      <c r="B296" s="1" t="n">
        <v>45883.63611111111</v>
      </c>
      <c r="C296" s="1" t="n">
        <v>46110</v>
      </c>
      <c r="D296" t="inlineStr">
        <is>
          <t>VÄSTERBOTTENS LÄN</t>
        </is>
      </c>
      <c r="E296" t="inlineStr">
        <is>
          <t>VILHELMINA</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38429-2025</t>
        </is>
      </c>
      <c r="B297" s="1" t="n">
        <v>45883.63638888889</v>
      </c>
      <c r="C297" s="1" t="n">
        <v>46110</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38540-2025</t>
        </is>
      </c>
      <c r="B298" s="1" t="n">
        <v>45884.42768518518</v>
      </c>
      <c r="C298" s="1" t="n">
        <v>46110</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38543-2025</t>
        </is>
      </c>
      <c r="B299" s="1" t="n">
        <v>45884.42813657408</v>
      </c>
      <c r="C299" s="1" t="n">
        <v>46110</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44368-2024</t>
        </is>
      </c>
      <c r="B300" s="1" t="n">
        <v>45573</v>
      </c>
      <c r="C300" s="1" t="n">
        <v>46110</v>
      </c>
      <c r="D300" t="inlineStr">
        <is>
          <t>VÄSTERBOTTENS LÄN</t>
        </is>
      </c>
      <c r="E300" t="inlineStr">
        <is>
          <t>VILHELMINA</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57792-2025</t>
        </is>
      </c>
      <c r="B301" s="1" t="n">
        <v>45981.57957175926</v>
      </c>
      <c r="C301" s="1" t="n">
        <v>46110</v>
      </c>
      <c r="D301" t="inlineStr">
        <is>
          <t>VÄSTERBOTTENS LÄN</t>
        </is>
      </c>
      <c r="E301" t="inlineStr">
        <is>
          <t>VILHELMINA</t>
        </is>
      </c>
      <c r="G301" t="n">
        <v>1.3</v>
      </c>
      <c r="H301" t="n">
        <v>0</v>
      </c>
      <c r="I301" t="n">
        <v>0</v>
      </c>
      <c r="J301" t="n">
        <v>0</v>
      </c>
      <c r="K301" t="n">
        <v>0</v>
      </c>
      <c r="L301" t="n">
        <v>0</v>
      </c>
      <c r="M301" t="n">
        <v>0</v>
      </c>
      <c r="N301" t="n">
        <v>0</v>
      </c>
      <c r="O301" t="n">
        <v>0</v>
      </c>
      <c r="P301" t="n">
        <v>0</v>
      </c>
      <c r="Q301" t="n">
        <v>0</v>
      </c>
      <c r="R301" s="2" t="inlineStr"/>
    </row>
    <row r="302" ht="15" customHeight="1">
      <c r="A302" t="inlineStr">
        <is>
          <t>A 32921-2024</t>
        </is>
      </c>
      <c r="B302" s="1" t="n">
        <v>45516.9525462963</v>
      </c>
      <c r="C302" s="1" t="n">
        <v>46110</v>
      </c>
      <c r="D302" t="inlineStr">
        <is>
          <t>VÄSTERBOTTENS LÄN</t>
        </is>
      </c>
      <c r="E302" t="inlineStr">
        <is>
          <t>VILHELMINA</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58420-2025</t>
        </is>
      </c>
      <c r="B303" s="1" t="n">
        <v>45985.58819444444</v>
      </c>
      <c r="C303" s="1" t="n">
        <v>46110</v>
      </c>
      <c r="D303" t="inlineStr">
        <is>
          <t>VÄSTERBOTTENS LÄN</t>
        </is>
      </c>
      <c r="E303" t="inlineStr">
        <is>
          <t>VILHELMINA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25701-2024</t>
        </is>
      </c>
      <c r="B304" s="1" t="n">
        <v>45463.94247685185</v>
      </c>
      <c r="C304" s="1" t="n">
        <v>46110</v>
      </c>
      <c r="D304" t="inlineStr">
        <is>
          <t>VÄSTERBOTTENS LÄN</t>
        </is>
      </c>
      <c r="E304" t="inlineStr">
        <is>
          <t>VILHELMINA</t>
        </is>
      </c>
      <c r="F304" t="inlineStr">
        <is>
          <t>SCA</t>
        </is>
      </c>
      <c r="G304" t="n">
        <v>8.6</v>
      </c>
      <c r="H304" t="n">
        <v>0</v>
      </c>
      <c r="I304" t="n">
        <v>0</v>
      </c>
      <c r="J304" t="n">
        <v>0</v>
      </c>
      <c r="K304" t="n">
        <v>0</v>
      </c>
      <c r="L304" t="n">
        <v>0</v>
      </c>
      <c r="M304" t="n">
        <v>0</v>
      </c>
      <c r="N304" t="n">
        <v>0</v>
      </c>
      <c r="O304" t="n">
        <v>0</v>
      </c>
      <c r="P304" t="n">
        <v>0</v>
      </c>
      <c r="Q304" t="n">
        <v>0</v>
      </c>
      <c r="R304" s="2" t="inlineStr"/>
    </row>
    <row r="305" ht="15" customHeight="1">
      <c r="A305" t="inlineStr">
        <is>
          <t>A 58300-2025</t>
        </is>
      </c>
      <c r="B305" s="1" t="n">
        <v>45985</v>
      </c>
      <c r="C305" s="1" t="n">
        <v>46110</v>
      </c>
      <c r="D305" t="inlineStr">
        <is>
          <t>VÄSTERBOTTENS LÄN</t>
        </is>
      </c>
      <c r="E305" t="inlineStr">
        <is>
          <t>VILHELMINA</t>
        </is>
      </c>
      <c r="G305" t="n">
        <v>2.4</v>
      </c>
      <c r="H305" t="n">
        <v>0</v>
      </c>
      <c r="I305" t="n">
        <v>0</v>
      </c>
      <c r="J305" t="n">
        <v>0</v>
      </c>
      <c r="K305" t="n">
        <v>0</v>
      </c>
      <c r="L305" t="n">
        <v>0</v>
      </c>
      <c r="M305" t="n">
        <v>0</v>
      </c>
      <c r="N305" t="n">
        <v>0</v>
      </c>
      <c r="O305" t="n">
        <v>0</v>
      </c>
      <c r="P305" t="n">
        <v>0</v>
      </c>
      <c r="Q305" t="n">
        <v>0</v>
      </c>
      <c r="R305" s="2" t="inlineStr"/>
    </row>
    <row r="306" ht="15" customHeight="1">
      <c r="A306" t="inlineStr">
        <is>
          <t>A 39138-2025</t>
        </is>
      </c>
      <c r="B306" s="1" t="n">
        <v>45888.59435185185</v>
      </c>
      <c r="C306" s="1" t="n">
        <v>46110</v>
      </c>
      <c r="D306" t="inlineStr">
        <is>
          <t>VÄSTERBOTTENS LÄN</t>
        </is>
      </c>
      <c r="E306" t="inlineStr">
        <is>
          <t>VILHELMINA</t>
        </is>
      </c>
      <c r="G306" t="n">
        <v>6.7</v>
      </c>
      <c r="H306" t="n">
        <v>0</v>
      </c>
      <c r="I306" t="n">
        <v>0</v>
      </c>
      <c r="J306" t="n">
        <v>0</v>
      </c>
      <c r="K306" t="n">
        <v>0</v>
      </c>
      <c r="L306" t="n">
        <v>0</v>
      </c>
      <c r="M306" t="n">
        <v>0</v>
      </c>
      <c r="N306" t="n">
        <v>0</v>
      </c>
      <c r="O306" t="n">
        <v>0</v>
      </c>
      <c r="P306" t="n">
        <v>0</v>
      </c>
      <c r="Q306" t="n">
        <v>0</v>
      </c>
      <c r="R306" s="2" t="inlineStr"/>
    </row>
    <row r="307" ht="15" customHeight="1">
      <c r="A307" t="inlineStr">
        <is>
          <t>A 34762-2024</t>
        </is>
      </c>
      <c r="B307" s="1" t="n">
        <v>45526.61637731481</v>
      </c>
      <c r="C307" s="1" t="n">
        <v>46110</v>
      </c>
      <c r="D307" t="inlineStr">
        <is>
          <t>VÄSTERBOTTENS LÄN</t>
        </is>
      </c>
      <c r="E307" t="inlineStr">
        <is>
          <t>VILHELMINA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58471-2025</t>
        </is>
      </c>
      <c r="B308" s="1" t="n">
        <v>45985</v>
      </c>
      <c r="C308" s="1" t="n">
        <v>46110</v>
      </c>
      <c r="D308" t="inlineStr">
        <is>
          <t>VÄSTERBOTTENS LÄN</t>
        </is>
      </c>
      <c r="E308" t="inlineStr">
        <is>
          <t>VILHELMINA</t>
        </is>
      </c>
      <c r="G308" t="n">
        <v>4.5</v>
      </c>
      <c r="H308" t="n">
        <v>0</v>
      </c>
      <c r="I308" t="n">
        <v>0</v>
      </c>
      <c r="J308" t="n">
        <v>0</v>
      </c>
      <c r="K308" t="n">
        <v>0</v>
      </c>
      <c r="L308" t="n">
        <v>0</v>
      </c>
      <c r="M308" t="n">
        <v>0</v>
      </c>
      <c r="N308" t="n">
        <v>0</v>
      </c>
      <c r="O308" t="n">
        <v>0</v>
      </c>
      <c r="P308" t="n">
        <v>0</v>
      </c>
      <c r="Q308" t="n">
        <v>0</v>
      </c>
      <c r="R308" s="2" t="inlineStr"/>
    </row>
    <row r="309" ht="15" customHeight="1">
      <c r="A309" t="inlineStr">
        <is>
          <t>A 8916-2023</t>
        </is>
      </c>
      <c r="B309" s="1" t="n">
        <v>44972</v>
      </c>
      <c r="C309" s="1" t="n">
        <v>46110</v>
      </c>
      <c r="D309" t="inlineStr">
        <is>
          <t>VÄSTERBOTTENS LÄN</t>
        </is>
      </c>
      <c r="E309" t="inlineStr">
        <is>
          <t>VILHELMINA</t>
        </is>
      </c>
      <c r="F309" t="inlineStr">
        <is>
          <t>Allmännings- och besparingsskogar</t>
        </is>
      </c>
      <c r="G309" t="n">
        <v>22.1</v>
      </c>
      <c r="H309" t="n">
        <v>0</v>
      </c>
      <c r="I309" t="n">
        <v>0</v>
      </c>
      <c r="J309" t="n">
        <v>0</v>
      </c>
      <c r="K309" t="n">
        <v>0</v>
      </c>
      <c r="L309" t="n">
        <v>0</v>
      </c>
      <c r="M309" t="n">
        <v>0</v>
      </c>
      <c r="N309" t="n">
        <v>0</v>
      </c>
      <c r="O309" t="n">
        <v>0</v>
      </c>
      <c r="P309" t="n">
        <v>0</v>
      </c>
      <c r="Q309" t="n">
        <v>0</v>
      </c>
      <c r="R309" s="2" t="inlineStr"/>
    </row>
    <row r="310" ht="15" customHeight="1">
      <c r="A310" t="inlineStr">
        <is>
          <t>A 54729-2022</t>
        </is>
      </c>
      <c r="B310" s="1" t="n">
        <v>44881</v>
      </c>
      <c r="C310" s="1" t="n">
        <v>46110</v>
      </c>
      <c r="D310" t="inlineStr">
        <is>
          <t>VÄSTERBOTTENS LÄN</t>
        </is>
      </c>
      <c r="E310" t="inlineStr">
        <is>
          <t>VILHELMINA</t>
        </is>
      </c>
      <c r="G310" t="n">
        <v>19.2</v>
      </c>
      <c r="H310" t="n">
        <v>0</v>
      </c>
      <c r="I310" t="n">
        <v>0</v>
      </c>
      <c r="J310" t="n">
        <v>0</v>
      </c>
      <c r="K310" t="n">
        <v>0</v>
      </c>
      <c r="L310" t="n">
        <v>0</v>
      </c>
      <c r="M310" t="n">
        <v>0</v>
      </c>
      <c r="N310" t="n">
        <v>0</v>
      </c>
      <c r="O310" t="n">
        <v>0</v>
      </c>
      <c r="P310" t="n">
        <v>0</v>
      </c>
      <c r="Q310" t="n">
        <v>0</v>
      </c>
      <c r="R310" s="2" t="inlineStr"/>
    </row>
    <row r="311" ht="15" customHeight="1">
      <c r="A311" t="inlineStr">
        <is>
          <t>A 34807-2023</t>
        </is>
      </c>
      <c r="B311" s="1" t="n">
        <v>45140</v>
      </c>
      <c r="C311" s="1" t="n">
        <v>46110</v>
      </c>
      <c r="D311" t="inlineStr">
        <is>
          <t>VÄSTERBOTTENS LÄN</t>
        </is>
      </c>
      <c r="E311" t="inlineStr">
        <is>
          <t>VILHELMINA</t>
        </is>
      </c>
      <c r="G311" t="n">
        <v>8.1</v>
      </c>
      <c r="H311" t="n">
        <v>0</v>
      </c>
      <c r="I311" t="n">
        <v>0</v>
      </c>
      <c r="J311" t="n">
        <v>0</v>
      </c>
      <c r="K311" t="n">
        <v>0</v>
      </c>
      <c r="L311" t="n">
        <v>0</v>
      </c>
      <c r="M311" t="n">
        <v>0</v>
      </c>
      <c r="N311" t="n">
        <v>0</v>
      </c>
      <c r="O311" t="n">
        <v>0</v>
      </c>
      <c r="P311" t="n">
        <v>0</v>
      </c>
      <c r="Q311" t="n">
        <v>0</v>
      </c>
      <c r="R311" s="2" t="inlineStr"/>
    </row>
    <row r="312" ht="15" customHeight="1">
      <c r="A312" t="inlineStr">
        <is>
          <t>A 64028-2023</t>
        </is>
      </c>
      <c r="B312" s="1" t="n">
        <v>45278.94263888889</v>
      </c>
      <c r="C312" s="1" t="n">
        <v>46110</v>
      </c>
      <c r="D312" t="inlineStr">
        <is>
          <t>VÄSTERBOTTENS LÄN</t>
        </is>
      </c>
      <c r="E312" t="inlineStr">
        <is>
          <t>VILHELMINA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28656-2024</t>
        </is>
      </c>
      <c r="B313" s="1" t="n">
        <v>45478</v>
      </c>
      <c r="C313" s="1" t="n">
        <v>46110</v>
      </c>
      <c r="D313" t="inlineStr">
        <is>
          <t>VÄSTERBOTTENS LÄN</t>
        </is>
      </c>
      <c r="E313" t="inlineStr">
        <is>
          <t>VILHELMINA</t>
        </is>
      </c>
      <c r="F313" t="inlineStr">
        <is>
          <t>Allmännings- och besparingsskogar</t>
        </is>
      </c>
      <c r="G313" t="n">
        <v>1.6</v>
      </c>
      <c r="H313" t="n">
        <v>0</v>
      </c>
      <c r="I313" t="n">
        <v>0</v>
      </c>
      <c r="J313" t="n">
        <v>0</v>
      </c>
      <c r="K313" t="n">
        <v>0</v>
      </c>
      <c r="L313" t="n">
        <v>0</v>
      </c>
      <c r="M313" t="n">
        <v>0</v>
      </c>
      <c r="N313" t="n">
        <v>0</v>
      </c>
      <c r="O313" t="n">
        <v>0</v>
      </c>
      <c r="P313" t="n">
        <v>0</v>
      </c>
      <c r="Q313" t="n">
        <v>0</v>
      </c>
      <c r="R313" s="2" t="inlineStr"/>
    </row>
    <row r="314" ht="15" customHeight="1">
      <c r="A314" t="inlineStr">
        <is>
          <t>A 47254-2022</t>
        </is>
      </c>
      <c r="B314" s="1" t="n">
        <v>44852.94685185186</v>
      </c>
      <c r="C314" s="1" t="n">
        <v>46110</v>
      </c>
      <c r="D314" t="inlineStr">
        <is>
          <t>VÄSTERBOTTENS LÄN</t>
        </is>
      </c>
      <c r="E314" t="inlineStr">
        <is>
          <t>VILHELMINA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22109-2024</t>
        </is>
      </c>
      <c r="B315" s="1" t="n">
        <v>45443</v>
      </c>
      <c r="C315" s="1" t="n">
        <v>46110</v>
      </c>
      <c r="D315" t="inlineStr">
        <is>
          <t>VÄSTERBOTTENS LÄN</t>
        </is>
      </c>
      <c r="E315" t="inlineStr">
        <is>
          <t>VILHELMINA</t>
        </is>
      </c>
      <c r="F315" t="inlineStr">
        <is>
          <t>SCA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37346-2024</t>
        </is>
      </c>
      <c r="B316" s="1" t="n">
        <v>45540</v>
      </c>
      <c r="C316" s="1" t="n">
        <v>46110</v>
      </c>
      <c r="D316" t="inlineStr">
        <is>
          <t>VÄSTERBOTTENS LÄN</t>
        </is>
      </c>
      <c r="E316" t="inlineStr">
        <is>
          <t>VILHELMINA</t>
        </is>
      </c>
      <c r="G316" t="n">
        <v>96.3</v>
      </c>
      <c r="H316" t="n">
        <v>0</v>
      </c>
      <c r="I316" t="n">
        <v>0</v>
      </c>
      <c r="J316" t="n">
        <v>0</v>
      </c>
      <c r="K316" t="n">
        <v>0</v>
      </c>
      <c r="L316" t="n">
        <v>0</v>
      </c>
      <c r="M316" t="n">
        <v>0</v>
      </c>
      <c r="N316" t="n">
        <v>0</v>
      </c>
      <c r="O316" t="n">
        <v>0</v>
      </c>
      <c r="P316" t="n">
        <v>0</v>
      </c>
      <c r="Q316" t="n">
        <v>0</v>
      </c>
      <c r="R316" s="2" t="inlineStr"/>
    </row>
    <row r="317" ht="15" customHeight="1">
      <c r="A317" t="inlineStr">
        <is>
          <t>A 39320-2025</t>
        </is>
      </c>
      <c r="B317" s="1" t="n">
        <v>45889.46940972222</v>
      </c>
      <c r="C317" s="1" t="n">
        <v>46110</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39533-2025</t>
        </is>
      </c>
      <c r="B318" s="1" t="n">
        <v>45890.44863425926</v>
      </c>
      <c r="C318" s="1" t="n">
        <v>46110</v>
      </c>
      <c r="D318" t="inlineStr">
        <is>
          <t>VÄSTERBOTTENS LÄN</t>
        </is>
      </c>
      <c r="E318" t="inlineStr">
        <is>
          <t>VILHELMINA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39571-2025</t>
        </is>
      </c>
      <c r="B319" s="1" t="n">
        <v>45890.49021990741</v>
      </c>
      <c r="C319" s="1" t="n">
        <v>46110</v>
      </c>
      <c r="D319" t="inlineStr">
        <is>
          <t>VÄSTERBOTTENS LÄN</t>
        </is>
      </c>
      <c r="E319" t="inlineStr">
        <is>
          <t>VILHELMINA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39378-2025</t>
        </is>
      </c>
      <c r="B320" s="1" t="n">
        <v>45889.59453703704</v>
      </c>
      <c r="C320" s="1" t="n">
        <v>46110</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47010-2024</t>
        </is>
      </c>
      <c r="B321" s="1" t="n">
        <v>45586</v>
      </c>
      <c r="C321" s="1" t="n">
        <v>46110</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38187-2024</t>
        </is>
      </c>
      <c r="B322" s="1" t="n">
        <v>45545.49028935185</v>
      </c>
      <c r="C322" s="1" t="n">
        <v>46110</v>
      </c>
      <c r="D322" t="inlineStr">
        <is>
          <t>VÄSTERBOTTENS LÄN</t>
        </is>
      </c>
      <c r="E322" t="inlineStr">
        <is>
          <t>VILHELMINA</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39534-2025</t>
        </is>
      </c>
      <c r="B323" s="1" t="n">
        <v>45890.44875</v>
      </c>
      <c r="C323" s="1" t="n">
        <v>46110</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59505-2025</t>
        </is>
      </c>
      <c r="B324" s="1" t="n">
        <v>45989</v>
      </c>
      <c r="C324" s="1" t="n">
        <v>46110</v>
      </c>
      <c r="D324" t="inlineStr">
        <is>
          <t>VÄSTERBOTTENS LÄN</t>
        </is>
      </c>
      <c r="E324" t="inlineStr">
        <is>
          <t>VILHELMINA</t>
        </is>
      </c>
      <c r="G324" t="n">
        <v>5.9</v>
      </c>
      <c r="H324" t="n">
        <v>0</v>
      </c>
      <c r="I324" t="n">
        <v>0</v>
      </c>
      <c r="J324" t="n">
        <v>0</v>
      </c>
      <c r="K324" t="n">
        <v>0</v>
      </c>
      <c r="L324" t="n">
        <v>0</v>
      </c>
      <c r="M324" t="n">
        <v>0</v>
      </c>
      <c r="N324" t="n">
        <v>0</v>
      </c>
      <c r="O324" t="n">
        <v>0</v>
      </c>
      <c r="P324" t="n">
        <v>0</v>
      </c>
      <c r="Q324" t="n">
        <v>0</v>
      </c>
      <c r="R324" s="2" t="inlineStr"/>
    </row>
    <row r="325" ht="15" customHeight="1">
      <c r="A325" t="inlineStr">
        <is>
          <t>A 706-2024</t>
        </is>
      </c>
      <c r="B325" s="1" t="n">
        <v>45300</v>
      </c>
      <c r="C325" s="1" t="n">
        <v>46110</v>
      </c>
      <c r="D325" t="inlineStr">
        <is>
          <t>VÄSTERBOTTENS LÄN</t>
        </is>
      </c>
      <c r="E325" t="inlineStr">
        <is>
          <t>VILHELMINA</t>
        </is>
      </c>
      <c r="G325" t="n">
        <v>2.8</v>
      </c>
      <c r="H325" t="n">
        <v>0</v>
      </c>
      <c r="I325" t="n">
        <v>0</v>
      </c>
      <c r="J325" t="n">
        <v>0</v>
      </c>
      <c r="K325" t="n">
        <v>0</v>
      </c>
      <c r="L325" t="n">
        <v>0</v>
      </c>
      <c r="M325" t="n">
        <v>0</v>
      </c>
      <c r="N325" t="n">
        <v>0</v>
      </c>
      <c r="O325" t="n">
        <v>0</v>
      </c>
      <c r="P325" t="n">
        <v>0</v>
      </c>
      <c r="Q325" t="n">
        <v>0</v>
      </c>
      <c r="R325" s="2" t="inlineStr"/>
    </row>
    <row r="326" ht="15" customHeight="1">
      <c r="A326" t="inlineStr">
        <is>
          <t>A 39558-2025</t>
        </is>
      </c>
      <c r="B326" s="1" t="n">
        <v>45890.46978009259</v>
      </c>
      <c r="C326" s="1" t="n">
        <v>46110</v>
      </c>
      <c r="D326" t="inlineStr">
        <is>
          <t>VÄSTERBOTTENS LÄN</t>
        </is>
      </c>
      <c r="E326" t="inlineStr">
        <is>
          <t>VILHELMINA</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56754-2023</t>
        </is>
      </c>
      <c r="B327" s="1" t="n">
        <v>45238</v>
      </c>
      <c r="C327" s="1" t="n">
        <v>46110</v>
      </c>
      <c r="D327" t="inlineStr">
        <is>
          <t>VÄSTERBOTTENS LÄN</t>
        </is>
      </c>
      <c r="E327" t="inlineStr">
        <is>
          <t>VILHELMINA</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59506-2025</t>
        </is>
      </c>
      <c r="B328" s="1" t="n">
        <v>45989</v>
      </c>
      <c r="C328" s="1" t="n">
        <v>46110</v>
      </c>
      <c r="D328" t="inlineStr">
        <is>
          <t>VÄSTERBOTTENS LÄN</t>
        </is>
      </c>
      <c r="E328" t="inlineStr">
        <is>
          <t>VILHELMINA</t>
        </is>
      </c>
      <c r="G328" t="n">
        <v>4.9</v>
      </c>
      <c r="H328" t="n">
        <v>0</v>
      </c>
      <c r="I328" t="n">
        <v>0</v>
      </c>
      <c r="J328" t="n">
        <v>0</v>
      </c>
      <c r="K328" t="n">
        <v>0</v>
      </c>
      <c r="L328" t="n">
        <v>0</v>
      </c>
      <c r="M328" t="n">
        <v>0</v>
      </c>
      <c r="N328" t="n">
        <v>0</v>
      </c>
      <c r="O328" t="n">
        <v>0</v>
      </c>
      <c r="P328" t="n">
        <v>0</v>
      </c>
      <c r="Q328" t="n">
        <v>0</v>
      </c>
      <c r="R328" s="2" t="inlineStr"/>
    </row>
    <row r="329" ht="15" customHeight="1">
      <c r="A329" t="inlineStr">
        <is>
          <t>A 40196-2025</t>
        </is>
      </c>
      <c r="B329" s="1" t="n">
        <v>45894.65951388889</v>
      </c>
      <c r="C329" s="1" t="n">
        <v>46110</v>
      </c>
      <c r="D329" t="inlineStr">
        <is>
          <t>VÄSTERBOTTENS LÄN</t>
        </is>
      </c>
      <c r="E329" t="inlineStr">
        <is>
          <t>VILHELMINA</t>
        </is>
      </c>
      <c r="G329" t="n">
        <v>23.3</v>
      </c>
      <c r="H329" t="n">
        <v>0</v>
      </c>
      <c r="I329" t="n">
        <v>0</v>
      </c>
      <c r="J329" t="n">
        <v>0</v>
      </c>
      <c r="K329" t="n">
        <v>0</v>
      </c>
      <c r="L329" t="n">
        <v>0</v>
      </c>
      <c r="M329" t="n">
        <v>0</v>
      </c>
      <c r="N329" t="n">
        <v>0</v>
      </c>
      <c r="O329" t="n">
        <v>0</v>
      </c>
      <c r="P329" t="n">
        <v>0</v>
      </c>
      <c r="Q329" t="n">
        <v>0</v>
      </c>
      <c r="R329" s="2" t="inlineStr"/>
    </row>
    <row r="330" ht="15" customHeight="1">
      <c r="A330" t="inlineStr">
        <is>
          <t>A 40220-2025</t>
        </is>
      </c>
      <c r="B330" s="1" t="n">
        <v>45894</v>
      </c>
      <c r="C330" s="1" t="n">
        <v>46110</v>
      </c>
      <c r="D330" t="inlineStr">
        <is>
          <t>VÄSTERBOTTENS LÄN</t>
        </is>
      </c>
      <c r="E330" t="inlineStr">
        <is>
          <t>VILHELMINA</t>
        </is>
      </c>
      <c r="G330" t="n">
        <v>4.6</v>
      </c>
      <c r="H330" t="n">
        <v>0</v>
      </c>
      <c r="I330" t="n">
        <v>0</v>
      </c>
      <c r="J330" t="n">
        <v>0</v>
      </c>
      <c r="K330" t="n">
        <v>0</v>
      </c>
      <c r="L330" t="n">
        <v>0</v>
      </c>
      <c r="M330" t="n">
        <v>0</v>
      </c>
      <c r="N330" t="n">
        <v>0</v>
      </c>
      <c r="O330" t="n">
        <v>0</v>
      </c>
      <c r="P330" t="n">
        <v>0</v>
      </c>
      <c r="Q330" t="n">
        <v>0</v>
      </c>
      <c r="R330" s="2" t="inlineStr"/>
    </row>
    <row r="331" ht="15" customHeight="1">
      <c r="A331" t="inlineStr">
        <is>
          <t>A 55720-2023</t>
        </is>
      </c>
      <c r="B331" s="1" t="n">
        <v>45232</v>
      </c>
      <c r="C331" s="1" t="n">
        <v>46110</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38363-2023</t>
        </is>
      </c>
      <c r="B332" s="1" t="n">
        <v>45161</v>
      </c>
      <c r="C332" s="1" t="n">
        <v>46110</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59629-2025</t>
        </is>
      </c>
      <c r="B333" s="1" t="n">
        <v>45992.39248842592</v>
      </c>
      <c r="C333" s="1" t="n">
        <v>46110</v>
      </c>
      <c r="D333" t="inlineStr">
        <is>
          <t>VÄSTERBOTTENS LÄN</t>
        </is>
      </c>
      <c r="E333" t="inlineStr">
        <is>
          <t>VILHELMINA</t>
        </is>
      </c>
      <c r="G333" t="n">
        <v>12.6</v>
      </c>
      <c r="H333" t="n">
        <v>0</v>
      </c>
      <c r="I333" t="n">
        <v>0</v>
      </c>
      <c r="J333" t="n">
        <v>0</v>
      </c>
      <c r="K333" t="n">
        <v>0</v>
      </c>
      <c r="L333" t="n">
        <v>0</v>
      </c>
      <c r="M333" t="n">
        <v>0</v>
      </c>
      <c r="N333" t="n">
        <v>0</v>
      </c>
      <c r="O333" t="n">
        <v>0</v>
      </c>
      <c r="P333" t="n">
        <v>0</v>
      </c>
      <c r="Q333" t="n">
        <v>0</v>
      </c>
      <c r="R333" s="2" t="inlineStr"/>
    </row>
    <row r="334" ht="15" customHeight="1">
      <c r="A334" t="inlineStr">
        <is>
          <t>A 39035-2024</t>
        </is>
      </c>
      <c r="B334" s="1" t="n">
        <v>45548.46918981482</v>
      </c>
      <c r="C334" s="1" t="n">
        <v>46110</v>
      </c>
      <c r="D334" t="inlineStr">
        <is>
          <t>VÄSTERBOTTENS LÄN</t>
        </is>
      </c>
      <c r="E334" t="inlineStr">
        <is>
          <t>VILHELMINA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60518-2025</t>
        </is>
      </c>
      <c r="B335" s="1" t="n">
        <v>45994</v>
      </c>
      <c r="C335" s="1" t="n">
        <v>46110</v>
      </c>
      <c r="D335" t="inlineStr">
        <is>
          <t>VÄSTERBOTTENS LÄN</t>
        </is>
      </c>
      <c r="E335" t="inlineStr">
        <is>
          <t>VILHELMINA</t>
        </is>
      </c>
      <c r="G335" t="n">
        <v>6.7</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46110</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60069-2025</t>
        </is>
      </c>
      <c r="B337" s="1" t="n">
        <v>45993.66409722222</v>
      </c>
      <c r="C337" s="1" t="n">
        <v>46110</v>
      </c>
      <c r="D337" t="inlineStr">
        <is>
          <t>VÄSTERBOTTENS LÄN</t>
        </is>
      </c>
      <c r="E337" t="inlineStr">
        <is>
          <t>VILHELMINA</t>
        </is>
      </c>
      <c r="G337" t="n">
        <v>2.6</v>
      </c>
      <c r="H337" t="n">
        <v>0</v>
      </c>
      <c r="I337" t="n">
        <v>0</v>
      </c>
      <c r="J337" t="n">
        <v>0</v>
      </c>
      <c r="K337" t="n">
        <v>0</v>
      </c>
      <c r="L337" t="n">
        <v>0</v>
      </c>
      <c r="M337" t="n">
        <v>0</v>
      </c>
      <c r="N337" t="n">
        <v>0</v>
      </c>
      <c r="O337" t="n">
        <v>0</v>
      </c>
      <c r="P337" t="n">
        <v>0</v>
      </c>
      <c r="Q337" t="n">
        <v>0</v>
      </c>
      <c r="R337" s="2" t="inlineStr"/>
    </row>
    <row r="338" ht="15" customHeight="1">
      <c r="A338" t="inlineStr">
        <is>
          <t>A 60075-2025</t>
        </is>
      </c>
      <c r="B338" s="1" t="n">
        <v>45993.67761574074</v>
      </c>
      <c r="C338" s="1" t="n">
        <v>46110</v>
      </c>
      <c r="D338" t="inlineStr">
        <is>
          <t>VÄSTERBOTTENS LÄN</t>
        </is>
      </c>
      <c r="E338" t="inlineStr">
        <is>
          <t>VILHELMINA</t>
        </is>
      </c>
      <c r="G338" t="n">
        <v>36.9</v>
      </c>
      <c r="H338" t="n">
        <v>0</v>
      </c>
      <c r="I338" t="n">
        <v>0</v>
      </c>
      <c r="J338" t="n">
        <v>0</v>
      </c>
      <c r="K338" t="n">
        <v>0</v>
      </c>
      <c r="L338" t="n">
        <v>0</v>
      </c>
      <c r="M338" t="n">
        <v>0</v>
      </c>
      <c r="N338" t="n">
        <v>0</v>
      </c>
      <c r="O338" t="n">
        <v>0</v>
      </c>
      <c r="P338" t="n">
        <v>0</v>
      </c>
      <c r="Q338" t="n">
        <v>0</v>
      </c>
      <c r="R338" s="2" t="inlineStr"/>
    </row>
    <row r="339" ht="15" customHeight="1">
      <c r="A339" t="inlineStr">
        <is>
          <t>A 23459-2025</t>
        </is>
      </c>
      <c r="B339" s="1" t="n">
        <v>45792</v>
      </c>
      <c r="C339" s="1" t="n">
        <v>46110</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23461-2025</t>
        </is>
      </c>
      <c r="B340" s="1" t="n">
        <v>45792</v>
      </c>
      <c r="C340" s="1" t="n">
        <v>46110</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60065-2025</t>
        </is>
      </c>
      <c r="B341" s="1" t="n">
        <v>45993.65892361111</v>
      </c>
      <c r="C341" s="1" t="n">
        <v>46110</v>
      </c>
      <c r="D341" t="inlineStr">
        <is>
          <t>VÄSTERBOTTENS LÄN</t>
        </is>
      </c>
      <c r="E341" t="inlineStr">
        <is>
          <t>VILHELMINA</t>
        </is>
      </c>
      <c r="G341" t="n">
        <v>5.8</v>
      </c>
      <c r="H341" t="n">
        <v>0</v>
      </c>
      <c r="I341" t="n">
        <v>0</v>
      </c>
      <c r="J341" t="n">
        <v>0</v>
      </c>
      <c r="K341" t="n">
        <v>0</v>
      </c>
      <c r="L341" t="n">
        <v>0</v>
      </c>
      <c r="M341" t="n">
        <v>0</v>
      </c>
      <c r="N341" t="n">
        <v>0</v>
      </c>
      <c r="O341" t="n">
        <v>0</v>
      </c>
      <c r="P341" t="n">
        <v>0</v>
      </c>
      <c r="Q341" t="n">
        <v>0</v>
      </c>
      <c r="R341" s="2" t="inlineStr"/>
    </row>
    <row r="342" ht="15" customHeight="1">
      <c r="A342" t="inlineStr">
        <is>
          <t>A 59915-2025</t>
        </is>
      </c>
      <c r="B342" s="1" t="n">
        <v>45993</v>
      </c>
      <c r="C342" s="1" t="n">
        <v>46110</v>
      </c>
      <c r="D342" t="inlineStr">
        <is>
          <t>VÄSTERBOTTENS LÄN</t>
        </is>
      </c>
      <c r="E342" t="inlineStr">
        <is>
          <t>VILHELMINA</t>
        </is>
      </c>
      <c r="G342" t="n">
        <v>27.8</v>
      </c>
      <c r="H342" t="n">
        <v>0</v>
      </c>
      <c r="I342" t="n">
        <v>0</v>
      </c>
      <c r="J342" t="n">
        <v>0</v>
      </c>
      <c r="K342" t="n">
        <v>0</v>
      </c>
      <c r="L342" t="n">
        <v>0</v>
      </c>
      <c r="M342" t="n">
        <v>0</v>
      </c>
      <c r="N342" t="n">
        <v>0</v>
      </c>
      <c r="O342" t="n">
        <v>0</v>
      </c>
      <c r="P342" t="n">
        <v>0</v>
      </c>
      <c r="Q342" t="n">
        <v>0</v>
      </c>
      <c r="R342" s="2" t="inlineStr"/>
    </row>
    <row r="343" ht="15" customHeight="1">
      <c r="A343" t="inlineStr">
        <is>
          <t>A 23281-2025</t>
        </is>
      </c>
      <c r="B343" s="1" t="n">
        <v>45791.57324074074</v>
      </c>
      <c r="C343" s="1" t="n">
        <v>46110</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60057-2025</t>
        </is>
      </c>
      <c r="B344" s="1" t="n">
        <v>45993.65197916667</v>
      </c>
      <c r="C344" s="1" t="n">
        <v>46110</v>
      </c>
      <c r="D344" t="inlineStr">
        <is>
          <t>VÄSTERBOTTENS LÄN</t>
        </is>
      </c>
      <c r="E344" t="inlineStr">
        <is>
          <t>VILHELMINA</t>
        </is>
      </c>
      <c r="G344" t="n">
        <v>0.6</v>
      </c>
      <c r="H344" t="n">
        <v>0</v>
      </c>
      <c r="I344" t="n">
        <v>0</v>
      </c>
      <c r="J344" t="n">
        <v>0</v>
      </c>
      <c r="K344" t="n">
        <v>0</v>
      </c>
      <c r="L344" t="n">
        <v>0</v>
      </c>
      <c r="M344" t="n">
        <v>0</v>
      </c>
      <c r="N344" t="n">
        <v>0</v>
      </c>
      <c r="O344" t="n">
        <v>0</v>
      </c>
      <c r="P344" t="n">
        <v>0</v>
      </c>
      <c r="Q344" t="n">
        <v>0</v>
      </c>
      <c r="R344" s="2" t="inlineStr"/>
    </row>
    <row r="345" ht="15" customHeight="1">
      <c r="A345" t="inlineStr">
        <is>
          <t>A 23415-2025</t>
        </is>
      </c>
      <c r="B345" s="1" t="n">
        <v>45792.34643518519</v>
      </c>
      <c r="C345" s="1" t="n">
        <v>46110</v>
      </c>
      <c r="D345" t="inlineStr">
        <is>
          <t>VÄSTERBOTTENS LÄN</t>
        </is>
      </c>
      <c r="E345" t="inlineStr">
        <is>
          <t>VILHELMINA</t>
        </is>
      </c>
      <c r="F345" t="inlineStr">
        <is>
          <t>SCA</t>
        </is>
      </c>
      <c r="G345" t="n">
        <v>36.9</v>
      </c>
      <c r="H345" t="n">
        <v>0</v>
      </c>
      <c r="I345" t="n">
        <v>0</v>
      </c>
      <c r="J345" t="n">
        <v>0</v>
      </c>
      <c r="K345" t="n">
        <v>0</v>
      </c>
      <c r="L345" t="n">
        <v>0</v>
      </c>
      <c r="M345" t="n">
        <v>0</v>
      </c>
      <c r="N345" t="n">
        <v>0</v>
      </c>
      <c r="O345" t="n">
        <v>0</v>
      </c>
      <c r="P345" t="n">
        <v>0</v>
      </c>
      <c r="Q345" t="n">
        <v>0</v>
      </c>
      <c r="R345" s="2" t="inlineStr"/>
    </row>
    <row r="346" ht="15" customHeight="1">
      <c r="A346" t="inlineStr">
        <is>
          <t>A 15805-2025</t>
        </is>
      </c>
      <c r="B346" s="1" t="n">
        <v>45748</v>
      </c>
      <c r="C346" s="1" t="n">
        <v>46110</v>
      </c>
      <c r="D346" t="inlineStr">
        <is>
          <t>VÄSTERBOTTENS LÄN</t>
        </is>
      </c>
      <c r="E346" t="inlineStr">
        <is>
          <t>VILHELMINA</t>
        </is>
      </c>
      <c r="G346" t="n">
        <v>1.4</v>
      </c>
      <c r="H346" t="n">
        <v>0</v>
      </c>
      <c r="I346" t="n">
        <v>0</v>
      </c>
      <c r="J346" t="n">
        <v>0</v>
      </c>
      <c r="K346" t="n">
        <v>0</v>
      </c>
      <c r="L346" t="n">
        <v>0</v>
      </c>
      <c r="M346" t="n">
        <v>0</v>
      </c>
      <c r="N346" t="n">
        <v>0</v>
      </c>
      <c r="O346" t="n">
        <v>0</v>
      </c>
      <c r="P346" t="n">
        <v>0</v>
      </c>
      <c r="Q346" t="n">
        <v>0</v>
      </c>
      <c r="R346" s="2" t="inlineStr"/>
    </row>
    <row r="347" ht="15" customHeight="1">
      <c r="A347" t="inlineStr">
        <is>
          <t>A 23406-2025</t>
        </is>
      </c>
      <c r="B347" s="1" t="n">
        <v>45792.34540509259</v>
      </c>
      <c r="C347" s="1" t="n">
        <v>46110</v>
      </c>
      <c r="D347" t="inlineStr">
        <is>
          <t>VÄSTERBOTTENS LÄN</t>
        </is>
      </c>
      <c r="E347" t="inlineStr">
        <is>
          <t>VILHELMINA</t>
        </is>
      </c>
      <c r="F347" t="inlineStr">
        <is>
          <t>SCA</t>
        </is>
      </c>
      <c r="G347" t="n">
        <v>15.4</v>
      </c>
      <c r="H347" t="n">
        <v>0</v>
      </c>
      <c r="I347" t="n">
        <v>0</v>
      </c>
      <c r="J347" t="n">
        <v>0</v>
      </c>
      <c r="K347" t="n">
        <v>0</v>
      </c>
      <c r="L347" t="n">
        <v>0</v>
      </c>
      <c r="M347" t="n">
        <v>0</v>
      </c>
      <c r="N347" t="n">
        <v>0</v>
      </c>
      <c r="O347" t="n">
        <v>0</v>
      </c>
      <c r="P347" t="n">
        <v>0</v>
      </c>
      <c r="Q347" t="n">
        <v>0</v>
      </c>
      <c r="R347" s="2" t="inlineStr"/>
    </row>
    <row r="348" ht="15" customHeight="1">
      <c r="A348" t="inlineStr">
        <is>
          <t>A 19873-2024</t>
        </is>
      </c>
      <c r="B348" s="1" t="n">
        <v>45433</v>
      </c>
      <c r="C348" s="1" t="n">
        <v>46110</v>
      </c>
      <c r="D348" t="inlineStr">
        <is>
          <t>VÄSTERBOTTENS LÄN</t>
        </is>
      </c>
      <c r="E348" t="inlineStr">
        <is>
          <t>VILHELMINA</t>
        </is>
      </c>
      <c r="G348" t="n">
        <v>8.6</v>
      </c>
      <c r="H348" t="n">
        <v>0</v>
      </c>
      <c r="I348" t="n">
        <v>0</v>
      </c>
      <c r="J348" t="n">
        <v>0</v>
      </c>
      <c r="K348" t="n">
        <v>0</v>
      </c>
      <c r="L348" t="n">
        <v>0</v>
      </c>
      <c r="M348" t="n">
        <v>0</v>
      </c>
      <c r="N348" t="n">
        <v>0</v>
      </c>
      <c r="O348" t="n">
        <v>0</v>
      </c>
      <c r="P348" t="n">
        <v>0</v>
      </c>
      <c r="Q348" t="n">
        <v>0</v>
      </c>
      <c r="R348" s="2" t="inlineStr"/>
    </row>
    <row r="349" ht="15" customHeight="1">
      <c r="A349" t="inlineStr">
        <is>
          <t>A 60697-2025</t>
        </is>
      </c>
      <c r="B349" s="1" t="n">
        <v>45996.59995370371</v>
      </c>
      <c r="C349" s="1" t="n">
        <v>46110</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60701-2025</t>
        </is>
      </c>
      <c r="B350" s="1" t="n">
        <v>45996.60284722222</v>
      </c>
      <c r="C350" s="1" t="n">
        <v>46110</v>
      </c>
      <c r="D350" t="inlineStr">
        <is>
          <t>VÄSTERBOTTENS LÄN</t>
        </is>
      </c>
      <c r="E350" t="inlineStr">
        <is>
          <t>VILHELMINA</t>
        </is>
      </c>
      <c r="G350" t="n">
        <v>6.2</v>
      </c>
      <c r="H350" t="n">
        <v>0</v>
      </c>
      <c r="I350" t="n">
        <v>0</v>
      </c>
      <c r="J350" t="n">
        <v>0</v>
      </c>
      <c r="K350" t="n">
        <v>0</v>
      </c>
      <c r="L350" t="n">
        <v>0</v>
      </c>
      <c r="M350" t="n">
        <v>0</v>
      </c>
      <c r="N350" t="n">
        <v>0</v>
      </c>
      <c r="O350" t="n">
        <v>0</v>
      </c>
      <c r="P350" t="n">
        <v>0</v>
      </c>
      <c r="Q350" t="n">
        <v>0</v>
      </c>
      <c r="R350" s="2" t="inlineStr"/>
    </row>
    <row r="351" ht="15" customHeight="1">
      <c r="A351" t="inlineStr">
        <is>
          <t>A 10548-2022</t>
        </is>
      </c>
      <c r="B351" s="1" t="n">
        <v>44623</v>
      </c>
      <c r="C351" s="1" t="n">
        <v>46110</v>
      </c>
      <c r="D351" t="inlineStr">
        <is>
          <t>VÄSTERBOTTENS LÄN</t>
        </is>
      </c>
      <c r="E351" t="inlineStr">
        <is>
          <t>VILHELMINA</t>
        </is>
      </c>
      <c r="F351" t="inlineStr">
        <is>
          <t>SCA</t>
        </is>
      </c>
      <c r="G351" t="n">
        <v>11.5</v>
      </c>
      <c r="H351" t="n">
        <v>0</v>
      </c>
      <c r="I351" t="n">
        <v>0</v>
      </c>
      <c r="J351" t="n">
        <v>0</v>
      </c>
      <c r="K351" t="n">
        <v>0</v>
      </c>
      <c r="L351" t="n">
        <v>0</v>
      </c>
      <c r="M351" t="n">
        <v>0</v>
      </c>
      <c r="N351" t="n">
        <v>0</v>
      </c>
      <c r="O351" t="n">
        <v>0</v>
      </c>
      <c r="P351" t="n">
        <v>0</v>
      </c>
      <c r="Q351" t="n">
        <v>0</v>
      </c>
      <c r="R351" s="2" t="inlineStr"/>
    </row>
    <row r="352" ht="15" customHeight="1">
      <c r="A352" t="inlineStr">
        <is>
          <t>A 23826-2025</t>
        </is>
      </c>
      <c r="B352" s="1" t="n">
        <v>45793.59461805555</v>
      </c>
      <c r="C352" s="1" t="n">
        <v>46110</v>
      </c>
      <c r="D352" t="inlineStr">
        <is>
          <t>VÄSTERBOTTENS LÄN</t>
        </is>
      </c>
      <c r="E352" t="inlineStr">
        <is>
          <t>VILHELMINA</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35760-2023</t>
        </is>
      </c>
      <c r="B353" s="1" t="n">
        <v>45147</v>
      </c>
      <c r="C353" s="1" t="n">
        <v>46110</v>
      </c>
      <c r="D353" t="inlineStr">
        <is>
          <t>VÄSTERBOTTENS LÄN</t>
        </is>
      </c>
      <c r="E353" t="inlineStr">
        <is>
          <t>VILHELMINA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23764-2025</t>
        </is>
      </c>
      <c r="B354" s="1" t="n">
        <v>45793</v>
      </c>
      <c r="C354" s="1" t="n">
        <v>46110</v>
      </c>
      <c r="D354" t="inlineStr">
        <is>
          <t>VÄSTERBOTTENS LÄN</t>
        </is>
      </c>
      <c r="E354" t="inlineStr">
        <is>
          <t>VILHELMINA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33319-2024</t>
        </is>
      </c>
      <c r="B355" s="1" t="n">
        <v>45518</v>
      </c>
      <c r="C355" s="1" t="n">
        <v>46110</v>
      </c>
      <c r="D355" t="inlineStr">
        <is>
          <t>VÄSTERBOTTENS LÄN</t>
        </is>
      </c>
      <c r="E355" t="inlineStr">
        <is>
          <t>VILHELMINA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8726-2023</t>
        </is>
      </c>
      <c r="B356" s="1" t="n">
        <v>44972</v>
      </c>
      <c r="C356" s="1" t="n">
        <v>46110</v>
      </c>
      <c r="D356" t="inlineStr">
        <is>
          <t>VÄSTERBOTTENS LÄN</t>
        </is>
      </c>
      <c r="E356" t="inlineStr">
        <is>
          <t>VILHELMINA</t>
        </is>
      </c>
      <c r="F356" t="inlineStr">
        <is>
          <t>Allmännings- och besparingsskogar</t>
        </is>
      </c>
      <c r="G356" t="n">
        <v>50</v>
      </c>
      <c r="H356" t="n">
        <v>0</v>
      </c>
      <c r="I356" t="n">
        <v>0</v>
      </c>
      <c r="J356" t="n">
        <v>0</v>
      </c>
      <c r="K356" t="n">
        <v>0</v>
      </c>
      <c r="L356" t="n">
        <v>0</v>
      </c>
      <c r="M356" t="n">
        <v>0</v>
      </c>
      <c r="N356" t="n">
        <v>0</v>
      </c>
      <c r="O356" t="n">
        <v>0</v>
      </c>
      <c r="P356" t="n">
        <v>0</v>
      </c>
      <c r="Q356" t="n">
        <v>0</v>
      </c>
      <c r="R356" s="2" t="inlineStr"/>
    </row>
    <row r="357" ht="15" customHeight="1">
      <c r="A357" t="inlineStr">
        <is>
          <t>A 29463-2024</t>
        </is>
      </c>
      <c r="B357" s="1" t="n">
        <v>45483.96994212963</v>
      </c>
      <c r="C357" s="1" t="n">
        <v>46110</v>
      </c>
      <c r="D357" t="inlineStr">
        <is>
          <t>VÄSTERBOTTENS LÄN</t>
        </is>
      </c>
      <c r="E357" t="inlineStr">
        <is>
          <t>VILHELMINA</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23686-2025</t>
        </is>
      </c>
      <c r="B358" s="1" t="n">
        <v>45793</v>
      </c>
      <c r="C358" s="1" t="n">
        <v>46110</v>
      </c>
      <c r="D358" t="inlineStr">
        <is>
          <t>VÄSTERBOTTENS LÄN</t>
        </is>
      </c>
      <c r="E358" t="inlineStr">
        <is>
          <t>VILHELMINA</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36348-2024</t>
        </is>
      </c>
      <c r="B359" s="1" t="n">
        <v>45534.64422453703</v>
      </c>
      <c r="C359" s="1" t="n">
        <v>46110</v>
      </c>
      <c r="D359" t="inlineStr">
        <is>
          <t>VÄSTERBOTTENS LÄN</t>
        </is>
      </c>
      <c r="E359" t="inlineStr">
        <is>
          <t>VILHELMINA</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36355-2024</t>
        </is>
      </c>
      <c r="B360" s="1" t="n">
        <v>45534.64508101852</v>
      </c>
      <c r="C360" s="1" t="n">
        <v>46110</v>
      </c>
      <c r="D360" t="inlineStr">
        <is>
          <t>VÄSTERBOTTENS LÄN</t>
        </is>
      </c>
      <c r="E360" t="inlineStr">
        <is>
          <t>VILHELMINA</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36215-2023</t>
        </is>
      </c>
      <c r="B361" s="1" t="n">
        <v>45149.95266203704</v>
      </c>
      <c r="C361" s="1" t="n">
        <v>46110</v>
      </c>
      <c r="D361" t="inlineStr">
        <is>
          <t>VÄSTERBOTTENS LÄN</t>
        </is>
      </c>
      <c r="E361" t="inlineStr">
        <is>
          <t>VILHELMINA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24224-2025</t>
        </is>
      </c>
      <c r="B362" s="1" t="n">
        <v>45797</v>
      </c>
      <c r="C362" s="1" t="n">
        <v>46110</v>
      </c>
      <c r="D362" t="inlineStr">
        <is>
          <t>VÄSTERBOTTENS LÄN</t>
        </is>
      </c>
      <c r="E362" t="inlineStr">
        <is>
          <t>VILHELMINA</t>
        </is>
      </c>
      <c r="G362" t="n">
        <v>27.2</v>
      </c>
      <c r="H362" t="n">
        <v>0</v>
      </c>
      <c r="I362" t="n">
        <v>0</v>
      </c>
      <c r="J362" t="n">
        <v>0</v>
      </c>
      <c r="K362" t="n">
        <v>0</v>
      </c>
      <c r="L362" t="n">
        <v>0</v>
      </c>
      <c r="M362" t="n">
        <v>0</v>
      </c>
      <c r="N362" t="n">
        <v>0</v>
      </c>
      <c r="O362" t="n">
        <v>0</v>
      </c>
      <c r="P362" t="n">
        <v>0</v>
      </c>
      <c r="Q362" t="n">
        <v>0</v>
      </c>
      <c r="R362" s="2" t="inlineStr"/>
    </row>
    <row r="363" ht="15" customHeight="1">
      <c r="A363" t="inlineStr">
        <is>
          <t>A 60713-2025</t>
        </is>
      </c>
      <c r="B363" s="1" t="n">
        <v>45996.63483796296</v>
      </c>
      <c r="C363" s="1" t="n">
        <v>46110</v>
      </c>
      <c r="D363" t="inlineStr">
        <is>
          <t>VÄSTERBOTTENS LÄN</t>
        </is>
      </c>
      <c r="E363" t="inlineStr">
        <is>
          <t>VILHELMINA</t>
        </is>
      </c>
      <c r="G363" t="n">
        <v>2.4</v>
      </c>
      <c r="H363" t="n">
        <v>0</v>
      </c>
      <c r="I363" t="n">
        <v>0</v>
      </c>
      <c r="J363" t="n">
        <v>0</v>
      </c>
      <c r="K363" t="n">
        <v>0</v>
      </c>
      <c r="L363" t="n">
        <v>0</v>
      </c>
      <c r="M363" t="n">
        <v>0</v>
      </c>
      <c r="N363" t="n">
        <v>0</v>
      </c>
      <c r="O363" t="n">
        <v>0</v>
      </c>
      <c r="P363" t="n">
        <v>0</v>
      </c>
      <c r="Q363" t="n">
        <v>0</v>
      </c>
      <c r="R363" s="2" t="inlineStr"/>
    </row>
    <row r="364" ht="15" customHeight="1">
      <c r="A364" t="inlineStr">
        <is>
          <t>A 32253-2024</t>
        </is>
      </c>
      <c r="B364" s="1" t="n">
        <v>45511.95214120371</v>
      </c>
      <c r="C364" s="1" t="n">
        <v>46110</v>
      </c>
      <c r="D364" t="inlineStr">
        <is>
          <t>VÄSTERBOTTENS LÄN</t>
        </is>
      </c>
      <c r="E364" t="inlineStr">
        <is>
          <t>VILHELMINA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25180-2025</t>
        </is>
      </c>
      <c r="B365" s="1" t="n">
        <v>45800.44892361111</v>
      </c>
      <c r="C365" s="1" t="n">
        <v>46110</v>
      </c>
      <c r="D365" t="inlineStr">
        <is>
          <t>VÄSTERBOTTENS LÄN</t>
        </is>
      </c>
      <c r="E365" t="inlineStr">
        <is>
          <t>VILHELMINA</t>
        </is>
      </c>
      <c r="F365" t="inlineStr">
        <is>
          <t>SCA</t>
        </is>
      </c>
      <c r="G365" t="n">
        <v>10.8</v>
      </c>
      <c r="H365" t="n">
        <v>0</v>
      </c>
      <c r="I365" t="n">
        <v>0</v>
      </c>
      <c r="J365" t="n">
        <v>0</v>
      </c>
      <c r="K365" t="n">
        <v>0</v>
      </c>
      <c r="L365" t="n">
        <v>0</v>
      </c>
      <c r="M365" t="n">
        <v>0</v>
      </c>
      <c r="N365" t="n">
        <v>0</v>
      </c>
      <c r="O365" t="n">
        <v>0</v>
      </c>
      <c r="P365" t="n">
        <v>0</v>
      </c>
      <c r="Q365" t="n">
        <v>0</v>
      </c>
      <c r="R365" s="2" t="inlineStr"/>
    </row>
    <row r="366" ht="15" customHeight="1">
      <c r="A366" t="inlineStr">
        <is>
          <t>A 17587-2024</t>
        </is>
      </c>
      <c r="B366" s="1" t="n">
        <v>45415.94033564815</v>
      </c>
      <c r="C366" s="1" t="n">
        <v>46110</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24870-2025</t>
        </is>
      </c>
      <c r="B367" s="1" t="n">
        <v>45799.49025462963</v>
      </c>
      <c r="C367" s="1" t="n">
        <v>46110</v>
      </c>
      <c r="D367" t="inlineStr">
        <is>
          <t>VÄSTERBOTTENS LÄN</t>
        </is>
      </c>
      <c r="E367" t="inlineStr">
        <is>
          <t>VILHELMINA</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25239-2025</t>
        </is>
      </c>
      <c r="B368" s="1" t="n">
        <v>45800</v>
      </c>
      <c r="C368" s="1" t="n">
        <v>46110</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25309-2025</t>
        </is>
      </c>
      <c r="B369" s="1" t="n">
        <v>45800.57380787037</v>
      </c>
      <c r="C369" s="1" t="n">
        <v>46110</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57795-2023</t>
        </is>
      </c>
      <c r="B370" s="1" t="n">
        <v>45246.96861111111</v>
      </c>
      <c r="C370" s="1" t="n">
        <v>46110</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46318-2022</t>
        </is>
      </c>
      <c r="B371" s="1" t="n">
        <v>44847</v>
      </c>
      <c r="C371" s="1" t="n">
        <v>46110</v>
      </c>
      <c r="D371" t="inlineStr">
        <is>
          <t>VÄSTERBOTTENS LÄN</t>
        </is>
      </c>
      <c r="E371" t="inlineStr">
        <is>
          <t>VILHELMINA</t>
        </is>
      </c>
      <c r="G371" t="n">
        <v>11.7</v>
      </c>
      <c r="H371" t="n">
        <v>0</v>
      </c>
      <c r="I371" t="n">
        <v>0</v>
      </c>
      <c r="J371" t="n">
        <v>0</v>
      </c>
      <c r="K371" t="n">
        <v>0</v>
      </c>
      <c r="L371" t="n">
        <v>0</v>
      </c>
      <c r="M371" t="n">
        <v>0</v>
      </c>
      <c r="N371" t="n">
        <v>0</v>
      </c>
      <c r="O371" t="n">
        <v>0</v>
      </c>
      <c r="P371" t="n">
        <v>0</v>
      </c>
      <c r="Q371" t="n">
        <v>0</v>
      </c>
      <c r="R371" s="2" t="inlineStr"/>
    </row>
    <row r="372" ht="15" customHeight="1">
      <c r="A372" t="inlineStr">
        <is>
          <t>A 24871-2025</t>
        </is>
      </c>
      <c r="B372" s="1" t="n">
        <v>45799.49028935185</v>
      </c>
      <c r="C372" s="1" t="n">
        <v>46110</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60993-2025</t>
        </is>
      </c>
      <c r="B373" s="1" t="n">
        <v>45999.7365162037</v>
      </c>
      <c r="C373" s="1" t="n">
        <v>46110</v>
      </c>
      <c r="D373" t="inlineStr">
        <is>
          <t>VÄSTERBOTTENS LÄN</t>
        </is>
      </c>
      <c r="E373" t="inlineStr">
        <is>
          <t>VILHELMINA</t>
        </is>
      </c>
      <c r="G373" t="n">
        <v>7.9</v>
      </c>
      <c r="H373" t="n">
        <v>0</v>
      </c>
      <c r="I373" t="n">
        <v>0</v>
      </c>
      <c r="J373" t="n">
        <v>0</v>
      </c>
      <c r="K373" t="n">
        <v>0</v>
      </c>
      <c r="L373" t="n">
        <v>0</v>
      </c>
      <c r="M373" t="n">
        <v>0</v>
      </c>
      <c r="N373" t="n">
        <v>0</v>
      </c>
      <c r="O373" t="n">
        <v>0</v>
      </c>
      <c r="P373" t="n">
        <v>0</v>
      </c>
      <c r="Q373" t="n">
        <v>0</v>
      </c>
      <c r="R373" s="2" t="inlineStr"/>
    </row>
    <row r="374" ht="15" customHeight="1">
      <c r="A374" t="inlineStr">
        <is>
          <t>A 60994-2025</t>
        </is>
      </c>
      <c r="B374" s="1" t="n">
        <v>45999.74017361111</v>
      </c>
      <c r="C374" s="1" t="n">
        <v>46110</v>
      </c>
      <c r="D374" t="inlineStr">
        <is>
          <t>VÄSTERBOTTENS LÄN</t>
        </is>
      </c>
      <c r="E374" t="inlineStr">
        <is>
          <t>VILHELMINA</t>
        </is>
      </c>
      <c r="G374" t="n">
        <v>5.4</v>
      </c>
      <c r="H374" t="n">
        <v>0</v>
      </c>
      <c r="I374" t="n">
        <v>0</v>
      </c>
      <c r="J374" t="n">
        <v>0</v>
      </c>
      <c r="K374" t="n">
        <v>0</v>
      </c>
      <c r="L374" t="n">
        <v>0</v>
      </c>
      <c r="M374" t="n">
        <v>0</v>
      </c>
      <c r="N374" t="n">
        <v>0</v>
      </c>
      <c r="O374" t="n">
        <v>0</v>
      </c>
      <c r="P374" t="n">
        <v>0</v>
      </c>
      <c r="Q374" t="n">
        <v>0</v>
      </c>
      <c r="R374" s="2" t="inlineStr"/>
    </row>
    <row r="375" ht="15" customHeight="1">
      <c r="A375" t="inlineStr">
        <is>
          <t>A 61003-2025</t>
        </is>
      </c>
      <c r="B375" s="1" t="n">
        <v>45999.77453703704</v>
      </c>
      <c r="C375" s="1" t="n">
        <v>46110</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41171-2025</t>
        </is>
      </c>
      <c r="B376" s="1" t="n">
        <v>45898</v>
      </c>
      <c r="C376" s="1" t="n">
        <v>46110</v>
      </c>
      <c r="D376" t="inlineStr">
        <is>
          <t>VÄSTERBOTTENS LÄN</t>
        </is>
      </c>
      <c r="E376" t="inlineStr">
        <is>
          <t>VILHELMINA</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25062-2025</t>
        </is>
      </c>
      <c r="B377" s="1" t="n">
        <v>45799.69844907407</v>
      </c>
      <c r="C377" s="1" t="n">
        <v>46110</v>
      </c>
      <c r="D377" t="inlineStr">
        <is>
          <t>VÄSTERBOTTENS LÄN</t>
        </is>
      </c>
      <c r="E377" t="inlineStr">
        <is>
          <t>VILHELMINA</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25176-2025</t>
        </is>
      </c>
      <c r="B378" s="1" t="n">
        <v>45800.44840277778</v>
      </c>
      <c r="C378" s="1" t="n">
        <v>46110</v>
      </c>
      <c r="D378" t="inlineStr">
        <is>
          <t>VÄSTERBOTTENS LÄN</t>
        </is>
      </c>
      <c r="E378" t="inlineStr">
        <is>
          <t>VILHELMINA</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60991-2025</t>
        </is>
      </c>
      <c r="B379" s="1" t="n">
        <v>45999.72875</v>
      </c>
      <c r="C379" s="1" t="n">
        <v>46110</v>
      </c>
      <c r="D379" t="inlineStr">
        <is>
          <t>VÄSTERBOTTENS LÄN</t>
        </is>
      </c>
      <c r="E379" t="inlineStr">
        <is>
          <t>VILHELMINA</t>
        </is>
      </c>
      <c r="G379" t="n">
        <v>4.6</v>
      </c>
      <c r="H379" t="n">
        <v>0</v>
      </c>
      <c r="I379" t="n">
        <v>0</v>
      </c>
      <c r="J379" t="n">
        <v>0</v>
      </c>
      <c r="K379" t="n">
        <v>0</v>
      </c>
      <c r="L379" t="n">
        <v>0</v>
      </c>
      <c r="M379" t="n">
        <v>0</v>
      </c>
      <c r="N379" t="n">
        <v>0</v>
      </c>
      <c r="O379" t="n">
        <v>0</v>
      </c>
      <c r="P379" t="n">
        <v>0</v>
      </c>
      <c r="Q379" t="n">
        <v>0</v>
      </c>
      <c r="R379" s="2" t="inlineStr"/>
    </row>
    <row r="380" ht="15" customHeight="1">
      <c r="A380" t="inlineStr">
        <is>
          <t>A 60996-2025</t>
        </is>
      </c>
      <c r="B380" s="1" t="n">
        <v>45999.74579861111</v>
      </c>
      <c r="C380" s="1" t="n">
        <v>46110</v>
      </c>
      <c r="D380" t="inlineStr">
        <is>
          <t>VÄSTERBOTTENS LÄN</t>
        </is>
      </c>
      <c r="E380" t="inlineStr">
        <is>
          <t>VILHELMINA</t>
        </is>
      </c>
      <c r="G380" t="n">
        <v>4.6</v>
      </c>
      <c r="H380" t="n">
        <v>0</v>
      </c>
      <c r="I380" t="n">
        <v>0</v>
      </c>
      <c r="J380" t="n">
        <v>0</v>
      </c>
      <c r="K380" t="n">
        <v>0</v>
      </c>
      <c r="L380" t="n">
        <v>0</v>
      </c>
      <c r="M380" t="n">
        <v>0</v>
      </c>
      <c r="N380" t="n">
        <v>0</v>
      </c>
      <c r="O380" t="n">
        <v>0</v>
      </c>
      <c r="P380" t="n">
        <v>0</v>
      </c>
      <c r="Q380" t="n">
        <v>0</v>
      </c>
      <c r="R380" s="2" t="inlineStr"/>
    </row>
    <row r="381" ht="15" customHeight="1">
      <c r="A381" t="inlineStr">
        <is>
          <t>A 60999-2025</t>
        </is>
      </c>
      <c r="B381" s="1" t="n">
        <v>45999.76028935185</v>
      </c>
      <c r="C381" s="1" t="n">
        <v>46110</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60998-2025</t>
        </is>
      </c>
      <c r="B382" s="1" t="n">
        <v>45999.74972222222</v>
      </c>
      <c r="C382" s="1" t="n">
        <v>46110</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28380-2023</t>
        </is>
      </c>
      <c r="B383" s="1" t="n">
        <v>45099</v>
      </c>
      <c r="C383" s="1" t="n">
        <v>46110</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65151-2021</t>
        </is>
      </c>
      <c r="B384" s="1" t="n">
        <v>44515</v>
      </c>
      <c r="C384" s="1" t="n">
        <v>46110</v>
      </c>
      <c r="D384" t="inlineStr">
        <is>
          <t>VÄSTERBOTTENS LÄN</t>
        </is>
      </c>
      <c r="E384" t="inlineStr">
        <is>
          <t>VILHELMINA</t>
        </is>
      </c>
      <c r="G384" t="n">
        <v>11.8</v>
      </c>
      <c r="H384" t="n">
        <v>0</v>
      </c>
      <c r="I384" t="n">
        <v>0</v>
      </c>
      <c r="J384" t="n">
        <v>0</v>
      </c>
      <c r="K384" t="n">
        <v>0</v>
      </c>
      <c r="L384" t="n">
        <v>0</v>
      </c>
      <c r="M384" t="n">
        <v>0</v>
      </c>
      <c r="N384" t="n">
        <v>0</v>
      </c>
      <c r="O384" t="n">
        <v>0</v>
      </c>
      <c r="P384" t="n">
        <v>0</v>
      </c>
      <c r="Q384" t="n">
        <v>0</v>
      </c>
      <c r="R384" s="2" t="inlineStr"/>
    </row>
    <row r="385" ht="15" customHeight="1">
      <c r="A385" t="inlineStr">
        <is>
          <t>A 65159-2021</t>
        </is>
      </c>
      <c r="B385" s="1" t="n">
        <v>44515</v>
      </c>
      <c r="C385" s="1" t="n">
        <v>46110</v>
      </c>
      <c r="D385" t="inlineStr">
        <is>
          <t>VÄSTERBOTTENS LÄN</t>
        </is>
      </c>
      <c r="E385" t="inlineStr">
        <is>
          <t>VILHELMINA</t>
        </is>
      </c>
      <c r="G385" t="n">
        <v>5</v>
      </c>
      <c r="H385" t="n">
        <v>0</v>
      </c>
      <c r="I385" t="n">
        <v>0</v>
      </c>
      <c r="J385" t="n">
        <v>0</v>
      </c>
      <c r="K385" t="n">
        <v>0</v>
      </c>
      <c r="L385" t="n">
        <v>0</v>
      </c>
      <c r="M385" t="n">
        <v>0</v>
      </c>
      <c r="N385" t="n">
        <v>0</v>
      </c>
      <c r="O385" t="n">
        <v>0</v>
      </c>
      <c r="P385" t="n">
        <v>0</v>
      </c>
      <c r="Q385" t="n">
        <v>0</v>
      </c>
      <c r="R385" s="2" t="inlineStr"/>
    </row>
    <row r="386" ht="15" customHeight="1">
      <c r="A386" t="inlineStr">
        <is>
          <t>A 25524-2025</t>
        </is>
      </c>
      <c r="B386" s="1" t="n">
        <v>45803.38644675926</v>
      </c>
      <c r="C386" s="1" t="n">
        <v>46110</v>
      </c>
      <c r="D386" t="inlineStr">
        <is>
          <t>VÄSTERBOTTENS LÄN</t>
        </is>
      </c>
      <c r="E386" t="inlineStr">
        <is>
          <t>VILHELMINA</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8555-2023</t>
        </is>
      </c>
      <c r="B387" s="1" t="n">
        <v>44972</v>
      </c>
      <c r="C387" s="1" t="n">
        <v>46110</v>
      </c>
      <c r="D387" t="inlineStr">
        <is>
          <t>VÄSTERBOTTENS LÄN</t>
        </is>
      </c>
      <c r="E387" t="inlineStr">
        <is>
          <t>VILHELMINA</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47589-2025</t>
        </is>
      </c>
      <c r="B388" s="1" t="n">
        <v>45931</v>
      </c>
      <c r="C388" s="1" t="n">
        <v>46110</v>
      </c>
      <c r="D388" t="inlineStr">
        <is>
          <t>VÄSTERBOTTENS LÄN</t>
        </is>
      </c>
      <c r="E388" t="inlineStr">
        <is>
          <t>VILHELMINA</t>
        </is>
      </c>
      <c r="G388" t="n">
        <v>24.8</v>
      </c>
      <c r="H388" t="n">
        <v>0</v>
      </c>
      <c r="I388" t="n">
        <v>0</v>
      </c>
      <c r="J388" t="n">
        <v>0</v>
      </c>
      <c r="K388" t="n">
        <v>0</v>
      </c>
      <c r="L388" t="n">
        <v>0</v>
      </c>
      <c r="M388" t="n">
        <v>0</v>
      </c>
      <c r="N388" t="n">
        <v>0</v>
      </c>
      <c r="O388" t="n">
        <v>0</v>
      </c>
      <c r="P388" t="n">
        <v>0</v>
      </c>
      <c r="Q388" t="n">
        <v>0</v>
      </c>
      <c r="R388" s="2" t="inlineStr"/>
    </row>
    <row r="389" ht="15" customHeight="1">
      <c r="A389" t="inlineStr">
        <is>
          <t>A 61426-2025</t>
        </is>
      </c>
      <c r="B389" s="1" t="n">
        <v>46001.54938657407</v>
      </c>
      <c r="C389" s="1" t="n">
        <v>46110</v>
      </c>
      <c r="D389" t="inlineStr">
        <is>
          <t>VÄSTERBOTTENS LÄN</t>
        </is>
      </c>
      <c r="E389" t="inlineStr">
        <is>
          <t>VILHELMINA</t>
        </is>
      </c>
      <c r="G389" t="n">
        <v>12.2</v>
      </c>
      <c r="H389" t="n">
        <v>0</v>
      </c>
      <c r="I389" t="n">
        <v>0</v>
      </c>
      <c r="J389" t="n">
        <v>0</v>
      </c>
      <c r="K389" t="n">
        <v>0</v>
      </c>
      <c r="L389" t="n">
        <v>0</v>
      </c>
      <c r="M389" t="n">
        <v>0</v>
      </c>
      <c r="N389" t="n">
        <v>0</v>
      </c>
      <c r="O389" t="n">
        <v>0</v>
      </c>
      <c r="P389" t="n">
        <v>0</v>
      </c>
      <c r="Q389" t="n">
        <v>0</v>
      </c>
      <c r="R389" s="2" t="inlineStr"/>
    </row>
    <row r="390" ht="15" customHeight="1">
      <c r="A390" t="inlineStr">
        <is>
          <t>A 55695-2024</t>
        </is>
      </c>
      <c r="B390" s="1" t="n">
        <v>45622</v>
      </c>
      <c r="C390" s="1" t="n">
        <v>46110</v>
      </c>
      <c r="D390" t="inlineStr">
        <is>
          <t>VÄSTERBOTTENS LÄN</t>
        </is>
      </c>
      <c r="E390" t="inlineStr">
        <is>
          <t>VILHELMINA</t>
        </is>
      </c>
      <c r="G390" t="n">
        <v>7</v>
      </c>
      <c r="H390" t="n">
        <v>0</v>
      </c>
      <c r="I390" t="n">
        <v>0</v>
      </c>
      <c r="J390" t="n">
        <v>0</v>
      </c>
      <c r="K390" t="n">
        <v>0</v>
      </c>
      <c r="L390" t="n">
        <v>0</v>
      </c>
      <c r="M390" t="n">
        <v>0</v>
      </c>
      <c r="N390" t="n">
        <v>0</v>
      </c>
      <c r="O390" t="n">
        <v>0</v>
      </c>
      <c r="P390" t="n">
        <v>0</v>
      </c>
      <c r="Q390" t="n">
        <v>0</v>
      </c>
      <c r="R390" s="2" t="inlineStr"/>
    </row>
    <row r="391" ht="15" customHeight="1">
      <c r="A391" t="inlineStr">
        <is>
          <t>A 56396-2022</t>
        </is>
      </c>
      <c r="B391" s="1" t="n">
        <v>44890</v>
      </c>
      <c r="C391" s="1" t="n">
        <v>46110</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61464-2025</t>
        </is>
      </c>
      <c r="B392" s="1" t="n">
        <v>46001.60319444445</v>
      </c>
      <c r="C392" s="1" t="n">
        <v>46110</v>
      </c>
      <c r="D392" t="inlineStr">
        <is>
          <t>VÄSTERBOTTENS LÄN</t>
        </is>
      </c>
      <c r="E392" t="inlineStr">
        <is>
          <t>VILHELMINA</t>
        </is>
      </c>
      <c r="G392" t="n">
        <v>5.8</v>
      </c>
      <c r="H392" t="n">
        <v>0</v>
      </c>
      <c r="I392" t="n">
        <v>0</v>
      </c>
      <c r="J392" t="n">
        <v>0</v>
      </c>
      <c r="K392" t="n">
        <v>0</v>
      </c>
      <c r="L392" t="n">
        <v>0</v>
      </c>
      <c r="M392" t="n">
        <v>0</v>
      </c>
      <c r="N392" t="n">
        <v>0</v>
      </c>
      <c r="O392" t="n">
        <v>0</v>
      </c>
      <c r="P392" t="n">
        <v>0</v>
      </c>
      <c r="Q392" t="n">
        <v>0</v>
      </c>
      <c r="R392" s="2" t="inlineStr"/>
    </row>
    <row r="393" ht="15" customHeight="1">
      <c r="A393" t="inlineStr">
        <is>
          <t>A 61517-2025</t>
        </is>
      </c>
      <c r="B393" s="1" t="n">
        <v>46001.68586805555</v>
      </c>
      <c r="C393" s="1" t="n">
        <v>46110</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41704-2025</t>
        </is>
      </c>
      <c r="B394" s="1" t="n">
        <v>45902</v>
      </c>
      <c r="C394" s="1" t="n">
        <v>46110</v>
      </c>
      <c r="D394" t="inlineStr">
        <is>
          <t>VÄSTERBOTTENS LÄN</t>
        </is>
      </c>
      <c r="E394" t="inlineStr">
        <is>
          <t>VILHELMINA</t>
        </is>
      </c>
      <c r="G394" t="n">
        <v>3.3</v>
      </c>
      <c r="H394" t="n">
        <v>0</v>
      </c>
      <c r="I394" t="n">
        <v>0</v>
      </c>
      <c r="J394" t="n">
        <v>0</v>
      </c>
      <c r="K394" t="n">
        <v>0</v>
      </c>
      <c r="L394" t="n">
        <v>0</v>
      </c>
      <c r="M394" t="n">
        <v>0</v>
      </c>
      <c r="N394" t="n">
        <v>0</v>
      </c>
      <c r="O394" t="n">
        <v>0</v>
      </c>
      <c r="P394" t="n">
        <v>0</v>
      </c>
      <c r="Q394" t="n">
        <v>0</v>
      </c>
      <c r="R394" s="2" t="inlineStr"/>
    </row>
    <row r="395" ht="15" customHeight="1">
      <c r="A395" t="inlineStr">
        <is>
          <t>A 60682-2022</t>
        </is>
      </c>
      <c r="B395" s="1" t="n">
        <v>44911.94</v>
      </c>
      <c r="C395" s="1" t="n">
        <v>46110</v>
      </c>
      <c r="D395" t="inlineStr">
        <is>
          <t>VÄSTERBOTTENS LÄN</t>
        </is>
      </c>
      <c r="E395" t="inlineStr">
        <is>
          <t>VILHELMINA</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25770-2025</t>
        </is>
      </c>
      <c r="B396" s="1" t="n">
        <v>45804.3449537037</v>
      </c>
      <c r="C396" s="1" t="n">
        <v>46110</v>
      </c>
      <c r="D396" t="inlineStr">
        <is>
          <t>VÄSTERBOTTENS LÄN</t>
        </is>
      </c>
      <c r="E396" t="inlineStr">
        <is>
          <t>VILHELMINA</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37716-2024</t>
        </is>
      </c>
      <c r="B397" s="1" t="n">
        <v>45541.63592592593</v>
      </c>
      <c r="C397" s="1" t="n">
        <v>46110</v>
      </c>
      <c r="D397" t="inlineStr">
        <is>
          <t>VÄSTERBOTTENS LÄN</t>
        </is>
      </c>
      <c r="E397" t="inlineStr">
        <is>
          <t>VILHELMINA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37717-2024</t>
        </is>
      </c>
      <c r="B398" s="1" t="n">
        <v>45541</v>
      </c>
      <c r="C398" s="1" t="n">
        <v>46110</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42360-2025</t>
        </is>
      </c>
      <c r="B399" s="1" t="n">
        <v>45904</v>
      </c>
      <c r="C399" s="1" t="n">
        <v>46110</v>
      </c>
      <c r="D399" t="inlineStr">
        <is>
          <t>VÄSTERBOTTENS LÄN</t>
        </is>
      </c>
      <c r="E399" t="inlineStr">
        <is>
          <t>VILHELMINA</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46110</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45258-2024</t>
        </is>
      </c>
      <c r="B401" s="1" t="n">
        <v>45576.34444444445</v>
      </c>
      <c r="C401" s="1" t="n">
        <v>46110</v>
      </c>
      <c r="D401" t="inlineStr">
        <is>
          <t>VÄSTERBOTTENS LÄN</t>
        </is>
      </c>
      <c r="E401" t="inlineStr">
        <is>
          <t>VILHELMINA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61821-2025</t>
        </is>
      </c>
      <c r="B402" s="1" t="n">
        <v>46003.33113425926</v>
      </c>
      <c r="C402" s="1" t="n">
        <v>46110</v>
      </c>
      <c r="D402" t="inlineStr">
        <is>
          <t>VÄSTERBOTTENS LÄN</t>
        </is>
      </c>
      <c r="E402" t="inlineStr">
        <is>
          <t>VILHELMINA</t>
        </is>
      </c>
      <c r="G402" t="n">
        <v>13.3</v>
      </c>
      <c r="H402" t="n">
        <v>0</v>
      </c>
      <c r="I402" t="n">
        <v>0</v>
      </c>
      <c r="J402" t="n">
        <v>0</v>
      </c>
      <c r="K402" t="n">
        <v>0</v>
      </c>
      <c r="L402" t="n">
        <v>0</v>
      </c>
      <c r="M402" t="n">
        <v>0</v>
      </c>
      <c r="N402" t="n">
        <v>0</v>
      </c>
      <c r="O402" t="n">
        <v>0</v>
      </c>
      <c r="P402" t="n">
        <v>0</v>
      </c>
      <c r="Q402" t="n">
        <v>0</v>
      </c>
      <c r="R402" s="2" t="inlineStr"/>
    </row>
    <row r="403" ht="15" customHeight="1">
      <c r="A403" t="inlineStr">
        <is>
          <t>A 10941-2023</t>
        </is>
      </c>
      <c r="B403" s="1" t="n">
        <v>44985</v>
      </c>
      <c r="C403" s="1" t="n">
        <v>46110</v>
      </c>
      <c r="D403" t="inlineStr">
        <is>
          <t>VÄSTERBOTTENS LÄN</t>
        </is>
      </c>
      <c r="E403" t="inlineStr">
        <is>
          <t>VILHELMINA</t>
        </is>
      </c>
      <c r="G403" t="n">
        <v>16.7</v>
      </c>
      <c r="H403" t="n">
        <v>0</v>
      </c>
      <c r="I403" t="n">
        <v>0</v>
      </c>
      <c r="J403" t="n">
        <v>0</v>
      </c>
      <c r="K403" t="n">
        <v>0</v>
      </c>
      <c r="L403" t="n">
        <v>0</v>
      </c>
      <c r="M403" t="n">
        <v>0</v>
      </c>
      <c r="N403" t="n">
        <v>0</v>
      </c>
      <c r="O403" t="n">
        <v>0</v>
      </c>
      <c r="P403" t="n">
        <v>0</v>
      </c>
      <c r="Q403" t="n">
        <v>0</v>
      </c>
      <c r="R403" s="2" t="inlineStr"/>
    </row>
    <row r="404" ht="15" customHeight="1">
      <c r="A404" t="inlineStr">
        <is>
          <t>A 38222-2024</t>
        </is>
      </c>
      <c r="B404" s="1" t="n">
        <v>45545.53619212963</v>
      </c>
      <c r="C404" s="1" t="n">
        <v>46110</v>
      </c>
      <c r="D404" t="inlineStr">
        <is>
          <t>VÄSTERBOTTENS LÄN</t>
        </is>
      </c>
      <c r="E404" t="inlineStr">
        <is>
          <t>VILHELMINA</t>
        </is>
      </c>
      <c r="F404" t="inlineStr">
        <is>
          <t>Sveaskog</t>
        </is>
      </c>
      <c r="G404" t="n">
        <v>6</v>
      </c>
      <c r="H404" t="n">
        <v>0</v>
      </c>
      <c r="I404" t="n">
        <v>0</v>
      </c>
      <c r="J404" t="n">
        <v>0</v>
      </c>
      <c r="K404" t="n">
        <v>0</v>
      </c>
      <c r="L404" t="n">
        <v>0</v>
      </c>
      <c r="M404" t="n">
        <v>0</v>
      </c>
      <c r="N404" t="n">
        <v>0</v>
      </c>
      <c r="O404" t="n">
        <v>0</v>
      </c>
      <c r="P404" t="n">
        <v>0</v>
      </c>
      <c r="Q404" t="n">
        <v>0</v>
      </c>
      <c r="R404" s="2" t="inlineStr"/>
    </row>
    <row r="405" ht="15" customHeight="1">
      <c r="A405" t="inlineStr">
        <is>
          <t>A 3237-2024</t>
        </is>
      </c>
      <c r="B405" s="1" t="n">
        <v>45316.9474537037</v>
      </c>
      <c r="C405" s="1" t="n">
        <v>46110</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36909-2024</t>
        </is>
      </c>
      <c r="B406" s="1" t="n">
        <v>45538.63577546296</v>
      </c>
      <c r="C406" s="1" t="n">
        <v>46110</v>
      </c>
      <c r="D406" t="inlineStr">
        <is>
          <t>VÄSTERBOTTENS LÄN</t>
        </is>
      </c>
      <c r="E406" t="inlineStr">
        <is>
          <t>VILHELMINA</t>
        </is>
      </c>
      <c r="F406" t="inlineStr">
        <is>
          <t>SCA</t>
        </is>
      </c>
      <c r="G406" t="n">
        <v>16.8</v>
      </c>
      <c r="H406" t="n">
        <v>0</v>
      </c>
      <c r="I406" t="n">
        <v>0</v>
      </c>
      <c r="J406" t="n">
        <v>0</v>
      </c>
      <c r="K406" t="n">
        <v>0</v>
      </c>
      <c r="L406" t="n">
        <v>0</v>
      </c>
      <c r="M406" t="n">
        <v>0</v>
      </c>
      <c r="N406" t="n">
        <v>0</v>
      </c>
      <c r="O406" t="n">
        <v>0</v>
      </c>
      <c r="P406" t="n">
        <v>0</v>
      </c>
      <c r="Q406" t="n">
        <v>0</v>
      </c>
      <c r="R406" s="2" t="inlineStr"/>
    </row>
    <row r="407" ht="15" customHeight="1">
      <c r="A407" t="inlineStr">
        <is>
          <t>A 2054-2023</t>
        </is>
      </c>
      <c r="B407" s="1" t="n">
        <v>44939</v>
      </c>
      <c r="C407" s="1" t="n">
        <v>46110</v>
      </c>
      <c r="D407" t="inlineStr">
        <is>
          <t>VÄSTERBOTTENS LÄN</t>
        </is>
      </c>
      <c r="E407" t="inlineStr">
        <is>
          <t>VILHELMINA</t>
        </is>
      </c>
      <c r="F407" t="inlineStr">
        <is>
          <t>Sveaskog</t>
        </is>
      </c>
      <c r="G407" t="n">
        <v>19.2</v>
      </c>
      <c r="H407" t="n">
        <v>0</v>
      </c>
      <c r="I407" t="n">
        <v>0</v>
      </c>
      <c r="J407" t="n">
        <v>0</v>
      </c>
      <c r="K407" t="n">
        <v>0</v>
      </c>
      <c r="L407" t="n">
        <v>0</v>
      </c>
      <c r="M407" t="n">
        <v>0</v>
      </c>
      <c r="N407" t="n">
        <v>0</v>
      </c>
      <c r="O407" t="n">
        <v>0</v>
      </c>
      <c r="P407" t="n">
        <v>0</v>
      </c>
      <c r="Q407" t="n">
        <v>0</v>
      </c>
      <c r="R407" s="2" t="inlineStr"/>
    </row>
    <row r="408" ht="15" customHeight="1">
      <c r="A408" t="inlineStr">
        <is>
          <t>A 61778-2023</t>
        </is>
      </c>
      <c r="B408" s="1" t="n">
        <v>45265.95667824074</v>
      </c>
      <c r="C408" s="1" t="n">
        <v>46110</v>
      </c>
      <c r="D408" t="inlineStr">
        <is>
          <t>VÄSTERBOTTENS LÄN</t>
        </is>
      </c>
      <c r="E408" t="inlineStr">
        <is>
          <t>VILHELMINA</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62319-2025</t>
        </is>
      </c>
      <c r="B409" s="1" t="n">
        <v>46006.69791666666</v>
      </c>
      <c r="C409" s="1" t="n">
        <v>46110</v>
      </c>
      <c r="D409" t="inlineStr">
        <is>
          <t>VÄSTERBOTTENS LÄN</t>
        </is>
      </c>
      <c r="E409" t="inlineStr">
        <is>
          <t>VILHELMINA</t>
        </is>
      </c>
      <c r="G409" t="n">
        <v>8.5</v>
      </c>
      <c r="H409" t="n">
        <v>0</v>
      </c>
      <c r="I409" t="n">
        <v>0</v>
      </c>
      <c r="J409" t="n">
        <v>0</v>
      </c>
      <c r="K409" t="n">
        <v>0</v>
      </c>
      <c r="L409" t="n">
        <v>0</v>
      </c>
      <c r="M409" t="n">
        <v>0</v>
      </c>
      <c r="N409" t="n">
        <v>0</v>
      </c>
      <c r="O409" t="n">
        <v>0</v>
      </c>
      <c r="P409" t="n">
        <v>0</v>
      </c>
      <c r="Q409" t="n">
        <v>0</v>
      </c>
      <c r="R409" s="2" t="inlineStr"/>
    </row>
    <row r="410" ht="15" customHeight="1">
      <c r="A410" t="inlineStr">
        <is>
          <t>A 41644-2024</t>
        </is>
      </c>
      <c r="B410" s="1" t="n">
        <v>45560</v>
      </c>
      <c r="C410" s="1" t="n">
        <v>46110</v>
      </c>
      <c r="D410" t="inlineStr">
        <is>
          <t>VÄSTERBOTTENS LÄN</t>
        </is>
      </c>
      <c r="E410" t="inlineStr">
        <is>
          <t>VILHELMINA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24988-2025</t>
        </is>
      </c>
      <c r="B411" s="1" t="n">
        <v>45799</v>
      </c>
      <c r="C411" s="1" t="n">
        <v>46110</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48422-2023</t>
        </is>
      </c>
      <c r="B412" s="1" t="n">
        <v>45205</v>
      </c>
      <c r="C412" s="1" t="n">
        <v>46110</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48483-2023</t>
        </is>
      </c>
      <c r="B413" s="1" t="n">
        <v>45206.95854166667</v>
      </c>
      <c r="C413" s="1" t="n">
        <v>46110</v>
      </c>
      <c r="D413" t="inlineStr">
        <is>
          <t>VÄSTERBOTTENS LÄN</t>
        </is>
      </c>
      <c r="E413" t="inlineStr">
        <is>
          <t>VILHELMINA</t>
        </is>
      </c>
      <c r="F413" t="inlineStr">
        <is>
          <t>SCA</t>
        </is>
      </c>
      <c r="G413" t="n">
        <v>7.6</v>
      </c>
      <c r="H413" t="n">
        <v>0</v>
      </c>
      <c r="I413" t="n">
        <v>0</v>
      </c>
      <c r="J413" t="n">
        <v>0</v>
      </c>
      <c r="K413" t="n">
        <v>0</v>
      </c>
      <c r="L413" t="n">
        <v>0</v>
      </c>
      <c r="M413" t="n">
        <v>0</v>
      </c>
      <c r="N413" t="n">
        <v>0</v>
      </c>
      <c r="O413" t="n">
        <v>0</v>
      </c>
      <c r="P413" t="n">
        <v>0</v>
      </c>
      <c r="Q413" t="n">
        <v>0</v>
      </c>
      <c r="R413" s="2" t="inlineStr"/>
    </row>
    <row r="414" ht="15" customHeight="1">
      <c r="A414" t="inlineStr">
        <is>
          <t>A 48505-2023</t>
        </is>
      </c>
      <c r="B414" s="1" t="n">
        <v>45207.93900462963</v>
      </c>
      <c r="C414" s="1" t="n">
        <v>46110</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62318-2025</t>
        </is>
      </c>
      <c r="B415" s="1" t="n">
        <v>46006</v>
      </c>
      <c r="C415" s="1" t="n">
        <v>46110</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62325-2025</t>
        </is>
      </c>
      <c r="B416" s="1" t="n">
        <v>46006.7149074074</v>
      </c>
      <c r="C416" s="1" t="n">
        <v>46110</v>
      </c>
      <c r="D416" t="inlineStr">
        <is>
          <t>VÄSTERBOTTENS LÄN</t>
        </is>
      </c>
      <c r="E416" t="inlineStr">
        <is>
          <t>VILHELMINA</t>
        </is>
      </c>
      <c r="G416" t="n">
        <v>3.9</v>
      </c>
      <c r="H416" t="n">
        <v>0</v>
      </c>
      <c r="I416" t="n">
        <v>0</v>
      </c>
      <c r="J416" t="n">
        <v>0</v>
      </c>
      <c r="K416" t="n">
        <v>0</v>
      </c>
      <c r="L416" t="n">
        <v>0</v>
      </c>
      <c r="M416" t="n">
        <v>0</v>
      </c>
      <c r="N416" t="n">
        <v>0</v>
      </c>
      <c r="O416" t="n">
        <v>0</v>
      </c>
      <c r="P416" t="n">
        <v>0</v>
      </c>
      <c r="Q416" t="n">
        <v>0</v>
      </c>
      <c r="R416" s="2" t="inlineStr"/>
    </row>
    <row r="417" ht="15" customHeight="1">
      <c r="A417" t="inlineStr">
        <is>
          <t>A 50489-2023</t>
        </is>
      </c>
      <c r="B417" s="1" t="n">
        <v>45216.95556712963</v>
      </c>
      <c r="C417" s="1" t="n">
        <v>46110</v>
      </c>
      <c r="D417" t="inlineStr">
        <is>
          <t>VÄSTERBOTTENS LÄN</t>
        </is>
      </c>
      <c r="E417" t="inlineStr">
        <is>
          <t>VILHELMINA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50506-2023</t>
        </is>
      </c>
      <c r="B418" s="1" t="n">
        <v>45216.9580787037</v>
      </c>
      <c r="C418" s="1" t="n">
        <v>46110</v>
      </c>
      <c r="D418" t="inlineStr">
        <is>
          <t>VÄSTERBOTTENS LÄN</t>
        </is>
      </c>
      <c r="E418" t="inlineStr">
        <is>
          <t>VILHELMINA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22617-2025</t>
        </is>
      </c>
      <c r="B419" s="1" t="n">
        <v>45789</v>
      </c>
      <c r="C419" s="1" t="n">
        <v>46110</v>
      </c>
      <c r="D419" t="inlineStr">
        <is>
          <t>VÄSTERBOTTENS LÄN</t>
        </is>
      </c>
      <c r="E419" t="inlineStr">
        <is>
          <t>VILHELMINA</t>
        </is>
      </c>
      <c r="F419" t="inlineStr">
        <is>
          <t>SCA</t>
        </is>
      </c>
      <c r="G419" t="n">
        <v>7.3</v>
      </c>
      <c r="H419" t="n">
        <v>0</v>
      </c>
      <c r="I419" t="n">
        <v>0</v>
      </c>
      <c r="J419" t="n">
        <v>0</v>
      </c>
      <c r="K419" t="n">
        <v>0</v>
      </c>
      <c r="L419" t="n">
        <v>0</v>
      </c>
      <c r="M419" t="n">
        <v>0</v>
      </c>
      <c r="N419" t="n">
        <v>0</v>
      </c>
      <c r="O419" t="n">
        <v>0</v>
      </c>
      <c r="P419" t="n">
        <v>0</v>
      </c>
      <c r="Q419" t="n">
        <v>0</v>
      </c>
      <c r="R419" s="2" t="inlineStr"/>
    </row>
    <row r="420" ht="15" customHeight="1">
      <c r="A420" t="inlineStr">
        <is>
          <t>A 15792-2025</t>
        </is>
      </c>
      <c r="B420" s="1" t="n">
        <v>45748.63356481482</v>
      </c>
      <c r="C420" s="1" t="n">
        <v>46110</v>
      </c>
      <c r="D420" t="inlineStr">
        <is>
          <t>VÄSTERBOTTENS LÄN</t>
        </is>
      </c>
      <c r="E420" t="inlineStr">
        <is>
          <t>VILHELMINA</t>
        </is>
      </c>
      <c r="G420" t="n">
        <v>5.5</v>
      </c>
      <c r="H420" t="n">
        <v>0</v>
      </c>
      <c r="I420" t="n">
        <v>0</v>
      </c>
      <c r="J420" t="n">
        <v>0</v>
      </c>
      <c r="K420" t="n">
        <v>0</v>
      </c>
      <c r="L420" t="n">
        <v>0</v>
      </c>
      <c r="M420" t="n">
        <v>0</v>
      </c>
      <c r="N420" t="n">
        <v>0</v>
      </c>
      <c r="O420" t="n">
        <v>0</v>
      </c>
      <c r="P420" t="n">
        <v>0</v>
      </c>
      <c r="Q420" t="n">
        <v>0</v>
      </c>
      <c r="R420" s="2" t="inlineStr"/>
    </row>
    <row r="421" ht="15" customHeight="1">
      <c r="A421" t="inlineStr">
        <is>
          <t>A 38569-2024</t>
        </is>
      </c>
      <c r="B421" s="1" t="n">
        <v>45546.63689814815</v>
      </c>
      <c r="C421" s="1" t="n">
        <v>46110</v>
      </c>
      <c r="D421" t="inlineStr">
        <is>
          <t>VÄSTERBOTTENS LÄN</t>
        </is>
      </c>
      <c r="E421" t="inlineStr">
        <is>
          <t>VILHELMINA</t>
        </is>
      </c>
      <c r="G421" t="n">
        <v>31.5</v>
      </c>
      <c r="H421" t="n">
        <v>0</v>
      </c>
      <c r="I421" t="n">
        <v>0</v>
      </c>
      <c r="J421" t="n">
        <v>0</v>
      </c>
      <c r="K421" t="n">
        <v>0</v>
      </c>
      <c r="L421" t="n">
        <v>0</v>
      </c>
      <c r="M421" t="n">
        <v>0</v>
      </c>
      <c r="N421" t="n">
        <v>0</v>
      </c>
      <c r="O421" t="n">
        <v>0</v>
      </c>
      <c r="P421" t="n">
        <v>0</v>
      </c>
      <c r="Q421" t="n">
        <v>0</v>
      </c>
      <c r="R421" s="2" t="inlineStr"/>
    </row>
    <row r="422" ht="15" customHeight="1">
      <c r="A422" t="inlineStr">
        <is>
          <t>A 25942-2025</t>
        </is>
      </c>
      <c r="B422" s="1" t="n">
        <v>45804.59461805555</v>
      </c>
      <c r="C422" s="1" t="n">
        <v>46110</v>
      </c>
      <c r="D422" t="inlineStr">
        <is>
          <t>VÄSTERBOTTENS LÄN</t>
        </is>
      </c>
      <c r="E422" t="inlineStr">
        <is>
          <t>VILHELMINA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47011-2024</t>
        </is>
      </c>
      <c r="B423" s="1" t="n">
        <v>45586.38592592593</v>
      </c>
      <c r="C423" s="1" t="n">
        <v>46110</v>
      </c>
      <c r="D423" t="inlineStr">
        <is>
          <t>VÄSTERBOTTENS LÄN</t>
        </is>
      </c>
      <c r="E423" t="inlineStr">
        <is>
          <t>VILHELMINA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60549-2022</t>
        </is>
      </c>
      <c r="B424" s="1" t="n">
        <v>44911.51318287037</v>
      </c>
      <c r="C424" s="1" t="n">
        <v>46110</v>
      </c>
      <c r="D424" t="inlineStr">
        <is>
          <t>VÄSTERBOTTENS LÄN</t>
        </is>
      </c>
      <c r="E424" t="inlineStr">
        <is>
          <t>VILHELMINA</t>
        </is>
      </c>
      <c r="G424" t="n">
        <v>3.8</v>
      </c>
      <c r="H424" t="n">
        <v>0</v>
      </c>
      <c r="I424" t="n">
        <v>0</v>
      </c>
      <c r="J424" t="n">
        <v>0</v>
      </c>
      <c r="K424" t="n">
        <v>0</v>
      </c>
      <c r="L424" t="n">
        <v>0</v>
      </c>
      <c r="M424" t="n">
        <v>0</v>
      </c>
      <c r="N424" t="n">
        <v>0</v>
      </c>
      <c r="O424" t="n">
        <v>0</v>
      </c>
      <c r="P424" t="n">
        <v>0</v>
      </c>
      <c r="Q424" t="n">
        <v>0</v>
      </c>
      <c r="R424" s="2" t="inlineStr"/>
    </row>
    <row r="425" ht="15" customHeight="1">
      <c r="A425" t="inlineStr">
        <is>
          <t>A 59030-2022</t>
        </is>
      </c>
      <c r="B425" s="1" t="n">
        <v>44903</v>
      </c>
      <c r="C425" s="1" t="n">
        <v>46110</v>
      </c>
      <c r="D425" t="inlineStr">
        <is>
          <t>VÄSTERBOTTENS LÄN</t>
        </is>
      </c>
      <c r="E425" t="inlineStr">
        <is>
          <t>VILHELMINA</t>
        </is>
      </c>
      <c r="G425" t="n">
        <v>17.8</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46110</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33318-2024</t>
        </is>
      </c>
      <c r="B427" s="1" t="n">
        <v>45518.97211805556</v>
      </c>
      <c r="C427" s="1" t="n">
        <v>46110</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33321-2024</t>
        </is>
      </c>
      <c r="B428" s="1" t="n">
        <v>45518.97256944444</v>
      </c>
      <c r="C428" s="1" t="n">
        <v>46110</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15884-2025</t>
        </is>
      </c>
      <c r="B429" s="1" t="n">
        <v>45749</v>
      </c>
      <c r="C429" s="1" t="n">
        <v>46110</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62630-2022</t>
        </is>
      </c>
      <c r="B430" s="1" t="n">
        <v>44917</v>
      </c>
      <c r="C430" s="1" t="n">
        <v>46110</v>
      </c>
      <c r="D430" t="inlineStr">
        <is>
          <t>VÄSTERBOTTENS LÄN</t>
        </is>
      </c>
      <c r="E430" t="inlineStr">
        <is>
          <t>VILHELMINA</t>
        </is>
      </c>
      <c r="G430" t="n">
        <v>0.9</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46110</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26098-2025</t>
        </is>
      </c>
      <c r="B432" s="1" t="n">
        <v>45805</v>
      </c>
      <c r="C432" s="1" t="n">
        <v>46110</v>
      </c>
      <c r="D432" t="inlineStr">
        <is>
          <t>VÄSTERBOTTENS LÄN</t>
        </is>
      </c>
      <c r="E432" t="inlineStr">
        <is>
          <t>VILHELMINA</t>
        </is>
      </c>
      <c r="F432" t="inlineStr">
        <is>
          <t>Övriga statliga verk och myndigheter</t>
        </is>
      </c>
      <c r="G432" t="n">
        <v>5.4</v>
      </c>
      <c r="H432" t="n">
        <v>0</v>
      </c>
      <c r="I432" t="n">
        <v>0</v>
      </c>
      <c r="J432" t="n">
        <v>0</v>
      </c>
      <c r="K432" t="n">
        <v>0</v>
      </c>
      <c r="L432" t="n">
        <v>0</v>
      </c>
      <c r="M432" t="n">
        <v>0</v>
      </c>
      <c r="N432" t="n">
        <v>0</v>
      </c>
      <c r="O432" t="n">
        <v>0</v>
      </c>
      <c r="P432" t="n">
        <v>0</v>
      </c>
      <c r="Q432" t="n">
        <v>0</v>
      </c>
      <c r="R432" s="2" t="inlineStr"/>
    </row>
    <row r="433" ht="15" customHeight="1">
      <c r="A433" t="inlineStr">
        <is>
          <t>A 63110-2025</t>
        </is>
      </c>
      <c r="B433" s="1" t="n">
        <v>46009</v>
      </c>
      <c r="C433" s="1" t="n">
        <v>46110</v>
      </c>
      <c r="D433" t="inlineStr">
        <is>
          <t>VÄSTERBOTTENS LÄN</t>
        </is>
      </c>
      <c r="E433" t="inlineStr">
        <is>
          <t>VILHELMINA</t>
        </is>
      </c>
      <c r="G433" t="n">
        <v>6.8</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46110</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27355-2023</t>
        </is>
      </c>
      <c r="B435" s="1" t="n">
        <v>45096</v>
      </c>
      <c r="C435" s="1" t="n">
        <v>46110</v>
      </c>
      <c r="D435" t="inlineStr">
        <is>
          <t>VÄSTERBOTTENS LÄN</t>
        </is>
      </c>
      <c r="E435" t="inlineStr">
        <is>
          <t>VILHELMINA</t>
        </is>
      </c>
      <c r="G435" t="n">
        <v>2.6</v>
      </c>
      <c r="H435" t="n">
        <v>0</v>
      </c>
      <c r="I435" t="n">
        <v>0</v>
      </c>
      <c r="J435" t="n">
        <v>0</v>
      </c>
      <c r="K435" t="n">
        <v>0</v>
      </c>
      <c r="L435" t="n">
        <v>0</v>
      </c>
      <c r="M435" t="n">
        <v>0</v>
      </c>
      <c r="N435" t="n">
        <v>0</v>
      </c>
      <c r="O435" t="n">
        <v>0</v>
      </c>
      <c r="P435" t="n">
        <v>0</v>
      </c>
      <c r="Q435" t="n">
        <v>0</v>
      </c>
      <c r="R435" s="2" t="inlineStr"/>
    </row>
    <row r="436" ht="15" customHeight="1">
      <c r="A436" t="inlineStr">
        <is>
          <t>A 16626-2024</t>
        </is>
      </c>
      <c r="B436" s="1" t="n">
        <v>45408</v>
      </c>
      <c r="C436" s="1" t="n">
        <v>46110</v>
      </c>
      <c r="D436" t="inlineStr">
        <is>
          <t>VÄSTERBOTTENS LÄN</t>
        </is>
      </c>
      <c r="E436" t="inlineStr">
        <is>
          <t>VILHELMINA</t>
        </is>
      </c>
      <c r="G436" t="n">
        <v>15.5</v>
      </c>
      <c r="H436" t="n">
        <v>0</v>
      </c>
      <c r="I436" t="n">
        <v>0</v>
      </c>
      <c r="J436" t="n">
        <v>0</v>
      </c>
      <c r="K436" t="n">
        <v>0</v>
      </c>
      <c r="L436" t="n">
        <v>0</v>
      </c>
      <c r="M436" t="n">
        <v>0</v>
      </c>
      <c r="N436" t="n">
        <v>0</v>
      </c>
      <c r="O436" t="n">
        <v>0</v>
      </c>
      <c r="P436" t="n">
        <v>0</v>
      </c>
      <c r="Q436" t="n">
        <v>0</v>
      </c>
      <c r="R436" s="2" t="inlineStr"/>
    </row>
    <row r="437" ht="15" customHeight="1">
      <c r="A437" t="inlineStr">
        <is>
          <t>A 2043-2023</t>
        </is>
      </c>
      <c r="B437" s="1" t="n">
        <v>44939</v>
      </c>
      <c r="C437" s="1" t="n">
        <v>46110</v>
      </c>
      <c r="D437" t="inlineStr">
        <is>
          <t>VÄSTERBOTTENS LÄN</t>
        </is>
      </c>
      <c r="E437" t="inlineStr">
        <is>
          <t>VILHELMINA</t>
        </is>
      </c>
      <c r="F437" t="inlineStr">
        <is>
          <t>Sveaskog</t>
        </is>
      </c>
      <c r="G437" t="n">
        <v>10.5</v>
      </c>
      <c r="H437" t="n">
        <v>0</v>
      </c>
      <c r="I437" t="n">
        <v>0</v>
      </c>
      <c r="J437" t="n">
        <v>0</v>
      </c>
      <c r="K437" t="n">
        <v>0</v>
      </c>
      <c r="L437" t="n">
        <v>0</v>
      </c>
      <c r="M437" t="n">
        <v>0</v>
      </c>
      <c r="N437" t="n">
        <v>0</v>
      </c>
      <c r="O437" t="n">
        <v>0</v>
      </c>
      <c r="P437" t="n">
        <v>0</v>
      </c>
      <c r="Q437" t="n">
        <v>0</v>
      </c>
      <c r="R437" s="2" t="inlineStr"/>
    </row>
    <row r="438" ht="15" customHeight="1">
      <c r="A438" t="inlineStr">
        <is>
          <t>A 58946-2024</t>
        </is>
      </c>
      <c r="B438" s="1" t="n">
        <v>45636.55063657407</v>
      </c>
      <c r="C438" s="1" t="n">
        <v>46110</v>
      </c>
      <c r="D438" t="inlineStr">
        <is>
          <t>VÄSTERBOTTENS LÄN</t>
        </is>
      </c>
      <c r="E438" t="inlineStr">
        <is>
          <t>VILHELMINA</t>
        </is>
      </c>
      <c r="F438" t="inlineStr">
        <is>
          <t>Kommuner</t>
        </is>
      </c>
      <c r="G438" t="n">
        <v>4.9</v>
      </c>
      <c r="H438" t="n">
        <v>0</v>
      </c>
      <c r="I438" t="n">
        <v>0</v>
      </c>
      <c r="J438" t="n">
        <v>0</v>
      </c>
      <c r="K438" t="n">
        <v>0</v>
      </c>
      <c r="L438" t="n">
        <v>0</v>
      </c>
      <c r="M438" t="n">
        <v>0</v>
      </c>
      <c r="N438" t="n">
        <v>0</v>
      </c>
      <c r="O438" t="n">
        <v>0</v>
      </c>
      <c r="P438" t="n">
        <v>0</v>
      </c>
      <c r="Q438" t="n">
        <v>0</v>
      </c>
      <c r="R438" s="2" t="inlineStr"/>
    </row>
    <row r="439" ht="15" customHeight="1">
      <c r="A439" t="inlineStr">
        <is>
          <t>A 55870-2022</t>
        </is>
      </c>
      <c r="B439" s="1" t="n">
        <v>44888</v>
      </c>
      <c r="C439" s="1" t="n">
        <v>46110</v>
      </c>
      <c r="D439" t="inlineStr">
        <is>
          <t>VÄSTERBOTTENS LÄN</t>
        </is>
      </c>
      <c r="E439" t="inlineStr">
        <is>
          <t>VILHELMINA</t>
        </is>
      </c>
      <c r="G439" t="n">
        <v>13.6</v>
      </c>
      <c r="H439" t="n">
        <v>0</v>
      </c>
      <c r="I439" t="n">
        <v>0</v>
      </c>
      <c r="J439" t="n">
        <v>0</v>
      </c>
      <c r="K439" t="n">
        <v>0</v>
      </c>
      <c r="L439" t="n">
        <v>0</v>
      </c>
      <c r="M439" t="n">
        <v>0</v>
      </c>
      <c r="N439" t="n">
        <v>0</v>
      </c>
      <c r="O439" t="n">
        <v>0</v>
      </c>
      <c r="P439" t="n">
        <v>0</v>
      </c>
      <c r="Q439" t="n">
        <v>0</v>
      </c>
      <c r="R439" s="2" t="inlineStr"/>
    </row>
    <row r="440" ht="15" customHeight="1">
      <c r="A440" t="inlineStr">
        <is>
          <t>A 61911-2025</t>
        </is>
      </c>
      <c r="B440" s="1" t="n">
        <v>46003</v>
      </c>
      <c r="C440" s="1" t="n">
        <v>46110</v>
      </c>
      <c r="D440" t="inlineStr">
        <is>
          <t>VÄSTERBOTTENS LÄN</t>
        </is>
      </c>
      <c r="E440" t="inlineStr">
        <is>
          <t>VILHELMINA</t>
        </is>
      </c>
      <c r="G440" t="n">
        <v>23.1</v>
      </c>
      <c r="H440" t="n">
        <v>0</v>
      </c>
      <c r="I440" t="n">
        <v>0</v>
      </c>
      <c r="J440" t="n">
        <v>0</v>
      </c>
      <c r="K440" t="n">
        <v>0</v>
      </c>
      <c r="L440" t="n">
        <v>0</v>
      </c>
      <c r="M440" t="n">
        <v>0</v>
      </c>
      <c r="N440" t="n">
        <v>0</v>
      </c>
      <c r="O440" t="n">
        <v>0</v>
      </c>
      <c r="P440" t="n">
        <v>0</v>
      </c>
      <c r="Q440" t="n">
        <v>0</v>
      </c>
      <c r="R440" s="2" t="inlineStr"/>
    </row>
    <row r="441" ht="15" customHeight="1">
      <c r="A441" t="inlineStr">
        <is>
          <t>A 40732-2024</t>
        </is>
      </c>
      <c r="B441" s="1" t="n">
        <v>45558</v>
      </c>
      <c r="C441" s="1" t="n">
        <v>46110</v>
      </c>
      <c r="D441" t="inlineStr">
        <is>
          <t>VÄSTERBOTTENS LÄN</t>
        </is>
      </c>
      <c r="E441" t="inlineStr">
        <is>
          <t>VILHELMINA</t>
        </is>
      </c>
      <c r="F441" t="inlineStr">
        <is>
          <t>Allmännings- och besparingsskogar</t>
        </is>
      </c>
      <c r="G441" t="n">
        <v>90</v>
      </c>
      <c r="H441" t="n">
        <v>0</v>
      </c>
      <c r="I441" t="n">
        <v>0</v>
      </c>
      <c r="J441" t="n">
        <v>0</v>
      </c>
      <c r="K441" t="n">
        <v>0</v>
      </c>
      <c r="L441" t="n">
        <v>0</v>
      </c>
      <c r="M441" t="n">
        <v>0</v>
      </c>
      <c r="N441" t="n">
        <v>0</v>
      </c>
      <c r="O441" t="n">
        <v>0</v>
      </c>
      <c r="P441" t="n">
        <v>0</v>
      </c>
      <c r="Q441" t="n">
        <v>0</v>
      </c>
      <c r="R441" s="2" t="inlineStr"/>
    </row>
    <row r="442" ht="15" customHeight="1">
      <c r="A442" t="inlineStr">
        <is>
          <t>A 44015-2025</t>
        </is>
      </c>
      <c r="B442" s="1" t="n">
        <v>45915</v>
      </c>
      <c r="C442" s="1" t="n">
        <v>46110</v>
      </c>
      <c r="D442" t="inlineStr">
        <is>
          <t>VÄSTERBOTTENS LÄN</t>
        </is>
      </c>
      <c r="E442" t="inlineStr">
        <is>
          <t>VILHELMINA</t>
        </is>
      </c>
      <c r="G442" t="n">
        <v>1</v>
      </c>
      <c r="H442" t="n">
        <v>0</v>
      </c>
      <c r="I442" t="n">
        <v>0</v>
      </c>
      <c r="J442" t="n">
        <v>0</v>
      </c>
      <c r="K442" t="n">
        <v>0</v>
      </c>
      <c r="L442" t="n">
        <v>0</v>
      </c>
      <c r="M442" t="n">
        <v>0</v>
      </c>
      <c r="N442" t="n">
        <v>0</v>
      </c>
      <c r="O442" t="n">
        <v>0</v>
      </c>
      <c r="P442" t="n">
        <v>0</v>
      </c>
      <c r="Q442" t="n">
        <v>0</v>
      </c>
      <c r="R442" s="2" t="inlineStr"/>
    </row>
    <row r="443" ht="15" customHeight="1">
      <c r="A443" t="inlineStr">
        <is>
          <t>A 43987-2024</t>
        </is>
      </c>
      <c r="B443" s="1" t="n">
        <v>45572.51092592593</v>
      </c>
      <c r="C443" s="1" t="n">
        <v>46110</v>
      </c>
      <c r="D443" t="inlineStr">
        <is>
          <t>VÄSTERBOTTENS LÄN</t>
        </is>
      </c>
      <c r="E443" t="inlineStr">
        <is>
          <t>VILHELMINA</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664-2022</t>
        </is>
      </c>
      <c r="B444" s="1" t="n">
        <v>44568</v>
      </c>
      <c r="C444" s="1" t="n">
        <v>46110</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59031-2024</t>
        </is>
      </c>
      <c r="B445" s="1" t="n">
        <v>45636</v>
      </c>
      <c r="C445" s="1" t="n">
        <v>46110</v>
      </c>
      <c r="D445" t="inlineStr">
        <is>
          <t>VÄSTERBOTTENS LÄN</t>
        </is>
      </c>
      <c r="E445" t="inlineStr">
        <is>
          <t>VILHELMINA</t>
        </is>
      </c>
      <c r="G445" t="n">
        <v>40</v>
      </c>
      <c r="H445" t="n">
        <v>0</v>
      </c>
      <c r="I445" t="n">
        <v>0</v>
      </c>
      <c r="J445" t="n">
        <v>0</v>
      </c>
      <c r="K445" t="n">
        <v>0</v>
      </c>
      <c r="L445" t="n">
        <v>0</v>
      </c>
      <c r="M445" t="n">
        <v>0</v>
      </c>
      <c r="N445" t="n">
        <v>0</v>
      </c>
      <c r="O445" t="n">
        <v>0</v>
      </c>
      <c r="P445" t="n">
        <v>0</v>
      </c>
      <c r="Q445" t="n">
        <v>0</v>
      </c>
      <c r="R445" s="2" t="inlineStr"/>
    </row>
    <row r="446" ht="15" customHeight="1">
      <c r="A446" t="inlineStr">
        <is>
          <t>A 11538-2024</t>
        </is>
      </c>
      <c r="B446" s="1" t="n">
        <v>45372</v>
      </c>
      <c r="C446" s="1" t="n">
        <v>46110</v>
      </c>
      <c r="D446" t="inlineStr">
        <is>
          <t>VÄSTERBOTTENS LÄN</t>
        </is>
      </c>
      <c r="E446" t="inlineStr">
        <is>
          <t>VILHELMINA</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21345-2024</t>
        </is>
      </c>
      <c r="B447" s="1" t="n">
        <v>45440.92866898148</v>
      </c>
      <c r="C447" s="1" t="n">
        <v>46110</v>
      </c>
      <c r="D447" t="inlineStr">
        <is>
          <t>VÄSTERBOTTENS LÄN</t>
        </is>
      </c>
      <c r="E447" t="inlineStr">
        <is>
          <t>VILHELMINA</t>
        </is>
      </c>
      <c r="G447" t="n">
        <v>3</v>
      </c>
      <c r="H447" t="n">
        <v>0</v>
      </c>
      <c r="I447" t="n">
        <v>0</v>
      </c>
      <c r="J447" t="n">
        <v>0</v>
      </c>
      <c r="K447" t="n">
        <v>0</v>
      </c>
      <c r="L447" t="n">
        <v>0</v>
      </c>
      <c r="M447" t="n">
        <v>0</v>
      </c>
      <c r="N447" t="n">
        <v>0</v>
      </c>
      <c r="O447" t="n">
        <v>0</v>
      </c>
      <c r="P447" t="n">
        <v>0</v>
      </c>
      <c r="Q447" t="n">
        <v>0</v>
      </c>
      <c r="R447" s="2" t="inlineStr"/>
    </row>
    <row r="448" ht="15" customHeight="1">
      <c r="A448" t="inlineStr">
        <is>
          <t>A 44017-2025</t>
        </is>
      </c>
      <c r="B448" s="1" t="n">
        <v>45915</v>
      </c>
      <c r="C448" s="1" t="n">
        <v>46110</v>
      </c>
      <c r="D448" t="inlineStr">
        <is>
          <t>VÄSTERBOTTENS LÄN</t>
        </is>
      </c>
      <c r="E448" t="inlineStr">
        <is>
          <t>VILHELMINA</t>
        </is>
      </c>
      <c r="G448" t="n">
        <v>1.5</v>
      </c>
      <c r="H448" t="n">
        <v>0</v>
      </c>
      <c r="I448" t="n">
        <v>0</v>
      </c>
      <c r="J448" t="n">
        <v>0</v>
      </c>
      <c r="K448" t="n">
        <v>0</v>
      </c>
      <c r="L448" t="n">
        <v>0</v>
      </c>
      <c r="M448" t="n">
        <v>0</v>
      </c>
      <c r="N448" t="n">
        <v>0</v>
      </c>
      <c r="O448" t="n">
        <v>0</v>
      </c>
      <c r="P448" t="n">
        <v>0</v>
      </c>
      <c r="Q448" t="n">
        <v>0</v>
      </c>
      <c r="R448" s="2" t="inlineStr"/>
    </row>
    <row r="449" ht="15" customHeight="1">
      <c r="A449" t="inlineStr">
        <is>
          <t>A 35409-2024</t>
        </is>
      </c>
      <c r="B449" s="1" t="n">
        <v>45531</v>
      </c>
      <c r="C449" s="1" t="n">
        <v>46110</v>
      </c>
      <c r="D449" t="inlineStr">
        <is>
          <t>VÄSTERBOTTENS LÄN</t>
        </is>
      </c>
      <c r="E449" t="inlineStr">
        <is>
          <t>VILHELMINA</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44626-2025</t>
        </is>
      </c>
      <c r="B450" s="1" t="n">
        <v>45917</v>
      </c>
      <c r="C450" s="1" t="n">
        <v>46110</v>
      </c>
      <c r="D450" t="inlineStr">
        <is>
          <t>VÄSTERBOTTENS LÄN</t>
        </is>
      </c>
      <c r="E450" t="inlineStr">
        <is>
          <t>VILHELMINA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38125-2024</t>
        </is>
      </c>
      <c r="B451" s="1" t="n">
        <v>45545.40717592592</v>
      </c>
      <c r="C451" s="1" t="n">
        <v>46110</v>
      </c>
      <c r="D451" t="inlineStr">
        <is>
          <t>VÄSTERBOTTENS LÄN</t>
        </is>
      </c>
      <c r="E451" t="inlineStr">
        <is>
          <t>VILHELMINA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38126-2024</t>
        </is>
      </c>
      <c r="B452" s="1" t="n">
        <v>45545</v>
      </c>
      <c r="C452" s="1" t="n">
        <v>46110</v>
      </c>
      <c r="D452" t="inlineStr">
        <is>
          <t>VÄSTERBOTTENS LÄN</t>
        </is>
      </c>
      <c r="E452" t="inlineStr">
        <is>
          <t>VILHELMINA</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38130-2024</t>
        </is>
      </c>
      <c r="B453" s="1" t="n">
        <v>45545</v>
      </c>
      <c r="C453" s="1" t="n">
        <v>46110</v>
      </c>
      <c r="D453" t="inlineStr">
        <is>
          <t>VÄSTERBOTTENS LÄN</t>
        </is>
      </c>
      <c r="E453" t="inlineStr">
        <is>
          <t>VILHELMINA</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45027-2025</t>
        </is>
      </c>
      <c r="B454" s="1" t="n">
        <v>45918</v>
      </c>
      <c r="C454" s="1" t="n">
        <v>46110</v>
      </c>
      <c r="D454" t="inlineStr">
        <is>
          <t>VÄSTERBOTTENS LÄN</t>
        </is>
      </c>
      <c r="E454" t="inlineStr">
        <is>
          <t>VILHELMINA</t>
        </is>
      </c>
      <c r="G454" t="n">
        <v>14.3</v>
      </c>
      <c r="H454" t="n">
        <v>0</v>
      </c>
      <c r="I454" t="n">
        <v>0</v>
      </c>
      <c r="J454" t="n">
        <v>0</v>
      </c>
      <c r="K454" t="n">
        <v>0</v>
      </c>
      <c r="L454" t="n">
        <v>0</v>
      </c>
      <c r="M454" t="n">
        <v>0</v>
      </c>
      <c r="N454" t="n">
        <v>0</v>
      </c>
      <c r="O454" t="n">
        <v>0</v>
      </c>
      <c r="P454" t="n">
        <v>0</v>
      </c>
      <c r="Q454" t="n">
        <v>0</v>
      </c>
      <c r="R454" s="2" t="inlineStr"/>
    </row>
    <row r="455" ht="15" customHeight="1">
      <c r="A455" t="inlineStr">
        <is>
          <t>A 39670-2024</t>
        </is>
      </c>
      <c r="B455" s="1" t="n">
        <v>45552.5315162037</v>
      </c>
      <c r="C455" s="1" t="n">
        <v>46110</v>
      </c>
      <c r="D455" t="inlineStr">
        <is>
          <t>VÄSTERBOTTENS LÄN</t>
        </is>
      </c>
      <c r="E455" t="inlineStr">
        <is>
          <t>VILHELMINA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64111-2025</t>
        </is>
      </c>
      <c r="B456" s="1" t="n">
        <v>46013</v>
      </c>
      <c r="C456" s="1" t="n">
        <v>46110</v>
      </c>
      <c r="D456" t="inlineStr">
        <is>
          <t>VÄSTERBOTTENS LÄN</t>
        </is>
      </c>
      <c r="E456" t="inlineStr">
        <is>
          <t>VILHELMINA</t>
        </is>
      </c>
      <c r="G456" t="n">
        <v>23.6</v>
      </c>
      <c r="H456" t="n">
        <v>0</v>
      </c>
      <c r="I456" t="n">
        <v>0</v>
      </c>
      <c r="J456" t="n">
        <v>0</v>
      </c>
      <c r="K456" t="n">
        <v>0</v>
      </c>
      <c r="L456" t="n">
        <v>0</v>
      </c>
      <c r="M456" t="n">
        <v>0</v>
      </c>
      <c r="N456" t="n">
        <v>0</v>
      </c>
      <c r="O456" t="n">
        <v>0</v>
      </c>
      <c r="P456" t="n">
        <v>0</v>
      </c>
      <c r="Q456" t="n">
        <v>0</v>
      </c>
      <c r="R456" s="2" t="inlineStr"/>
    </row>
    <row r="457" ht="15" customHeight="1">
      <c r="A457" t="inlineStr">
        <is>
          <t>A 8859-2023</t>
        </is>
      </c>
      <c r="B457" s="1" t="n">
        <v>44978</v>
      </c>
      <c r="C457" s="1" t="n">
        <v>46110</v>
      </c>
      <c r="D457" t="inlineStr">
        <is>
          <t>VÄSTERBOTTENS LÄN</t>
        </is>
      </c>
      <c r="E457" t="inlineStr">
        <is>
          <t>VILHELMINA</t>
        </is>
      </c>
      <c r="G457" t="n">
        <v>6.3</v>
      </c>
      <c r="H457" t="n">
        <v>0</v>
      </c>
      <c r="I457" t="n">
        <v>0</v>
      </c>
      <c r="J457" t="n">
        <v>0</v>
      </c>
      <c r="K457" t="n">
        <v>0</v>
      </c>
      <c r="L457" t="n">
        <v>0</v>
      </c>
      <c r="M457" t="n">
        <v>0</v>
      </c>
      <c r="N457" t="n">
        <v>0</v>
      </c>
      <c r="O457" t="n">
        <v>0</v>
      </c>
      <c r="P457" t="n">
        <v>0</v>
      </c>
      <c r="Q457" t="n">
        <v>0</v>
      </c>
      <c r="R457" s="2" t="inlineStr"/>
    </row>
    <row r="458" ht="15" customHeight="1">
      <c r="A458" t="inlineStr">
        <is>
          <t>A 26722-2025</t>
        </is>
      </c>
      <c r="B458" s="1" t="n">
        <v>45810</v>
      </c>
      <c r="C458" s="1" t="n">
        <v>46110</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37514-2024</t>
        </is>
      </c>
      <c r="B459" s="1" t="n">
        <v>45541.38586805556</v>
      </c>
      <c r="C459" s="1" t="n">
        <v>46110</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21370-2024</t>
        </is>
      </c>
      <c r="B460" s="1" t="n">
        <v>45440.95310185185</v>
      </c>
      <c r="C460" s="1" t="n">
        <v>46110</v>
      </c>
      <c r="D460" t="inlineStr">
        <is>
          <t>VÄSTERBOTTENS LÄN</t>
        </is>
      </c>
      <c r="E460" t="inlineStr">
        <is>
          <t>VILHELMINA</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19423-2022</t>
        </is>
      </c>
      <c r="B461" s="1" t="n">
        <v>44693.32515046297</v>
      </c>
      <c r="C461" s="1" t="n">
        <v>46110</v>
      </c>
      <c r="D461" t="inlineStr">
        <is>
          <t>VÄSTERBOTTENS LÄN</t>
        </is>
      </c>
      <c r="E461" t="inlineStr">
        <is>
          <t>VILHELMINA</t>
        </is>
      </c>
      <c r="G461" t="n">
        <v>1.9</v>
      </c>
      <c r="H461" t="n">
        <v>0</v>
      </c>
      <c r="I461" t="n">
        <v>0</v>
      </c>
      <c r="J461" t="n">
        <v>0</v>
      </c>
      <c r="K461" t="n">
        <v>0</v>
      </c>
      <c r="L461" t="n">
        <v>0</v>
      </c>
      <c r="M461" t="n">
        <v>0</v>
      </c>
      <c r="N461" t="n">
        <v>0</v>
      </c>
      <c r="O461" t="n">
        <v>0</v>
      </c>
      <c r="P461" t="n">
        <v>0</v>
      </c>
      <c r="Q461" t="n">
        <v>0</v>
      </c>
      <c r="R461" s="2" t="inlineStr"/>
    </row>
    <row r="462" ht="15" customHeight="1">
      <c r="A462" t="inlineStr">
        <is>
          <t>A 45435-2025</t>
        </is>
      </c>
      <c r="B462" s="1" t="n">
        <v>45922.46759259259</v>
      </c>
      <c r="C462" s="1" t="n">
        <v>46110</v>
      </c>
      <c r="D462" t="inlineStr">
        <is>
          <t>VÄSTERBOTTENS LÄN</t>
        </is>
      </c>
      <c r="E462" t="inlineStr">
        <is>
          <t>VILHELMINA</t>
        </is>
      </c>
      <c r="G462" t="n">
        <v>4.6</v>
      </c>
      <c r="H462" t="n">
        <v>0</v>
      </c>
      <c r="I462" t="n">
        <v>0</v>
      </c>
      <c r="J462" t="n">
        <v>0</v>
      </c>
      <c r="K462" t="n">
        <v>0</v>
      </c>
      <c r="L462" t="n">
        <v>0</v>
      </c>
      <c r="M462" t="n">
        <v>0</v>
      </c>
      <c r="N462" t="n">
        <v>0</v>
      </c>
      <c r="O462" t="n">
        <v>0</v>
      </c>
      <c r="P462" t="n">
        <v>0</v>
      </c>
      <c r="Q462" t="n">
        <v>0</v>
      </c>
      <c r="R462" s="2" t="inlineStr"/>
    </row>
    <row r="463" ht="15" customHeight="1">
      <c r="A463" t="inlineStr">
        <is>
          <t>A 34719-2024</t>
        </is>
      </c>
      <c r="B463" s="1" t="n">
        <v>45526.56435185186</v>
      </c>
      <c r="C463" s="1" t="n">
        <v>46110</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34630-2024</t>
        </is>
      </c>
      <c r="B464" s="1" t="n">
        <v>45526.46234953704</v>
      </c>
      <c r="C464" s="1" t="n">
        <v>46110</v>
      </c>
      <c r="D464" t="inlineStr">
        <is>
          <t>VÄSTERBOTTENS LÄN</t>
        </is>
      </c>
      <c r="E464" t="inlineStr">
        <is>
          <t>VILHELMINA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26744-2025</t>
        </is>
      </c>
      <c r="B465" s="1" t="n">
        <v>45810.53185185185</v>
      </c>
      <c r="C465" s="1" t="n">
        <v>46110</v>
      </c>
      <c r="D465" t="inlineStr">
        <is>
          <t>VÄSTERBOTTENS LÄN</t>
        </is>
      </c>
      <c r="E465" t="inlineStr">
        <is>
          <t>VILHELMINA</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45271-2025</t>
        </is>
      </c>
      <c r="B466" s="1" t="n">
        <v>45919</v>
      </c>
      <c r="C466" s="1" t="n">
        <v>46110</v>
      </c>
      <c r="D466" t="inlineStr">
        <is>
          <t>VÄSTERBOTTENS LÄN</t>
        </is>
      </c>
      <c r="E466" t="inlineStr">
        <is>
          <t>VILHELMINA</t>
        </is>
      </c>
      <c r="G466" t="n">
        <v>8.6</v>
      </c>
      <c r="H466" t="n">
        <v>0</v>
      </c>
      <c r="I466" t="n">
        <v>0</v>
      </c>
      <c r="J466" t="n">
        <v>0</v>
      </c>
      <c r="K466" t="n">
        <v>0</v>
      </c>
      <c r="L466" t="n">
        <v>0</v>
      </c>
      <c r="M466" t="n">
        <v>0</v>
      </c>
      <c r="N466" t="n">
        <v>0</v>
      </c>
      <c r="O466" t="n">
        <v>0</v>
      </c>
      <c r="P466" t="n">
        <v>0</v>
      </c>
      <c r="Q466" t="n">
        <v>0</v>
      </c>
      <c r="R466" s="2" t="inlineStr"/>
    </row>
    <row r="467" ht="15" customHeight="1">
      <c r="A467" t="inlineStr">
        <is>
          <t>A 7102-2024</t>
        </is>
      </c>
      <c r="B467" s="1" t="n">
        <v>45343</v>
      </c>
      <c r="C467" s="1" t="n">
        <v>46110</v>
      </c>
      <c r="D467" t="inlineStr">
        <is>
          <t>VÄSTERBOTTENS LÄN</t>
        </is>
      </c>
      <c r="E467" t="inlineStr">
        <is>
          <t>VILHELMINA</t>
        </is>
      </c>
      <c r="G467" t="n">
        <v>3.2</v>
      </c>
      <c r="H467" t="n">
        <v>0</v>
      </c>
      <c r="I467" t="n">
        <v>0</v>
      </c>
      <c r="J467" t="n">
        <v>0</v>
      </c>
      <c r="K467" t="n">
        <v>0</v>
      </c>
      <c r="L467" t="n">
        <v>0</v>
      </c>
      <c r="M467" t="n">
        <v>0</v>
      </c>
      <c r="N467" t="n">
        <v>0</v>
      </c>
      <c r="O467" t="n">
        <v>0</v>
      </c>
      <c r="P467" t="n">
        <v>0</v>
      </c>
      <c r="Q467" t="n">
        <v>0</v>
      </c>
      <c r="R467" s="2" t="inlineStr"/>
    </row>
    <row r="468" ht="15" customHeight="1">
      <c r="A468" t="inlineStr">
        <is>
          <t>A 26790-2025</t>
        </is>
      </c>
      <c r="B468" s="1" t="n">
        <v>45810.59417824074</v>
      </c>
      <c r="C468" s="1" t="n">
        <v>46110</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2488-2023</t>
        </is>
      </c>
      <c r="B469" s="1" t="n">
        <v>44943</v>
      </c>
      <c r="C469" s="1" t="n">
        <v>46110</v>
      </c>
      <c r="D469" t="inlineStr">
        <is>
          <t>VÄSTERBOTTENS LÄN</t>
        </is>
      </c>
      <c r="E469" t="inlineStr">
        <is>
          <t>VILHELMINA</t>
        </is>
      </c>
      <c r="G469" t="n">
        <v>69.3</v>
      </c>
      <c r="H469" t="n">
        <v>0</v>
      </c>
      <c r="I469" t="n">
        <v>0</v>
      </c>
      <c r="J469" t="n">
        <v>0</v>
      </c>
      <c r="K469" t="n">
        <v>0</v>
      </c>
      <c r="L469" t="n">
        <v>0</v>
      </c>
      <c r="M469" t="n">
        <v>0</v>
      </c>
      <c r="N469" t="n">
        <v>0</v>
      </c>
      <c r="O469" t="n">
        <v>0</v>
      </c>
      <c r="P469" t="n">
        <v>0</v>
      </c>
      <c r="Q469" t="n">
        <v>0</v>
      </c>
      <c r="R469" s="2" t="inlineStr"/>
    </row>
    <row r="470" ht="15" customHeight="1">
      <c r="A470" t="inlineStr">
        <is>
          <t>A 26401-2022</t>
        </is>
      </c>
      <c r="B470" s="1" t="n">
        <v>44735</v>
      </c>
      <c r="C470" s="1" t="n">
        <v>46110</v>
      </c>
      <c r="D470" t="inlineStr">
        <is>
          <t>VÄSTERBOTTENS LÄN</t>
        </is>
      </c>
      <c r="E470" t="inlineStr">
        <is>
          <t>VILHELMINA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26745-2025</t>
        </is>
      </c>
      <c r="B471" s="1" t="n">
        <v>45810.53188657408</v>
      </c>
      <c r="C471" s="1" t="n">
        <v>46110</v>
      </c>
      <c r="D471" t="inlineStr">
        <is>
          <t>VÄSTERBOTTENS LÄN</t>
        </is>
      </c>
      <c r="E471" t="inlineStr">
        <is>
          <t>VILHELMINA</t>
        </is>
      </c>
      <c r="F471" t="inlineStr">
        <is>
          <t>SCA</t>
        </is>
      </c>
      <c r="G471" t="n">
        <v>0.3</v>
      </c>
      <c r="H471" t="n">
        <v>0</v>
      </c>
      <c r="I471" t="n">
        <v>0</v>
      </c>
      <c r="J471" t="n">
        <v>0</v>
      </c>
      <c r="K471" t="n">
        <v>0</v>
      </c>
      <c r="L471" t="n">
        <v>0</v>
      </c>
      <c r="M471" t="n">
        <v>0</v>
      </c>
      <c r="N471" t="n">
        <v>0</v>
      </c>
      <c r="O471" t="n">
        <v>0</v>
      </c>
      <c r="P471" t="n">
        <v>0</v>
      </c>
      <c r="Q471" t="n">
        <v>0</v>
      </c>
      <c r="R471" s="2" t="inlineStr"/>
    </row>
    <row r="472" ht="15" customHeight="1">
      <c r="A472" t="inlineStr">
        <is>
          <t>A 45749-2025</t>
        </is>
      </c>
      <c r="B472" s="1" t="n">
        <v>45923.48195601852</v>
      </c>
      <c r="C472" s="1" t="n">
        <v>46110</v>
      </c>
      <c r="D472" t="inlineStr">
        <is>
          <t>VÄSTERBOTTENS LÄN</t>
        </is>
      </c>
      <c r="E472" t="inlineStr">
        <is>
          <t>VILHELMINA</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9534-2023</t>
        </is>
      </c>
      <c r="B473" s="1" t="n">
        <v>44981.72646990741</v>
      </c>
      <c r="C473" s="1" t="n">
        <v>46110</v>
      </c>
      <c r="D473" t="inlineStr">
        <is>
          <t>VÄSTERBOTTENS LÄN</t>
        </is>
      </c>
      <c r="E473" t="inlineStr">
        <is>
          <t>VILHELMINA</t>
        </is>
      </c>
      <c r="G473" t="n">
        <v>1.7</v>
      </c>
      <c r="H473" t="n">
        <v>0</v>
      </c>
      <c r="I473" t="n">
        <v>0</v>
      </c>
      <c r="J473" t="n">
        <v>0</v>
      </c>
      <c r="K473" t="n">
        <v>0</v>
      </c>
      <c r="L473" t="n">
        <v>0</v>
      </c>
      <c r="M473" t="n">
        <v>0</v>
      </c>
      <c r="N473" t="n">
        <v>0</v>
      </c>
      <c r="O473" t="n">
        <v>0</v>
      </c>
      <c r="P473" t="n">
        <v>0</v>
      </c>
      <c r="Q473" t="n">
        <v>0</v>
      </c>
      <c r="R473" s="2" t="inlineStr"/>
    </row>
    <row r="474" ht="15" customHeight="1">
      <c r="A474" t="inlineStr">
        <is>
          <t>A 56747-2023</t>
        </is>
      </c>
      <c r="B474" s="1" t="n">
        <v>45238</v>
      </c>
      <c r="C474" s="1" t="n">
        <v>46110</v>
      </c>
      <c r="D474" t="inlineStr">
        <is>
          <t>VÄSTERBOTTENS LÄN</t>
        </is>
      </c>
      <c r="E474" t="inlineStr">
        <is>
          <t>VILHELMINA</t>
        </is>
      </c>
      <c r="F474" t="inlineStr">
        <is>
          <t>Allmännings- och besparingsskogar</t>
        </is>
      </c>
      <c r="G474" t="n">
        <v>16.2</v>
      </c>
      <c r="H474" t="n">
        <v>0</v>
      </c>
      <c r="I474" t="n">
        <v>0</v>
      </c>
      <c r="J474" t="n">
        <v>0</v>
      </c>
      <c r="K474" t="n">
        <v>0</v>
      </c>
      <c r="L474" t="n">
        <v>0</v>
      </c>
      <c r="M474" t="n">
        <v>0</v>
      </c>
      <c r="N474" t="n">
        <v>0</v>
      </c>
      <c r="O474" t="n">
        <v>0</v>
      </c>
      <c r="P474" t="n">
        <v>0</v>
      </c>
      <c r="Q474" t="n">
        <v>0</v>
      </c>
      <c r="R474" s="2" t="inlineStr"/>
    </row>
    <row r="475" ht="15" customHeight="1">
      <c r="A475" t="inlineStr">
        <is>
          <t>A 56758-2023</t>
        </is>
      </c>
      <c r="B475" s="1" t="n">
        <v>45238</v>
      </c>
      <c r="C475" s="1" t="n">
        <v>46110</v>
      </c>
      <c r="D475" t="inlineStr">
        <is>
          <t>VÄSTERBOTTENS LÄN</t>
        </is>
      </c>
      <c r="E475" t="inlineStr">
        <is>
          <t>VILHELMINA</t>
        </is>
      </c>
      <c r="F475" t="inlineStr">
        <is>
          <t>Allmännings- och besparingsskogar</t>
        </is>
      </c>
      <c r="G475" t="n">
        <v>371.4</v>
      </c>
      <c r="H475" t="n">
        <v>0</v>
      </c>
      <c r="I475" t="n">
        <v>0</v>
      </c>
      <c r="J475" t="n">
        <v>0</v>
      </c>
      <c r="K475" t="n">
        <v>0</v>
      </c>
      <c r="L475" t="n">
        <v>0</v>
      </c>
      <c r="M475" t="n">
        <v>0</v>
      </c>
      <c r="N475" t="n">
        <v>0</v>
      </c>
      <c r="O475" t="n">
        <v>0</v>
      </c>
      <c r="P475" t="n">
        <v>0</v>
      </c>
      <c r="Q475" t="n">
        <v>0</v>
      </c>
      <c r="R475" s="2" t="inlineStr"/>
    </row>
    <row r="476" ht="15" customHeight="1">
      <c r="A476" t="inlineStr">
        <is>
          <t>A 9615-2026</t>
        </is>
      </c>
      <c r="B476" s="1" t="n">
        <v>46070</v>
      </c>
      <c r="C476" s="1" t="n">
        <v>46110</v>
      </c>
      <c r="D476" t="inlineStr">
        <is>
          <t>VÄSTERBOTTENS LÄN</t>
        </is>
      </c>
      <c r="E476" t="inlineStr">
        <is>
          <t>VILHELMINA</t>
        </is>
      </c>
      <c r="G476" t="n">
        <v>1.8</v>
      </c>
      <c r="H476" t="n">
        <v>0</v>
      </c>
      <c r="I476" t="n">
        <v>0</v>
      </c>
      <c r="J476" t="n">
        <v>0</v>
      </c>
      <c r="K476" t="n">
        <v>0</v>
      </c>
      <c r="L476" t="n">
        <v>0</v>
      </c>
      <c r="M476" t="n">
        <v>0</v>
      </c>
      <c r="N476" t="n">
        <v>0</v>
      </c>
      <c r="O476" t="n">
        <v>0</v>
      </c>
      <c r="P476" t="n">
        <v>0</v>
      </c>
      <c r="Q476" t="n">
        <v>0</v>
      </c>
      <c r="R476" s="2" t="inlineStr"/>
    </row>
    <row r="477" ht="15" customHeight="1">
      <c r="A477" t="inlineStr">
        <is>
          <t>A 9782-2026</t>
        </is>
      </c>
      <c r="B477" s="1" t="n">
        <v>46072.58782407407</v>
      </c>
      <c r="C477" s="1" t="n">
        <v>46110</v>
      </c>
      <c r="D477" t="inlineStr">
        <is>
          <t>VÄSTERBOTTENS LÄN</t>
        </is>
      </c>
      <c r="E477" t="inlineStr">
        <is>
          <t>VILHELMINA</t>
        </is>
      </c>
      <c r="G477" t="n">
        <v>8.1</v>
      </c>
      <c r="H477" t="n">
        <v>0</v>
      </c>
      <c r="I477" t="n">
        <v>0</v>
      </c>
      <c r="J477" t="n">
        <v>0</v>
      </c>
      <c r="K477" t="n">
        <v>0</v>
      </c>
      <c r="L477" t="n">
        <v>0</v>
      </c>
      <c r="M477" t="n">
        <v>0</v>
      </c>
      <c r="N477" t="n">
        <v>0</v>
      </c>
      <c r="O477" t="n">
        <v>0</v>
      </c>
      <c r="P477" t="n">
        <v>0</v>
      </c>
      <c r="Q477" t="n">
        <v>0</v>
      </c>
      <c r="R477" s="2" t="inlineStr"/>
    </row>
    <row r="478" ht="15" customHeight="1">
      <c r="A478" t="inlineStr">
        <is>
          <t>A 5435-2024</t>
        </is>
      </c>
      <c r="B478" s="1" t="n">
        <v>45331</v>
      </c>
      <c r="C478" s="1" t="n">
        <v>46110</v>
      </c>
      <c r="D478" t="inlineStr">
        <is>
          <t>VÄSTERBOTTENS LÄN</t>
        </is>
      </c>
      <c r="E478" t="inlineStr">
        <is>
          <t>VILHELMINA</t>
        </is>
      </c>
      <c r="G478" t="n">
        <v>6</v>
      </c>
      <c r="H478" t="n">
        <v>0</v>
      </c>
      <c r="I478" t="n">
        <v>0</v>
      </c>
      <c r="J478" t="n">
        <v>0</v>
      </c>
      <c r="K478" t="n">
        <v>0</v>
      </c>
      <c r="L478" t="n">
        <v>0</v>
      </c>
      <c r="M478" t="n">
        <v>0</v>
      </c>
      <c r="N478" t="n">
        <v>0</v>
      </c>
      <c r="O478" t="n">
        <v>0</v>
      </c>
      <c r="P478" t="n">
        <v>0</v>
      </c>
      <c r="Q478" t="n">
        <v>0</v>
      </c>
      <c r="R478" s="2" t="inlineStr"/>
    </row>
    <row r="479" ht="15" customHeight="1">
      <c r="A479" t="inlineStr">
        <is>
          <t>A 47035-2025</t>
        </is>
      </c>
      <c r="B479" s="1" t="n">
        <v>45929.59428240741</v>
      </c>
      <c r="C479" s="1" t="n">
        <v>46110</v>
      </c>
      <c r="D479" t="inlineStr">
        <is>
          <t>VÄSTERBOTTENS LÄN</t>
        </is>
      </c>
      <c r="E479" t="inlineStr">
        <is>
          <t>VILHELMINA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55327-2023</t>
        </is>
      </c>
      <c r="B480" s="1" t="n">
        <v>45237.97375</v>
      </c>
      <c r="C480" s="1" t="n">
        <v>46110</v>
      </c>
      <c r="D480" t="inlineStr">
        <is>
          <t>VÄSTERBOTTENS LÄN</t>
        </is>
      </c>
      <c r="E480" t="inlineStr">
        <is>
          <t>VILHELMINA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46110</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2086-2026</t>
        </is>
      </c>
      <c r="B482" s="1" t="n">
        <v>46034</v>
      </c>
      <c r="C482" s="1" t="n">
        <v>46110</v>
      </c>
      <c r="D482" t="inlineStr">
        <is>
          <t>VÄSTERBOTTENS LÄN</t>
        </is>
      </c>
      <c r="E482" t="inlineStr">
        <is>
          <t>VILHELMINA</t>
        </is>
      </c>
      <c r="G482" t="n">
        <v>1.9</v>
      </c>
      <c r="H482" t="n">
        <v>0</v>
      </c>
      <c r="I482" t="n">
        <v>0</v>
      </c>
      <c r="J482" t="n">
        <v>0</v>
      </c>
      <c r="K482" t="n">
        <v>0</v>
      </c>
      <c r="L482" t="n">
        <v>0</v>
      </c>
      <c r="M482" t="n">
        <v>0</v>
      </c>
      <c r="N482" t="n">
        <v>0</v>
      </c>
      <c r="O482" t="n">
        <v>0</v>
      </c>
      <c r="P482" t="n">
        <v>0</v>
      </c>
      <c r="Q482" t="n">
        <v>0</v>
      </c>
      <c r="R482" s="2" t="inlineStr"/>
    </row>
    <row r="483" ht="15" customHeight="1">
      <c r="A483" t="inlineStr">
        <is>
          <t>A 46934-2025</t>
        </is>
      </c>
      <c r="B483" s="1" t="n">
        <v>45929</v>
      </c>
      <c r="C483" s="1" t="n">
        <v>46110</v>
      </c>
      <c r="D483" t="inlineStr">
        <is>
          <t>VÄSTERBOTTENS LÄN</t>
        </is>
      </c>
      <c r="E483" t="inlineStr">
        <is>
          <t>VILHELMINA</t>
        </is>
      </c>
      <c r="F483" t="inlineStr">
        <is>
          <t>SCA</t>
        </is>
      </c>
      <c r="G483" t="n">
        <v>20</v>
      </c>
      <c r="H483" t="n">
        <v>0</v>
      </c>
      <c r="I483" t="n">
        <v>0</v>
      </c>
      <c r="J483" t="n">
        <v>0</v>
      </c>
      <c r="K483" t="n">
        <v>0</v>
      </c>
      <c r="L483" t="n">
        <v>0</v>
      </c>
      <c r="M483" t="n">
        <v>0</v>
      </c>
      <c r="N483" t="n">
        <v>0</v>
      </c>
      <c r="O483" t="n">
        <v>0</v>
      </c>
      <c r="P483" t="n">
        <v>0</v>
      </c>
      <c r="Q483" t="n">
        <v>0</v>
      </c>
      <c r="R483" s="2" t="inlineStr"/>
    </row>
    <row r="484" ht="15" customHeight="1">
      <c r="A484" t="inlineStr">
        <is>
          <t>A 48229-2024</t>
        </is>
      </c>
      <c r="B484" s="1" t="n">
        <v>45590.37554398148</v>
      </c>
      <c r="C484" s="1" t="n">
        <v>46110</v>
      </c>
      <c r="D484" t="inlineStr">
        <is>
          <t>VÄSTERBOTTENS LÄN</t>
        </is>
      </c>
      <c r="E484" t="inlineStr">
        <is>
          <t>VILHELMINA</t>
        </is>
      </c>
      <c r="G484" t="n">
        <v>11.6</v>
      </c>
      <c r="H484" t="n">
        <v>0</v>
      </c>
      <c r="I484" t="n">
        <v>0</v>
      </c>
      <c r="J484" t="n">
        <v>0</v>
      </c>
      <c r="K484" t="n">
        <v>0</v>
      </c>
      <c r="L484" t="n">
        <v>0</v>
      </c>
      <c r="M484" t="n">
        <v>0</v>
      </c>
      <c r="N484" t="n">
        <v>0</v>
      </c>
      <c r="O484" t="n">
        <v>0</v>
      </c>
      <c r="P484" t="n">
        <v>0</v>
      </c>
      <c r="Q484" t="n">
        <v>0</v>
      </c>
      <c r="R484" s="2" t="inlineStr"/>
    </row>
    <row r="485" ht="15" customHeight="1">
      <c r="A485" t="inlineStr">
        <is>
          <t>A 22440-2025</t>
        </is>
      </c>
      <c r="B485" s="1" t="n">
        <v>45786</v>
      </c>
      <c r="C485" s="1" t="n">
        <v>46110</v>
      </c>
      <c r="D485" t="inlineStr">
        <is>
          <t>VÄSTERBOTTENS LÄN</t>
        </is>
      </c>
      <c r="E485" t="inlineStr">
        <is>
          <t>VILHELMINA</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22457-2025</t>
        </is>
      </c>
      <c r="B486" s="1" t="n">
        <v>45786</v>
      </c>
      <c r="C486" s="1" t="n">
        <v>46110</v>
      </c>
      <c r="D486" t="inlineStr">
        <is>
          <t>VÄSTERBOTTENS LÄN</t>
        </is>
      </c>
      <c r="E486" t="inlineStr">
        <is>
          <t>VILHELMINA</t>
        </is>
      </c>
      <c r="G486" t="n">
        <v>10.8</v>
      </c>
      <c r="H486" t="n">
        <v>0</v>
      </c>
      <c r="I486" t="n">
        <v>0</v>
      </c>
      <c r="J486" t="n">
        <v>0</v>
      </c>
      <c r="K486" t="n">
        <v>0</v>
      </c>
      <c r="L486" t="n">
        <v>0</v>
      </c>
      <c r="M486" t="n">
        <v>0</v>
      </c>
      <c r="N486" t="n">
        <v>0</v>
      </c>
      <c r="O486" t="n">
        <v>0</v>
      </c>
      <c r="P486" t="n">
        <v>0</v>
      </c>
      <c r="Q486" t="n">
        <v>0</v>
      </c>
      <c r="R486" s="2" t="inlineStr"/>
    </row>
    <row r="487" ht="15" customHeight="1">
      <c r="A487" t="inlineStr">
        <is>
          <t>A 25551-2024</t>
        </is>
      </c>
      <c r="B487" s="1" t="n">
        <v>45463</v>
      </c>
      <c r="C487" s="1" t="n">
        <v>46110</v>
      </c>
      <c r="D487" t="inlineStr">
        <is>
          <t>VÄSTERBOTTENS LÄN</t>
        </is>
      </c>
      <c r="E487" t="inlineStr">
        <is>
          <t>VILHELMINA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48651-2025</t>
        </is>
      </c>
      <c r="B488" s="1" t="n">
        <v>45936.55251157407</v>
      </c>
      <c r="C488" s="1" t="n">
        <v>46110</v>
      </c>
      <c r="D488" t="inlineStr">
        <is>
          <t>VÄSTERBOTTENS LÄN</t>
        </is>
      </c>
      <c r="E488" t="inlineStr">
        <is>
          <t>VILHELMINA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29954-2023</t>
        </is>
      </c>
      <c r="B489" s="1" t="n">
        <v>45107</v>
      </c>
      <c r="C489" s="1" t="n">
        <v>46110</v>
      </c>
      <c r="D489" t="inlineStr">
        <is>
          <t>VÄSTERBOTTENS LÄN</t>
        </is>
      </c>
      <c r="E489" t="inlineStr">
        <is>
          <t>VILHELMINA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37714-2024</t>
        </is>
      </c>
      <c r="B490" s="1" t="n">
        <v>45541.63569444444</v>
      </c>
      <c r="C490" s="1" t="n">
        <v>46110</v>
      </c>
      <c r="D490" t="inlineStr">
        <is>
          <t>VÄSTERBOTTENS LÄN</t>
        </is>
      </c>
      <c r="E490" t="inlineStr">
        <is>
          <t>VILHELMINA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37715-2024</t>
        </is>
      </c>
      <c r="B491" s="1" t="n">
        <v>45541.63581018519</v>
      </c>
      <c r="C491" s="1" t="n">
        <v>46110</v>
      </c>
      <c r="D491" t="inlineStr">
        <is>
          <t>VÄSTERBOTTENS LÄN</t>
        </is>
      </c>
      <c r="E491" t="inlineStr">
        <is>
          <t>VILHELMINA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39677-2024</t>
        </is>
      </c>
      <c r="B492" s="1" t="n">
        <v>45552</v>
      </c>
      <c r="C492" s="1" t="n">
        <v>46110</v>
      </c>
      <c r="D492" t="inlineStr">
        <is>
          <t>VÄSTERBOTTENS LÄN</t>
        </is>
      </c>
      <c r="E492" t="inlineStr">
        <is>
          <t>VILHELMINA</t>
        </is>
      </c>
      <c r="F492" t="inlineStr">
        <is>
          <t>SCA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44285-2024</t>
        </is>
      </c>
      <c r="B493" s="1" t="n">
        <v>45573</v>
      </c>
      <c r="C493" s="1" t="n">
        <v>46110</v>
      </c>
      <c r="D493" t="inlineStr">
        <is>
          <t>VÄSTERBOTTENS LÄN</t>
        </is>
      </c>
      <c r="E493" t="inlineStr">
        <is>
          <t>VILHELMINA</t>
        </is>
      </c>
      <c r="G493" t="n">
        <v>30.9</v>
      </c>
      <c r="H493" t="n">
        <v>0</v>
      </c>
      <c r="I493" t="n">
        <v>0</v>
      </c>
      <c r="J493" t="n">
        <v>0</v>
      </c>
      <c r="K493" t="n">
        <v>0</v>
      </c>
      <c r="L493" t="n">
        <v>0</v>
      </c>
      <c r="M493" t="n">
        <v>0</v>
      </c>
      <c r="N493" t="n">
        <v>0</v>
      </c>
      <c r="O493" t="n">
        <v>0</v>
      </c>
      <c r="P493" t="n">
        <v>0</v>
      </c>
      <c r="Q493" t="n">
        <v>0</v>
      </c>
      <c r="R493" s="2" t="inlineStr"/>
    </row>
    <row r="494" ht="15" customHeight="1">
      <c r="A494" t="inlineStr">
        <is>
          <t>A 9904-2026</t>
        </is>
      </c>
      <c r="B494" s="1" t="n">
        <v>46073.40673611111</v>
      </c>
      <c r="C494" s="1" t="n">
        <v>46110</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64421-2023</t>
        </is>
      </c>
      <c r="B495" s="1" t="n">
        <v>45280</v>
      </c>
      <c r="C495" s="1" t="n">
        <v>46110</v>
      </c>
      <c r="D495" t="inlineStr">
        <is>
          <t>VÄSTERBOTTENS LÄN</t>
        </is>
      </c>
      <c r="E495" t="inlineStr">
        <is>
          <t>VILHELMINA</t>
        </is>
      </c>
      <c r="G495" t="n">
        <v>4.9</v>
      </c>
      <c r="H495" t="n">
        <v>0</v>
      </c>
      <c r="I495" t="n">
        <v>0</v>
      </c>
      <c r="J495" t="n">
        <v>0</v>
      </c>
      <c r="K495" t="n">
        <v>0</v>
      </c>
      <c r="L495" t="n">
        <v>0</v>
      </c>
      <c r="M495" t="n">
        <v>0</v>
      </c>
      <c r="N495" t="n">
        <v>0</v>
      </c>
      <c r="O495" t="n">
        <v>0</v>
      </c>
      <c r="P495" t="n">
        <v>0</v>
      </c>
      <c r="Q495" t="n">
        <v>0</v>
      </c>
      <c r="R495" s="2" t="inlineStr"/>
    </row>
    <row r="496" ht="15" customHeight="1">
      <c r="A496" t="inlineStr">
        <is>
          <t>A 48816-2025</t>
        </is>
      </c>
      <c r="B496" s="1" t="n">
        <v>45937.36527777778</v>
      </c>
      <c r="C496" s="1" t="n">
        <v>46110</v>
      </c>
      <c r="D496" t="inlineStr">
        <is>
          <t>VÄSTERBOTTENS LÄN</t>
        </is>
      </c>
      <c r="E496" t="inlineStr">
        <is>
          <t>VILHELMINA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46110</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49103-2025</t>
        </is>
      </c>
      <c r="B498" s="1" t="n">
        <v>45937</v>
      </c>
      <c r="C498" s="1" t="n">
        <v>46110</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24828-2023</t>
        </is>
      </c>
      <c r="B499" s="1" t="n">
        <v>45084</v>
      </c>
      <c r="C499" s="1" t="n">
        <v>46110</v>
      </c>
      <c r="D499" t="inlineStr">
        <is>
          <t>VÄSTERBOTTENS LÄN</t>
        </is>
      </c>
      <c r="E499" t="inlineStr">
        <is>
          <t>VILHELMINA</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27601-2025</t>
        </is>
      </c>
      <c r="B500" s="1" t="n">
        <v>45813.52791666667</v>
      </c>
      <c r="C500" s="1" t="n">
        <v>46110</v>
      </c>
      <c r="D500" t="inlineStr">
        <is>
          <t>VÄSTERBOTTENS LÄN</t>
        </is>
      </c>
      <c r="E500" t="inlineStr">
        <is>
          <t>VILHELMINA</t>
        </is>
      </c>
      <c r="F500" t="inlineStr">
        <is>
          <t>Övriga statliga verk och myndigheter</t>
        </is>
      </c>
      <c r="G500" t="n">
        <v>36.5</v>
      </c>
      <c r="H500" t="n">
        <v>0</v>
      </c>
      <c r="I500" t="n">
        <v>0</v>
      </c>
      <c r="J500" t="n">
        <v>0</v>
      </c>
      <c r="K500" t="n">
        <v>0</v>
      </c>
      <c r="L500" t="n">
        <v>0</v>
      </c>
      <c r="M500" t="n">
        <v>0</v>
      </c>
      <c r="N500" t="n">
        <v>0</v>
      </c>
      <c r="O500" t="n">
        <v>0</v>
      </c>
      <c r="P500" t="n">
        <v>0</v>
      </c>
      <c r="Q500" t="n">
        <v>0</v>
      </c>
      <c r="R500" s="2" t="inlineStr"/>
    </row>
    <row r="501" ht="15" customHeight="1">
      <c r="A501" t="inlineStr">
        <is>
          <t>A 27945-2025</t>
        </is>
      </c>
      <c r="B501" s="1" t="n">
        <v>45817</v>
      </c>
      <c r="C501" s="1" t="n">
        <v>46110</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21965-2025</t>
        </is>
      </c>
      <c r="B502" s="1" t="n">
        <v>45784</v>
      </c>
      <c r="C502" s="1" t="n">
        <v>46110</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28019-2025</t>
        </is>
      </c>
      <c r="B503" s="1" t="n">
        <v>45817.61545138889</v>
      </c>
      <c r="C503" s="1" t="n">
        <v>46110</v>
      </c>
      <c r="D503" t="inlineStr">
        <is>
          <t>VÄSTERBOTTENS LÄN</t>
        </is>
      </c>
      <c r="E503" t="inlineStr">
        <is>
          <t>VILHELMINA</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27943-2025</t>
        </is>
      </c>
      <c r="B504" s="1" t="n">
        <v>45817.51078703703</v>
      </c>
      <c r="C504" s="1" t="n">
        <v>46110</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61779-2023</t>
        </is>
      </c>
      <c r="B505" s="1" t="n">
        <v>45265.95677083333</v>
      </c>
      <c r="C505" s="1" t="n">
        <v>46110</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49680-2025</t>
        </is>
      </c>
      <c r="B506" s="1" t="n">
        <v>45939.65079861111</v>
      </c>
      <c r="C506" s="1" t="n">
        <v>46110</v>
      </c>
      <c r="D506" t="inlineStr">
        <is>
          <t>VÄSTERBOTTENS LÄN</t>
        </is>
      </c>
      <c r="E506" t="inlineStr">
        <is>
          <t>VILHELMINA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27952-2025</t>
        </is>
      </c>
      <c r="B507" s="1" t="n">
        <v>45817.53157407408</v>
      </c>
      <c r="C507" s="1" t="n">
        <v>46110</v>
      </c>
      <c r="D507" t="inlineStr">
        <is>
          <t>VÄSTERBOTTENS LÄN</t>
        </is>
      </c>
      <c r="E507" t="inlineStr">
        <is>
          <t>VILHELMINA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28016-2025</t>
        </is>
      </c>
      <c r="B508" s="1" t="n">
        <v>45817.61506944444</v>
      </c>
      <c r="C508" s="1" t="n">
        <v>46110</v>
      </c>
      <c r="D508" t="inlineStr">
        <is>
          <t>VÄSTERBOTTENS LÄN</t>
        </is>
      </c>
      <c r="E508" t="inlineStr">
        <is>
          <t>VILHELMINA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28050-2025</t>
        </is>
      </c>
      <c r="B509" s="1" t="n">
        <v>45817.65658564815</v>
      </c>
      <c r="C509" s="1" t="n">
        <v>46110</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18564-2022</t>
        </is>
      </c>
      <c r="B510" s="1" t="n">
        <v>44686</v>
      </c>
      <c r="C510" s="1" t="n">
        <v>46110</v>
      </c>
      <c r="D510" t="inlineStr">
        <is>
          <t>VÄSTERBOTTENS LÄN</t>
        </is>
      </c>
      <c r="E510" t="inlineStr">
        <is>
          <t>VILHELMINA</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28071-2025</t>
        </is>
      </c>
      <c r="B511" s="1" t="n">
        <v>45817.67755787037</v>
      </c>
      <c r="C511" s="1" t="n">
        <v>46110</v>
      </c>
      <c r="D511" t="inlineStr">
        <is>
          <t>VÄSTERBOTTENS LÄN</t>
        </is>
      </c>
      <c r="E511" t="inlineStr">
        <is>
          <t>VILHELMINA</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12364-2025</t>
        </is>
      </c>
      <c r="B512" s="1" t="n">
        <v>45730.37515046296</v>
      </c>
      <c r="C512" s="1" t="n">
        <v>46110</v>
      </c>
      <c r="D512" t="inlineStr">
        <is>
          <t>VÄSTERBOTTENS LÄN</t>
        </is>
      </c>
      <c r="E512" t="inlineStr">
        <is>
          <t>VILHELMINA</t>
        </is>
      </c>
      <c r="F512" t="inlineStr">
        <is>
          <t>Övriga statliga verk och myndigheter</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12377-2025</t>
        </is>
      </c>
      <c r="B513" s="1" t="n">
        <v>45730</v>
      </c>
      <c r="C513" s="1" t="n">
        <v>46110</v>
      </c>
      <c r="D513" t="inlineStr">
        <is>
          <t>VÄSTERBOTTENS LÄN</t>
        </is>
      </c>
      <c r="E513" t="inlineStr">
        <is>
          <t>VILHELMINA</t>
        </is>
      </c>
      <c r="F513" t="inlineStr">
        <is>
          <t>Övriga statliga verk och myndigheter</t>
        </is>
      </c>
      <c r="G513" t="n">
        <v>37.1</v>
      </c>
      <c r="H513" t="n">
        <v>0</v>
      </c>
      <c r="I513" t="n">
        <v>0</v>
      </c>
      <c r="J513" t="n">
        <v>0</v>
      </c>
      <c r="K513" t="n">
        <v>0</v>
      </c>
      <c r="L513" t="n">
        <v>0</v>
      </c>
      <c r="M513" t="n">
        <v>0</v>
      </c>
      <c r="N513" t="n">
        <v>0</v>
      </c>
      <c r="O513" t="n">
        <v>0</v>
      </c>
      <c r="P513" t="n">
        <v>0</v>
      </c>
      <c r="Q513" t="n">
        <v>0</v>
      </c>
      <c r="R513" s="2" t="inlineStr"/>
    </row>
    <row r="514" ht="15" customHeight="1">
      <c r="A514" t="inlineStr">
        <is>
          <t>A 28897-2025</t>
        </is>
      </c>
      <c r="B514" s="1" t="n">
        <v>45820.6360300926</v>
      </c>
      <c r="C514" s="1" t="n">
        <v>46110</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59671-2023</t>
        </is>
      </c>
      <c r="B515" s="1" t="n">
        <v>45254.96524305556</v>
      </c>
      <c r="C515" s="1" t="n">
        <v>46110</v>
      </c>
      <c r="D515" t="inlineStr">
        <is>
          <t>VÄSTERBOTTENS LÄN</t>
        </is>
      </c>
      <c r="E515" t="inlineStr">
        <is>
          <t>VILHELMINA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2232-2026</t>
        </is>
      </c>
      <c r="B516" s="1" t="n">
        <v>46036.53188657408</v>
      </c>
      <c r="C516" s="1" t="n">
        <v>46110</v>
      </c>
      <c r="D516" t="inlineStr">
        <is>
          <t>VÄSTERBOTTENS LÄN</t>
        </is>
      </c>
      <c r="E516" t="inlineStr">
        <is>
          <t>VILHELMINA</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29203-2025</t>
        </is>
      </c>
      <c r="B517" s="1" t="n">
        <v>45823</v>
      </c>
      <c r="C517" s="1" t="n">
        <v>46110</v>
      </c>
      <c r="D517" t="inlineStr">
        <is>
          <t>VÄSTERBOTTENS LÄN</t>
        </is>
      </c>
      <c r="E517" t="inlineStr">
        <is>
          <t>VILHELMINA</t>
        </is>
      </c>
      <c r="G517" t="n">
        <v>2.3</v>
      </c>
      <c r="H517" t="n">
        <v>0</v>
      </c>
      <c r="I517" t="n">
        <v>0</v>
      </c>
      <c r="J517" t="n">
        <v>0</v>
      </c>
      <c r="K517" t="n">
        <v>0</v>
      </c>
      <c r="L517" t="n">
        <v>0</v>
      </c>
      <c r="M517" t="n">
        <v>0</v>
      </c>
      <c r="N517" t="n">
        <v>0</v>
      </c>
      <c r="O517" t="n">
        <v>0</v>
      </c>
      <c r="P517" t="n">
        <v>0</v>
      </c>
      <c r="Q517" t="n">
        <v>0</v>
      </c>
      <c r="R517" s="2" t="inlineStr"/>
    </row>
    <row r="518" ht="15" customHeight="1">
      <c r="A518" t="inlineStr">
        <is>
          <t>A 54430-2024</t>
        </is>
      </c>
      <c r="B518" s="1" t="n">
        <v>45617.49107638889</v>
      </c>
      <c r="C518" s="1" t="n">
        <v>46110</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29120-2025</t>
        </is>
      </c>
      <c r="B519" s="1" t="n">
        <v>45821</v>
      </c>
      <c r="C519" s="1" t="n">
        <v>46110</v>
      </c>
      <c r="D519" t="inlineStr">
        <is>
          <t>VÄSTERBOTTENS LÄN</t>
        </is>
      </c>
      <c r="E519" t="inlineStr">
        <is>
          <t>VILHELMINA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29234-2025</t>
        </is>
      </c>
      <c r="B520" s="1" t="n">
        <v>45824.34478009259</v>
      </c>
      <c r="C520" s="1" t="n">
        <v>46110</v>
      </c>
      <c r="D520" t="inlineStr">
        <is>
          <t>VÄSTERBOTTENS LÄN</t>
        </is>
      </c>
      <c r="E520" t="inlineStr">
        <is>
          <t>VILHELMINA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29468-2025</t>
        </is>
      </c>
      <c r="B521" s="1" t="n">
        <v>45824.69888888889</v>
      </c>
      <c r="C521" s="1" t="n">
        <v>46110</v>
      </c>
      <c r="D521" t="inlineStr">
        <is>
          <t>VÄSTERBOTTENS LÄN</t>
        </is>
      </c>
      <c r="E521" t="inlineStr">
        <is>
          <t>VILHELMINA</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29466-2025</t>
        </is>
      </c>
      <c r="B522" s="1" t="n">
        <v>45824.69865740741</v>
      </c>
      <c r="C522" s="1" t="n">
        <v>46110</v>
      </c>
      <c r="D522" t="inlineStr">
        <is>
          <t>VÄSTERBOTTENS LÄN</t>
        </is>
      </c>
      <c r="E522" t="inlineStr">
        <is>
          <t>VILHELMINA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29940-2025</t>
        </is>
      </c>
      <c r="B523" s="1" t="n">
        <v>45826.45104166667</v>
      </c>
      <c r="C523" s="1" t="n">
        <v>46110</v>
      </c>
      <c r="D523" t="inlineStr">
        <is>
          <t>VÄSTERBOTTENS LÄN</t>
        </is>
      </c>
      <c r="E523" t="inlineStr">
        <is>
          <t>VILHELMINA</t>
        </is>
      </c>
      <c r="F523" t="inlineStr">
        <is>
          <t>Sveaskog</t>
        </is>
      </c>
      <c r="G523" t="n">
        <v>11.6</v>
      </c>
      <c r="H523" t="n">
        <v>0</v>
      </c>
      <c r="I523" t="n">
        <v>0</v>
      </c>
      <c r="J523" t="n">
        <v>0</v>
      </c>
      <c r="K523" t="n">
        <v>0</v>
      </c>
      <c r="L523" t="n">
        <v>0</v>
      </c>
      <c r="M523" t="n">
        <v>0</v>
      </c>
      <c r="N523" t="n">
        <v>0</v>
      </c>
      <c r="O523" t="n">
        <v>0</v>
      </c>
      <c r="P523" t="n">
        <v>0</v>
      </c>
      <c r="Q523" t="n">
        <v>0</v>
      </c>
      <c r="R523" s="2" t="inlineStr"/>
    </row>
    <row r="524" ht="15" customHeight="1">
      <c r="A524" t="inlineStr">
        <is>
          <t>A 29942-2025</t>
        </is>
      </c>
      <c r="B524" s="1" t="n">
        <v>45826.45702546297</v>
      </c>
      <c r="C524" s="1" t="n">
        <v>46110</v>
      </c>
      <c r="D524" t="inlineStr">
        <is>
          <t>VÄSTERBOTTENS LÄN</t>
        </is>
      </c>
      <c r="E524" t="inlineStr">
        <is>
          <t>VILHELMINA</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50282-2025</t>
        </is>
      </c>
      <c r="B525" s="1" t="n">
        <v>45944.3862037037</v>
      </c>
      <c r="C525" s="1" t="n">
        <v>46110</v>
      </c>
      <c r="D525" t="inlineStr">
        <is>
          <t>VÄSTERBOTTENS LÄN</t>
        </is>
      </c>
      <c r="E525" t="inlineStr">
        <is>
          <t>VILHELMINA</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50148-2025</t>
        </is>
      </c>
      <c r="B526" s="1" t="n">
        <v>45943.57296296296</v>
      </c>
      <c r="C526" s="1" t="n">
        <v>46110</v>
      </c>
      <c r="D526" t="inlineStr">
        <is>
          <t>VÄSTERBOTTENS LÄN</t>
        </is>
      </c>
      <c r="E526" t="inlineStr">
        <is>
          <t>VILHELMINA</t>
        </is>
      </c>
      <c r="G526" t="n">
        <v>18.9</v>
      </c>
      <c r="H526" t="n">
        <v>0</v>
      </c>
      <c r="I526" t="n">
        <v>0</v>
      </c>
      <c r="J526" t="n">
        <v>0</v>
      </c>
      <c r="K526" t="n">
        <v>0</v>
      </c>
      <c r="L526" t="n">
        <v>0</v>
      </c>
      <c r="M526" t="n">
        <v>0</v>
      </c>
      <c r="N526" t="n">
        <v>0</v>
      </c>
      <c r="O526" t="n">
        <v>0</v>
      </c>
      <c r="P526" t="n">
        <v>0</v>
      </c>
      <c r="Q526" t="n">
        <v>0</v>
      </c>
      <c r="R526" s="2" t="inlineStr"/>
    </row>
    <row r="527" ht="15" customHeight="1">
      <c r="A527" t="inlineStr">
        <is>
          <t>A 59022-2024</t>
        </is>
      </c>
      <c r="B527" s="1" t="n">
        <v>45636</v>
      </c>
      <c r="C527" s="1" t="n">
        <v>46110</v>
      </c>
      <c r="D527" t="inlineStr">
        <is>
          <t>VÄSTERBOTTENS LÄN</t>
        </is>
      </c>
      <c r="E527" t="inlineStr">
        <is>
          <t>VILHELMINA</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46110</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59003-2024</t>
        </is>
      </c>
      <c r="B529" s="1" t="n">
        <v>45636</v>
      </c>
      <c r="C529" s="1" t="n">
        <v>46110</v>
      </c>
      <c r="D529" t="inlineStr">
        <is>
          <t>VÄSTERBOTTENS LÄN</t>
        </is>
      </c>
      <c r="E529" t="inlineStr">
        <is>
          <t>VILHELMINA</t>
        </is>
      </c>
      <c r="F529" t="inlineStr">
        <is>
          <t>Allmännings- och besparingsskogar</t>
        </is>
      </c>
      <c r="G529" t="n">
        <v>22</v>
      </c>
      <c r="H529" t="n">
        <v>0</v>
      </c>
      <c r="I529" t="n">
        <v>0</v>
      </c>
      <c r="J529" t="n">
        <v>0</v>
      </c>
      <c r="K529" t="n">
        <v>0</v>
      </c>
      <c r="L529" t="n">
        <v>0</v>
      </c>
      <c r="M529" t="n">
        <v>0</v>
      </c>
      <c r="N529" t="n">
        <v>0</v>
      </c>
      <c r="O529" t="n">
        <v>0</v>
      </c>
      <c r="P529" t="n">
        <v>0</v>
      </c>
      <c r="Q529" t="n">
        <v>0</v>
      </c>
      <c r="R529" s="2" t="inlineStr"/>
    </row>
    <row r="530" ht="15" customHeight="1">
      <c r="A530" t="inlineStr">
        <is>
          <t>A 56629-2024</t>
        </is>
      </c>
      <c r="B530" s="1" t="n">
        <v>45625</v>
      </c>
      <c r="C530" s="1" t="n">
        <v>46110</v>
      </c>
      <c r="D530" t="inlineStr">
        <is>
          <t>VÄSTERBOTTENS LÄN</t>
        </is>
      </c>
      <c r="E530" t="inlineStr">
        <is>
          <t>VILHELMINA</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50305-2025</t>
        </is>
      </c>
      <c r="B531" s="1" t="n">
        <v>45944.42415509259</v>
      </c>
      <c r="C531" s="1" t="n">
        <v>46110</v>
      </c>
      <c r="D531" t="inlineStr">
        <is>
          <t>VÄSTERBOTTENS LÄN</t>
        </is>
      </c>
      <c r="E531" t="inlineStr">
        <is>
          <t>VILHELMINA</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62405-2022</t>
        </is>
      </c>
      <c r="B532" s="1" t="n">
        <v>44923</v>
      </c>
      <c r="C532" s="1" t="n">
        <v>46110</v>
      </c>
      <c r="D532" t="inlineStr">
        <is>
          <t>VÄSTERBOTTENS LÄN</t>
        </is>
      </c>
      <c r="E532" t="inlineStr">
        <is>
          <t>VILHELMINA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2822-2026</t>
        </is>
      </c>
      <c r="B533" s="1" t="n">
        <v>46038.43719907408</v>
      </c>
      <c r="C533" s="1" t="n">
        <v>46110</v>
      </c>
      <c r="D533" t="inlineStr">
        <is>
          <t>VÄSTERBOTTENS LÄN</t>
        </is>
      </c>
      <c r="E533" t="inlineStr">
        <is>
          <t>VILHELMINA</t>
        </is>
      </c>
      <c r="G533" t="n">
        <v>3.6</v>
      </c>
      <c r="H533" t="n">
        <v>0</v>
      </c>
      <c r="I533" t="n">
        <v>0</v>
      </c>
      <c r="J533" t="n">
        <v>0</v>
      </c>
      <c r="K533" t="n">
        <v>0</v>
      </c>
      <c r="L533" t="n">
        <v>0</v>
      </c>
      <c r="M533" t="n">
        <v>0</v>
      </c>
      <c r="N533" t="n">
        <v>0</v>
      </c>
      <c r="O533" t="n">
        <v>0</v>
      </c>
      <c r="P533" t="n">
        <v>0</v>
      </c>
      <c r="Q533" t="n">
        <v>0</v>
      </c>
      <c r="R533" s="2" t="inlineStr"/>
    </row>
    <row r="534" ht="15" customHeight="1">
      <c r="A534" t="inlineStr">
        <is>
          <t>A 31485-2025</t>
        </is>
      </c>
      <c r="B534" s="1" t="n">
        <v>45833</v>
      </c>
      <c r="C534" s="1" t="n">
        <v>46110</v>
      </c>
      <c r="D534" t="inlineStr">
        <is>
          <t>VÄSTERBOTTENS LÄN</t>
        </is>
      </c>
      <c r="E534" t="inlineStr">
        <is>
          <t>VILHELMINA</t>
        </is>
      </c>
      <c r="G534" t="n">
        <v>2.8</v>
      </c>
      <c r="H534" t="n">
        <v>0</v>
      </c>
      <c r="I534" t="n">
        <v>0</v>
      </c>
      <c r="J534" t="n">
        <v>0</v>
      </c>
      <c r="K534" t="n">
        <v>0</v>
      </c>
      <c r="L534" t="n">
        <v>0</v>
      </c>
      <c r="M534" t="n">
        <v>0</v>
      </c>
      <c r="N534" t="n">
        <v>0</v>
      </c>
      <c r="O534" t="n">
        <v>0</v>
      </c>
      <c r="P534" t="n">
        <v>0</v>
      </c>
      <c r="Q534" t="n">
        <v>0</v>
      </c>
      <c r="R534" s="2" t="inlineStr"/>
    </row>
    <row r="535" ht="15" customHeight="1">
      <c r="A535" t="inlineStr">
        <is>
          <t>A 49886-2024</t>
        </is>
      </c>
      <c r="B535" s="1" t="n">
        <v>45597</v>
      </c>
      <c r="C535" s="1" t="n">
        <v>46110</v>
      </c>
      <c r="D535" t="inlineStr">
        <is>
          <t>VÄSTERBOTTENS LÄN</t>
        </is>
      </c>
      <c r="E535" t="inlineStr">
        <is>
          <t>VILHELMINA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51134-2024</t>
        </is>
      </c>
      <c r="B536" s="1" t="n">
        <v>45603</v>
      </c>
      <c r="C536" s="1" t="n">
        <v>46110</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2946-2026</t>
        </is>
      </c>
      <c r="B537" s="1" t="n">
        <v>46038.59427083333</v>
      </c>
      <c r="C537" s="1" t="n">
        <v>46110</v>
      </c>
      <c r="D537" t="inlineStr">
        <is>
          <t>VÄSTERBOTTENS LÄN</t>
        </is>
      </c>
      <c r="E537" t="inlineStr">
        <is>
          <t>VILHELMINA</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50922-2025</t>
        </is>
      </c>
      <c r="B538" s="1" t="n">
        <v>45946.67149305555</v>
      </c>
      <c r="C538" s="1" t="n">
        <v>46110</v>
      </c>
      <c r="D538" t="inlineStr">
        <is>
          <t>VÄSTERBOTTENS LÄN</t>
        </is>
      </c>
      <c r="E538" t="inlineStr">
        <is>
          <t>VILHELMINA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50635-2021</t>
        </is>
      </c>
      <c r="B539" s="1" t="n">
        <v>44459.71978009259</v>
      </c>
      <c r="C539" s="1" t="n">
        <v>46110</v>
      </c>
      <c r="D539" t="inlineStr">
        <is>
          <t>VÄSTERBOTTENS LÄN</t>
        </is>
      </c>
      <c r="E539" t="inlineStr">
        <is>
          <t>VILHELMINA</t>
        </is>
      </c>
      <c r="F539" t="inlineStr">
        <is>
          <t>Kommuner</t>
        </is>
      </c>
      <c r="G539" t="n">
        <v>11</v>
      </c>
      <c r="H539" t="n">
        <v>0</v>
      </c>
      <c r="I539" t="n">
        <v>0</v>
      </c>
      <c r="J539" t="n">
        <v>0</v>
      </c>
      <c r="K539" t="n">
        <v>0</v>
      </c>
      <c r="L539" t="n">
        <v>0</v>
      </c>
      <c r="M539" t="n">
        <v>0</v>
      </c>
      <c r="N539" t="n">
        <v>0</v>
      </c>
      <c r="O539" t="n">
        <v>0</v>
      </c>
      <c r="P539" t="n">
        <v>0</v>
      </c>
      <c r="Q539" t="n">
        <v>0</v>
      </c>
      <c r="R539" s="2" t="inlineStr"/>
    </row>
    <row r="540" ht="15" customHeight="1">
      <c r="A540" t="inlineStr">
        <is>
          <t>A 28870-2024</t>
        </is>
      </c>
      <c r="B540" s="1" t="n">
        <v>45478.94733796296</v>
      </c>
      <c r="C540" s="1" t="n">
        <v>46110</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51042-2025</t>
        </is>
      </c>
      <c r="B541" s="1" t="n">
        <v>45947.42334490741</v>
      </c>
      <c r="C541" s="1" t="n">
        <v>46110</v>
      </c>
      <c r="D541" t="inlineStr">
        <is>
          <t>VÄSTERBOTTENS LÄN</t>
        </is>
      </c>
      <c r="E541" t="inlineStr">
        <is>
          <t>VILHELMINA</t>
        </is>
      </c>
      <c r="G541" t="n">
        <v>12.6</v>
      </c>
      <c r="H541" t="n">
        <v>0</v>
      </c>
      <c r="I541" t="n">
        <v>0</v>
      </c>
      <c r="J541" t="n">
        <v>0</v>
      </c>
      <c r="K541" t="n">
        <v>0</v>
      </c>
      <c r="L541" t="n">
        <v>0</v>
      </c>
      <c r="M541" t="n">
        <v>0</v>
      </c>
      <c r="N541" t="n">
        <v>0</v>
      </c>
      <c r="O541" t="n">
        <v>0</v>
      </c>
      <c r="P541" t="n">
        <v>0</v>
      </c>
      <c r="Q541" t="n">
        <v>0</v>
      </c>
      <c r="R541" s="2" t="inlineStr"/>
    </row>
    <row r="542" ht="15" customHeight="1">
      <c r="A542" t="inlineStr">
        <is>
          <t>A 54727-2024</t>
        </is>
      </c>
      <c r="B542" s="1" t="n">
        <v>45618.43804398148</v>
      </c>
      <c r="C542" s="1" t="n">
        <v>46110</v>
      </c>
      <c r="D542" t="inlineStr">
        <is>
          <t>VÄSTERBOTTENS LÄN</t>
        </is>
      </c>
      <c r="E542" t="inlineStr">
        <is>
          <t>VILHELMINA</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54804-2024</t>
        </is>
      </c>
      <c r="B543" s="1" t="n">
        <v>45618</v>
      </c>
      <c r="C543" s="1" t="n">
        <v>46110</v>
      </c>
      <c r="D543" t="inlineStr">
        <is>
          <t>VÄSTERBOTTENS LÄN</t>
        </is>
      </c>
      <c r="E543" t="inlineStr">
        <is>
          <t>VILHELMINA</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20653-2021</t>
        </is>
      </c>
      <c r="B544" s="1" t="n">
        <v>44316.41677083333</v>
      </c>
      <c r="C544" s="1" t="n">
        <v>46110</v>
      </c>
      <c r="D544" t="inlineStr">
        <is>
          <t>VÄSTERBOTTENS LÄN</t>
        </is>
      </c>
      <c r="E544" t="inlineStr">
        <is>
          <t>VILHELMINA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30553-2025</t>
        </is>
      </c>
      <c r="B545" s="1" t="n">
        <v>45831.38579861111</v>
      </c>
      <c r="C545" s="1" t="n">
        <v>46110</v>
      </c>
      <c r="D545" t="inlineStr">
        <is>
          <t>VÄSTERBOTTENS LÄN</t>
        </is>
      </c>
      <c r="E545" t="inlineStr">
        <is>
          <t>VILHELMINA</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44628.925625</v>
      </c>
      <c r="C546" s="1" t="n">
        <v>46110</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55742-2025</t>
        </is>
      </c>
      <c r="B547" s="1" t="n">
        <v>45972</v>
      </c>
      <c r="C547" s="1" t="n">
        <v>46110</v>
      </c>
      <c r="D547" t="inlineStr">
        <is>
          <t>VÄSTERBOTTENS LÄN</t>
        </is>
      </c>
      <c r="E547" t="inlineStr">
        <is>
          <t>VILHELMINA</t>
        </is>
      </c>
      <c r="G547" t="n">
        <v>36.2</v>
      </c>
      <c r="H547" t="n">
        <v>0</v>
      </c>
      <c r="I547" t="n">
        <v>0</v>
      </c>
      <c r="J547" t="n">
        <v>0</v>
      </c>
      <c r="K547" t="n">
        <v>0</v>
      </c>
      <c r="L547" t="n">
        <v>0</v>
      </c>
      <c r="M547" t="n">
        <v>0</v>
      </c>
      <c r="N547" t="n">
        <v>0</v>
      </c>
      <c r="O547" t="n">
        <v>0</v>
      </c>
      <c r="P547" t="n">
        <v>0</v>
      </c>
      <c r="Q547" t="n">
        <v>0</v>
      </c>
      <c r="R547" s="2" t="inlineStr"/>
    </row>
    <row r="548" ht="15" customHeight="1">
      <c r="A548" t="inlineStr">
        <is>
          <t>A 51651-2025</t>
        </is>
      </c>
      <c r="B548" s="1" t="n">
        <v>45951.46043981481</v>
      </c>
      <c r="C548" s="1" t="n">
        <v>46110</v>
      </c>
      <c r="D548" t="inlineStr">
        <is>
          <t>VÄSTERBOTTENS LÄN</t>
        </is>
      </c>
      <c r="E548" t="inlineStr">
        <is>
          <t>VILHELMINA</t>
        </is>
      </c>
      <c r="G548" t="n">
        <v>6.9</v>
      </c>
      <c r="H548" t="n">
        <v>0</v>
      </c>
      <c r="I548" t="n">
        <v>0</v>
      </c>
      <c r="J548" t="n">
        <v>0</v>
      </c>
      <c r="K548" t="n">
        <v>0</v>
      </c>
      <c r="L548" t="n">
        <v>0</v>
      </c>
      <c r="M548" t="n">
        <v>0</v>
      </c>
      <c r="N548" t="n">
        <v>0</v>
      </c>
      <c r="O548" t="n">
        <v>0</v>
      </c>
      <c r="P548" t="n">
        <v>0</v>
      </c>
      <c r="Q548" t="n">
        <v>0</v>
      </c>
      <c r="R548" s="2" t="inlineStr"/>
    </row>
    <row r="549" ht="15" customHeight="1">
      <c r="A549" t="inlineStr">
        <is>
          <t>A 51657-2025</t>
        </is>
      </c>
      <c r="B549" s="1" t="n">
        <v>45951.47362268518</v>
      </c>
      <c r="C549" s="1" t="n">
        <v>46110</v>
      </c>
      <c r="D549" t="inlineStr">
        <is>
          <t>VÄSTERBOTTENS LÄN</t>
        </is>
      </c>
      <c r="E549" t="inlineStr">
        <is>
          <t>VILHELMINA</t>
        </is>
      </c>
      <c r="G549" t="n">
        <v>14.4</v>
      </c>
      <c r="H549" t="n">
        <v>0</v>
      </c>
      <c r="I549" t="n">
        <v>0</v>
      </c>
      <c r="J549" t="n">
        <v>0</v>
      </c>
      <c r="K549" t="n">
        <v>0</v>
      </c>
      <c r="L549" t="n">
        <v>0</v>
      </c>
      <c r="M549" t="n">
        <v>0</v>
      </c>
      <c r="N549" t="n">
        <v>0</v>
      </c>
      <c r="O549" t="n">
        <v>0</v>
      </c>
      <c r="P549" t="n">
        <v>0</v>
      </c>
      <c r="Q549" t="n">
        <v>0</v>
      </c>
      <c r="R549" s="2" t="inlineStr"/>
    </row>
    <row r="550" ht="15" customHeight="1">
      <c r="A550" t="inlineStr">
        <is>
          <t>A 56763-2023</t>
        </is>
      </c>
      <c r="B550" s="1" t="n">
        <v>45238</v>
      </c>
      <c r="C550" s="1" t="n">
        <v>46110</v>
      </c>
      <c r="D550" t="inlineStr">
        <is>
          <t>VÄSTERBOTTENS LÄN</t>
        </is>
      </c>
      <c r="E550" t="inlineStr">
        <is>
          <t>VILHELMINA</t>
        </is>
      </c>
      <c r="F550" t="inlineStr">
        <is>
          <t>Allmännings- och besparingsskogar</t>
        </is>
      </c>
      <c r="G550" t="n">
        <v>77</v>
      </c>
      <c r="H550" t="n">
        <v>0</v>
      </c>
      <c r="I550" t="n">
        <v>0</v>
      </c>
      <c r="J550" t="n">
        <v>0</v>
      </c>
      <c r="K550" t="n">
        <v>0</v>
      </c>
      <c r="L550" t="n">
        <v>0</v>
      </c>
      <c r="M550" t="n">
        <v>0</v>
      </c>
      <c r="N550" t="n">
        <v>0</v>
      </c>
      <c r="O550" t="n">
        <v>0</v>
      </c>
      <c r="P550" t="n">
        <v>0</v>
      </c>
      <c r="Q550" t="n">
        <v>0</v>
      </c>
      <c r="R550" s="2" t="inlineStr"/>
    </row>
    <row r="551" ht="15" customHeight="1">
      <c r="A551" t="inlineStr">
        <is>
          <t>A 52034-2025</t>
        </is>
      </c>
      <c r="B551" s="1" t="n">
        <v>45952.61252314815</v>
      </c>
      <c r="C551" s="1" t="n">
        <v>46110</v>
      </c>
      <c r="D551" t="inlineStr">
        <is>
          <t>VÄSTERBOTTENS LÄN</t>
        </is>
      </c>
      <c r="E551" t="inlineStr">
        <is>
          <t>VILHELMINA</t>
        </is>
      </c>
      <c r="G551" t="n">
        <v>9.6</v>
      </c>
      <c r="H551" t="n">
        <v>0</v>
      </c>
      <c r="I551" t="n">
        <v>0</v>
      </c>
      <c r="J551" t="n">
        <v>0</v>
      </c>
      <c r="K551" t="n">
        <v>0</v>
      </c>
      <c r="L551" t="n">
        <v>0</v>
      </c>
      <c r="M551" t="n">
        <v>0</v>
      </c>
      <c r="N551" t="n">
        <v>0</v>
      </c>
      <c r="O551" t="n">
        <v>0</v>
      </c>
      <c r="P551" t="n">
        <v>0</v>
      </c>
      <c r="Q551" t="n">
        <v>0</v>
      </c>
      <c r="R551" s="2" t="inlineStr"/>
    </row>
    <row r="552" ht="15" customHeight="1">
      <c r="A552" t="inlineStr">
        <is>
          <t>A 51704-2025</t>
        </is>
      </c>
      <c r="B552" s="1" t="n">
        <v>45951.55436342592</v>
      </c>
      <c r="C552" s="1" t="n">
        <v>46110</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35757-2023</t>
        </is>
      </c>
      <c r="B553" s="1" t="n">
        <v>45147.95444444445</v>
      </c>
      <c r="C553" s="1" t="n">
        <v>46110</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51701-2025</t>
        </is>
      </c>
      <c r="B554" s="1" t="n">
        <v>45951.55298611111</v>
      </c>
      <c r="C554" s="1" t="n">
        <v>46110</v>
      </c>
      <c r="D554" t="inlineStr">
        <is>
          <t>VÄSTERBOTTENS LÄN</t>
        </is>
      </c>
      <c r="E554" t="inlineStr">
        <is>
          <t>VILHELMINA</t>
        </is>
      </c>
      <c r="G554" t="n">
        <v>4.1</v>
      </c>
      <c r="H554" t="n">
        <v>0</v>
      </c>
      <c r="I554" t="n">
        <v>0</v>
      </c>
      <c r="J554" t="n">
        <v>0</v>
      </c>
      <c r="K554" t="n">
        <v>0</v>
      </c>
      <c r="L554" t="n">
        <v>0</v>
      </c>
      <c r="M554" t="n">
        <v>0</v>
      </c>
      <c r="N554" t="n">
        <v>0</v>
      </c>
      <c r="O554" t="n">
        <v>0</v>
      </c>
      <c r="P554" t="n">
        <v>0</v>
      </c>
      <c r="Q554" t="n">
        <v>0</v>
      </c>
      <c r="R554" s="2" t="inlineStr"/>
    </row>
    <row r="555" ht="15" customHeight="1">
      <c r="A555" t="inlineStr">
        <is>
          <t>A 58934-2024</t>
        </is>
      </c>
      <c r="B555" s="1" t="n">
        <v>45636</v>
      </c>
      <c r="C555" s="1" t="n">
        <v>46110</v>
      </c>
      <c r="D555" t="inlineStr">
        <is>
          <t>VÄSTERBOTTENS LÄN</t>
        </is>
      </c>
      <c r="E555" t="inlineStr">
        <is>
          <t>VILHELMINA</t>
        </is>
      </c>
      <c r="F555" t="inlineStr">
        <is>
          <t>Allmännings- och besparingsskogar</t>
        </is>
      </c>
      <c r="G555" t="n">
        <v>47</v>
      </c>
      <c r="H555" t="n">
        <v>0</v>
      </c>
      <c r="I555" t="n">
        <v>0</v>
      </c>
      <c r="J555" t="n">
        <v>0</v>
      </c>
      <c r="K555" t="n">
        <v>0</v>
      </c>
      <c r="L555" t="n">
        <v>0</v>
      </c>
      <c r="M555" t="n">
        <v>0</v>
      </c>
      <c r="N555" t="n">
        <v>0</v>
      </c>
      <c r="O555" t="n">
        <v>0</v>
      </c>
      <c r="P555" t="n">
        <v>0</v>
      </c>
      <c r="Q555" t="n">
        <v>0</v>
      </c>
      <c r="R555" s="2" t="inlineStr"/>
    </row>
    <row r="556" ht="15" customHeight="1">
      <c r="A556" t="inlineStr">
        <is>
          <t>A 9181-2023</t>
        </is>
      </c>
      <c r="B556" s="1" t="n">
        <v>44972</v>
      </c>
      <c r="C556" s="1" t="n">
        <v>46110</v>
      </c>
      <c r="D556" t="inlineStr">
        <is>
          <t>VÄSTERBOTTENS LÄN</t>
        </is>
      </c>
      <c r="E556" t="inlineStr">
        <is>
          <t>VILHELMINA</t>
        </is>
      </c>
      <c r="F556" t="inlineStr">
        <is>
          <t>Allmännings- och besparingsskogar</t>
        </is>
      </c>
      <c r="G556" t="n">
        <v>220.1</v>
      </c>
      <c r="H556" t="n">
        <v>0</v>
      </c>
      <c r="I556" t="n">
        <v>0</v>
      </c>
      <c r="J556" t="n">
        <v>0</v>
      </c>
      <c r="K556" t="n">
        <v>0</v>
      </c>
      <c r="L556" t="n">
        <v>0</v>
      </c>
      <c r="M556" t="n">
        <v>0</v>
      </c>
      <c r="N556" t="n">
        <v>0</v>
      </c>
      <c r="O556" t="n">
        <v>0</v>
      </c>
      <c r="P556" t="n">
        <v>0</v>
      </c>
      <c r="Q556" t="n">
        <v>0</v>
      </c>
      <c r="R556" s="2" t="inlineStr"/>
    </row>
    <row r="557" ht="15" customHeight="1">
      <c r="A557" t="inlineStr">
        <is>
          <t>A 31724-2025</t>
        </is>
      </c>
      <c r="B557" s="1" t="n">
        <v>45834</v>
      </c>
      <c r="C557" s="1" t="n">
        <v>46110</v>
      </c>
      <c r="D557" t="inlineStr">
        <is>
          <t>VÄSTERBOTTENS LÄN</t>
        </is>
      </c>
      <c r="E557" t="inlineStr">
        <is>
          <t>VILHELMINA</t>
        </is>
      </c>
      <c r="G557" t="n">
        <v>19.7</v>
      </c>
      <c r="H557" t="n">
        <v>0</v>
      </c>
      <c r="I557" t="n">
        <v>0</v>
      </c>
      <c r="J557" t="n">
        <v>0</v>
      </c>
      <c r="K557" t="n">
        <v>0</v>
      </c>
      <c r="L557" t="n">
        <v>0</v>
      </c>
      <c r="M557" t="n">
        <v>0</v>
      </c>
      <c r="N557" t="n">
        <v>0</v>
      </c>
      <c r="O557" t="n">
        <v>0</v>
      </c>
      <c r="P557" t="n">
        <v>0</v>
      </c>
      <c r="Q557" t="n">
        <v>0</v>
      </c>
      <c r="R557" s="2" t="inlineStr"/>
    </row>
    <row r="558" ht="15" customHeight="1">
      <c r="A558" t="inlineStr">
        <is>
          <t>A 31730-2025</t>
        </is>
      </c>
      <c r="B558" s="1" t="n">
        <v>45834</v>
      </c>
      <c r="C558" s="1" t="n">
        <v>46110</v>
      </c>
      <c r="D558" t="inlineStr">
        <is>
          <t>VÄSTERBOTTENS LÄN</t>
        </is>
      </c>
      <c r="E558" t="inlineStr">
        <is>
          <t>VILHELMINA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54457-2024</t>
        </is>
      </c>
      <c r="B559" s="1" t="n">
        <v>45617</v>
      </c>
      <c r="C559" s="1" t="n">
        <v>46110</v>
      </c>
      <c r="D559" t="inlineStr">
        <is>
          <t>VÄSTERBOTTENS LÄN</t>
        </is>
      </c>
      <c r="E559" t="inlineStr">
        <is>
          <t>VILHELMINA</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31307-2025</t>
        </is>
      </c>
      <c r="B560" s="1" t="n">
        <v>45833</v>
      </c>
      <c r="C560" s="1" t="n">
        <v>46110</v>
      </c>
      <c r="D560" t="inlineStr">
        <is>
          <t>VÄSTERBOTTENS LÄN</t>
        </is>
      </c>
      <c r="E560" t="inlineStr">
        <is>
          <t>VILHELMINA</t>
        </is>
      </c>
      <c r="G560" t="n">
        <v>9.9</v>
      </c>
      <c r="H560" t="n">
        <v>0</v>
      </c>
      <c r="I560" t="n">
        <v>0</v>
      </c>
      <c r="J560" t="n">
        <v>0</v>
      </c>
      <c r="K560" t="n">
        <v>0</v>
      </c>
      <c r="L560" t="n">
        <v>0</v>
      </c>
      <c r="M560" t="n">
        <v>0</v>
      </c>
      <c r="N560" t="n">
        <v>0</v>
      </c>
      <c r="O560" t="n">
        <v>0</v>
      </c>
      <c r="P560" t="n">
        <v>0</v>
      </c>
      <c r="Q560" t="n">
        <v>0</v>
      </c>
      <c r="R560" s="2" t="inlineStr"/>
    </row>
    <row r="561" ht="15" customHeight="1">
      <c r="A561" t="inlineStr">
        <is>
          <t>A 31851-2024</t>
        </is>
      </c>
      <c r="B561" s="1" t="n">
        <v>45509</v>
      </c>
      <c r="C561" s="1" t="n">
        <v>46110</v>
      </c>
      <c r="D561" t="inlineStr">
        <is>
          <t>VÄSTERBOTTENS LÄN</t>
        </is>
      </c>
      <c r="E561" t="inlineStr">
        <is>
          <t>VILHELMINA</t>
        </is>
      </c>
      <c r="G561" t="n">
        <v>5.1</v>
      </c>
      <c r="H561" t="n">
        <v>0</v>
      </c>
      <c r="I561" t="n">
        <v>0</v>
      </c>
      <c r="J561" t="n">
        <v>0</v>
      </c>
      <c r="K561" t="n">
        <v>0</v>
      </c>
      <c r="L561" t="n">
        <v>0</v>
      </c>
      <c r="M561" t="n">
        <v>0</v>
      </c>
      <c r="N561" t="n">
        <v>0</v>
      </c>
      <c r="O561" t="n">
        <v>0</v>
      </c>
      <c r="P561" t="n">
        <v>0</v>
      </c>
      <c r="Q561" t="n">
        <v>0</v>
      </c>
      <c r="R561" s="2" t="inlineStr"/>
    </row>
    <row r="562" ht="15" customHeight="1">
      <c r="A562" t="inlineStr">
        <is>
          <t>A 31733-2025</t>
        </is>
      </c>
      <c r="B562" s="1" t="n">
        <v>45834.47035879629</v>
      </c>
      <c r="C562" s="1" t="n">
        <v>46110</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31308-2025</t>
        </is>
      </c>
      <c r="B563" s="1" t="n">
        <v>45833</v>
      </c>
      <c r="C563" s="1" t="n">
        <v>46110</v>
      </c>
      <c r="D563" t="inlineStr">
        <is>
          <t>VÄSTERBOTTENS LÄN</t>
        </is>
      </c>
      <c r="E563" t="inlineStr">
        <is>
          <t>VILHELMINA</t>
        </is>
      </c>
      <c r="G563" t="n">
        <v>3.2</v>
      </c>
      <c r="H563" t="n">
        <v>0</v>
      </c>
      <c r="I563" t="n">
        <v>0</v>
      </c>
      <c r="J563" t="n">
        <v>0</v>
      </c>
      <c r="K563" t="n">
        <v>0</v>
      </c>
      <c r="L563" t="n">
        <v>0</v>
      </c>
      <c r="M563" t="n">
        <v>0</v>
      </c>
      <c r="N563" t="n">
        <v>0</v>
      </c>
      <c r="O563" t="n">
        <v>0</v>
      </c>
      <c r="P563" t="n">
        <v>0</v>
      </c>
      <c r="Q563" t="n">
        <v>0</v>
      </c>
      <c r="R563" s="2" t="inlineStr"/>
    </row>
    <row r="564" ht="15" customHeight="1">
      <c r="A564" t="inlineStr">
        <is>
          <t>A 52334-2025</t>
        </is>
      </c>
      <c r="B564" s="1" t="n">
        <v>45953.68225694444</v>
      </c>
      <c r="C564" s="1" t="n">
        <v>46110</v>
      </c>
      <c r="D564" t="inlineStr">
        <is>
          <t>VÄSTERBOTTENS LÄN</t>
        </is>
      </c>
      <c r="E564" t="inlineStr">
        <is>
          <t>VILHELMINA</t>
        </is>
      </c>
      <c r="G564" t="n">
        <v>0.9</v>
      </c>
      <c r="H564" t="n">
        <v>0</v>
      </c>
      <c r="I564" t="n">
        <v>0</v>
      </c>
      <c r="J564" t="n">
        <v>0</v>
      </c>
      <c r="K564" t="n">
        <v>0</v>
      </c>
      <c r="L564" t="n">
        <v>0</v>
      </c>
      <c r="M564" t="n">
        <v>0</v>
      </c>
      <c r="N564" t="n">
        <v>0</v>
      </c>
      <c r="O564" t="n">
        <v>0</v>
      </c>
      <c r="P564" t="n">
        <v>0</v>
      </c>
      <c r="Q564" t="n">
        <v>0</v>
      </c>
      <c r="R564" s="2" t="inlineStr"/>
    </row>
    <row r="565" ht="15" customHeight="1">
      <c r="A565" t="inlineStr">
        <is>
          <t>A 58943-2024</t>
        </is>
      </c>
      <c r="B565" s="1" t="n">
        <v>45636.5433449074</v>
      </c>
      <c r="C565" s="1" t="n">
        <v>46110</v>
      </c>
      <c r="D565" t="inlineStr">
        <is>
          <t>VÄSTERBOTTENS LÄN</t>
        </is>
      </c>
      <c r="E565" t="inlineStr">
        <is>
          <t>VILHELMINA</t>
        </is>
      </c>
      <c r="F565" t="inlineStr">
        <is>
          <t>Kommuner</t>
        </is>
      </c>
      <c r="G565" t="n">
        <v>4.1</v>
      </c>
      <c r="H565" t="n">
        <v>0</v>
      </c>
      <c r="I565" t="n">
        <v>0</v>
      </c>
      <c r="J565" t="n">
        <v>0</v>
      </c>
      <c r="K565" t="n">
        <v>0</v>
      </c>
      <c r="L565" t="n">
        <v>0</v>
      </c>
      <c r="M565" t="n">
        <v>0</v>
      </c>
      <c r="N565" t="n">
        <v>0</v>
      </c>
      <c r="O565" t="n">
        <v>0</v>
      </c>
      <c r="P565" t="n">
        <v>0</v>
      </c>
      <c r="Q565" t="n">
        <v>0</v>
      </c>
      <c r="R565" s="2" t="inlineStr"/>
    </row>
    <row r="566" ht="15" customHeight="1">
      <c r="A566" t="inlineStr">
        <is>
          <t>A 23360-2025</t>
        </is>
      </c>
      <c r="B566" s="1" t="n">
        <v>45791</v>
      </c>
      <c r="C566" s="1" t="n">
        <v>46110</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38297-2024</t>
        </is>
      </c>
      <c r="B567" s="1" t="n">
        <v>45545</v>
      </c>
      <c r="C567" s="1" t="n">
        <v>46110</v>
      </c>
      <c r="D567" t="inlineStr">
        <is>
          <t>VÄSTERBOTTENS LÄN</t>
        </is>
      </c>
      <c r="E567" t="inlineStr">
        <is>
          <t>VILHELMINA</t>
        </is>
      </c>
      <c r="G567" t="n">
        <v>139.8</v>
      </c>
      <c r="H567" t="n">
        <v>0</v>
      </c>
      <c r="I567" t="n">
        <v>0</v>
      </c>
      <c r="J567" t="n">
        <v>0</v>
      </c>
      <c r="K567" t="n">
        <v>0</v>
      </c>
      <c r="L567" t="n">
        <v>0</v>
      </c>
      <c r="M567" t="n">
        <v>0</v>
      </c>
      <c r="N567" t="n">
        <v>0</v>
      </c>
      <c r="O567" t="n">
        <v>0</v>
      </c>
      <c r="P567" t="n">
        <v>0</v>
      </c>
      <c r="Q567" t="n">
        <v>0</v>
      </c>
      <c r="R567" s="2" t="inlineStr"/>
    </row>
    <row r="568" ht="15" customHeight="1">
      <c r="A568" t="inlineStr">
        <is>
          <t>A 146-2025</t>
        </is>
      </c>
      <c r="B568" s="1" t="n">
        <v>45659</v>
      </c>
      <c r="C568" s="1" t="n">
        <v>46110</v>
      </c>
      <c r="D568" t="inlineStr">
        <is>
          <t>VÄSTERBOTTENS LÄN</t>
        </is>
      </c>
      <c r="E568" t="inlineStr">
        <is>
          <t>VILHELMINA</t>
        </is>
      </c>
      <c r="F568" t="inlineStr">
        <is>
          <t>SCA</t>
        </is>
      </c>
      <c r="G568" t="n">
        <v>9.1</v>
      </c>
      <c r="H568" t="n">
        <v>0</v>
      </c>
      <c r="I568" t="n">
        <v>0</v>
      </c>
      <c r="J568" t="n">
        <v>0</v>
      </c>
      <c r="K568" t="n">
        <v>0</v>
      </c>
      <c r="L568" t="n">
        <v>0</v>
      </c>
      <c r="M568" t="n">
        <v>0</v>
      </c>
      <c r="N568" t="n">
        <v>0</v>
      </c>
      <c r="O568" t="n">
        <v>0</v>
      </c>
      <c r="P568" t="n">
        <v>0</v>
      </c>
      <c r="Q568" t="n">
        <v>0</v>
      </c>
      <c r="R568" s="2" t="inlineStr"/>
    </row>
    <row r="569" ht="15" customHeight="1">
      <c r="A569" t="inlineStr">
        <is>
          <t>A 53015-2025</t>
        </is>
      </c>
      <c r="B569" s="1" t="n">
        <v>45957.82777777778</v>
      </c>
      <c r="C569" s="1" t="n">
        <v>46110</v>
      </c>
      <c r="D569" t="inlineStr">
        <is>
          <t>VÄSTERBOTTENS LÄN</t>
        </is>
      </c>
      <c r="E569" t="inlineStr">
        <is>
          <t>VILHELMINA</t>
        </is>
      </c>
      <c r="G569" t="n">
        <v>17.2</v>
      </c>
      <c r="H569" t="n">
        <v>0</v>
      </c>
      <c r="I569" t="n">
        <v>0</v>
      </c>
      <c r="J569" t="n">
        <v>0</v>
      </c>
      <c r="K569" t="n">
        <v>0</v>
      </c>
      <c r="L569" t="n">
        <v>0</v>
      </c>
      <c r="M569" t="n">
        <v>0</v>
      </c>
      <c r="N569" t="n">
        <v>0</v>
      </c>
      <c r="O569" t="n">
        <v>0</v>
      </c>
      <c r="P569" t="n">
        <v>0</v>
      </c>
      <c r="Q569" t="n">
        <v>0</v>
      </c>
      <c r="R569" s="2" t="inlineStr"/>
    </row>
    <row r="570" ht="15" customHeight="1">
      <c r="A570" t="inlineStr">
        <is>
          <t>A 23278-2021</t>
        </is>
      </c>
      <c r="B570" s="1" t="n">
        <v>44328</v>
      </c>
      <c r="C570" s="1" t="n">
        <v>46110</v>
      </c>
      <c r="D570" t="inlineStr">
        <is>
          <t>VÄSTERBOTTENS LÄN</t>
        </is>
      </c>
      <c r="E570" t="inlineStr">
        <is>
          <t>VILHELMINA</t>
        </is>
      </c>
      <c r="F570" t="inlineStr">
        <is>
          <t>Allmännings- och besparingsskogar</t>
        </is>
      </c>
      <c r="G570" t="n">
        <v>13.6</v>
      </c>
      <c r="H570" t="n">
        <v>0</v>
      </c>
      <c r="I570" t="n">
        <v>0</v>
      </c>
      <c r="J570" t="n">
        <v>0</v>
      </c>
      <c r="K570" t="n">
        <v>0</v>
      </c>
      <c r="L570" t="n">
        <v>0</v>
      </c>
      <c r="M570" t="n">
        <v>0</v>
      </c>
      <c r="N570" t="n">
        <v>0</v>
      </c>
      <c r="O570" t="n">
        <v>0</v>
      </c>
      <c r="P570" t="n">
        <v>0</v>
      </c>
      <c r="Q570" t="n">
        <v>0</v>
      </c>
      <c r="R570" s="2" t="inlineStr"/>
    </row>
    <row r="571" ht="15" customHeight="1">
      <c r="A571" t="inlineStr">
        <is>
          <t>A 52789-2025</t>
        </is>
      </c>
      <c r="B571" s="1" t="n">
        <v>45957.42777777778</v>
      </c>
      <c r="C571" s="1" t="n">
        <v>46110</v>
      </c>
      <c r="D571" t="inlineStr">
        <is>
          <t>VÄSTERBOTTENS LÄN</t>
        </is>
      </c>
      <c r="E571" t="inlineStr">
        <is>
          <t>VILHELMINA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52565-2025</t>
        </is>
      </c>
      <c r="B572" s="1" t="n">
        <v>45954.59429398148</v>
      </c>
      <c r="C572" s="1" t="n">
        <v>46110</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52398-2025</t>
        </is>
      </c>
      <c r="B573" s="1" t="n">
        <v>45954.34572916666</v>
      </c>
      <c r="C573" s="1" t="n">
        <v>46110</v>
      </c>
      <c r="D573" t="inlineStr">
        <is>
          <t>VÄSTERBOTTENS LÄN</t>
        </is>
      </c>
      <c r="E573" t="inlineStr">
        <is>
          <t>VILHELMINA</t>
        </is>
      </c>
      <c r="F573" t="inlineStr">
        <is>
          <t>Sveaskog</t>
        </is>
      </c>
      <c r="G573" t="n">
        <v>4</v>
      </c>
      <c r="H573" t="n">
        <v>0</v>
      </c>
      <c r="I573" t="n">
        <v>0</v>
      </c>
      <c r="J573" t="n">
        <v>0</v>
      </c>
      <c r="K573" t="n">
        <v>0</v>
      </c>
      <c r="L573" t="n">
        <v>0</v>
      </c>
      <c r="M573" t="n">
        <v>0</v>
      </c>
      <c r="N573" t="n">
        <v>0</v>
      </c>
      <c r="O573" t="n">
        <v>0</v>
      </c>
      <c r="P573" t="n">
        <v>0</v>
      </c>
      <c r="Q573" t="n">
        <v>0</v>
      </c>
      <c r="R573" s="2" t="inlineStr"/>
    </row>
    <row r="574" ht="15" customHeight="1">
      <c r="A574" t="inlineStr">
        <is>
          <t>A 54387-2024</t>
        </is>
      </c>
      <c r="B574" s="1" t="n">
        <v>45617</v>
      </c>
      <c r="C574" s="1" t="n">
        <v>46110</v>
      </c>
      <c r="D574" t="inlineStr">
        <is>
          <t>VÄSTERBOTTENS LÄN</t>
        </is>
      </c>
      <c r="E574" t="inlineStr">
        <is>
          <t>VILHELMINA</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52811-2025</t>
        </is>
      </c>
      <c r="B575" s="1" t="n">
        <v>45957.44878472222</v>
      </c>
      <c r="C575" s="1" t="n">
        <v>46110</v>
      </c>
      <c r="D575" t="inlineStr">
        <is>
          <t>VÄSTERBOTTENS LÄN</t>
        </is>
      </c>
      <c r="E575" t="inlineStr">
        <is>
          <t>VILHELMINA</t>
        </is>
      </c>
      <c r="G575" t="n">
        <v>1.8</v>
      </c>
      <c r="H575" t="n">
        <v>0</v>
      </c>
      <c r="I575" t="n">
        <v>0</v>
      </c>
      <c r="J575" t="n">
        <v>0</v>
      </c>
      <c r="K575" t="n">
        <v>0</v>
      </c>
      <c r="L575" t="n">
        <v>0</v>
      </c>
      <c r="M575" t="n">
        <v>0</v>
      </c>
      <c r="N575" t="n">
        <v>0</v>
      </c>
      <c r="O575" t="n">
        <v>0</v>
      </c>
      <c r="P575" t="n">
        <v>0</v>
      </c>
      <c r="Q575" t="n">
        <v>0</v>
      </c>
      <c r="R575" s="2" t="inlineStr"/>
    </row>
    <row r="576" ht="15" customHeight="1">
      <c r="A576" t="inlineStr">
        <is>
          <t>A 33142-2025</t>
        </is>
      </c>
      <c r="B576" s="1" t="n">
        <v>45840</v>
      </c>
      <c r="C576" s="1" t="n">
        <v>46110</v>
      </c>
      <c r="D576" t="inlineStr">
        <is>
          <t>VÄSTERBOTTENS LÄN</t>
        </is>
      </c>
      <c r="E576" t="inlineStr">
        <is>
          <t>VILHELMINA</t>
        </is>
      </c>
      <c r="G576" t="n">
        <v>15.2</v>
      </c>
      <c r="H576" t="n">
        <v>0</v>
      </c>
      <c r="I576" t="n">
        <v>0</v>
      </c>
      <c r="J576" t="n">
        <v>0</v>
      </c>
      <c r="K576" t="n">
        <v>0</v>
      </c>
      <c r="L576" t="n">
        <v>0</v>
      </c>
      <c r="M576" t="n">
        <v>0</v>
      </c>
      <c r="N576" t="n">
        <v>0</v>
      </c>
      <c r="O576" t="n">
        <v>0</v>
      </c>
      <c r="P576" t="n">
        <v>0</v>
      </c>
      <c r="Q576" t="n">
        <v>0</v>
      </c>
      <c r="R576" s="2" t="inlineStr"/>
    </row>
    <row r="577" ht="15" customHeight="1">
      <c r="A577" t="inlineStr">
        <is>
          <t>A 4689-2026</t>
        </is>
      </c>
      <c r="B577" s="1" t="n">
        <v>46048.43972222223</v>
      </c>
      <c r="C577" s="1" t="n">
        <v>46110</v>
      </c>
      <c r="D577" t="inlineStr">
        <is>
          <t>VÄSTERBOTTENS LÄN</t>
        </is>
      </c>
      <c r="E577" t="inlineStr">
        <is>
          <t>VILHELMINA</t>
        </is>
      </c>
      <c r="G577" t="n">
        <v>3.5</v>
      </c>
      <c r="H577" t="n">
        <v>0</v>
      </c>
      <c r="I577" t="n">
        <v>0</v>
      </c>
      <c r="J577" t="n">
        <v>0</v>
      </c>
      <c r="K577" t="n">
        <v>0</v>
      </c>
      <c r="L577" t="n">
        <v>0</v>
      </c>
      <c r="M577" t="n">
        <v>0</v>
      </c>
      <c r="N577" t="n">
        <v>0</v>
      </c>
      <c r="O577" t="n">
        <v>0</v>
      </c>
      <c r="P577" t="n">
        <v>0</v>
      </c>
      <c r="Q577" t="n">
        <v>0</v>
      </c>
      <c r="R577" s="2" t="inlineStr"/>
    </row>
    <row r="578" ht="15" customHeight="1">
      <c r="A578" t="inlineStr">
        <is>
          <t>A 4796-2026</t>
        </is>
      </c>
      <c r="B578" s="1" t="n">
        <v>46048.5734375</v>
      </c>
      <c r="C578" s="1" t="n">
        <v>46110</v>
      </c>
      <c r="D578" t="inlineStr">
        <is>
          <t>VÄSTERBOTTENS LÄN</t>
        </is>
      </c>
      <c r="E578" t="inlineStr">
        <is>
          <t>VILHELMINA</t>
        </is>
      </c>
      <c r="G578" t="n">
        <v>2.4</v>
      </c>
      <c r="H578" t="n">
        <v>0</v>
      </c>
      <c r="I578" t="n">
        <v>0</v>
      </c>
      <c r="J578" t="n">
        <v>0</v>
      </c>
      <c r="K578" t="n">
        <v>0</v>
      </c>
      <c r="L578" t="n">
        <v>0</v>
      </c>
      <c r="M578" t="n">
        <v>0</v>
      </c>
      <c r="N578" t="n">
        <v>0</v>
      </c>
      <c r="O578" t="n">
        <v>0</v>
      </c>
      <c r="P578" t="n">
        <v>0</v>
      </c>
      <c r="Q578" t="n">
        <v>0</v>
      </c>
      <c r="R578" s="2" t="inlineStr"/>
    </row>
    <row r="579" ht="15" customHeight="1">
      <c r="A579" t="inlineStr">
        <is>
          <t>A 32947-2025</t>
        </is>
      </c>
      <c r="B579" s="1" t="n">
        <v>45839</v>
      </c>
      <c r="C579" s="1" t="n">
        <v>46110</v>
      </c>
      <c r="D579" t="inlineStr">
        <is>
          <t>VÄSTERBOTTENS LÄN</t>
        </is>
      </c>
      <c r="E579" t="inlineStr">
        <is>
          <t>VILHELMINA</t>
        </is>
      </c>
      <c r="G579" t="n">
        <v>19.1</v>
      </c>
      <c r="H579" t="n">
        <v>0</v>
      </c>
      <c r="I579" t="n">
        <v>0</v>
      </c>
      <c r="J579" t="n">
        <v>0</v>
      </c>
      <c r="K579" t="n">
        <v>0</v>
      </c>
      <c r="L579" t="n">
        <v>0</v>
      </c>
      <c r="M579" t="n">
        <v>0</v>
      </c>
      <c r="N579" t="n">
        <v>0</v>
      </c>
      <c r="O579" t="n">
        <v>0</v>
      </c>
      <c r="P579" t="n">
        <v>0</v>
      </c>
      <c r="Q579" t="n">
        <v>0</v>
      </c>
      <c r="R579" s="2" t="inlineStr"/>
    </row>
    <row r="580" ht="15" customHeight="1">
      <c r="A580" t="inlineStr">
        <is>
          <t>A 12389-2026</t>
        </is>
      </c>
      <c r="B580" s="1" t="n">
        <v>46087</v>
      </c>
      <c r="C580" s="1" t="n">
        <v>46110</v>
      </c>
      <c r="D580" t="inlineStr">
        <is>
          <t>VÄSTERBOTTENS LÄN</t>
        </is>
      </c>
      <c r="E580" t="inlineStr">
        <is>
          <t>VILHELMINA</t>
        </is>
      </c>
      <c r="F580" t="inlineStr">
        <is>
          <t>Övriga Aktiebolag</t>
        </is>
      </c>
      <c r="G580" t="n">
        <v>10.3</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46110</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27881-2022</t>
        </is>
      </c>
      <c r="B582" s="1" t="n">
        <v>44743</v>
      </c>
      <c r="C582" s="1" t="n">
        <v>46110</v>
      </c>
      <c r="D582" t="inlineStr">
        <is>
          <t>VÄSTERBOTTENS LÄN</t>
        </is>
      </c>
      <c r="E582" t="inlineStr">
        <is>
          <t>VILHELMINA</t>
        </is>
      </c>
      <c r="F582" t="inlineStr">
        <is>
          <t>Sveaskog</t>
        </is>
      </c>
      <c r="G582" t="n">
        <v>14.3</v>
      </c>
      <c r="H582" t="n">
        <v>0</v>
      </c>
      <c r="I582" t="n">
        <v>0</v>
      </c>
      <c r="J582" t="n">
        <v>0</v>
      </c>
      <c r="K582" t="n">
        <v>0</v>
      </c>
      <c r="L582" t="n">
        <v>0</v>
      </c>
      <c r="M582" t="n">
        <v>0</v>
      </c>
      <c r="N582" t="n">
        <v>0</v>
      </c>
      <c r="O582" t="n">
        <v>0</v>
      </c>
      <c r="P582" t="n">
        <v>0</v>
      </c>
      <c r="Q582" t="n">
        <v>0</v>
      </c>
      <c r="R582" s="2" t="inlineStr"/>
    </row>
    <row r="583" ht="15" customHeight="1">
      <c r="A583" t="inlineStr">
        <is>
          <t>A 49241-2024</t>
        </is>
      </c>
      <c r="B583" s="1" t="n">
        <v>45595</v>
      </c>
      <c r="C583" s="1" t="n">
        <v>46110</v>
      </c>
      <c r="D583" t="inlineStr">
        <is>
          <t>VÄSTERBOTTENS LÄN</t>
        </is>
      </c>
      <c r="E583" t="inlineStr">
        <is>
          <t>VILHELMINA</t>
        </is>
      </c>
      <c r="G583" t="n">
        <v>1.4</v>
      </c>
      <c r="H583" t="n">
        <v>0</v>
      </c>
      <c r="I583" t="n">
        <v>0</v>
      </c>
      <c r="J583" t="n">
        <v>0</v>
      </c>
      <c r="K583" t="n">
        <v>0</v>
      </c>
      <c r="L583" t="n">
        <v>0</v>
      </c>
      <c r="M583" t="n">
        <v>0</v>
      </c>
      <c r="N583" t="n">
        <v>0</v>
      </c>
      <c r="O583" t="n">
        <v>0</v>
      </c>
      <c r="P583" t="n">
        <v>0</v>
      </c>
      <c r="Q583" t="n">
        <v>0</v>
      </c>
      <c r="R583" s="2" t="inlineStr"/>
    </row>
    <row r="584" ht="15" customHeight="1">
      <c r="A584" t="inlineStr">
        <is>
          <t>A 4334-2026</t>
        </is>
      </c>
      <c r="B584" s="1" t="n">
        <v>46045.49011574074</v>
      </c>
      <c r="C584" s="1" t="n">
        <v>46110</v>
      </c>
      <c r="D584" t="inlineStr">
        <is>
          <t>VÄSTERBOTTENS LÄN</t>
        </is>
      </c>
      <c r="E584" t="inlineStr">
        <is>
          <t>VILHELMINA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12990-2025</t>
        </is>
      </c>
      <c r="B585" s="1" t="n">
        <v>45734</v>
      </c>
      <c r="C585" s="1" t="n">
        <v>46110</v>
      </c>
      <c r="D585" t="inlineStr">
        <is>
          <t>VÄSTERBOTTENS LÄN</t>
        </is>
      </c>
      <c r="E585" t="inlineStr">
        <is>
          <t>VILHELMINA</t>
        </is>
      </c>
      <c r="G585" t="n">
        <v>11.2</v>
      </c>
      <c r="H585" t="n">
        <v>0</v>
      </c>
      <c r="I585" t="n">
        <v>0</v>
      </c>
      <c r="J585" t="n">
        <v>0</v>
      </c>
      <c r="K585" t="n">
        <v>0</v>
      </c>
      <c r="L585" t="n">
        <v>0</v>
      </c>
      <c r="M585" t="n">
        <v>0</v>
      </c>
      <c r="N585" t="n">
        <v>0</v>
      </c>
      <c r="O585" t="n">
        <v>0</v>
      </c>
      <c r="P585" t="n">
        <v>0</v>
      </c>
      <c r="Q585" t="n">
        <v>0</v>
      </c>
      <c r="R585" s="2" t="inlineStr"/>
    </row>
    <row r="586" ht="15" customHeight="1">
      <c r="A586" t="inlineStr">
        <is>
          <t>A 40726-2024</t>
        </is>
      </c>
      <c r="B586" s="1" t="n">
        <v>45558</v>
      </c>
      <c r="C586" s="1" t="n">
        <v>46110</v>
      </c>
      <c r="D586" t="inlineStr">
        <is>
          <t>VÄSTERBOTTENS LÄN</t>
        </is>
      </c>
      <c r="E586" t="inlineStr">
        <is>
          <t>VILHELMINA</t>
        </is>
      </c>
      <c r="F586" t="inlineStr">
        <is>
          <t>Allmännings- och besparingsskogar</t>
        </is>
      </c>
      <c r="G586" t="n">
        <v>73.59999999999999</v>
      </c>
      <c r="H586" t="n">
        <v>0</v>
      </c>
      <c r="I586" t="n">
        <v>0</v>
      </c>
      <c r="J586" t="n">
        <v>0</v>
      </c>
      <c r="K586" t="n">
        <v>0</v>
      </c>
      <c r="L586" t="n">
        <v>0</v>
      </c>
      <c r="M586" t="n">
        <v>0</v>
      </c>
      <c r="N586" t="n">
        <v>0</v>
      </c>
      <c r="O586" t="n">
        <v>0</v>
      </c>
      <c r="P586" t="n">
        <v>0</v>
      </c>
      <c r="Q586" t="n">
        <v>0</v>
      </c>
      <c r="R586" s="2" t="inlineStr"/>
    </row>
    <row r="587" ht="15" customHeight="1">
      <c r="A587" t="inlineStr">
        <is>
          <t>A 52815-2025</t>
        </is>
      </c>
      <c r="B587" s="1" t="n">
        <v>45957</v>
      </c>
      <c r="C587" s="1" t="n">
        <v>46110</v>
      </c>
      <c r="D587" t="inlineStr">
        <is>
          <t>VÄSTERBOTTENS LÄN</t>
        </is>
      </c>
      <c r="E587" t="inlineStr">
        <is>
          <t>VILHELMINA</t>
        </is>
      </c>
      <c r="G587" t="n">
        <v>2.3</v>
      </c>
      <c r="H587" t="n">
        <v>0</v>
      </c>
      <c r="I587" t="n">
        <v>0</v>
      </c>
      <c r="J587" t="n">
        <v>0</v>
      </c>
      <c r="K587" t="n">
        <v>0</v>
      </c>
      <c r="L587" t="n">
        <v>0</v>
      </c>
      <c r="M587" t="n">
        <v>0</v>
      </c>
      <c r="N587" t="n">
        <v>0</v>
      </c>
      <c r="O587" t="n">
        <v>0</v>
      </c>
      <c r="P587" t="n">
        <v>0</v>
      </c>
      <c r="Q587" t="n">
        <v>0</v>
      </c>
      <c r="R587" s="2" t="inlineStr"/>
    </row>
    <row r="588" ht="15" customHeight="1">
      <c r="A588" t="inlineStr">
        <is>
          <t>A 52827-2025</t>
        </is>
      </c>
      <c r="B588" s="1" t="n">
        <v>45957</v>
      </c>
      <c r="C588" s="1" t="n">
        <v>46110</v>
      </c>
      <c r="D588" t="inlineStr">
        <is>
          <t>VÄSTERBOTTENS LÄN</t>
        </is>
      </c>
      <c r="E588" t="inlineStr">
        <is>
          <t>VILHELMINA</t>
        </is>
      </c>
      <c r="G588" t="n">
        <v>6.3</v>
      </c>
      <c r="H588" t="n">
        <v>0</v>
      </c>
      <c r="I588" t="n">
        <v>0</v>
      </c>
      <c r="J588" t="n">
        <v>0</v>
      </c>
      <c r="K588" t="n">
        <v>0</v>
      </c>
      <c r="L588" t="n">
        <v>0</v>
      </c>
      <c r="M588" t="n">
        <v>0</v>
      </c>
      <c r="N588" t="n">
        <v>0</v>
      </c>
      <c r="O588" t="n">
        <v>0</v>
      </c>
      <c r="P588" t="n">
        <v>0</v>
      </c>
      <c r="Q588" t="n">
        <v>0</v>
      </c>
      <c r="R588" s="2" t="inlineStr"/>
    </row>
    <row r="589" ht="15" customHeight="1">
      <c r="A589" t="inlineStr">
        <is>
          <t>A 52830-2025</t>
        </is>
      </c>
      <c r="B589" s="1" t="n">
        <v>45957</v>
      </c>
      <c r="C589" s="1" t="n">
        <v>46110</v>
      </c>
      <c r="D589" t="inlineStr">
        <is>
          <t>VÄSTERBOTTENS LÄN</t>
        </is>
      </c>
      <c r="E589" t="inlineStr">
        <is>
          <t>VILHELMINA</t>
        </is>
      </c>
      <c r="G589" t="n">
        <v>8.6</v>
      </c>
      <c r="H589" t="n">
        <v>0</v>
      </c>
      <c r="I589" t="n">
        <v>0</v>
      </c>
      <c r="J589" t="n">
        <v>0</v>
      </c>
      <c r="K589" t="n">
        <v>0</v>
      </c>
      <c r="L589" t="n">
        <v>0</v>
      </c>
      <c r="M589" t="n">
        <v>0</v>
      </c>
      <c r="N589" t="n">
        <v>0</v>
      </c>
      <c r="O589" t="n">
        <v>0</v>
      </c>
      <c r="P589" t="n">
        <v>0</v>
      </c>
      <c r="Q589" t="n">
        <v>0</v>
      </c>
      <c r="R589" s="2" t="inlineStr"/>
    </row>
    <row r="590" ht="15" customHeight="1">
      <c r="A590" t="inlineStr">
        <is>
          <t>A 52812-2025</t>
        </is>
      </c>
      <c r="B590" s="1" t="n">
        <v>45957</v>
      </c>
      <c r="C590" s="1" t="n">
        <v>46110</v>
      </c>
      <c r="D590" t="inlineStr">
        <is>
          <t>VÄSTERBOTTENS LÄN</t>
        </is>
      </c>
      <c r="E590" t="inlineStr">
        <is>
          <t>VILHELMINA</t>
        </is>
      </c>
      <c r="G590" t="n">
        <v>2.5</v>
      </c>
      <c r="H590" t="n">
        <v>0</v>
      </c>
      <c r="I590" t="n">
        <v>0</v>
      </c>
      <c r="J590" t="n">
        <v>0</v>
      </c>
      <c r="K590" t="n">
        <v>0</v>
      </c>
      <c r="L590" t="n">
        <v>0</v>
      </c>
      <c r="M590" t="n">
        <v>0</v>
      </c>
      <c r="N590" t="n">
        <v>0</v>
      </c>
      <c r="O590" t="n">
        <v>0</v>
      </c>
      <c r="P590" t="n">
        <v>0</v>
      </c>
      <c r="Q590" t="n">
        <v>0</v>
      </c>
      <c r="R590" s="2" t="inlineStr"/>
    </row>
    <row r="591" ht="15" customHeight="1">
      <c r="A591" t="inlineStr">
        <is>
          <t>A 52818-2025</t>
        </is>
      </c>
      <c r="B591" s="1" t="n">
        <v>45957</v>
      </c>
      <c r="C591" s="1" t="n">
        <v>46110</v>
      </c>
      <c r="D591" t="inlineStr">
        <is>
          <t>VÄSTERBOTTENS LÄN</t>
        </is>
      </c>
      <c r="E591" t="inlineStr">
        <is>
          <t>VILHELMINA</t>
        </is>
      </c>
      <c r="G591" t="n">
        <v>2.2</v>
      </c>
      <c r="H591" t="n">
        <v>0</v>
      </c>
      <c r="I591" t="n">
        <v>0</v>
      </c>
      <c r="J591" t="n">
        <v>0</v>
      </c>
      <c r="K591" t="n">
        <v>0</v>
      </c>
      <c r="L591" t="n">
        <v>0</v>
      </c>
      <c r="M591" t="n">
        <v>0</v>
      </c>
      <c r="N591" t="n">
        <v>0</v>
      </c>
      <c r="O591" t="n">
        <v>0</v>
      </c>
      <c r="P591" t="n">
        <v>0</v>
      </c>
      <c r="Q591" t="n">
        <v>0</v>
      </c>
      <c r="R591" s="2" t="inlineStr"/>
    </row>
    <row r="592" ht="15" customHeight="1">
      <c r="A592" t="inlineStr">
        <is>
          <t>A 52819-2025</t>
        </is>
      </c>
      <c r="B592" s="1" t="n">
        <v>45957</v>
      </c>
      <c r="C592" s="1" t="n">
        <v>46110</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46110</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52813-2025</t>
        </is>
      </c>
      <c r="B594" s="1" t="n">
        <v>45957</v>
      </c>
      <c r="C594" s="1" t="n">
        <v>46110</v>
      </c>
      <c r="D594" t="inlineStr">
        <is>
          <t>VÄSTERBOTTENS LÄN</t>
        </is>
      </c>
      <c r="E594" t="inlineStr">
        <is>
          <t>VILHELMINA</t>
        </is>
      </c>
      <c r="G594" t="n">
        <v>3.1</v>
      </c>
      <c r="H594" t="n">
        <v>0</v>
      </c>
      <c r="I594" t="n">
        <v>0</v>
      </c>
      <c r="J594" t="n">
        <v>0</v>
      </c>
      <c r="K594" t="n">
        <v>0</v>
      </c>
      <c r="L594" t="n">
        <v>0</v>
      </c>
      <c r="M594" t="n">
        <v>0</v>
      </c>
      <c r="N594" t="n">
        <v>0</v>
      </c>
      <c r="O594" t="n">
        <v>0</v>
      </c>
      <c r="P594" t="n">
        <v>0</v>
      </c>
      <c r="Q594" t="n">
        <v>0</v>
      </c>
      <c r="R594" s="2" t="inlineStr"/>
    </row>
    <row r="595" ht="15" customHeight="1">
      <c r="A595" t="inlineStr">
        <is>
          <t>A 52814-2025</t>
        </is>
      </c>
      <c r="B595" s="1" t="n">
        <v>45957</v>
      </c>
      <c r="C595" s="1" t="n">
        <v>46110</v>
      </c>
      <c r="D595" t="inlineStr">
        <is>
          <t>VÄSTERBOTTENS LÄN</t>
        </is>
      </c>
      <c r="E595" t="inlineStr">
        <is>
          <t>VILHELMINA</t>
        </is>
      </c>
      <c r="G595" t="n">
        <v>4.1</v>
      </c>
      <c r="H595" t="n">
        <v>0</v>
      </c>
      <c r="I595" t="n">
        <v>0</v>
      </c>
      <c r="J595" t="n">
        <v>0</v>
      </c>
      <c r="K595" t="n">
        <v>0</v>
      </c>
      <c r="L595" t="n">
        <v>0</v>
      </c>
      <c r="M595" t="n">
        <v>0</v>
      </c>
      <c r="N595" t="n">
        <v>0</v>
      </c>
      <c r="O595" t="n">
        <v>0</v>
      </c>
      <c r="P595" t="n">
        <v>0</v>
      </c>
      <c r="Q595" t="n">
        <v>0</v>
      </c>
      <c r="R595" s="2" t="inlineStr"/>
    </row>
    <row r="596" ht="15" customHeight="1">
      <c r="A596" t="inlineStr">
        <is>
          <t>A 52828-2025</t>
        </is>
      </c>
      <c r="B596" s="1" t="n">
        <v>45957</v>
      </c>
      <c r="C596" s="1" t="n">
        <v>46110</v>
      </c>
      <c r="D596" t="inlineStr">
        <is>
          <t>VÄSTERBOTTENS LÄN</t>
        </is>
      </c>
      <c r="E596" t="inlineStr">
        <is>
          <t>VILHELMINA</t>
        </is>
      </c>
      <c r="G596" t="n">
        <v>1.2</v>
      </c>
      <c r="H596" t="n">
        <v>0</v>
      </c>
      <c r="I596" t="n">
        <v>0</v>
      </c>
      <c r="J596" t="n">
        <v>0</v>
      </c>
      <c r="K596" t="n">
        <v>0</v>
      </c>
      <c r="L596" t="n">
        <v>0</v>
      </c>
      <c r="M596" t="n">
        <v>0</v>
      </c>
      <c r="N596" t="n">
        <v>0</v>
      </c>
      <c r="O596" t="n">
        <v>0</v>
      </c>
      <c r="P596" t="n">
        <v>0</v>
      </c>
      <c r="Q596" t="n">
        <v>0</v>
      </c>
      <c r="R596" s="2" t="inlineStr"/>
    </row>
    <row r="597" ht="15" customHeight="1">
      <c r="A597" t="inlineStr">
        <is>
          <t>A 52829-2025</t>
        </is>
      </c>
      <c r="B597" s="1" t="n">
        <v>45957</v>
      </c>
      <c r="C597" s="1" t="n">
        <v>46110</v>
      </c>
      <c r="D597" t="inlineStr">
        <is>
          <t>VÄSTERBOTTENS LÄN</t>
        </is>
      </c>
      <c r="E597" t="inlineStr">
        <is>
          <t>VILHELMINA</t>
        </is>
      </c>
      <c r="G597" t="n">
        <v>4.3</v>
      </c>
      <c r="H597" t="n">
        <v>0</v>
      </c>
      <c r="I597" t="n">
        <v>0</v>
      </c>
      <c r="J597" t="n">
        <v>0</v>
      </c>
      <c r="K597" t="n">
        <v>0</v>
      </c>
      <c r="L597" t="n">
        <v>0</v>
      </c>
      <c r="M597" t="n">
        <v>0</v>
      </c>
      <c r="N597" t="n">
        <v>0</v>
      </c>
      <c r="O597" t="n">
        <v>0</v>
      </c>
      <c r="P597" t="n">
        <v>0</v>
      </c>
      <c r="Q597" t="n">
        <v>0</v>
      </c>
      <c r="R597" s="2" t="inlineStr"/>
    </row>
    <row r="598" ht="15" customHeight="1">
      <c r="A598" t="inlineStr">
        <is>
          <t>A 5575-2025</t>
        </is>
      </c>
      <c r="B598" s="1" t="n">
        <v>45693.53200231482</v>
      </c>
      <c r="C598" s="1" t="n">
        <v>46110</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31696-2024</t>
        </is>
      </c>
      <c r="B599" s="1" t="n">
        <v>45508</v>
      </c>
      <c r="C599" s="1" t="n">
        <v>46110</v>
      </c>
      <c r="D599" t="inlineStr">
        <is>
          <t>VÄSTERBOTTENS LÄN</t>
        </is>
      </c>
      <c r="E599" t="inlineStr">
        <is>
          <t>VILHELMINA</t>
        </is>
      </c>
      <c r="G599" t="n">
        <v>12.4</v>
      </c>
      <c r="H599" t="n">
        <v>0</v>
      </c>
      <c r="I599" t="n">
        <v>0</v>
      </c>
      <c r="J599" t="n">
        <v>0</v>
      </c>
      <c r="K599" t="n">
        <v>0</v>
      </c>
      <c r="L599" t="n">
        <v>0</v>
      </c>
      <c r="M599" t="n">
        <v>0</v>
      </c>
      <c r="N599" t="n">
        <v>0</v>
      </c>
      <c r="O599" t="n">
        <v>0</v>
      </c>
      <c r="P599" t="n">
        <v>0</v>
      </c>
      <c r="Q599" t="n">
        <v>0</v>
      </c>
      <c r="R599" s="2" t="inlineStr"/>
    </row>
    <row r="600" ht="15" customHeight="1">
      <c r="A600" t="inlineStr">
        <is>
          <t>A 24457-2024</t>
        </is>
      </c>
      <c r="B600" s="1" t="n">
        <v>45457.96708333334</v>
      </c>
      <c r="C600" s="1" t="n">
        <v>46110</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54738-2025</t>
        </is>
      </c>
      <c r="B601" s="1" t="n">
        <v>45966</v>
      </c>
      <c r="C601" s="1" t="n">
        <v>46110</v>
      </c>
      <c r="D601" t="inlineStr">
        <is>
          <t>VÄSTERBOTTENS LÄN</t>
        </is>
      </c>
      <c r="E601" t="inlineStr">
        <is>
          <t>VILHELMINA</t>
        </is>
      </c>
      <c r="G601" t="n">
        <v>6.6</v>
      </c>
      <c r="H601" t="n">
        <v>0</v>
      </c>
      <c r="I601" t="n">
        <v>0</v>
      </c>
      <c r="J601" t="n">
        <v>0</v>
      </c>
      <c r="K601" t="n">
        <v>0</v>
      </c>
      <c r="L601" t="n">
        <v>0</v>
      </c>
      <c r="M601" t="n">
        <v>0</v>
      </c>
      <c r="N601" t="n">
        <v>0</v>
      </c>
      <c r="O601" t="n">
        <v>0</v>
      </c>
      <c r="P601" t="n">
        <v>0</v>
      </c>
      <c r="Q601" t="n">
        <v>0</v>
      </c>
      <c r="R601" s="2" t="inlineStr"/>
    </row>
    <row r="602" ht="15" customHeight="1">
      <c r="A602" t="inlineStr">
        <is>
          <t>A 59494-2025</t>
        </is>
      </c>
      <c r="B602" s="1" t="n">
        <v>45989</v>
      </c>
      <c r="C602" s="1" t="n">
        <v>46110</v>
      </c>
      <c r="D602" t="inlineStr">
        <is>
          <t>VÄSTERBOTTENS LÄN</t>
        </is>
      </c>
      <c r="E602" t="inlineStr">
        <is>
          <t>VILHELMINA</t>
        </is>
      </c>
      <c r="F602" t="inlineStr">
        <is>
          <t>Allmännings- och besparingsskogar</t>
        </is>
      </c>
      <c r="G602" t="n">
        <v>36.7</v>
      </c>
      <c r="H602" t="n">
        <v>0</v>
      </c>
      <c r="I602" t="n">
        <v>0</v>
      </c>
      <c r="J602" t="n">
        <v>0</v>
      </c>
      <c r="K602" t="n">
        <v>0</v>
      </c>
      <c r="L602" t="n">
        <v>0</v>
      </c>
      <c r="M602" t="n">
        <v>0</v>
      </c>
      <c r="N602" t="n">
        <v>0</v>
      </c>
      <c r="O602" t="n">
        <v>0</v>
      </c>
      <c r="P602" t="n">
        <v>0</v>
      </c>
      <c r="Q602" t="n">
        <v>0</v>
      </c>
      <c r="R602" s="2" t="inlineStr"/>
    </row>
    <row r="603" ht="15" customHeight="1">
      <c r="A603" t="inlineStr">
        <is>
          <t>A 59476-2025</t>
        </is>
      </c>
      <c r="B603" s="1" t="n">
        <v>45989</v>
      </c>
      <c r="C603" s="1" t="n">
        <v>46110</v>
      </c>
      <c r="D603" t="inlineStr">
        <is>
          <t>VÄSTERBOTTENS LÄN</t>
        </is>
      </c>
      <c r="E603" t="inlineStr">
        <is>
          <t>VILHELMINA</t>
        </is>
      </c>
      <c r="F603" t="inlineStr">
        <is>
          <t>Allmännings- och besparingsskogar</t>
        </is>
      </c>
      <c r="G603" t="n">
        <v>13.8</v>
      </c>
      <c r="H603" t="n">
        <v>0</v>
      </c>
      <c r="I603" t="n">
        <v>0</v>
      </c>
      <c r="J603" t="n">
        <v>0</v>
      </c>
      <c r="K603" t="n">
        <v>0</v>
      </c>
      <c r="L603" t="n">
        <v>0</v>
      </c>
      <c r="M603" t="n">
        <v>0</v>
      </c>
      <c r="N603" t="n">
        <v>0</v>
      </c>
      <c r="O603" t="n">
        <v>0</v>
      </c>
      <c r="P603" t="n">
        <v>0</v>
      </c>
      <c r="Q603" t="n">
        <v>0</v>
      </c>
      <c r="R603" s="2" t="inlineStr"/>
    </row>
    <row r="604" ht="15" customHeight="1">
      <c r="A604" t="inlineStr">
        <is>
          <t>A 59487-2025</t>
        </is>
      </c>
      <c r="B604" s="1" t="n">
        <v>45989</v>
      </c>
      <c r="C604" s="1" t="n">
        <v>46110</v>
      </c>
      <c r="D604" t="inlineStr">
        <is>
          <t>VÄSTERBOTTENS LÄN</t>
        </is>
      </c>
      <c r="E604" t="inlineStr">
        <is>
          <t>VILHELMINA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59492-2025</t>
        </is>
      </c>
      <c r="B605" s="1" t="n">
        <v>45989</v>
      </c>
      <c r="C605" s="1" t="n">
        <v>46110</v>
      </c>
      <c r="D605" t="inlineStr">
        <is>
          <t>VÄSTERBOTTENS LÄN</t>
        </is>
      </c>
      <c r="E605" t="inlineStr">
        <is>
          <t>VILHELMINA</t>
        </is>
      </c>
      <c r="F605" t="inlineStr">
        <is>
          <t>Allmännings- och besparingsskogar</t>
        </is>
      </c>
      <c r="G605" t="n">
        <v>21</v>
      </c>
      <c r="H605" t="n">
        <v>0</v>
      </c>
      <c r="I605" t="n">
        <v>0</v>
      </c>
      <c r="J605" t="n">
        <v>0</v>
      </c>
      <c r="K605" t="n">
        <v>0</v>
      </c>
      <c r="L605" t="n">
        <v>0</v>
      </c>
      <c r="M605" t="n">
        <v>0</v>
      </c>
      <c r="N605" t="n">
        <v>0</v>
      </c>
      <c r="O605" t="n">
        <v>0</v>
      </c>
      <c r="P605" t="n">
        <v>0</v>
      </c>
      <c r="Q605" t="n">
        <v>0</v>
      </c>
      <c r="R605" s="2" t="inlineStr"/>
    </row>
    <row r="606" ht="15" customHeight="1">
      <c r="A606" t="inlineStr">
        <is>
          <t>A 36214-2023</t>
        </is>
      </c>
      <c r="B606" s="1" t="n">
        <v>45149.95256944445</v>
      </c>
      <c r="C606" s="1" t="n">
        <v>46110</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32683-2024</t>
        </is>
      </c>
      <c r="B607" s="1" t="n">
        <v>45515</v>
      </c>
      <c r="C607" s="1" t="n">
        <v>46110</v>
      </c>
      <c r="D607" t="inlineStr">
        <is>
          <t>VÄSTERBOTTENS LÄN</t>
        </is>
      </c>
      <c r="E607" t="inlineStr">
        <is>
          <t>VILHELMINA</t>
        </is>
      </c>
      <c r="G607" t="n">
        <v>6.1</v>
      </c>
      <c r="H607" t="n">
        <v>0</v>
      </c>
      <c r="I607" t="n">
        <v>0</v>
      </c>
      <c r="J607" t="n">
        <v>0</v>
      </c>
      <c r="K607" t="n">
        <v>0</v>
      </c>
      <c r="L607" t="n">
        <v>0</v>
      </c>
      <c r="M607" t="n">
        <v>0</v>
      </c>
      <c r="N607" t="n">
        <v>0</v>
      </c>
      <c r="O607" t="n">
        <v>0</v>
      </c>
      <c r="P607" t="n">
        <v>0</v>
      </c>
      <c r="Q607" t="n">
        <v>0</v>
      </c>
      <c r="R607" s="2" t="inlineStr"/>
    </row>
    <row r="608" ht="15" customHeight="1">
      <c r="A608" t="inlineStr">
        <is>
          <t>A 59486-2025</t>
        </is>
      </c>
      <c r="B608" s="1" t="n">
        <v>45989</v>
      </c>
      <c r="C608" s="1" t="n">
        <v>46110</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59501-2025</t>
        </is>
      </c>
      <c r="B609" s="1" t="n">
        <v>45989</v>
      </c>
      <c r="C609" s="1" t="n">
        <v>46110</v>
      </c>
      <c r="D609" t="inlineStr">
        <is>
          <t>VÄSTERBOTTENS LÄN</t>
        </is>
      </c>
      <c r="E609" t="inlineStr">
        <is>
          <t>VILHELMINA</t>
        </is>
      </c>
      <c r="F609" t="inlineStr">
        <is>
          <t>Allmännings- och besparingsskogar</t>
        </is>
      </c>
      <c r="G609" t="n">
        <v>62.2</v>
      </c>
      <c r="H609" t="n">
        <v>0</v>
      </c>
      <c r="I609" t="n">
        <v>0</v>
      </c>
      <c r="J609" t="n">
        <v>0</v>
      </c>
      <c r="K609" t="n">
        <v>0</v>
      </c>
      <c r="L609" t="n">
        <v>0</v>
      </c>
      <c r="M609" t="n">
        <v>0</v>
      </c>
      <c r="N609" t="n">
        <v>0</v>
      </c>
      <c r="O609" t="n">
        <v>0</v>
      </c>
      <c r="P609" t="n">
        <v>0</v>
      </c>
      <c r="Q609" t="n">
        <v>0</v>
      </c>
      <c r="R609" s="2" t="inlineStr"/>
    </row>
    <row r="610" ht="15" customHeight="1">
      <c r="A610" t="inlineStr">
        <is>
          <t>A 55092-2025</t>
        </is>
      </c>
      <c r="B610" s="1" t="n">
        <v>45968.34462962963</v>
      </c>
      <c r="C610" s="1" t="n">
        <v>46110</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18781-2021</t>
        </is>
      </c>
      <c r="B611" s="1" t="n">
        <v>44307</v>
      </c>
      <c r="C611" s="1" t="n">
        <v>46110</v>
      </c>
      <c r="D611" t="inlineStr">
        <is>
          <t>VÄSTERBOTTENS LÄN</t>
        </is>
      </c>
      <c r="E611" t="inlineStr">
        <is>
          <t>VILHELMINA</t>
        </is>
      </c>
      <c r="G611" t="n">
        <v>3.5</v>
      </c>
      <c r="H611" t="n">
        <v>0</v>
      </c>
      <c r="I611" t="n">
        <v>0</v>
      </c>
      <c r="J611" t="n">
        <v>0</v>
      </c>
      <c r="K611" t="n">
        <v>0</v>
      </c>
      <c r="L611" t="n">
        <v>0</v>
      </c>
      <c r="M611" t="n">
        <v>0</v>
      </c>
      <c r="N611" t="n">
        <v>0</v>
      </c>
      <c r="O611" t="n">
        <v>0</v>
      </c>
      <c r="P611" t="n">
        <v>0</v>
      </c>
      <c r="Q611" t="n">
        <v>0</v>
      </c>
      <c r="R611" s="2" t="inlineStr"/>
    </row>
    <row r="612" ht="15" customHeight="1">
      <c r="A612" t="inlineStr">
        <is>
          <t>A 54955-2025</t>
        </is>
      </c>
      <c r="B612" s="1" t="n">
        <v>45967</v>
      </c>
      <c r="C612" s="1" t="n">
        <v>46110</v>
      </c>
      <c r="D612" t="inlineStr">
        <is>
          <t>VÄSTERBOTTENS LÄN</t>
        </is>
      </c>
      <c r="E612" t="inlineStr">
        <is>
          <t>VILHELMINA</t>
        </is>
      </c>
      <c r="G612" t="n">
        <v>15.6</v>
      </c>
      <c r="H612" t="n">
        <v>0</v>
      </c>
      <c r="I612" t="n">
        <v>0</v>
      </c>
      <c r="J612" t="n">
        <v>0</v>
      </c>
      <c r="K612" t="n">
        <v>0</v>
      </c>
      <c r="L612" t="n">
        <v>0</v>
      </c>
      <c r="M612" t="n">
        <v>0</v>
      </c>
      <c r="N612" t="n">
        <v>0</v>
      </c>
      <c r="O612" t="n">
        <v>0</v>
      </c>
      <c r="P612" t="n">
        <v>0</v>
      </c>
      <c r="Q612" t="n">
        <v>0</v>
      </c>
      <c r="R612" s="2" t="inlineStr"/>
    </row>
    <row r="613" ht="15" customHeight="1">
      <c r="A613" t="inlineStr">
        <is>
          <t>A 5006-2026</t>
        </is>
      </c>
      <c r="B613" s="1" t="n">
        <v>46049.42791666667</v>
      </c>
      <c r="C613" s="1" t="n">
        <v>46110</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20846-2025</t>
        </is>
      </c>
      <c r="B614" s="1" t="n">
        <v>45777</v>
      </c>
      <c r="C614" s="1" t="n">
        <v>46110</v>
      </c>
      <c r="D614" t="inlineStr">
        <is>
          <t>VÄSTERBOTTENS LÄN</t>
        </is>
      </c>
      <c r="E614" t="inlineStr">
        <is>
          <t>VILHELMINA</t>
        </is>
      </c>
      <c r="G614" t="n">
        <v>19.1</v>
      </c>
      <c r="H614" t="n">
        <v>0</v>
      </c>
      <c r="I614" t="n">
        <v>0</v>
      </c>
      <c r="J614" t="n">
        <v>0</v>
      </c>
      <c r="K614" t="n">
        <v>0</v>
      </c>
      <c r="L614" t="n">
        <v>0</v>
      </c>
      <c r="M614" t="n">
        <v>0</v>
      </c>
      <c r="N614" t="n">
        <v>0</v>
      </c>
      <c r="O614" t="n">
        <v>0</v>
      </c>
      <c r="P614" t="n">
        <v>0</v>
      </c>
      <c r="Q614" t="n">
        <v>0</v>
      </c>
      <c r="R614" s="2" t="inlineStr"/>
    </row>
    <row r="615" ht="15" customHeight="1">
      <c r="A615" t="inlineStr">
        <is>
          <t>A 54920-2025</t>
        </is>
      </c>
      <c r="B615" s="1" t="n">
        <v>45967.38887731481</v>
      </c>
      <c r="C615" s="1" t="n">
        <v>46110</v>
      </c>
      <c r="D615" t="inlineStr">
        <is>
          <t>VÄSTERBOTTENS LÄN</t>
        </is>
      </c>
      <c r="E615" t="inlineStr">
        <is>
          <t>VILHELMINA</t>
        </is>
      </c>
      <c r="G615" t="n">
        <v>28.1</v>
      </c>
      <c r="H615" t="n">
        <v>0</v>
      </c>
      <c r="I615" t="n">
        <v>0</v>
      </c>
      <c r="J615" t="n">
        <v>0</v>
      </c>
      <c r="K615" t="n">
        <v>0</v>
      </c>
      <c r="L615" t="n">
        <v>0</v>
      </c>
      <c r="M615" t="n">
        <v>0</v>
      </c>
      <c r="N615" t="n">
        <v>0</v>
      </c>
      <c r="O615" t="n">
        <v>0</v>
      </c>
      <c r="P615" t="n">
        <v>0</v>
      </c>
      <c r="Q615" t="n">
        <v>0</v>
      </c>
      <c r="R615" s="2" t="inlineStr"/>
    </row>
    <row r="616" ht="15" customHeight="1">
      <c r="A616" t="inlineStr">
        <is>
          <t>A 57023-2025</t>
        </is>
      </c>
      <c r="B616" s="1" t="n">
        <v>45979.25059027778</v>
      </c>
      <c r="C616" s="1" t="n">
        <v>46110</v>
      </c>
      <c r="D616" t="inlineStr">
        <is>
          <t>VÄSTERBOTTENS LÄN</t>
        </is>
      </c>
      <c r="E616" t="inlineStr">
        <is>
          <t>VILHELMINA</t>
        </is>
      </c>
      <c r="G616" t="n">
        <v>37.7</v>
      </c>
      <c r="H616" t="n">
        <v>0</v>
      </c>
      <c r="I616" t="n">
        <v>0</v>
      </c>
      <c r="J616" t="n">
        <v>0</v>
      </c>
      <c r="K616" t="n">
        <v>0</v>
      </c>
      <c r="L616" t="n">
        <v>0</v>
      </c>
      <c r="M616" t="n">
        <v>0</v>
      </c>
      <c r="N616" t="n">
        <v>0</v>
      </c>
      <c r="O616" t="n">
        <v>0</v>
      </c>
      <c r="P616" t="n">
        <v>0</v>
      </c>
      <c r="Q616" t="n">
        <v>0</v>
      </c>
      <c r="R616" s="2" t="inlineStr"/>
    </row>
    <row r="617" ht="15" customHeight="1">
      <c r="A617" t="inlineStr">
        <is>
          <t>A 55095-2025</t>
        </is>
      </c>
      <c r="B617" s="1" t="n">
        <v>45968.34498842592</v>
      </c>
      <c r="C617" s="1" t="n">
        <v>46110</v>
      </c>
      <c r="D617" t="inlineStr">
        <is>
          <t>VÄSTERBOTTENS LÄN</t>
        </is>
      </c>
      <c r="E617" t="inlineStr">
        <is>
          <t>VILHELMINA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58999-2024</t>
        </is>
      </c>
      <c r="B618" s="1" t="n">
        <v>45636</v>
      </c>
      <c r="C618" s="1" t="n">
        <v>46110</v>
      </c>
      <c r="D618" t="inlineStr">
        <is>
          <t>VÄSTERBOTTENS LÄN</t>
        </is>
      </c>
      <c r="E618" t="inlineStr">
        <is>
          <t>VILHELMINA</t>
        </is>
      </c>
      <c r="F618" t="inlineStr">
        <is>
          <t>Allmännings- och besparingsskogar</t>
        </is>
      </c>
      <c r="G618" t="n">
        <v>12.3</v>
      </c>
      <c r="H618" t="n">
        <v>0</v>
      </c>
      <c r="I618" t="n">
        <v>0</v>
      </c>
      <c r="J618" t="n">
        <v>0</v>
      </c>
      <c r="K618" t="n">
        <v>0</v>
      </c>
      <c r="L618" t="n">
        <v>0</v>
      </c>
      <c r="M618" t="n">
        <v>0</v>
      </c>
      <c r="N618" t="n">
        <v>0</v>
      </c>
      <c r="O618" t="n">
        <v>0</v>
      </c>
      <c r="P618" t="n">
        <v>0</v>
      </c>
      <c r="Q618" t="n">
        <v>0</v>
      </c>
      <c r="R618" s="2" t="inlineStr"/>
    </row>
    <row r="619" ht="15" customHeight="1">
      <c r="A619" t="inlineStr">
        <is>
          <t>A 33319-2025</t>
        </is>
      </c>
      <c r="B619" s="1" t="n">
        <v>45841</v>
      </c>
      <c r="C619" s="1" t="n">
        <v>46110</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33320-2025</t>
        </is>
      </c>
      <c r="B620" s="1" t="n">
        <v>45841.34461805555</v>
      </c>
      <c r="C620" s="1" t="n">
        <v>46110</v>
      </c>
      <c r="D620" t="inlineStr">
        <is>
          <t>VÄSTERBOTTENS LÄN</t>
        </is>
      </c>
      <c r="E620" t="inlineStr">
        <is>
          <t>VILHELMINA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55634-2025</t>
        </is>
      </c>
      <c r="B621" s="1" t="n">
        <v>45972.34466435185</v>
      </c>
      <c r="C621" s="1" t="n">
        <v>46110</v>
      </c>
      <c r="D621" t="inlineStr">
        <is>
          <t>VÄSTERBOTTENS LÄN</t>
        </is>
      </c>
      <c r="E621" t="inlineStr">
        <is>
          <t>VILHELMINA</t>
        </is>
      </c>
      <c r="F621" t="inlineStr">
        <is>
          <t>SCA</t>
        </is>
      </c>
      <c r="G621" t="n">
        <v>7.2</v>
      </c>
      <c r="H621" t="n">
        <v>0</v>
      </c>
      <c r="I621" t="n">
        <v>0</v>
      </c>
      <c r="J621" t="n">
        <v>0</v>
      </c>
      <c r="K621" t="n">
        <v>0</v>
      </c>
      <c r="L621" t="n">
        <v>0</v>
      </c>
      <c r="M621" t="n">
        <v>0</v>
      </c>
      <c r="N621" t="n">
        <v>0</v>
      </c>
      <c r="O621" t="n">
        <v>0</v>
      </c>
      <c r="P621" t="n">
        <v>0</v>
      </c>
      <c r="Q621" t="n">
        <v>0</v>
      </c>
      <c r="R621" s="2" t="inlineStr"/>
    </row>
    <row r="622" ht="15" customHeight="1">
      <c r="A622" t="inlineStr">
        <is>
          <t>A 55456-2025</t>
        </is>
      </c>
      <c r="B622" s="1" t="n">
        <v>45971.51086805556</v>
      </c>
      <c r="C622" s="1" t="n">
        <v>46110</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12593-2022</t>
        </is>
      </c>
      <c r="B623" s="1" t="n">
        <v>44640</v>
      </c>
      <c r="C623" s="1" t="n">
        <v>46110</v>
      </c>
      <c r="D623" t="inlineStr">
        <is>
          <t>VÄSTERBOTTENS LÄN</t>
        </is>
      </c>
      <c r="E623" t="inlineStr">
        <is>
          <t>VILHELMINA</t>
        </is>
      </c>
      <c r="G623" t="n">
        <v>10.4</v>
      </c>
      <c r="H623" t="n">
        <v>0</v>
      </c>
      <c r="I623" t="n">
        <v>0</v>
      </c>
      <c r="J623" t="n">
        <v>0</v>
      </c>
      <c r="K623" t="n">
        <v>0</v>
      </c>
      <c r="L623" t="n">
        <v>0</v>
      </c>
      <c r="M623" t="n">
        <v>0</v>
      </c>
      <c r="N623" t="n">
        <v>0</v>
      </c>
      <c r="O623" t="n">
        <v>0</v>
      </c>
      <c r="P623" t="n">
        <v>0</v>
      </c>
      <c r="Q623" t="n">
        <v>0</v>
      </c>
      <c r="R623" s="2" t="inlineStr"/>
    </row>
    <row r="624" ht="15" customHeight="1">
      <c r="A624" t="inlineStr">
        <is>
          <t>A 51947-2025</t>
        </is>
      </c>
      <c r="B624" s="1" t="n">
        <v>45952</v>
      </c>
      <c r="C624" s="1" t="n">
        <v>46110</v>
      </c>
      <c r="D624" t="inlineStr">
        <is>
          <t>VÄSTERBOTTENS LÄN</t>
        </is>
      </c>
      <c r="E624" t="inlineStr">
        <is>
          <t>VILHELMINA</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28695-2024</t>
        </is>
      </c>
      <c r="B625" s="1" t="n">
        <v>45478</v>
      </c>
      <c r="C625" s="1" t="n">
        <v>46110</v>
      </c>
      <c r="D625" t="inlineStr">
        <is>
          <t>VÄSTERBOTTENS LÄN</t>
        </is>
      </c>
      <c r="E625" t="inlineStr">
        <is>
          <t>VILHELMINA</t>
        </is>
      </c>
      <c r="F625" t="inlineStr">
        <is>
          <t>Allmännings- och besparingsskogar</t>
        </is>
      </c>
      <c r="G625" t="n">
        <v>3.1</v>
      </c>
      <c r="H625" t="n">
        <v>0</v>
      </c>
      <c r="I625" t="n">
        <v>0</v>
      </c>
      <c r="J625" t="n">
        <v>0</v>
      </c>
      <c r="K625" t="n">
        <v>0</v>
      </c>
      <c r="L625" t="n">
        <v>0</v>
      </c>
      <c r="M625" t="n">
        <v>0</v>
      </c>
      <c r="N625" t="n">
        <v>0</v>
      </c>
      <c r="O625" t="n">
        <v>0</v>
      </c>
      <c r="P625" t="n">
        <v>0</v>
      </c>
      <c r="Q625" t="n">
        <v>0</v>
      </c>
      <c r="R625" s="2" t="inlineStr"/>
    </row>
    <row r="626" ht="15" customHeight="1">
      <c r="A626" t="inlineStr">
        <is>
          <t>A 13252-2026</t>
        </is>
      </c>
      <c r="B626" s="1" t="n">
        <v>46093.65778935186</v>
      </c>
      <c r="C626" s="1" t="n">
        <v>46110</v>
      </c>
      <c r="D626" t="inlineStr">
        <is>
          <t>VÄSTERBOTTENS LÄN</t>
        </is>
      </c>
      <c r="E626" t="inlineStr">
        <is>
          <t>VILHELMINA</t>
        </is>
      </c>
      <c r="G626" t="n">
        <v>5.7</v>
      </c>
      <c r="H626" t="n">
        <v>0</v>
      </c>
      <c r="I626" t="n">
        <v>0</v>
      </c>
      <c r="J626" t="n">
        <v>0</v>
      </c>
      <c r="K626" t="n">
        <v>0</v>
      </c>
      <c r="L626" t="n">
        <v>0</v>
      </c>
      <c r="M626" t="n">
        <v>0</v>
      </c>
      <c r="N626" t="n">
        <v>0</v>
      </c>
      <c r="O626" t="n">
        <v>0</v>
      </c>
      <c r="P626" t="n">
        <v>0</v>
      </c>
      <c r="Q626" t="n">
        <v>0</v>
      </c>
      <c r="R626" s="2" t="inlineStr"/>
    </row>
    <row r="627" ht="15" customHeight="1">
      <c r="A627" t="inlineStr">
        <is>
          <t>A 33641-2025</t>
        </is>
      </c>
      <c r="B627" s="1" t="n">
        <v>45841.65045138889</v>
      </c>
      <c r="C627" s="1" t="n">
        <v>46110</v>
      </c>
      <c r="D627" t="inlineStr">
        <is>
          <t>VÄSTERBOTTENS LÄN</t>
        </is>
      </c>
      <c r="E627" t="inlineStr">
        <is>
          <t>VILHELMINA</t>
        </is>
      </c>
      <c r="G627" t="n">
        <v>7.3</v>
      </c>
      <c r="H627" t="n">
        <v>0</v>
      </c>
      <c r="I627" t="n">
        <v>0</v>
      </c>
      <c r="J627" t="n">
        <v>0</v>
      </c>
      <c r="K627" t="n">
        <v>0</v>
      </c>
      <c r="L627" t="n">
        <v>0</v>
      </c>
      <c r="M627" t="n">
        <v>0</v>
      </c>
      <c r="N627" t="n">
        <v>0</v>
      </c>
      <c r="O627" t="n">
        <v>0</v>
      </c>
      <c r="P627" t="n">
        <v>0</v>
      </c>
      <c r="Q627" t="n">
        <v>0</v>
      </c>
      <c r="R627" s="2" t="inlineStr"/>
    </row>
    <row r="628" ht="15" customHeight="1">
      <c r="A628" t="inlineStr">
        <is>
          <t>A 55736-2025</t>
        </is>
      </c>
      <c r="B628" s="1" t="n">
        <v>45972</v>
      </c>
      <c r="C628" s="1" t="n">
        <v>46110</v>
      </c>
      <c r="D628" t="inlineStr">
        <is>
          <t>VÄSTERBOTTENS LÄN</t>
        </is>
      </c>
      <c r="E628" t="inlineStr">
        <is>
          <t>VILHELMINA</t>
        </is>
      </c>
      <c r="G628" t="n">
        <v>22.9</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46110</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13070-2026</t>
        </is>
      </c>
      <c r="B630" s="1" t="n">
        <v>46093.36559027778</v>
      </c>
      <c r="C630" s="1" t="n">
        <v>46110</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17467-2025</t>
        </is>
      </c>
      <c r="B631" s="1" t="n">
        <v>45757</v>
      </c>
      <c r="C631" s="1" t="n">
        <v>46110</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15782-2025</t>
        </is>
      </c>
      <c r="B632" s="1" t="n">
        <v>45748</v>
      </c>
      <c r="C632" s="1" t="n">
        <v>46110</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23543-2024</t>
        </is>
      </c>
      <c r="B633" s="1" t="n">
        <v>45453</v>
      </c>
      <c r="C633" s="1" t="n">
        <v>46110</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40781-2023</t>
        </is>
      </c>
      <c r="B634" s="1" t="n">
        <v>45170.95747685185</v>
      </c>
      <c r="C634" s="1" t="n">
        <v>46110</v>
      </c>
      <c r="D634" t="inlineStr">
        <is>
          <t>VÄSTERBOTTENS LÄN</t>
        </is>
      </c>
      <c r="E634" t="inlineStr">
        <is>
          <t>VILHELMINA</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34413-2025</t>
        </is>
      </c>
      <c r="B635" s="1" t="n">
        <v>45845</v>
      </c>
      <c r="C635" s="1" t="n">
        <v>46110</v>
      </c>
      <c r="D635" t="inlineStr">
        <is>
          <t>VÄSTERBOTTENS LÄN</t>
        </is>
      </c>
      <c r="E635" t="inlineStr">
        <is>
          <t>VILHELMINA</t>
        </is>
      </c>
      <c r="G635" t="n">
        <v>6.8</v>
      </c>
      <c r="H635" t="n">
        <v>0</v>
      </c>
      <c r="I635" t="n">
        <v>0</v>
      </c>
      <c r="J635" t="n">
        <v>0</v>
      </c>
      <c r="K635" t="n">
        <v>0</v>
      </c>
      <c r="L635" t="n">
        <v>0</v>
      </c>
      <c r="M635" t="n">
        <v>0</v>
      </c>
      <c r="N635" t="n">
        <v>0</v>
      </c>
      <c r="O635" t="n">
        <v>0</v>
      </c>
      <c r="P635" t="n">
        <v>0</v>
      </c>
      <c r="Q635" t="n">
        <v>0</v>
      </c>
      <c r="R635" s="2" t="inlineStr"/>
    </row>
    <row r="636" ht="15" customHeight="1">
      <c r="A636" t="inlineStr">
        <is>
          <t>A 19600-2025</t>
        </is>
      </c>
      <c r="B636" s="1" t="n">
        <v>45770</v>
      </c>
      <c r="C636" s="1" t="n">
        <v>46110</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6203-2026</t>
        </is>
      </c>
      <c r="B637" s="1" t="n">
        <v>46055.40695601852</v>
      </c>
      <c r="C637" s="1" t="n">
        <v>46110</v>
      </c>
      <c r="D637" t="inlineStr">
        <is>
          <t>VÄSTERBOTTENS LÄN</t>
        </is>
      </c>
      <c r="E637" t="inlineStr">
        <is>
          <t>VILHELMINA</t>
        </is>
      </c>
      <c r="G637" t="n">
        <v>1.8</v>
      </c>
      <c r="H637" t="n">
        <v>0</v>
      </c>
      <c r="I637" t="n">
        <v>0</v>
      </c>
      <c r="J637" t="n">
        <v>0</v>
      </c>
      <c r="K637" t="n">
        <v>0</v>
      </c>
      <c r="L637" t="n">
        <v>0</v>
      </c>
      <c r="M637" t="n">
        <v>0</v>
      </c>
      <c r="N637" t="n">
        <v>0</v>
      </c>
      <c r="O637" t="n">
        <v>0</v>
      </c>
      <c r="P637" t="n">
        <v>0</v>
      </c>
      <c r="Q637" t="n">
        <v>0</v>
      </c>
      <c r="R637" s="2" t="inlineStr"/>
    </row>
    <row r="638" ht="15" customHeight="1">
      <c r="A638" t="inlineStr">
        <is>
          <t>A 62101-2024</t>
        </is>
      </c>
      <c r="B638" s="1" t="n">
        <v>45656.51119212963</v>
      </c>
      <c r="C638" s="1" t="n">
        <v>46110</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237-2025</t>
        </is>
      </c>
      <c r="B639" s="1" t="n">
        <v>45660.40270833333</v>
      </c>
      <c r="C639" s="1" t="n">
        <v>46110</v>
      </c>
      <c r="D639" t="inlineStr">
        <is>
          <t>VÄSTERBOTTENS LÄN</t>
        </is>
      </c>
      <c r="E639" t="inlineStr">
        <is>
          <t>VILHELMINA</t>
        </is>
      </c>
      <c r="G639" t="n">
        <v>4.6</v>
      </c>
      <c r="H639" t="n">
        <v>0</v>
      </c>
      <c r="I639" t="n">
        <v>0</v>
      </c>
      <c r="J639" t="n">
        <v>0</v>
      </c>
      <c r="K639" t="n">
        <v>0</v>
      </c>
      <c r="L639" t="n">
        <v>0</v>
      </c>
      <c r="M639" t="n">
        <v>0</v>
      </c>
      <c r="N639" t="n">
        <v>0</v>
      </c>
      <c r="O639" t="n">
        <v>0</v>
      </c>
      <c r="P639" t="n">
        <v>0</v>
      </c>
      <c r="Q639" t="n">
        <v>0</v>
      </c>
      <c r="R639" s="2" t="inlineStr"/>
    </row>
    <row r="640" ht="15" customHeight="1">
      <c r="A640" t="inlineStr">
        <is>
          <t>A 242-2025</t>
        </is>
      </c>
      <c r="B640" s="1" t="n">
        <v>45660.41033564815</v>
      </c>
      <c r="C640" s="1" t="n">
        <v>46110</v>
      </c>
      <c r="D640" t="inlineStr">
        <is>
          <t>VÄSTERBOTTENS LÄN</t>
        </is>
      </c>
      <c r="E640" t="inlineStr">
        <is>
          <t>VILHELMINA</t>
        </is>
      </c>
      <c r="G640" t="n">
        <v>2.7</v>
      </c>
      <c r="H640" t="n">
        <v>0</v>
      </c>
      <c r="I640" t="n">
        <v>0</v>
      </c>
      <c r="J640" t="n">
        <v>0</v>
      </c>
      <c r="K640" t="n">
        <v>0</v>
      </c>
      <c r="L640" t="n">
        <v>0</v>
      </c>
      <c r="M640" t="n">
        <v>0</v>
      </c>
      <c r="N640" t="n">
        <v>0</v>
      </c>
      <c r="O640" t="n">
        <v>0</v>
      </c>
      <c r="P640" t="n">
        <v>0</v>
      </c>
      <c r="Q640" t="n">
        <v>0</v>
      </c>
      <c r="R640" s="2" t="inlineStr"/>
    </row>
    <row r="641" ht="15" customHeight="1">
      <c r="A641" t="inlineStr">
        <is>
          <t>A 296-2025</t>
        </is>
      </c>
      <c r="B641" s="1" t="n">
        <v>45660.53215277778</v>
      </c>
      <c r="C641" s="1" t="n">
        <v>46110</v>
      </c>
      <c r="D641" t="inlineStr">
        <is>
          <t>VÄSTERBOTTENS LÄN</t>
        </is>
      </c>
      <c r="E641" t="inlineStr">
        <is>
          <t>VILHELMINA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46110</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34253-2025</t>
        </is>
      </c>
      <c r="B643" s="1" t="n">
        <v>45845</v>
      </c>
      <c r="C643" s="1" t="n">
        <v>46110</v>
      </c>
      <c r="D643" t="inlineStr">
        <is>
          <t>VÄSTERBOTTENS LÄN</t>
        </is>
      </c>
      <c r="E643" t="inlineStr">
        <is>
          <t>VILHELMINA</t>
        </is>
      </c>
      <c r="G643" t="n">
        <v>14.3</v>
      </c>
      <c r="H643" t="n">
        <v>0</v>
      </c>
      <c r="I643" t="n">
        <v>0</v>
      </c>
      <c r="J643" t="n">
        <v>0</v>
      </c>
      <c r="K643" t="n">
        <v>0</v>
      </c>
      <c r="L643" t="n">
        <v>0</v>
      </c>
      <c r="M643" t="n">
        <v>0</v>
      </c>
      <c r="N643" t="n">
        <v>0</v>
      </c>
      <c r="O643" t="n">
        <v>0</v>
      </c>
      <c r="P643" t="n">
        <v>0</v>
      </c>
      <c r="Q643" t="n">
        <v>0</v>
      </c>
      <c r="R643" s="2" t="inlineStr"/>
    </row>
    <row r="644" ht="15" customHeight="1">
      <c r="A644" t="inlineStr">
        <is>
          <t>A 6581-2026</t>
        </is>
      </c>
      <c r="B644" s="1" t="n">
        <v>46056.45396990741</v>
      </c>
      <c r="C644" s="1" t="n">
        <v>46110</v>
      </c>
      <c r="D644" t="inlineStr">
        <is>
          <t>VÄSTERBOTTENS LÄN</t>
        </is>
      </c>
      <c r="E644" t="inlineStr">
        <is>
          <t>VILHELMINA</t>
        </is>
      </c>
      <c r="G644" t="n">
        <v>10.3</v>
      </c>
      <c r="H644" t="n">
        <v>0</v>
      </c>
      <c r="I644" t="n">
        <v>0</v>
      </c>
      <c r="J644" t="n">
        <v>0</v>
      </c>
      <c r="K644" t="n">
        <v>0</v>
      </c>
      <c r="L644" t="n">
        <v>0</v>
      </c>
      <c r="M644" t="n">
        <v>0</v>
      </c>
      <c r="N644" t="n">
        <v>0</v>
      </c>
      <c r="O644" t="n">
        <v>0</v>
      </c>
      <c r="P644" t="n">
        <v>0</v>
      </c>
      <c r="Q644" t="n">
        <v>0</v>
      </c>
      <c r="R644" s="2" t="inlineStr"/>
    </row>
    <row r="645" ht="15" customHeight="1">
      <c r="A645" t="inlineStr">
        <is>
          <t>A 468-2024</t>
        </is>
      </c>
      <c r="B645" s="1" t="n">
        <v>45297</v>
      </c>
      <c r="C645" s="1" t="n">
        <v>46110</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34569-2025</t>
        </is>
      </c>
      <c r="B646" s="1" t="n">
        <v>45847.58480324074</v>
      </c>
      <c r="C646" s="1" t="n">
        <v>46110</v>
      </c>
      <c r="D646" t="inlineStr">
        <is>
          <t>VÄSTERBOTTENS LÄN</t>
        </is>
      </c>
      <c r="E646" t="inlineStr">
        <is>
          <t>VILHELMINA</t>
        </is>
      </c>
      <c r="G646" t="n">
        <v>5.3</v>
      </c>
      <c r="H646" t="n">
        <v>0</v>
      </c>
      <c r="I646" t="n">
        <v>0</v>
      </c>
      <c r="J646" t="n">
        <v>0</v>
      </c>
      <c r="K646" t="n">
        <v>0</v>
      </c>
      <c r="L646" t="n">
        <v>0</v>
      </c>
      <c r="M646" t="n">
        <v>0</v>
      </c>
      <c r="N646" t="n">
        <v>0</v>
      </c>
      <c r="O646" t="n">
        <v>0</v>
      </c>
      <c r="P646" t="n">
        <v>0</v>
      </c>
      <c r="Q646" t="n">
        <v>0</v>
      </c>
      <c r="R646" s="2" t="inlineStr"/>
    </row>
    <row r="647" ht="15" customHeight="1">
      <c r="A647" t="inlineStr">
        <is>
          <t>A 10369-2026</t>
        </is>
      </c>
      <c r="B647" s="1" t="n">
        <v>46076</v>
      </c>
      <c r="C647" s="1" t="n">
        <v>46110</v>
      </c>
      <c r="D647" t="inlineStr">
        <is>
          <t>VÄSTERBOTTENS LÄN</t>
        </is>
      </c>
      <c r="E647" t="inlineStr">
        <is>
          <t>VILHELMINA</t>
        </is>
      </c>
      <c r="G647" t="n">
        <v>30.9</v>
      </c>
      <c r="H647" t="n">
        <v>0</v>
      </c>
      <c r="I647" t="n">
        <v>0</v>
      </c>
      <c r="J647" t="n">
        <v>0</v>
      </c>
      <c r="K647" t="n">
        <v>0</v>
      </c>
      <c r="L647" t="n">
        <v>0</v>
      </c>
      <c r="M647" t="n">
        <v>0</v>
      </c>
      <c r="N647" t="n">
        <v>0</v>
      </c>
      <c r="O647" t="n">
        <v>0</v>
      </c>
      <c r="P647" t="n">
        <v>0</v>
      </c>
      <c r="Q647" t="n">
        <v>0</v>
      </c>
      <c r="R647" s="2" t="inlineStr"/>
    </row>
    <row r="648" ht="15" customHeight="1">
      <c r="A648" t="inlineStr">
        <is>
          <t>A 34542-2025</t>
        </is>
      </c>
      <c r="B648" s="1" t="n">
        <v>45847.53211805555</v>
      </c>
      <c r="C648" s="1" t="n">
        <v>46110</v>
      </c>
      <c r="D648" t="inlineStr">
        <is>
          <t>VÄSTERBOTTENS LÄN</t>
        </is>
      </c>
      <c r="E648" t="inlineStr">
        <is>
          <t>VILHELMINA</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10363-2026</t>
        </is>
      </c>
      <c r="B649" s="1" t="n">
        <v>46076</v>
      </c>
      <c r="C649" s="1" t="n">
        <v>46110</v>
      </c>
      <c r="D649" t="inlineStr">
        <is>
          <t>VÄSTERBOTTENS LÄN</t>
        </is>
      </c>
      <c r="E649" t="inlineStr">
        <is>
          <t>VILHELMINA</t>
        </is>
      </c>
      <c r="G649" t="n">
        <v>38.2</v>
      </c>
      <c r="H649" t="n">
        <v>0</v>
      </c>
      <c r="I649" t="n">
        <v>0</v>
      </c>
      <c r="J649" t="n">
        <v>0</v>
      </c>
      <c r="K649" t="n">
        <v>0</v>
      </c>
      <c r="L649" t="n">
        <v>0</v>
      </c>
      <c r="M649" t="n">
        <v>0</v>
      </c>
      <c r="N649" t="n">
        <v>0</v>
      </c>
      <c r="O649" t="n">
        <v>0</v>
      </c>
      <c r="P649" t="n">
        <v>0</v>
      </c>
      <c r="Q649" t="n">
        <v>0</v>
      </c>
      <c r="R649" s="2" t="inlineStr"/>
    </row>
    <row r="650" ht="15" customHeight="1">
      <c r="A650" t="inlineStr">
        <is>
          <t>A 34563-2025</t>
        </is>
      </c>
      <c r="B650" s="1" t="n">
        <v>45847.57950231482</v>
      </c>
      <c r="C650" s="1" t="n">
        <v>46110</v>
      </c>
      <c r="D650" t="inlineStr">
        <is>
          <t>VÄSTERBOTTENS LÄN</t>
        </is>
      </c>
      <c r="E650" t="inlineStr">
        <is>
          <t>VILHELMINA</t>
        </is>
      </c>
      <c r="G650" t="n">
        <v>20.6</v>
      </c>
      <c r="H650" t="n">
        <v>0</v>
      </c>
      <c r="I650" t="n">
        <v>0</v>
      </c>
      <c r="J650" t="n">
        <v>0</v>
      </c>
      <c r="K650" t="n">
        <v>0</v>
      </c>
      <c r="L650" t="n">
        <v>0</v>
      </c>
      <c r="M650" t="n">
        <v>0</v>
      </c>
      <c r="N650" t="n">
        <v>0</v>
      </c>
      <c r="O650" t="n">
        <v>0</v>
      </c>
      <c r="P650" t="n">
        <v>0</v>
      </c>
      <c r="Q650" t="n">
        <v>0</v>
      </c>
      <c r="R650" s="2" t="inlineStr"/>
    </row>
    <row r="651" ht="15" customHeight="1">
      <c r="A651" t="inlineStr">
        <is>
          <t>A 6265-2026</t>
        </is>
      </c>
      <c r="B651" s="1" t="n">
        <v>46055.48990740741</v>
      </c>
      <c r="C651" s="1" t="n">
        <v>46110</v>
      </c>
      <c r="D651" t="inlineStr">
        <is>
          <t>VÄSTERBOTTENS LÄN</t>
        </is>
      </c>
      <c r="E651" t="inlineStr">
        <is>
          <t>VILHELMINA</t>
        </is>
      </c>
      <c r="G651" t="n">
        <v>1</v>
      </c>
      <c r="H651" t="n">
        <v>0</v>
      </c>
      <c r="I651" t="n">
        <v>0</v>
      </c>
      <c r="J651" t="n">
        <v>0</v>
      </c>
      <c r="K651" t="n">
        <v>0</v>
      </c>
      <c r="L651" t="n">
        <v>0</v>
      </c>
      <c r="M651" t="n">
        <v>0</v>
      </c>
      <c r="N651" t="n">
        <v>0</v>
      </c>
      <c r="O651" t="n">
        <v>0</v>
      </c>
      <c r="P651" t="n">
        <v>0</v>
      </c>
      <c r="Q651" t="n">
        <v>0</v>
      </c>
      <c r="R651" s="2" t="inlineStr"/>
    </row>
    <row r="652" ht="15" customHeight="1">
      <c r="A652" t="inlineStr">
        <is>
          <t>A 6201-2026</t>
        </is>
      </c>
      <c r="B652" s="1" t="n">
        <v>46055.40685185185</v>
      </c>
      <c r="C652" s="1" t="n">
        <v>46110</v>
      </c>
      <c r="D652" t="inlineStr">
        <is>
          <t>VÄSTERBOTTENS LÄN</t>
        </is>
      </c>
      <c r="E652" t="inlineStr">
        <is>
          <t>VILHELMINA</t>
        </is>
      </c>
      <c r="G652" t="n">
        <v>2.8</v>
      </c>
      <c r="H652" t="n">
        <v>0</v>
      </c>
      <c r="I652" t="n">
        <v>0</v>
      </c>
      <c r="J652" t="n">
        <v>0</v>
      </c>
      <c r="K652" t="n">
        <v>0</v>
      </c>
      <c r="L652" t="n">
        <v>0</v>
      </c>
      <c r="M652" t="n">
        <v>0</v>
      </c>
      <c r="N652" t="n">
        <v>0</v>
      </c>
      <c r="O652" t="n">
        <v>0</v>
      </c>
      <c r="P652" t="n">
        <v>0</v>
      </c>
      <c r="Q652" t="n">
        <v>0</v>
      </c>
      <c r="R652" s="2" t="inlineStr"/>
    </row>
    <row r="653" ht="15" customHeight="1">
      <c r="A653" t="inlineStr">
        <is>
          <t>A 13704-2026</t>
        </is>
      </c>
      <c r="B653" s="1" t="n">
        <v>46097</v>
      </c>
      <c r="C653" s="1" t="n">
        <v>46110</v>
      </c>
      <c r="D653" t="inlineStr">
        <is>
          <t>VÄSTERBOTTENS LÄN</t>
        </is>
      </c>
      <c r="E653" t="inlineStr">
        <is>
          <t>VILHELMINA</t>
        </is>
      </c>
      <c r="G653" t="n">
        <v>11.7</v>
      </c>
      <c r="H653" t="n">
        <v>0</v>
      </c>
      <c r="I653" t="n">
        <v>0</v>
      </c>
      <c r="J653" t="n">
        <v>0</v>
      </c>
      <c r="K653" t="n">
        <v>0</v>
      </c>
      <c r="L653" t="n">
        <v>0</v>
      </c>
      <c r="M653" t="n">
        <v>0</v>
      </c>
      <c r="N653" t="n">
        <v>0</v>
      </c>
      <c r="O653" t="n">
        <v>0</v>
      </c>
      <c r="P653" t="n">
        <v>0</v>
      </c>
      <c r="Q653" t="n">
        <v>0</v>
      </c>
      <c r="R653" s="2" t="inlineStr"/>
    </row>
    <row r="654" ht="15" customHeight="1">
      <c r="A654" t="inlineStr">
        <is>
          <t>A 6202-2026</t>
        </is>
      </c>
      <c r="B654" s="1" t="n">
        <v>46055.40693287037</v>
      </c>
      <c r="C654" s="1" t="n">
        <v>46110</v>
      </c>
      <c r="D654" t="inlineStr">
        <is>
          <t>VÄSTERBOTTENS LÄN</t>
        </is>
      </c>
      <c r="E654" t="inlineStr">
        <is>
          <t>VILHELMINA</t>
        </is>
      </c>
      <c r="G654" t="n">
        <v>0.3</v>
      </c>
      <c r="H654" t="n">
        <v>0</v>
      </c>
      <c r="I654" t="n">
        <v>0</v>
      </c>
      <c r="J654" t="n">
        <v>0</v>
      </c>
      <c r="K654" t="n">
        <v>0</v>
      </c>
      <c r="L654" t="n">
        <v>0</v>
      </c>
      <c r="M654" t="n">
        <v>0</v>
      </c>
      <c r="N654" t="n">
        <v>0</v>
      </c>
      <c r="O654" t="n">
        <v>0</v>
      </c>
      <c r="P654" t="n">
        <v>0</v>
      </c>
      <c r="Q654" t="n">
        <v>0</v>
      </c>
      <c r="R654" s="2" t="inlineStr"/>
    </row>
    <row r="655" ht="15" customHeight="1">
      <c r="A655" t="inlineStr">
        <is>
          <t>A 12008-2026</t>
        </is>
      </c>
      <c r="B655" s="1" t="n">
        <v>46085</v>
      </c>
      <c r="C655" s="1" t="n">
        <v>46110</v>
      </c>
      <c r="D655" t="inlineStr">
        <is>
          <t>VÄSTERBOTTENS LÄN</t>
        </is>
      </c>
      <c r="E655" t="inlineStr">
        <is>
          <t>VILHELMINA</t>
        </is>
      </c>
      <c r="G655" t="n">
        <v>18.5</v>
      </c>
      <c r="H655" t="n">
        <v>0</v>
      </c>
      <c r="I655" t="n">
        <v>0</v>
      </c>
      <c r="J655" t="n">
        <v>0</v>
      </c>
      <c r="K655" t="n">
        <v>0</v>
      </c>
      <c r="L655" t="n">
        <v>0</v>
      </c>
      <c r="M655" t="n">
        <v>0</v>
      </c>
      <c r="N655" t="n">
        <v>0</v>
      </c>
      <c r="O655" t="n">
        <v>0</v>
      </c>
      <c r="P655" t="n">
        <v>0</v>
      </c>
      <c r="Q655" t="n">
        <v>0</v>
      </c>
      <c r="R655" s="2" t="inlineStr"/>
    </row>
    <row r="656" ht="15" customHeight="1">
      <c r="A656" t="inlineStr">
        <is>
          <t>A 12000-2026</t>
        </is>
      </c>
      <c r="B656" s="1" t="n">
        <v>46085</v>
      </c>
      <c r="C656" s="1" t="n">
        <v>46110</v>
      </c>
      <c r="D656" t="inlineStr">
        <is>
          <t>VÄSTERBOTTENS LÄN</t>
        </is>
      </c>
      <c r="E656" t="inlineStr">
        <is>
          <t>VILHELMINA</t>
        </is>
      </c>
      <c r="G656" t="n">
        <v>41.2</v>
      </c>
      <c r="H656" t="n">
        <v>0</v>
      </c>
      <c r="I656" t="n">
        <v>0</v>
      </c>
      <c r="J656" t="n">
        <v>0</v>
      </c>
      <c r="K656" t="n">
        <v>0</v>
      </c>
      <c r="L656" t="n">
        <v>0</v>
      </c>
      <c r="M656" t="n">
        <v>0</v>
      </c>
      <c r="N656" t="n">
        <v>0</v>
      </c>
      <c r="O656" t="n">
        <v>0</v>
      </c>
      <c r="P656" t="n">
        <v>0</v>
      </c>
      <c r="Q656" t="n">
        <v>0</v>
      </c>
      <c r="R656" s="2" t="inlineStr"/>
    </row>
    <row r="657" ht="15" customHeight="1">
      <c r="A657" t="inlineStr">
        <is>
          <t>A 56830-2023</t>
        </is>
      </c>
      <c r="B657" s="1" t="n">
        <v>45238</v>
      </c>
      <c r="C657" s="1" t="n">
        <v>46110</v>
      </c>
      <c r="D657" t="inlineStr">
        <is>
          <t>VÄSTERBOTTENS LÄN</t>
        </is>
      </c>
      <c r="E657" t="inlineStr">
        <is>
          <t>VILHELMINA</t>
        </is>
      </c>
      <c r="F657" t="inlineStr">
        <is>
          <t>Allmännings- och besparingsskogar</t>
        </is>
      </c>
      <c r="G657" t="n">
        <v>66</v>
      </c>
      <c r="H657" t="n">
        <v>0</v>
      </c>
      <c r="I657" t="n">
        <v>0</v>
      </c>
      <c r="J657" t="n">
        <v>0</v>
      </c>
      <c r="K657" t="n">
        <v>0</v>
      </c>
      <c r="L657" t="n">
        <v>0</v>
      </c>
      <c r="M657" t="n">
        <v>0</v>
      </c>
      <c r="N657" t="n">
        <v>0</v>
      </c>
      <c r="O657" t="n">
        <v>0</v>
      </c>
      <c r="P657" t="n">
        <v>0</v>
      </c>
      <c r="Q657" t="n">
        <v>0</v>
      </c>
      <c r="R657" s="2" t="inlineStr"/>
    </row>
    <row r="658" ht="15" customHeight="1">
      <c r="A658" t="inlineStr">
        <is>
          <t>A 56847-2023</t>
        </is>
      </c>
      <c r="B658" s="1" t="n">
        <v>45238</v>
      </c>
      <c r="C658" s="1" t="n">
        <v>46110</v>
      </c>
      <c r="D658" t="inlineStr">
        <is>
          <t>VÄSTERBOTTENS LÄN</t>
        </is>
      </c>
      <c r="E658" t="inlineStr">
        <is>
          <t>VILHELMINA</t>
        </is>
      </c>
      <c r="F658" t="inlineStr">
        <is>
          <t>Allmännings- och besparingsskogar</t>
        </is>
      </c>
      <c r="G658" t="n">
        <v>41</v>
      </c>
      <c r="H658" t="n">
        <v>0</v>
      </c>
      <c r="I658" t="n">
        <v>0</v>
      </c>
      <c r="J658" t="n">
        <v>0</v>
      </c>
      <c r="K658" t="n">
        <v>0</v>
      </c>
      <c r="L658" t="n">
        <v>0</v>
      </c>
      <c r="M658" t="n">
        <v>0</v>
      </c>
      <c r="N658" t="n">
        <v>0</v>
      </c>
      <c r="O658" t="n">
        <v>0</v>
      </c>
      <c r="P658" t="n">
        <v>0</v>
      </c>
      <c r="Q658" t="n">
        <v>0</v>
      </c>
      <c r="R658" s="2" t="inlineStr"/>
    </row>
    <row r="659" ht="15" customHeight="1">
      <c r="A659" t="inlineStr">
        <is>
          <t>A 20534-2025</t>
        </is>
      </c>
      <c r="B659" s="1" t="n">
        <v>45775.61550925926</v>
      </c>
      <c r="C659" s="1" t="n">
        <v>46110</v>
      </c>
      <c r="D659" t="inlineStr">
        <is>
          <t>VÄSTERBOTTENS LÄN</t>
        </is>
      </c>
      <c r="E659" t="inlineStr">
        <is>
          <t>VILHELMINA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56823-2023</t>
        </is>
      </c>
      <c r="B660" s="1" t="n">
        <v>45238</v>
      </c>
      <c r="C660" s="1" t="n">
        <v>46110</v>
      </c>
      <c r="D660" t="inlineStr">
        <is>
          <t>VÄSTERBOTTENS LÄN</t>
        </is>
      </c>
      <c r="E660" t="inlineStr">
        <is>
          <t>VILHELMINA</t>
        </is>
      </c>
      <c r="F660" t="inlineStr">
        <is>
          <t>Allmännings- och besparingsskogar</t>
        </is>
      </c>
      <c r="G660" t="n">
        <v>82</v>
      </c>
      <c r="H660" t="n">
        <v>0</v>
      </c>
      <c r="I660" t="n">
        <v>0</v>
      </c>
      <c r="J660" t="n">
        <v>0</v>
      </c>
      <c r="K660" t="n">
        <v>0</v>
      </c>
      <c r="L660" t="n">
        <v>0</v>
      </c>
      <c r="M660" t="n">
        <v>0</v>
      </c>
      <c r="N660" t="n">
        <v>0</v>
      </c>
      <c r="O660" t="n">
        <v>0</v>
      </c>
      <c r="P660" t="n">
        <v>0</v>
      </c>
      <c r="Q660" t="n">
        <v>0</v>
      </c>
      <c r="R660" s="2" t="inlineStr"/>
    </row>
    <row r="661" ht="15" customHeight="1">
      <c r="A661" t="inlineStr">
        <is>
          <t>A 46908-2024</t>
        </is>
      </c>
      <c r="B661" s="1" t="n">
        <v>45583</v>
      </c>
      <c r="C661" s="1" t="n">
        <v>46110</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7260-2026</t>
        </is>
      </c>
      <c r="B662" s="1" t="n">
        <v>46058.59981481481</v>
      </c>
      <c r="C662" s="1" t="n">
        <v>46110</v>
      </c>
      <c r="D662" t="inlineStr">
        <is>
          <t>VÄSTERBOTTENS LÄN</t>
        </is>
      </c>
      <c r="E662" t="inlineStr">
        <is>
          <t>VILHELMINA</t>
        </is>
      </c>
      <c r="G662" t="n">
        <v>6.1</v>
      </c>
      <c r="H662" t="n">
        <v>0</v>
      </c>
      <c r="I662" t="n">
        <v>0</v>
      </c>
      <c r="J662" t="n">
        <v>0</v>
      </c>
      <c r="K662" t="n">
        <v>0</v>
      </c>
      <c r="L662" t="n">
        <v>0</v>
      </c>
      <c r="M662" t="n">
        <v>0</v>
      </c>
      <c r="N662" t="n">
        <v>0</v>
      </c>
      <c r="O662" t="n">
        <v>0</v>
      </c>
      <c r="P662" t="n">
        <v>0</v>
      </c>
      <c r="Q662" t="n">
        <v>0</v>
      </c>
      <c r="R662" s="2" t="inlineStr"/>
    </row>
    <row r="663" ht="15" customHeight="1">
      <c r="A663" t="inlineStr">
        <is>
          <t>A 35285-2025</t>
        </is>
      </c>
      <c r="B663" s="1" t="n">
        <v>45854</v>
      </c>
      <c r="C663" s="1" t="n">
        <v>46110</v>
      </c>
      <c r="D663" t="inlineStr">
        <is>
          <t>VÄSTERBOTTENS LÄN</t>
        </is>
      </c>
      <c r="E663" t="inlineStr">
        <is>
          <t>VILHELMINA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35287-2025</t>
        </is>
      </c>
      <c r="B664" s="1" t="n">
        <v>45854.3653587963</v>
      </c>
      <c r="C664" s="1" t="n">
        <v>46110</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35288-2025</t>
        </is>
      </c>
      <c r="B665" s="1" t="n">
        <v>45854.36543981481</v>
      </c>
      <c r="C665" s="1" t="n">
        <v>46110</v>
      </c>
      <c r="D665" t="inlineStr">
        <is>
          <t>VÄSTERBOTTENS LÄN</t>
        </is>
      </c>
      <c r="E665" t="inlineStr">
        <is>
          <t>VILHELMINA</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35230-2025</t>
        </is>
      </c>
      <c r="B666" s="1" t="n">
        <v>45853.59447916667</v>
      </c>
      <c r="C666" s="1" t="n">
        <v>46110</v>
      </c>
      <c r="D666" t="inlineStr">
        <is>
          <t>VÄSTERBOTTENS LÄN</t>
        </is>
      </c>
      <c r="E666" t="inlineStr">
        <is>
          <t>VILHELMINA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35231-2025</t>
        </is>
      </c>
      <c r="B667" s="1" t="n">
        <v>45853.59453703704</v>
      </c>
      <c r="C667" s="1" t="n">
        <v>46110</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48423-2023</t>
        </is>
      </c>
      <c r="B668" s="1" t="n">
        <v>45205</v>
      </c>
      <c r="C668" s="1" t="n">
        <v>46110</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60842-2023</t>
        </is>
      </c>
      <c r="B669" s="1" t="n">
        <v>45260.9258912037</v>
      </c>
      <c r="C669" s="1" t="n">
        <v>46110</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35888-2025</t>
        </is>
      </c>
      <c r="B670" s="1" t="n">
        <v>45862.44034722223</v>
      </c>
      <c r="C670" s="1" t="n">
        <v>46110</v>
      </c>
      <c r="D670" t="inlineStr">
        <is>
          <t>VÄSTERBOTTENS LÄN</t>
        </is>
      </c>
      <c r="E670" t="inlineStr">
        <is>
          <t>VILHELMINA</t>
        </is>
      </c>
      <c r="G670" t="n">
        <v>2.4</v>
      </c>
      <c r="H670" t="n">
        <v>0</v>
      </c>
      <c r="I670" t="n">
        <v>0</v>
      </c>
      <c r="J670" t="n">
        <v>0</v>
      </c>
      <c r="K670" t="n">
        <v>0</v>
      </c>
      <c r="L670" t="n">
        <v>0</v>
      </c>
      <c r="M670" t="n">
        <v>0</v>
      </c>
      <c r="N670" t="n">
        <v>0</v>
      </c>
      <c r="O670" t="n">
        <v>0</v>
      </c>
      <c r="P670" t="n">
        <v>0</v>
      </c>
      <c r="Q670" t="n">
        <v>0</v>
      </c>
      <c r="R670" s="2" t="inlineStr"/>
    </row>
    <row r="671" ht="15" customHeight="1">
      <c r="A671" t="inlineStr">
        <is>
          <t>A 12374-2025</t>
        </is>
      </c>
      <c r="B671" s="1" t="n">
        <v>45730</v>
      </c>
      <c r="C671" s="1" t="n">
        <v>46110</v>
      </c>
      <c r="D671" t="inlineStr">
        <is>
          <t>VÄSTERBOTTENS LÄN</t>
        </is>
      </c>
      <c r="E671" t="inlineStr">
        <is>
          <t>VILHELMINA</t>
        </is>
      </c>
      <c r="F671" t="inlineStr">
        <is>
          <t>Övriga statliga verk och myndigheter</t>
        </is>
      </c>
      <c r="G671" t="n">
        <v>18.7</v>
      </c>
      <c r="H671" t="n">
        <v>0</v>
      </c>
      <c r="I671" t="n">
        <v>0</v>
      </c>
      <c r="J671" t="n">
        <v>0</v>
      </c>
      <c r="K671" t="n">
        <v>0</v>
      </c>
      <c r="L671" t="n">
        <v>0</v>
      </c>
      <c r="M671" t="n">
        <v>0</v>
      </c>
      <c r="N671" t="n">
        <v>0</v>
      </c>
      <c r="O671" t="n">
        <v>0</v>
      </c>
      <c r="P671" t="n">
        <v>0</v>
      </c>
      <c r="Q671" t="n">
        <v>0</v>
      </c>
      <c r="R671" s="2" t="inlineStr"/>
    </row>
    <row r="672" ht="15" customHeight="1">
      <c r="A672" t="inlineStr">
        <is>
          <t>A 12375-2025</t>
        </is>
      </c>
      <c r="B672" s="1" t="n">
        <v>45730</v>
      </c>
      <c r="C672" s="1" t="n">
        <v>46110</v>
      </c>
      <c r="D672" t="inlineStr">
        <is>
          <t>VÄSTERBOTTENS LÄN</t>
        </is>
      </c>
      <c r="E672" t="inlineStr">
        <is>
          <t>VILHELMINA</t>
        </is>
      </c>
      <c r="F672" t="inlineStr">
        <is>
          <t>Övriga statliga verk och myndigheter</t>
        </is>
      </c>
      <c r="G672" t="n">
        <v>22.3</v>
      </c>
      <c r="H672" t="n">
        <v>0</v>
      </c>
      <c r="I672" t="n">
        <v>0</v>
      </c>
      <c r="J672" t="n">
        <v>0</v>
      </c>
      <c r="K672" t="n">
        <v>0</v>
      </c>
      <c r="L672" t="n">
        <v>0</v>
      </c>
      <c r="M672" t="n">
        <v>0</v>
      </c>
      <c r="N672" t="n">
        <v>0</v>
      </c>
      <c r="O672" t="n">
        <v>0</v>
      </c>
      <c r="P672" t="n">
        <v>0</v>
      </c>
      <c r="Q672" t="n">
        <v>0</v>
      </c>
      <c r="R672" s="2" t="inlineStr"/>
    </row>
    <row r="673" ht="15" customHeight="1">
      <c r="A673" t="inlineStr">
        <is>
          <t>A 35886-2025</t>
        </is>
      </c>
      <c r="B673" s="1" t="n">
        <v>45862</v>
      </c>
      <c r="C673" s="1" t="n">
        <v>46110</v>
      </c>
      <c r="D673" t="inlineStr">
        <is>
          <t>VÄSTERBOTTENS LÄN</t>
        </is>
      </c>
      <c r="E673" t="inlineStr">
        <is>
          <t>VILHELMINA</t>
        </is>
      </c>
      <c r="G673" t="n">
        <v>7</v>
      </c>
      <c r="H673" t="n">
        <v>0</v>
      </c>
      <c r="I673" t="n">
        <v>0</v>
      </c>
      <c r="J673" t="n">
        <v>0</v>
      </c>
      <c r="K673" t="n">
        <v>0</v>
      </c>
      <c r="L673" t="n">
        <v>0</v>
      </c>
      <c r="M673" t="n">
        <v>0</v>
      </c>
      <c r="N673" t="n">
        <v>0</v>
      </c>
      <c r="O673" t="n">
        <v>0</v>
      </c>
      <c r="P673" t="n">
        <v>0</v>
      </c>
      <c r="Q673" t="n">
        <v>0</v>
      </c>
      <c r="R673" s="2" t="inlineStr"/>
    </row>
    <row r="674" ht="15" customHeight="1">
      <c r="A674" t="inlineStr">
        <is>
          <t>A 47548-2024</t>
        </is>
      </c>
      <c r="B674" s="1" t="n">
        <v>45587</v>
      </c>
      <c r="C674" s="1" t="n">
        <v>46110</v>
      </c>
      <c r="D674" t="inlineStr">
        <is>
          <t>VÄSTERBOTTENS LÄN</t>
        </is>
      </c>
      <c r="E674" t="inlineStr">
        <is>
          <t>VILHELMINA</t>
        </is>
      </c>
      <c r="F674" t="inlineStr">
        <is>
          <t>SCA</t>
        </is>
      </c>
      <c r="G674" t="n">
        <v>7.7</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46110</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48088-2024</t>
        </is>
      </c>
      <c r="B676" s="1" t="n">
        <v>45589</v>
      </c>
      <c r="C676" s="1" t="n">
        <v>46110</v>
      </c>
      <c r="D676" t="inlineStr">
        <is>
          <t>VÄSTERBOTTENS LÄN</t>
        </is>
      </c>
      <c r="E676" t="inlineStr">
        <is>
          <t>VILHELMINA</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5738-2026</t>
        </is>
      </c>
      <c r="B677" s="1" t="n">
        <v>46049</v>
      </c>
      <c r="C677" s="1" t="n">
        <v>46110</v>
      </c>
      <c r="D677" t="inlineStr">
        <is>
          <t>VÄSTERBOTTENS LÄN</t>
        </is>
      </c>
      <c r="E677" t="inlineStr">
        <is>
          <t>VILHELMINA</t>
        </is>
      </c>
      <c r="G677" t="n">
        <v>4.1</v>
      </c>
      <c r="H677" t="n">
        <v>0</v>
      </c>
      <c r="I677" t="n">
        <v>0</v>
      </c>
      <c r="J677" t="n">
        <v>0</v>
      </c>
      <c r="K677" t="n">
        <v>0</v>
      </c>
      <c r="L677" t="n">
        <v>0</v>
      </c>
      <c r="M677" t="n">
        <v>0</v>
      </c>
      <c r="N677" t="n">
        <v>0</v>
      </c>
      <c r="O677" t="n">
        <v>0</v>
      </c>
      <c r="P677" t="n">
        <v>0</v>
      </c>
      <c r="Q677" t="n">
        <v>0</v>
      </c>
      <c r="R677" s="2" t="inlineStr"/>
    </row>
    <row r="678" ht="15" customHeight="1">
      <c r="A678" t="inlineStr">
        <is>
          <t>A 55688-2023</t>
        </is>
      </c>
      <c r="B678" s="1" t="n">
        <v>45232</v>
      </c>
      <c r="C678" s="1" t="n">
        <v>46110</v>
      </c>
      <c r="D678" t="inlineStr">
        <is>
          <t>VÄSTERBOTTENS LÄN</t>
        </is>
      </c>
      <c r="E678" t="inlineStr">
        <is>
          <t>VILHELMINA</t>
        </is>
      </c>
      <c r="G678" t="n">
        <v>6.4</v>
      </c>
      <c r="H678" t="n">
        <v>0</v>
      </c>
      <c r="I678" t="n">
        <v>0</v>
      </c>
      <c r="J678" t="n">
        <v>0</v>
      </c>
      <c r="K678" t="n">
        <v>0</v>
      </c>
      <c r="L678" t="n">
        <v>0</v>
      </c>
      <c r="M678" t="n">
        <v>0</v>
      </c>
      <c r="N678" t="n">
        <v>0</v>
      </c>
      <c r="O678" t="n">
        <v>0</v>
      </c>
      <c r="P678" t="n">
        <v>0</v>
      </c>
      <c r="Q678" t="n">
        <v>0</v>
      </c>
      <c r="R678" s="2" t="inlineStr"/>
    </row>
    <row r="679" ht="15" customHeight="1">
      <c r="A679" t="inlineStr">
        <is>
          <t>A 10268-2025</t>
        </is>
      </c>
      <c r="B679" s="1" t="n">
        <v>45720</v>
      </c>
      <c r="C679" s="1" t="n">
        <v>46110</v>
      </c>
      <c r="D679" t="inlineStr">
        <is>
          <t>VÄSTERBOTTENS LÄN</t>
        </is>
      </c>
      <c r="E679" t="inlineStr">
        <is>
          <t>VILHELMINA</t>
        </is>
      </c>
      <c r="G679" t="n">
        <v>1.9</v>
      </c>
      <c r="H679" t="n">
        <v>0</v>
      </c>
      <c r="I679" t="n">
        <v>0</v>
      </c>
      <c r="J679" t="n">
        <v>0</v>
      </c>
      <c r="K679" t="n">
        <v>0</v>
      </c>
      <c r="L679" t="n">
        <v>0</v>
      </c>
      <c r="M679" t="n">
        <v>0</v>
      </c>
      <c r="N679" t="n">
        <v>0</v>
      </c>
      <c r="O679" t="n">
        <v>0</v>
      </c>
      <c r="P679" t="n">
        <v>0</v>
      </c>
      <c r="Q679" t="n">
        <v>0</v>
      </c>
      <c r="R679" s="2" t="inlineStr"/>
    </row>
    <row r="680" ht="15" customHeight="1">
      <c r="A680" t="inlineStr">
        <is>
          <t>A 61270-2022</t>
        </is>
      </c>
      <c r="B680" s="1" t="n">
        <v>44909</v>
      </c>
      <c r="C680" s="1" t="n">
        <v>46110</v>
      </c>
      <c r="D680" t="inlineStr">
        <is>
          <t>VÄSTERBOTTENS LÄN</t>
        </is>
      </c>
      <c r="E680" t="inlineStr">
        <is>
          <t>VILHELMINA</t>
        </is>
      </c>
      <c r="G680" t="n">
        <v>8.9</v>
      </c>
      <c r="H680" t="n">
        <v>0</v>
      </c>
      <c r="I680" t="n">
        <v>0</v>
      </c>
      <c r="J680" t="n">
        <v>0</v>
      </c>
      <c r="K680" t="n">
        <v>0</v>
      </c>
      <c r="L680" t="n">
        <v>0</v>
      </c>
      <c r="M680" t="n">
        <v>0</v>
      </c>
      <c r="N680" t="n">
        <v>0</v>
      </c>
      <c r="O680" t="n">
        <v>0</v>
      </c>
      <c r="P680" t="n">
        <v>0</v>
      </c>
      <c r="Q680" t="n">
        <v>0</v>
      </c>
      <c r="R680" s="2" t="inlineStr"/>
    </row>
    <row r="681" ht="15" customHeight="1">
      <c r="A681" t="inlineStr">
        <is>
          <t>A 10883-2026</t>
        </is>
      </c>
      <c r="B681" s="1" t="n">
        <v>46078</v>
      </c>
      <c r="C681" s="1" t="n">
        <v>46110</v>
      </c>
      <c r="D681" t="inlineStr">
        <is>
          <t>VÄSTERBOTTENS LÄN</t>
        </is>
      </c>
      <c r="E681" t="inlineStr">
        <is>
          <t>VILHELMINA</t>
        </is>
      </c>
      <c r="F681" t="inlineStr">
        <is>
          <t>Övriga Aktiebolag</t>
        </is>
      </c>
      <c r="G681" t="n">
        <v>12.2</v>
      </c>
      <c r="H681" t="n">
        <v>0</v>
      </c>
      <c r="I681" t="n">
        <v>0</v>
      </c>
      <c r="J681" t="n">
        <v>0</v>
      </c>
      <c r="K681" t="n">
        <v>0</v>
      </c>
      <c r="L681" t="n">
        <v>0</v>
      </c>
      <c r="M681" t="n">
        <v>0</v>
      </c>
      <c r="N681" t="n">
        <v>0</v>
      </c>
      <c r="O681" t="n">
        <v>0</v>
      </c>
      <c r="P681" t="n">
        <v>0</v>
      </c>
      <c r="Q681" t="n">
        <v>0</v>
      </c>
      <c r="R681" s="2" t="inlineStr"/>
    </row>
    <row r="682" ht="15" customHeight="1">
      <c r="A682" t="inlineStr">
        <is>
          <t>A 60227-2022</t>
        </is>
      </c>
      <c r="B682" s="1" t="n">
        <v>44903</v>
      </c>
      <c r="C682" s="1" t="n">
        <v>46110</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56624-2024</t>
        </is>
      </c>
      <c r="B683" s="1" t="n">
        <v>45625</v>
      </c>
      <c r="C683" s="1" t="n">
        <v>46110</v>
      </c>
      <c r="D683" t="inlineStr">
        <is>
          <t>VÄSTERBOTTENS LÄN</t>
        </is>
      </c>
      <c r="E683" t="inlineStr">
        <is>
          <t>VILHELMINA</t>
        </is>
      </c>
      <c r="F683" t="inlineStr">
        <is>
          <t>Allmännings- och besparingsskogar</t>
        </is>
      </c>
      <c r="G683" t="n">
        <v>17.8</v>
      </c>
      <c r="H683" t="n">
        <v>0</v>
      </c>
      <c r="I683" t="n">
        <v>0</v>
      </c>
      <c r="J683" t="n">
        <v>0</v>
      </c>
      <c r="K683" t="n">
        <v>0</v>
      </c>
      <c r="L683" t="n">
        <v>0</v>
      </c>
      <c r="M683" t="n">
        <v>0</v>
      </c>
      <c r="N683" t="n">
        <v>0</v>
      </c>
      <c r="O683" t="n">
        <v>0</v>
      </c>
      <c r="P683" t="n">
        <v>0</v>
      </c>
      <c r="Q683" t="n">
        <v>0</v>
      </c>
      <c r="R683" s="2" t="inlineStr"/>
    </row>
    <row r="684" ht="15" customHeight="1">
      <c r="A684" t="inlineStr">
        <is>
          <t>A 10956-2023</t>
        </is>
      </c>
      <c r="B684" s="1" t="n">
        <v>44985</v>
      </c>
      <c r="C684" s="1" t="n">
        <v>46110</v>
      </c>
      <c r="D684" t="inlineStr">
        <is>
          <t>VÄSTERBOTTENS LÄN</t>
        </is>
      </c>
      <c r="E684" t="inlineStr">
        <is>
          <t>VILHELMINA</t>
        </is>
      </c>
      <c r="G684" t="n">
        <v>3.3</v>
      </c>
      <c r="H684" t="n">
        <v>0</v>
      </c>
      <c r="I684" t="n">
        <v>0</v>
      </c>
      <c r="J684" t="n">
        <v>0</v>
      </c>
      <c r="K684" t="n">
        <v>0</v>
      </c>
      <c r="L684" t="n">
        <v>0</v>
      </c>
      <c r="M684" t="n">
        <v>0</v>
      </c>
      <c r="N684" t="n">
        <v>0</v>
      </c>
      <c r="O684" t="n">
        <v>0</v>
      </c>
      <c r="P684" t="n">
        <v>0</v>
      </c>
      <c r="Q684" t="n">
        <v>0</v>
      </c>
      <c r="R684" s="2" t="inlineStr"/>
    </row>
    <row r="685" ht="15" customHeight="1">
      <c r="A685" t="inlineStr">
        <is>
          <t>A 19223-2025</t>
        </is>
      </c>
      <c r="B685" s="1" t="n">
        <v>45769</v>
      </c>
      <c r="C685" s="1" t="n">
        <v>46110</v>
      </c>
      <c r="D685" t="inlineStr">
        <is>
          <t>VÄSTERBOTTENS LÄN</t>
        </is>
      </c>
      <c r="E685" t="inlineStr">
        <is>
          <t>VILHELMINA</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47440-2024</t>
        </is>
      </c>
      <c r="B686" s="1" t="n">
        <v>45587</v>
      </c>
      <c r="C686" s="1" t="n">
        <v>46110</v>
      </c>
      <c r="D686" t="inlineStr">
        <is>
          <t>VÄSTERBOTTENS LÄN</t>
        </is>
      </c>
      <c r="E686" t="inlineStr">
        <is>
          <t>VILHELMINA</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47242-2024</t>
        </is>
      </c>
      <c r="B687" s="1" t="n">
        <v>45586</v>
      </c>
      <c r="C687" s="1" t="n">
        <v>46110</v>
      </c>
      <c r="D687" t="inlineStr">
        <is>
          <t>VÄSTERBOTTENS LÄN</t>
        </is>
      </c>
      <c r="E687" t="inlineStr">
        <is>
          <t>VILHELMINA</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43817-2025</t>
        </is>
      </c>
      <c r="B688" s="1" t="n">
        <v>45912</v>
      </c>
      <c r="C688" s="1" t="n">
        <v>46110</v>
      </c>
      <c r="D688" t="inlineStr">
        <is>
          <t>VÄSTERBOTTENS LÄN</t>
        </is>
      </c>
      <c r="E688" t="inlineStr">
        <is>
          <t>VILHELMINA</t>
        </is>
      </c>
      <c r="G688" t="n">
        <v>23.1</v>
      </c>
      <c r="H688" t="n">
        <v>0</v>
      </c>
      <c r="I688" t="n">
        <v>0</v>
      </c>
      <c r="J688" t="n">
        <v>0</v>
      </c>
      <c r="K688" t="n">
        <v>0</v>
      </c>
      <c r="L688" t="n">
        <v>0</v>
      </c>
      <c r="M688" t="n">
        <v>0</v>
      </c>
      <c r="N688" t="n">
        <v>0</v>
      </c>
      <c r="O688" t="n">
        <v>0</v>
      </c>
      <c r="P688" t="n">
        <v>0</v>
      </c>
      <c r="Q688" t="n">
        <v>0</v>
      </c>
      <c r="R688" s="2" t="inlineStr"/>
    </row>
    <row r="689" ht="15" customHeight="1">
      <c r="A689" t="inlineStr">
        <is>
          <t>A 11139-2022</t>
        </is>
      </c>
      <c r="B689" s="1" t="n">
        <v>44628</v>
      </c>
      <c r="C689" s="1" t="n">
        <v>46110</v>
      </c>
      <c r="D689" t="inlineStr">
        <is>
          <t>VÄSTERBOTTENS LÄN</t>
        </is>
      </c>
      <c r="E689" t="inlineStr">
        <is>
          <t>VILHELMINA</t>
        </is>
      </c>
      <c r="G689" t="n">
        <v>13.6</v>
      </c>
      <c r="H689" t="n">
        <v>0</v>
      </c>
      <c r="I689" t="n">
        <v>0</v>
      </c>
      <c r="J689" t="n">
        <v>0</v>
      </c>
      <c r="K689" t="n">
        <v>0</v>
      </c>
      <c r="L689" t="n">
        <v>0</v>
      </c>
      <c r="M689" t="n">
        <v>0</v>
      </c>
      <c r="N689" t="n">
        <v>0</v>
      </c>
      <c r="O689" t="n">
        <v>0</v>
      </c>
      <c r="P689" t="n">
        <v>0</v>
      </c>
      <c r="Q689" t="n">
        <v>0</v>
      </c>
      <c r="R689" s="2" t="inlineStr"/>
    </row>
    <row r="690" ht="15" customHeight="1">
      <c r="A690" t="inlineStr">
        <is>
          <t>A 36569-2025</t>
        </is>
      </c>
      <c r="B690" s="1" t="n">
        <v>45870</v>
      </c>
      <c r="C690" s="1" t="n">
        <v>46110</v>
      </c>
      <c r="D690" t="inlineStr">
        <is>
          <t>VÄSTERBOTTENS LÄN</t>
        </is>
      </c>
      <c r="E690" t="inlineStr">
        <is>
          <t>VILHELMINA</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40468-2021</t>
        </is>
      </c>
      <c r="B691" s="1" t="n">
        <v>44419.94174768519</v>
      </c>
      <c r="C691" s="1" t="n">
        <v>46110</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16720-2025</t>
        </is>
      </c>
      <c r="B692" s="1" t="n">
        <v>45754.49039351852</v>
      </c>
      <c r="C692" s="1" t="n">
        <v>46110</v>
      </c>
      <c r="D692" t="inlineStr">
        <is>
          <t>VÄSTERBOTTENS LÄN</t>
        </is>
      </c>
      <c r="E692" t="inlineStr">
        <is>
          <t>VILHELMINA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15301-2026</t>
        </is>
      </c>
      <c r="B693" s="1" t="n">
        <v>46105.63650462963</v>
      </c>
      <c r="C693" s="1" t="n">
        <v>46110</v>
      </c>
      <c r="D693" t="inlineStr">
        <is>
          <t>VÄSTERBOTTENS LÄN</t>
        </is>
      </c>
      <c r="E693" t="inlineStr">
        <is>
          <t>VILHELMINA</t>
        </is>
      </c>
      <c r="F693" t="inlineStr">
        <is>
          <t>SCA</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8326-2026</t>
        </is>
      </c>
      <c r="B694" s="1" t="n">
        <v>46064.61513888889</v>
      </c>
      <c r="C694" s="1" t="n">
        <v>46110</v>
      </c>
      <c r="D694" t="inlineStr">
        <is>
          <t>VÄSTERBOTTENS LÄN</t>
        </is>
      </c>
      <c r="E694" t="inlineStr">
        <is>
          <t>VILHELMINA</t>
        </is>
      </c>
      <c r="F694" t="inlineStr">
        <is>
          <t>SCA</t>
        </is>
      </c>
      <c r="G694" t="n">
        <v>14.3</v>
      </c>
      <c r="H694" t="n">
        <v>0</v>
      </c>
      <c r="I694" t="n">
        <v>0</v>
      </c>
      <c r="J694" t="n">
        <v>0</v>
      </c>
      <c r="K694" t="n">
        <v>0</v>
      </c>
      <c r="L694" t="n">
        <v>0</v>
      </c>
      <c r="M694" t="n">
        <v>0</v>
      </c>
      <c r="N694" t="n">
        <v>0</v>
      </c>
      <c r="O694" t="n">
        <v>0</v>
      </c>
      <c r="P694" t="n">
        <v>0</v>
      </c>
      <c r="Q694" t="n">
        <v>0</v>
      </c>
      <c r="R694" s="2" t="inlineStr"/>
    </row>
    <row r="695" ht="15" customHeight="1">
      <c r="A695" t="inlineStr">
        <is>
          <t>A 36973-2025</t>
        </is>
      </c>
      <c r="B695" s="1" t="n">
        <v>45874.63747685185</v>
      </c>
      <c r="C695" s="1" t="n">
        <v>46110</v>
      </c>
      <c r="D695" t="inlineStr">
        <is>
          <t>VÄSTERBOTTENS LÄN</t>
        </is>
      </c>
      <c r="E695" t="inlineStr">
        <is>
          <t>VILHELMINA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46110</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36669-2025</t>
        </is>
      </c>
      <c r="B697" s="1" t="n">
        <v>45873</v>
      </c>
      <c r="C697" s="1" t="n">
        <v>46110</v>
      </c>
      <c r="D697" t="inlineStr">
        <is>
          <t>VÄSTERBOTTENS LÄN</t>
        </is>
      </c>
      <c r="E697" t="inlineStr">
        <is>
          <t>VILHELMINA</t>
        </is>
      </c>
      <c r="G697" t="n">
        <v>12.5</v>
      </c>
      <c r="H697" t="n">
        <v>0</v>
      </c>
      <c r="I697" t="n">
        <v>0</v>
      </c>
      <c r="J697" t="n">
        <v>0</v>
      </c>
      <c r="K697" t="n">
        <v>0</v>
      </c>
      <c r="L697" t="n">
        <v>0</v>
      </c>
      <c r="M697" t="n">
        <v>0</v>
      </c>
      <c r="N697" t="n">
        <v>0</v>
      </c>
      <c r="O697" t="n">
        <v>0</v>
      </c>
      <c r="P697" t="n">
        <v>0</v>
      </c>
      <c r="Q697" t="n">
        <v>0</v>
      </c>
      <c r="R697" s="2" t="inlineStr"/>
    </row>
    <row r="698" ht="15" customHeight="1">
      <c r="A698" t="inlineStr">
        <is>
          <t>A 6638-2025</t>
        </is>
      </c>
      <c r="B698" s="1" t="n">
        <v>45700</v>
      </c>
      <c r="C698" s="1" t="n">
        <v>46110</v>
      </c>
      <c r="D698" t="inlineStr">
        <is>
          <t>VÄSTERBOTTENS LÄN</t>
        </is>
      </c>
      <c r="E698" t="inlineStr">
        <is>
          <t>VILHELMINA</t>
        </is>
      </c>
      <c r="G698" t="n">
        <v>21.5</v>
      </c>
      <c r="H698" t="n">
        <v>0</v>
      </c>
      <c r="I698" t="n">
        <v>0</v>
      </c>
      <c r="J698" t="n">
        <v>0</v>
      </c>
      <c r="K698" t="n">
        <v>0</v>
      </c>
      <c r="L698" t="n">
        <v>0</v>
      </c>
      <c r="M698" t="n">
        <v>0</v>
      </c>
      <c r="N698" t="n">
        <v>0</v>
      </c>
      <c r="O698" t="n">
        <v>0</v>
      </c>
      <c r="P698" t="n">
        <v>0</v>
      </c>
      <c r="Q698" t="n">
        <v>0</v>
      </c>
      <c r="R698" s="2" t="inlineStr"/>
    </row>
    <row r="699" ht="15" customHeight="1">
      <c r="A699" t="inlineStr">
        <is>
          <t>A 210-2022</t>
        </is>
      </c>
      <c r="B699" s="1" t="n">
        <v>44564.80189814815</v>
      </c>
      <c r="C699" s="1" t="n">
        <v>46110</v>
      </c>
      <c r="D699" t="inlineStr">
        <is>
          <t>VÄSTERBOTTENS LÄN</t>
        </is>
      </c>
      <c r="E699" t="inlineStr">
        <is>
          <t>VILHELMINA</t>
        </is>
      </c>
      <c r="G699" t="n">
        <v>2</v>
      </c>
      <c r="H699" t="n">
        <v>0</v>
      </c>
      <c r="I699" t="n">
        <v>0</v>
      </c>
      <c r="J699" t="n">
        <v>0</v>
      </c>
      <c r="K699" t="n">
        <v>0</v>
      </c>
      <c r="L699" t="n">
        <v>0</v>
      </c>
      <c r="M699" t="n">
        <v>0</v>
      </c>
      <c r="N699" t="n">
        <v>0</v>
      </c>
      <c r="O699" t="n">
        <v>0</v>
      </c>
      <c r="P699" t="n">
        <v>0</v>
      </c>
      <c r="Q699" t="n">
        <v>0</v>
      </c>
      <c r="R699" s="2" t="inlineStr"/>
    </row>
    <row r="700" ht="15" customHeight="1">
      <c r="A700" t="inlineStr">
        <is>
          <t>A 36408-2023</t>
        </is>
      </c>
      <c r="B700" s="1" t="n">
        <v>45152</v>
      </c>
      <c r="C700" s="1" t="n">
        <v>46110</v>
      </c>
      <c r="D700" t="inlineStr">
        <is>
          <t>VÄSTERBOTTENS LÄN</t>
        </is>
      </c>
      <c r="E700" t="inlineStr">
        <is>
          <t>VILHELMINA</t>
        </is>
      </c>
      <c r="G700" t="n">
        <v>4.4</v>
      </c>
      <c r="H700" t="n">
        <v>0</v>
      </c>
      <c r="I700" t="n">
        <v>0</v>
      </c>
      <c r="J700" t="n">
        <v>0</v>
      </c>
      <c r="K700" t="n">
        <v>0</v>
      </c>
      <c r="L700" t="n">
        <v>0</v>
      </c>
      <c r="M700" t="n">
        <v>0</v>
      </c>
      <c r="N700" t="n">
        <v>0</v>
      </c>
      <c r="O700" t="n">
        <v>0</v>
      </c>
      <c r="P700" t="n">
        <v>0</v>
      </c>
      <c r="Q700" t="n">
        <v>0</v>
      </c>
      <c r="R700" s="2" t="inlineStr"/>
    </row>
    <row r="701" ht="15" customHeight="1">
      <c r="A701" t="inlineStr">
        <is>
          <t>A 57108-2023</t>
        </is>
      </c>
      <c r="B701" s="1" t="n">
        <v>45239</v>
      </c>
      <c r="C701" s="1" t="n">
        <v>46110</v>
      </c>
      <c r="D701" t="inlineStr">
        <is>
          <t>VÄSTERBOTTENS LÄN</t>
        </is>
      </c>
      <c r="E701" t="inlineStr">
        <is>
          <t>VILHELMINA</t>
        </is>
      </c>
      <c r="G701" t="n">
        <v>0.6</v>
      </c>
      <c r="H701" t="n">
        <v>0</v>
      </c>
      <c r="I701" t="n">
        <v>0</v>
      </c>
      <c r="J701" t="n">
        <v>0</v>
      </c>
      <c r="K701" t="n">
        <v>0</v>
      </c>
      <c r="L701" t="n">
        <v>0</v>
      </c>
      <c r="M701" t="n">
        <v>0</v>
      </c>
      <c r="N701" t="n">
        <v>0</v>
      </c>
      <c r="O701" t="n">
        <v>0</v>
      </c>
      <c r="P701" t="n">
        <v>0</v>
      </c>
      <c r="Q701" t="n">
        <v>0</v>
      </c>
      <c r="R701" s="2" t="inlineStr"/>
    </row>
    <row r="702" ht="15" customHeight="1">
      <c r="A702" t="inlineStr">
        <is>
          <t>A 38555-2024</t>
        </is>
      </c>
      <c r="B702" s="1" t="n">
        <v>45546</v>
      </c>
      <c r="C702" s="1" t="n">
        <v>46110</v>
      </c>
      <c r="D702" t="inlineStr">
        <is>
          <t>VÄSTERBOTTENS LÄN</t>
        </is>
      </c>
      <c r="E702" t="inlineStr">
        <is>
          <t>VILHELMINA</t>
        </is>
      </c>
      <c r="G702" t="n">
        <v>7.8</v>
      </c>
      <c r="H702" t="n">
        <v>0</v>
      </c>
      <c r="I702" t="n">
        <v>0</v>
      </c>
      <c r="J702" t="n">
        <v>0</v>
      </c>
      <c r="K702" t="n">
        <v>0</v>
      </c>
      <c r="L702" t="n">
        <v>0</v>
      </c>
      <c r="M702" t="n">
        <v>0</v>
      </c>
      <c r="N702" t="n">
        <v>0</v>
      </c>
      <c r="O702" t="n">
        <v>0</v>
      </c>
      <c r="P702" t="n">
        <v>0</v>
      </c>
      <c r="Q702" t="n">
        <v>0</v>
      </c>
      <c r="R702" s="2" t="inlineStr"/>
    </row>
    <row r="703" ht="15" customHeight="1">
      <c r="A703" t="inlineStr">
        <is>
          <t>A 8636-2026</t>
        </is>
      </c>
      <c r="B703" s="1" t="n">
        <v>46066.35452546296</v>
      </c>
      <c r="C703" s="1" t="n">
        <v>46110</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58505-2024</t>
        </is>
      </c>
      <c r="B704" s="1" t="n">
        <v>45635</v>
      </c>
      <c r="C704" s="1" t="n">
        <v>46110</v>
      </c>
      <c r="D704" t="inlineStr">
        <is>
          <t>VÄSTERBOTTENS LÄN</t>
        </is>
      </c>
      <c r="E704" t="inlineStr">
        <is>
          <t>VILHELMINA</t>
        </is>
      </c>
      <c r="G704" t="n">
        <v>3.1</v>
      </c>
      <c r="H704" t="n">
        <v>0</v>
      </c>
      <c r="I704" t="n">
        <v>0</v>
      </c>
      <c r="J704" t="n">
        <v>0</v>
      </c>
      <c r="K704" t="n">
        <v>0</v>
      </c>
      <c r="L704" t="n">
        <v>0</v>
      </c>
      <c r="M704" t="n">
        <v>0</v>
      </c>
      <c r="N704" t="n">
        <v>0</v>
      </c>
      <c r="O704" t="n">
        <v>0</v>
      </c>
      <c r="P704" t="n">
        <v>0</v>
      </c>
      <c r="Q704" t="n">
        <v>0</v>
      </c>
      <c r="R704" s="2" t="inlineStr"/>
    </row>
    <row r="705" ht="15" customHeight="1">
      <c r="A705" t="inlineStr">
        <is>
          <t>A 72-2025</t>
        </is>
      </c>
      <c r="B705" s="1" t="n">
        <v>45659</v>
      </c>
      <c r="C705" s="1" t="n">
        <v>46110</v>
      </c>
      <c r="D705" t="inlineStr">
        <is>
          <t>VÄSTERBOTTENS LÄN</t>
        </is>
      </c>
      <c r="E705" t="inlineStr">
        <is>
          <t>VILHELMINA</t>
        </is>
      </c>
      <c r="G705" t="n">
        <v>1</v>
      </c>
      <c r="H705" t="n">
        <v>0</v>
      </c>
      <c r="I705" t="n">
        <v>0</v>
      </c>
      <c r="J705" t="n">
        <v>0</v>
      </c>
      <c r="K705" t="n">
        <v>0</v>
      </c>
      <c r="L705" t="n">
        <v>0</v>
      </c>
      <c r="M705" t="n">
        <v>0</v>
      </c>
      <c r="N705" t="n">
        <v>0</v>
      </c>
      <c r="O705" t="n">
        <v>0</v>
      </c>
      <c r="P705" t="n">
        <v>0</v>
      </c>
      <c r="Q705" t="n">
        <v>0</v>
      </c>
      <c r="R705" s="2" t="inlineStr"/>
    </row>
    <row r="706" ht="15" customHeight="1">
      <c r="A706" t="inlineStr">
        <is>
          <t>A 74-2025</t>
        </is>
      </c>
      <c r="B706" s="1" t="n">
        <v>45659</v>
      </c>
      <c r="C706" s="1" t="n">
        <v>46110</v>
      </c>
      <c r="D706" t="inlineStr">
        <is>
          <t>VÄSTERBOTTENS LÄN</t>
        </is>
      </c>
      <c r="E706" t="inlineStr">
        <is>
          <t>VILHELMINA</t>
        </is>
      </c>
      <c r="G706" t="n">
        <v>7</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45874.59450231482</v>
      </c>
      <c r="C707" s="1" t="n">
        <v>46110</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29104-2024</t>
        </is>
      </c>
      <c r="B708" s="1" t="n">
        <v>45481.95178240741</v>
      </c>
      <c r="C708" s="1" t="n">
        <v>46110</v>
      </c>
      <c r="D708" t="inlineStr">
        <is>
          <t>VÄSTERBOTTENS LÄN</t>
        </is>
      </c>
      <c r="E708" t="inlineStr">
        <is>
          <t>VILHELMINA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37015-2025</t>
        </is>
      </c>
      <c r="B709" s="1" t="n">
        <v>45874.71912037037</v>
      </c>
      <c r="C709" s="1" t="n">
        <v>46110</v>
      </c>
      <c r="D709" t="inlineStr">
        <is>
          <t>VÄSTERBOTTENS LÄN</t>
        </is>
      </c>
      <c r="E709" t="inlineStr">
        <is>
          <t>VILHELMINA</t>
        </is>
      </c>
      <c r="F709" t="inlineStr">
        <is>
          <t>SCA</t>
        </is>
      </c>
      <c r="G709" t="n">
        <v>7.9</v>
      </c>
      <c r="H709" t="n">
        <v>0</v>
      </c>
      <c r="I709" t="n">
        <v>0</v>
      </c>
      <c r="J709" t="n">
        <v>0</v>
      </c>
      <c r="K709" t="n">
        <v>0</v>
      </c>
      <c r="L709" t="n">
        <v>0</v>
      </c>
      <c r="M709" t="n">
        <v>0</v>
      </c>
      <c r="N709" t="n">
        <v>0</v>
      </c>
      <c r="O709" t="n">
        <v>0</v>
      </c>
      <c r="P709" t="n">
        <v>0</v>
      </c>
      <c r="Q709" t="n">
        <v>0</v>
      </c>
      <c r="R709" s="2" t="inlineStr"/>
    </row>
    <row r="710" ht="15" customHeight="1">
      <c r="A710" t="inlineStr">
        <is>
          <t>A 53034-2023</t>
        </is>
      </c>
      <c r="B710" s="1" t="n">
        <v>45226.96258101852</v>
      </c>
      <c r="C710" s="1" t="n">
        <v>46110</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46164-2023</t>
        </is>
      </c>
      <c r="B711" s="1" t="n">
        <v>45190</v>
      </c>
      <c r="C711" s="1" t="n">
        <v>46110</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78-2025</t>
        </is>
      </c>
      <c r="B712" s="1" t="n">
        <v>45659</v>
      </c>
      <c r="C712" s="1" t="n">
        <v>46110</v>
      </c>
      <c r="D712" t="inlineStr">
        <is>
          <t>VÄSTERBOTTENS LÄN</t>
        </is>
      </c>
      <c r="E712" t="inlineStr">
        <is>
          <t>VILHELMINA</t>
        </is>
      </c>
      <c r="G712" t="n">
        <v>7.7</v>
      </c>
      <c r="H712" t="n">
        <v>0</v>
      </c>
      <c r="I712" t="n">
        <v>0</v>
      </c>
      <c r="J712" t="n">
        <v>0</v>
      </c>
      <c r="K712" t="n">
        <v>0</v>
      </c>
      <c r="L712" t="n">
        <v>0</v>
      </c>
      <c r="M712" t="n">
        <v>0</v>
      </c>
      <c r="N712" t="n">
        <v>0</v>
      </c>
      <c r="O712" t="n">
        <v>0</v>
      </c>
      <c r="P712" t="n">
        <v>0</v>
      </c>
      <c r="Q712" t="n">
        <v>0</v>
      </c>
      <c r="R712" s="2" t="inlineStr"/>
    </row>
    <row r="713" ht="15" customHeight="1">
      <c r="A713" t="inlineStr">
        <is>
          <t>A 55697-2024</t>
        </is>
      </c>
      <c r="B713" s="1" t="n">
        <v>45622</v>
      </c>
      <c r="C713" s="1" t="n">
        <v>46110</v>
      </c>
      <c r="D713" t="inlineStr">
        <is>
          <t>VÄSTERBOTTENS LÄN</t>
        </is>
      </c>
      <c r="E713" t="inlineStr">
        <is>
          <t>VILHELMINA</t>
        </is>
      </c>
      <c r="G713" t="n">
        <v>3.7</v>
      </c>
      <c r="H713" t="n">
        <v>0</v>
      </c>
      <c r="I713" t="n">
        <v>0</v>
      </c>
      <c r="J713" t="n">
        <v>0</v>
      </c>
      <c r="K713" t="n">
        <v>0</v>
      </c>
      <c r="L713" t="n">
        <v>0</v>
      </c>
      <c r="M713" t="n">
        <v>0</v>
      </c>
      <c r="N713" t="n">
        <v>0</v>
      </c>
      <c r="O713" t="n">
        <v>0</v>
      </c>
      <c r="P713" t="n">
        <v>0</v>
      </c>
      <c r="Q713" t="n">
        <v>0</v>
      </c>
      <c r="R713" s="2" t="inlineStr"/>
    </row>
    <row r="714" ht="15" customHeight="1">
      <c r="A714" t="inlineStr">
        <is>
          <t>A 14892-2026</t>
        </is>
      </c>
      <c r="B714" s="1" t="n">
        <v>46104</v>
      </c>
      <c r="C714" s="1" t="n">
        <v>46110</v>
      </c>
      <c r="D714" t="inlineStr">
        <is>
          <t>VÄSTERBOTTENS LÄN</t>
        </is>
      </c>
      <c r="E714" t="inlineStr">
        <is>
          <t>VILHELMINA</t>
        </is>
      </c>
      <c r="F714" t="inlineStr">
        <is>
          <t>Allmännings- och besparingsskogar</t>
        </is>
      </c>
      <c r="G714" t="n">
        <v>247.6</v>
      </c>
      <c r="H714" t="n">
        <v>0</v>
      </c>
      <c r="I714" t="n">
        <v>0</v>
      </c>
      <c r="J714" t="n">
        <v>0</v>
      </c>
      <c r="K714" t="n">
        <v>0</v>
      </c>
      <c r="L714" t="n">
        <v>0</v>
      </c>
      <c r="M714" t="n">
        <v>0</v>
      </c>
      <c r="N714" t="n">
        <v>0</v>
      </c>
      <c r="O714" t="n">
        <v>0</v>
      </c>
      <c r="P714" t="n">
        <v>0</v>
      </c>
      <c r="Q714" t="n">
        <v>0</v>
      </c>
      <c r="R714" s="2" t="inlineStr"/>
    </row>
    <row r="715" ht="15" customHeight="1">
      <c r="A715" t="inlineStr">
        <is>
          <t>A 4785-2026</t>
        </is>
      </c>
      <c r="B715" s="1" t="n">
        <v>46048</v>
      </c>
      <c r="C715" s="1" t="n">
        <v>46110</v>
      </c>
      <c r="D715" t="inlineStr">
        <is>
          <t>VÄSTERBOTTENS LÄN</t>
        </is>
      </c>
      <c r="E715" t="inlineStr">
        <is>
          <t>VILHELMINA</t>
        </is>
      </c>
      <c r="G715" t="n">
        <v>9.6</v>
      </c>
      <c r="H715" t="n">
        <v>0</v>
      </c>
      <c r="I715" t="n">
        <v>0</v>
      </c>
      <c r="J715" t="n">
        <v>0</v>
      </c>
      <c r="K715" t="n">
        <v>0</v>
      </c>
      <c r="L715" t="n">
        <v>0</v>
      </c>
      <c r="M715" t="n">
        <v>0</v>
      </c>
      <c r="N715" t="n">
        <v>0</v>
      </c>
      <c r="O715" t="n">
        <v>0</v>
      </c>
      <c r="P715" t="n">
        <v>0</v>
      </c>
      <c r="Q715" t="n">
        <v>0</v>
      </c>
      <c r="R715" s="2" t="inlineStr"/>
    </row>
    <row r="716" ht="15" customHeight="1">
      <c r="A716" t="inlineStr">
        <is>
          <t>A 37302-2025</t>
        </is>
      </c>
      <c r="B716" s="1" t="n">
        <v>45876</v>
      </c>
      <c r="C716" s="1" t="n">
        <v>46110</v>
      </c>
      <c r="D716" t="inlineStr">
        <is>
          <t>VÄSTERBOTTENS LÄN</t>
        </is>
      </c>
      <c r="E716" t="inlineStr">
        <is>
          <t>VILHELMINA</t>
        </is>
      </c>
      <c r="F716" t="inlineStr">
        <is>
          <t>SCA</t>
        </is>
      </c>
      <c r="G716" t="n">
        <v>7.6</v>
      </c>
      <c r="H716" t="n">
        <v>0</v>
      </c>
      <c r="I716" t="n">
        <v>0</v>
      </c>
      <c r="J716" t="n">
        <v>0</v>
      </c>
      <c r="K716" t="n">
        <v>0</v>
      </c>
      <c r="L716" t="n">
        <v>0</v>
      </c>
      <c r="M716" t="n">
        <v>0</v>
      </c>
      <c r="N716" t="n">
        <v>0</v>
      </c>
      <c r="O716" t="n">
        <v>0</v>
      </c>
      <c r="P716" t="n">
        <v>0</v>
      </c>
      <c r="Q716" t="n">
        <v>0</v>
      </c>
      <c r="R716" s="2" t="inlineStr"/>
    </row>
    <row r="717" ht="15" customHeight="1">
      <c r="A717" t="inlineStr">
        <is>
          <t>A 37269-2025</t>
        </is>
      </c>
      <c r="B717" s="1" t="n">
        <v>45876</v>
      </c>
      <c r="C717" s="1" t="n">
        <v>46110</v>
      </c>
      <c r="D717" t="inlineStr">
        <is>
          <t>VÄSTERBOTTENS LÄN</t>
        </is>
      </c>
      <c r="E717" t="inlineStr">
        <is>
          <t>VILHELMINA</t>
        </is>
      </c>
      <c r="G717" t="n">
        <v>2.5</v>
      </c>
      <c r="H717" t="n">
        <v>0</v>
      </c>
      <c r="I717" t="n">
        <v>0</v>
      </c>
      <c r="J717" t="n">
        <v>0</v>
      </c>
      <c r="K717" t="n">
        <v>0</v>
      </c>
      <c r="L717" t="n">
        <v>0</v>
      </c>
      <c r="M717" t="n">
        <v>0</v>
      </c>
      <c r="N717" t="n">
        <v>0</v>
      </c>
      <c r="O717" t="n">
        <v>0</v>
      </c>
      <c r="P717" t="n">
        <v>0</v>
      </c>
      <c r="Q717" t="n">
        <v>0</v>
      </c>
      <c r="R717" s="2" t="inlineStr"/>
    </row>
    <row r="718" ht="15" customHeight="1">
      <c r="A718" t="inlineStr">
        <is>
          <t>A 14893-2026</t>
        </is>
      </c>
      <c r="B718" s="1" t="n">
        <v>46104</v>
      </c>
      <c r="C718" s="1" t="n">
        <v>46110</v>
      </c>
      <c r="D718" t="inlineStr">
        <is>
          <t>VÄSTERBOTTENS LÄN</t>
        </is>
      </c>
      <c r="E718" t="inlineStr">
        <is>
          <t>VILHELMINA</t>
        </is>
      </c>
      <c r="F718" t="inlineStr">
        <is>
          <t>Allmännings- och besparingsskogar</t>
        </is>
      </c>
      <c r="G718" t="n">
        <v>48.6</v>
      </c>
      <c r="H718" t="n">
        <v>0</v>
      </c>
      <c r="I718" t="n">
        <v>0</v>
      </c>
      <c r="J718" t="n">
        <v>0</v>
      </c>
      <c r="K718" t="n">
        <v>0</v>
      </c>
      <c r="L718" t="n">
        <v>0</v>
      </c>
      <c r="M718" t="n">
        <v>0</v>
      </c>
      <c r="N718" t="n">
        <v>0</v>
      </c>
      <c r="O718" t="n">
        <v>0</v>
      </c>
      <c r="P718" t="n">
        <v>0</v>
      </c>
      <c r="Q718" t="n">
        <v>0</v>
      </c>
      <c r="R718" s="2" t="inlineStr"/>
    </row>
    <row r="719" ht="15" customHeight="1">
      <c r="A719" t="inlineStr">
        <is>
          <t>A 50505-2023</t>
        </is>
      </c>
      <c r="B719" s="1" t="n">
        <v>45216.95800925926</v>
      </c>
      <c r="C719" s="1" t="n">
        <v>46110</v>
      </c>
      <c r="D719" t="inlineStr">
        <is>
          <t>VÄSTERBOTTENS LÄN</t>
        </is>
      </c>
      <c r="E719" t="inlineStr">
        <is>
          <t>VILHELMINA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6369-2024</t>
        </is>
      </c>
      <c r="B720" s="1" t="n">
        <v>45338</v>
      </c>
      <c r="C720" s="1" t="n">
        <v>46110</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37369-2025</t>
        </is>
      </c>
      <c r="B721" s="1" t="n">
        <v>45877.34444444445</v>
      </c>
      <c r="C721" s="1" t="n">
        <v>46110</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37376-2025</t>
        </is>
      </c>
      <c r="B722" s="1" t="n">
        <v>45877.36513888889</v>
      </c>
      <c r="C722" s="1" t="n">
        <v>46110</v>
      </c>
      <c r="D722" t="inlineStr">
        <is>
          <t>VÄSTERBOTTENS LÄN</t>
        </is>
      </c>
      <c r="E722" t="inlineStr">
        <is>
          <t>VILHELMINA</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37368-2025</t>
        </is>
      </c>
      <c r="B723" s="1" t="n">
        <v>45877.34436342592</v>
      </c>
      <c r="C723" s="1" t="n">
        <v>46110</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22108-2024</t>
        </is>
      </c>
      <c r="B724" s="1" t="n">
        <v>45443</v>
      </c>
      <c r="C724" s="1" t="n">
        <v>46110</v>
      </c>
      <c r="D724" t="inlineStr">
        <is>
          <t>VÄSTERBOTTENS LÄN</t>
        </is>
      </c>
      <c r="E724" t="inlineStr">
        <is>
          <t>VILHELMINA</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19397-2023</t>
        </is>
      </c>
      <c r="B725" s="1" t="n">
        <v>45048</v>
      </c>
      <c r="C725" s="1" t="n">
        <v>46110</v>
      </c>
      <c r="D725" t="inlineStr">
        <is>
          <t>VÄSTERBOTTENS LÄN</t>
        </is>
      </c>
      <c r="E725" t="inlineStr">
        <is>
          <t>VILHELMINA</t>
        </is>
      </c>
      <c r="G725" t="n">
        <v>12.8</v>
      </c>
      <c r="H725" t="n">
        <v>0</v>
      </c>
      <c r="I725" t="n">
        <v>0</v>
      </c>
      <c r="J725" t="n">
        <v>0</v>
      </c>
      <c r="K725" t="n">
        <v>0</v>
      </c>
      <c r="L725" t="n">
        <v>0</v>
      </c>
      <c r="M725" t="n">
        <v>0</v>
      </c>
      <c r="N725" t="n">
        <v>0</v>
      </c>
      <c r="O725" t="n">
        <v>0</v>
      </c>
      <c r="P725" t="n">
        <v>0</v>
      </c>
      <c r="Q725" t="n">
        <v>0</v>
      </c>
      <c r="R725" s="2" t="inlineStr"/>
    </row>
    <row r="726" ht="15" customHeight="1">
      <c r="A726" t="inlineStr">
        <is>
          <t>A 38620-2025</t>
        </is>
      </c>
      <c r="B726" s="1" t="n">
        <v>45884.55297453704</v>
      </c>
      <c r="C726" s="1" t="n">
        <v>46110</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38597-2025</t>
        </is>
      </c>
      <c r="B727" s="1" t="n">
        <v>45884.49061342593</v>
      </c>
      <c r="C727" s="1" t="n">
        <v>46110</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38357-2025</t>
        </is>
      </c>
      <c r="B728" s="1" t="n">
        <v>45883.53263888889</v>
      </c>
      <c r="C728" s="1" t="n">
        <v>46110</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38409-2025</t>
        </is>
      </c>
      <c r="B729" s="1" t="n">
        <v>45883.59429398148</v>
      </c>
      <c r="C729" s="1" t="n">
        <v>46110</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33412-2023</t>
        </is>
      </c>
      <c r="B730" s="1" t="n">
        <v>45117</v>
      </c>
      <c r="C730" s="1" t="n">
        <v>46110</v>
      </c>
      <c r="D730" t="inlineStr">
        <is>
          <t>VÄSTERBOTTENS LÄN</t>
        </is>
      </c>
      <c r="E730" t="inlineStr">
        <is>
          <t>VILHELMINA</t>
        </is>
      </c>
      <c r="F730" t="inlineStr">
        <is>
          <t>Övriga Aktiebolag</t>
        </is>
      </c>
      <c r="G730" t="n">
        <v>0.3</v>
      </c>
      <c r="H730" t="n">
        <v>0</v>
      </c>
      <c r="I730" t="n">
        <v>0</v>
      </c>
      <c r="J730" t="n">
        <v>0</v>
      </c>
      <c r="K730" t="n">
        <v>0</v>
      </c>
      <c r="L730" t="n">
        <v>0</v>
      </c>
      <c r="M730" t="n">
        <v>0</v>
      </c>
      <c r="N730" t="n">
        <v>0</v>
      </c>
      <c r="O730" t="n">
        <v>0</v>
      </c>
      <c r="P730" t="n">
        <v>0</v>
      </c>
      <c r="Q730" t="n">
        <v>0</v>
      </c>
      <c r="R730" s="2" t="inlineStr"/>
    </row>
    <row r="731" ht="15" customHeight="1">
      <c r="A731" t="inlineStr">
        <is>
          <t>A 57246-2023</t>
        </is>
      </c>
      <c r="B731" s="1" t="n">
        <v>45239</v>
      </c>
      <c r="C731" s="1" t="n">
        <v>46110</v>
      </c>
      <c r="D731" t="inlineStr">
        <is>
          <t>VÄSTERBOTTENS LÄN</t>
        </is>
      </c>
      <c r="E731" t="inlineStr">
        <is>
          <t>VILHELMINA</t>
        </is>
      </c>
      <c r="G731" t="n">
        <v>15.3</v>
      </c>
      <c r="H731" t="n">
        <v>0</v>
      </c>
      <c r="I731" t="n">
        <v>0</v>
      </c>
      <c r="J731" t="n">
        <v>0</v>
      </c>
      <c r="K731" t="n">
        <v>0</v>
      </c>
      <c r="L731" t="n">
        <v>0</v>
      </c>
      <c r="M731" t="n">
        <v>0</v>
      </c>
      <c r="N731" t="n">
        <v>0</v>
      </c>
      <c r="O731" t="n">
        <v>0</v>
      </c>
      <c r="P731" t="n">
        <v>0</v>
      </c>
      <c r="Q731" t="n">
        <v>0</v>
      </c>
      <c r="R731" s="2" t="inlineStr"/>
    </row>
    <row r="732" ht="15" customHeight="1">
      <c r="A732" t="inlineStr">
        <is>
          <t>A 56246-2023</t>
        </is>
      </c>
      <c r="B732" s="1" t="n">
        <v>45240</v>
      </c>
      <c r="C732" s="1" t="n">
        <v>46110</v>
      </c>
      <c r="D732" t="inlineStr">
        <is>
          <t>VÄSTERBOTTENS LÄN</t>
        </is>
      </c>
      <c r="E732" t="inlineStr">
        <is>
          <t>VILHELMINA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38355-2025</t>
        </is>
      </c>
      <c r="B733" s="1" t="n">
        <v>45883.53228009259</v>
      </c>
      <c r="C733" s="1" t="n">
        <v>46110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38356-2025</t>
        </is>
      </c>
      <c r="B734" s="1" t="n">
        <v>45883.53247685185</v>
      </c>
      <c r="C734" s="1" t="n">
        <v>46110</v>
      </c>
      <c r="D734" t="inlineStr">
        <is>
          <t>VÄSTERBOTTENS LÄN</t>
        </is>
      </c>
      <c r="E734" t="inlineStr">
        <is>
          <t>VILHELMINA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12866-2023</t>
        </is>
      </c>
      <c r="B735" s="1" t="n">
        <v>45000</v>
      </c>
      <c r="C735" s="1" t="n">
        <v>46110</v>
      </c>
      <c r="D735" t="inlineStr">
        <is>
          <t>VÄSTERBOTTENS LÄN</t>
        </is>
      </c>
      <c r="E735" t="inlineStr">
        <is>
          <t>VILHELMINA</t>
        </is>
      </c>
      <c r="G735" t="n">
        <v>2.6</v>
      </c>
      <c r="H735" t="n">
        <v>0</v>
      </c>
      <c r="I735" t="n">
        <v>0</v>
      </c>
      <c r="J735" t="n">
        <v>0</v>
      </c>
      <c r="K735" t="n">
        <v>0</v>
      </c>
      <c r="L735" t="n">
        <v>0</v>
      </c>
      <c r="M735" t="n">
        <v>0</v>
      </c>
      <c r="N735" t="n">
        <v>0</v>
      </c>
      <c r="O735" t="n">
        <v>0</v>
      </c>
      <c r="P735" t="n">
        <v>0</v>
      </c>
      <c r="Q735" t="n">
        <v>0</v>
      </c>
      <c r="R735" s="2" t="inlineStr"/>
    </row>
    <row r="736" ht="15" customHeight="1">
      <c r="A736" t="inlineStr">
        <is>
          <t>A 38212-2025</t>
        </is>
      </c>
      <c r="B736" s="1" t="n">
        <v>45882.95137731481</v>
      </c>
      <c r="C736" s="1" t="n">
        <v>46110</v>
      </c>
      <c r="D736" t="inlineStr">
        <is>
          <t>VÄSTERBOTTENS LÄN</t>
        </is>
      </c>
      <c r="E736" t="inlineStr">
        <is>
          <t>VILHELMINA</t>
        </is>
      </c>
      <c r="G736" t="n">
        <v>11.7</v>
      </c>
      <c r="H736" t="n">
        <v>0</v>
      </c>
      <c r="I736" t="n">
        <v>0</v>
      </c>
      <c r="J736" t="n">
        <v>0</v>
      </c>
      <c r="K736" t="n">
        <v>0</v>
      </c>
      <c r="L736" t="n">
        <v>0</v>
      </c>
      <c r="M736" t="n">
        <v>0</v>
      </c>
      <c r="N736" t="n">
        <v>0</v>
      </c>
      <c r="O736" t="n">
        <v>0</v>
      </c>
      <c r="P736" t="n">
        <v>0</v>
      </c>
      <c r="Q736" t="n">
        <v>0</v>
      </c>
      <c r="R736" s="2" t="inlineStr"/>
    </row>
    <row r="737" ht="15" customHeight="1">
      <c r="A737" t="inlineStr">
        <is>
          <t>A 38243-2025</t>
        </is>
      </c>
      <c r="B737" s="1" t="n">
        <v>45883.36553240741</v>
      </c>
      <c r="C737" s="1" t="n">
        <v>46110</v>
      </c>
      <c r="D737" t="inlineStr">
        <is>
          <t>VÄSTERBOTTENS LÄN</t>
        </is>
      </c>
      <c r="E737" t="inlineStr">
        <is>
          <t>VILHELMINA</t>
        </is>
      </c>
      <c r="G737" t="n">
        <v>4.7</v>
      </c>
      <c r="H737" t="n">
        <v>0</v>
      </c>
      <c r="I737" t="n">
        <v>0</v>
      </c>
      <c r="J737" t="n">
        <v>0</v>
      </c>
      <c r="K737" t="n">
        <v>0</v>
      </c>
      <c r="L737" t="n">
        <v>0</v>
      </c>
      <c r="M737" t="n">
        <v>0</v>
      </c>
      <c r="N737" t="n">
        <v>0</v>
      </c>
      <c r="O737" t="n">
        <v>0</v>
      </c>
      <c r="P737" t="n">
        <v>0</v>
      </c>
      <c r="Q737" t="n">
        <v>0</v>
      </c>
      <c r="R737" s="2" t="inlineStr"/>
    </row>
    <row r="738" ht="15" customHeight="1">
      <c r="A738" t="inlineStr">
        <is>
          <t>A 38211-2025</t>
        </is>
      </c>
      <c r="B738" s="1" t="n">
        <v>45882.93524305556</v>
      </c>
      <c r="C738" s="1" t="n">
        <v>46110</v>
      </c>
      <c r="D738" t="inlineStr">
        <is>
          <t>VÄSTERBOTTENS LÄN</t>
        </is>
      </c>
      <c r="E738" t="inlineStr">
        <is>
          <t>VILHELMINA</t>
        </is>
      </c>
      <c r="G738" t="n">
        <v>13.8</v>
      </c>
      <c r="H738" t="n">
        <v>0</v>
      </c>
      <c r="I738" t="n">
        <v>0</v>
      </c>
      <c r="J738" t="n">
        <v>0</v>
      </c>
      <c r="K738" t="n">
        <v>0</v>
      </c>
      <c r="L738" t="n">
        <v>0</v>
      </c>
      <c r="M738" t="n">
        <v>0</v>
      </c>
      <c r="N738" t="n">
        <v>0</v>
      </c>
      <c r="O738" t="n">
        <v>0</v>
      </c>
      <c r="P738" t="n">
        <v>0</v>
      </c>
      <c r="Q738" t="n">
        <v>0</v>
      </c>
      <c r="R738" s="2" t="inlineStr"/>
    </row>
    <row r="739" ht="15" customHeight="1">
      <c r="A739" t="inlineStr">
        <is>
          <t>A 72494-2021</t>
        </is>
      </c>
      <c r="B739" s="1" t="n">
        <v>44545.92059027778</v>
      </c>
      <c r="C739" s="1" t="n">
        <v>46110</v>
      </c>
      <c r="D739" t="inlineStr">
        <is>
          <t>VÄSTERBOTTENS LÄN</t>
        </is>
      </c>
      <c r="E739" t="inlineStr">
        <is>
          <t>VILHELMINA</t>
        </is>
      </c>
      <c r="G739" t="n">
        <v>4.2</v>
      </c>
      <c r="H739" t="n">
        <v>0</v>
      </c>
      <c r="I739" t="n">
        <v>0</v>
      </c>
      <c r="J739" t="n">
        <v>0</v>
      </c>
      <c r="K739" t="n">
        <v>0</v>
      </c>
      <c r="L739" t="n">
        <v>0</v>
      </c>
      <c r="M739" t="n">
        <v>0</v>
      </c>
      <c r="N739" t="n">
        <v>0</v>
      </c>
      <c r="O739" t="n">
        <v>0</v>
      </c>
      <c r="P739" t="n">
        <v>0</v>
      </c>
      <c r="Q739" t="n">
        <v>0</v>
      </c>
      <c r="R739" s="2" t="inlineStr"/>
    </row>
    <row r="740" ht="15" customHeight="1">
      <c r="A740" t="inlineStr">
        <is>
          <t>A 38242-2025</t>
        </is>
      </c>
      <c r="B740" s="1" t="n">
        <v>45883.36547453704</v>
      </c>
      <c r="C740" s="1" t="n">
        <v>46110</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58207-2022</t>
        </is>
      </c>
      <c r="B741" s="1" t="n">
        <v>44901</v>
      </c>
      <c r="C741" s="1" t="n">
        <v>46110</v>
      </c>
      <c r="D741" t="inlineStr">
        <is>
          <t>VÄSTERBOTTENS LÄN</t>
        </is>
      </c>
      <c r="E741" t="inlineStr">
        <is>
          <t>VILHELMINA</t>
        </is>
      </c>
      <c r="G741" t="n">
        <v>143.2</v>
      </c>
      <c r="H741" t="n">
        <v>0</v>
      </c>
      <c r="I741" t="n">
        <v>0</v>
      </c>
      <c r="J741" t="n">
        <v>0</v>
      </c>
      <c r="K741" t="n">
        <v>0</v>
      </c>
      <c r="L741" t="n">
        <v>0</v>
      </c>
      <c r="M741" t="n">
        <v>0</v>
      </c>
      <c r="N741" t="n">
        <v>0</v>
      </c>
      <c r="O741" t="n">
        <v>0</v>
      </c>
      <c r="P741" t="n">
        <v>0</v>
      </c>
      <c r="Q741" t="n">
        <v>0</v>
      </c>
      <c r="R741" s="2" t="inlineStr"/>
    </row>
    <row r="742" ht="15" customHeight="1">
      <c r="A742" t="inlineStr">
        <is>
          <t>A 248-2025</t>
        </is>
      </c>
      <c r="B742" s="1" t="n">
        <v>45660.419375</v>
      </c>
      <c r="C742" s="1" t="n">
        <v>46110</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46316-2022</t>
        </is>
      </c>
      <c r="B743" s="1" t="n">
        <v>44847</v>
      </c>
      <c r="C743" s="1" t="n">
        <v>46110</v>
      </c>
      <c r="D743" t="inlineStr">
        <is>
          <t>VÄSTERBOTTENS LÄN</t>
        </is>
      </c>
      <c r="E743" t="inlineStr">
        <is>
          <t>VILHELMINA</t>
        </is>
      </c>
      <c r="G743" t="n">
        <v>2.1</v>
      </c>
      <c r="H743" t="n">
        <v>0</v>
      </c>
      <c r="I743" t="n">
        <v>0</v>
      </c>
      <c r="J743" t="n">
        <v>0</v>
      </c>
      <c r="K743" t="n">
        <v>0</v>
      </c>
      <c r="L743" t="n">
        <v>0</v>
      </c>
      <c r="M743" t="n">
        <v>0</v>
      </c>
      <c r="N743" t="n">
        <v>0</v>
      </c>
      <c r="O743" t="n">
        <v>0</v>
      </c>
      <c r="P743" t="n">
        <v>0</v>
      </c>
      <c r="Q743" t="n">
        <v>0</v>
      </c>
      <c r="R743" s="2" t="inlineStr"/>
    </row>
    <row r="744" ht="15" customHeight="1">
      <c r="A744" t="inlineStr">
        <is>
          <t>A 58456-2023</t>
        </is>
      </c>
      <c r="B744" s="1" t="n">
        <v>45250.96092592592</v>
      </c>
      <c r="C744" s="1" t="n">
        <v>46110</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46110</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12229-2022</t>
        </is>
      </c>
      <c r="B746" s="1" t="n">
        <v>44637</v>
      </c>
      <c r="C746" s="1" t="n">
        <v>46110</v>
      </c>
      <c r="D746" t="inlineStr">
        <is>
          <t>VÄSTERBOTTENS LÄN</t>
        </is>
      </c>
      <c r="E746" t="inlineStr">
        <is>
          <t>VILHELMINA</t>
        </is>
      </c>
      <c r="G746" t="n">
        <v>5</v>
      </c>
      <c r="H746" t="n">
        <v>0</v>
      </c>
      <c r="I746" t="n">
        <v>0</v>
      </c>
      <c r="J746" t="n">
        <v>0</v>
      </c>
      <c r="K746" t="n">
        <v>0</v>
      </c>
      <c r="L746" t="n">
        <v>0</v>
      </c>
      <c r="M746" t="n">
        <v>0</v>
      </c>
      <c r="N746" t="n">
        <v>0</v>
      </c>
      <c r="O746" t="n">
        <v>0</v>
      </c>
      <c r="P746" t="n">
        <v>0</v>
      </c>
      <c r="Q746" t="n">
        <v>0</v>
      </c>
      <c r="R746" s="2" t="inlineStr"/>
    </row>
    <row r="747" ht="15" customHeight="1">
      <c r="A747" t="inlineStr">
        <is>
          <t>A 45007-2024</t>
        </is>
      </c>
      <c r="B747" s="1" t="n">
        <v>45575.49100694444</v>
      </c>
      <c r="C747" s="1" t="n">
        <v>46110</v>
      </c>
      <c r="D747" t="inlineStr">
        <is>
          <t>VÄSTERBOTTENS LÄN</t>
        </is>
      </c>
      <c r="E747" t="inlineStr">
        <is>
          <t>VILHELMINA</t>
        </is>
      </c>
      <c r="F747" t="inlineStr">
        <is>
          <t>SCA</t>
        </is>
      </c>
      <c r="G747" t="n">
        <v>14.8</v>
      </c>
      <c r="H747" t="n">
        <v>0</v>
      </c>
      <c r="I747" t="n">
        <v>0</v>
      </c>
      <c r="J747" t="n">
        <v>0</v>
      </c>
      <c r="K747" t="n">
        <v>0</v>
      </c>
      <c r="L747" t="n">
        <v>0</v>
      </c>
      <c r="M747" t="n">
        <v>0</v>
      </c>
      <c r="N747" t="n">
        <v>0</v>
      </c>
      <c r="O747" t="n">
        <v>0</v>
      </c>
      <c r="P747" t="n">
        <v>0</v>
      </c>
      <c r="Q747" t="n">
        <v>0</v>
      </c>
      <c r="R747" s="2" t="inlineStr"/>
    </row>
    <row r="748" ht="15" customHeight="1">
      <c r="A748" t="inlineStr">
        <is>
          <t>A 2382-2023</t>
        </is>
      </c>
      <c r="B748" s="1" t="n">
        <v>44942</v>
      </c>
      <c r="C748" s="1" t="n">
        <v>46110</v>
      </c>
      <c r="D748" t="inlineStr">
        <is>
          <t>VÄSTERBOTTENS LÄN</t>
        </is>
      </c>
      <c r="E748" t="inlineStr">
        <is>
          <t>VILHELMINA</t>
        </is>
      </c>
      <c r="G748" t="n">
        <v>29.7</v>
      </c>
      <c r="H748" t="n">
        <v>0</v>
      </c>
      <c r="I748" t="n">
        <v>0</v>
      </c>
      <c r="J748" t="n">
        <v>0</v>
      </c>
      <c r="K748" t="n">
        <v>0</v>
      </c>
      <c r="L748" t="n">
        <v>0</v>
      </c>
      <c r="M748" t="n">
        <v>0</v>
      </c>
      <c r="N748" t="n">
        <v>0</v>
      </c>
      <c r="O748" t="n">
        <v>0</v>
      </c>
      <c r="P748" t="n">
        <v>0</v>
      </c>
      <c r="Q748" t="n">
        <v>0</v>
      </c>
      <c r="R748" s="2" t="inlineStr"/>
    </row>
    <row r="749" ht="15" customHeight="1">
      <c r="A749" t="inlineStr">
        <is>
          <t>A 70849-2021</t>
        </is>
      </c>
      <c r="B749" s="1" t="n">
        <v>44532</v>
      </c>
      <c r="C749" s="1" t="n">
        <v>46110</v>
      </c>
      <c r="D749" t="inlineStr">
        <is>
          <t>VÄSTERBOTTENS LÄN</t>
        </is>
      </c>
      <c r="E749" t="inlineStr">
        <is>
          <t>VILHELMINA</t>
        </is>
      </c>
      <c r="G749" t="n">
        <v>21.4</v>
      </c>
      <c r="H749" t="n">
        <v>0</v>
      </c>
      <c r="I749" t="n">
        <v>0</v>
      </c>
      <c r="J749" t="n">
        <v>0</v>
      </c>
      <c r="K749" t="n">
        <v>0</v>
      </c>
      <c r="L749" t="n">
        <v>0</v>
      </c>
      <c r="M749" t="n">
        <v>0</v>
      </c>
      <c r="N749" t="n">
        <v>0</v>
      </c>
      <c r="O749" t="n">
        <v>0</v>
      </c>
      <c r="P749" t="n">
        <v>0</v>
      </c>
      <c r="Q749" t="n">
        <v>0</v>
      </c>
      <c r="R749" s="2" t="inlineStr"/>
    </row>
    <row r="750" ht="15" customHeight="1">
      <c r="A750" t="inlineStr">
        <is>
          <t>A 38674-2023</t>
        </is>
      </c>
      <c r="B750" s="1" t="n">
        <v>45162.94335648148</v>
      </c>
      <c r="C750" s="1" t="n">
        <v>46110</v>
      </c>
      <c r="D750" t="inlineStr">
        <is>
          <t>VÄSTERBOTTENS LÄN</t>
        </is>
      </c>
      <c r="E750" t="inlineStr">
        <is>
          <t>VILHELMINA</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63218-2021</t>
        </is>
      </c>
      <c r="B751" s="1" t="n">
        <v>44505</v>
      </c>
      <c r="C751" s="1" t="n">
        <v>46110</v>
      </c>
      <c r="D751" t="inlineStr">
        <is>
          <t>VÄSTERBOTTENS LÄN</t>
        </is>
      </c>
      <c r="E751" t="inlineStr">
        <is>
          <t>VILHELMINA</t>
        </is>
      </c>
      <c r="G751" t="n">
        <v>6.8</v>
      </c>
      <c r="H751" t="n">
        <v>0</v>
      </c>
      <c r="I751" t="n">
        <v>0</v>
      </c>
      <c r="J751" t="n">
        <v>0</v>
      </c>
      <c r="K751" t="n">
        <v>0</v>
      </c>
      <c r="L751" t="n">
        <v>0</v>
      </c>
      <c r="M751" t="n">
        <v>0</v>
      </c>
      <c r="N751" t="n">
        <v>0</v>
      </c>
      <c r="O751" t="n">
        <v>0</v>
      </c>
      <c r="P751" t="n">
        <v>0</v>
      </c>
      <c r="Q751" t="n">
        <v>0</v>
      </c>
      <c r="R751" s="2" t="inlineStr"/>
    </row>
    <row r="752" ht="15" customHeight="1">
      <c r="A752" t="inlineStr">
        <is>
          <t>A 11544-2023</t>
        </is>
      </c>
      <c r="B752" s="1" t="n">
        <v>44993.94818287037</v>
      </c>
      <c r="C752" s="1" t="n">
        <v>46110</v>
      </c>
      <c r="D752" t="inlineStr">
        <is>
          <t>VÄSTERBOTTENS LÄN</t>
        </is>
      </c>
      <c r="E752" t="inlineStr">
        <is>
          <t>VILHELMINA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58377-2021</t>
        </is>
      </c>
      <c r="B753" s="1" t="n">
        <v>44488</v>
      </c>
      <c r="C753" s="1" t="n">
        <v>46110</v>
      </c>
      <c r="D753" t="inlineStr">
        <is>
          <t>VÄSTERBOTTENS LÄN</t>
        </is>
      </c>
      <c r="E753" t="inlineStr">
        <is>
          <t>VILHELMINA</t>
        </is>
      </c>
      <c r="G753" t="n">
        <v>1.5</v>
      </c>
      <c r="H753" t="n">
        <v>0</v>
      </c>
      <c r="I753" t="n">
        <v>0</v>
      </c>
      <c r="J753" t="n">
        <v>0</v>
      </c>
      <c r="K753" t="n">
        <v>0</v>
      </c>
      <c r="L753" t="n">
        <v>0</v>
      </c>
      <c r="M753" t="n">
        <v>0</v>
      </c>
      <c r="N753" t="n">
        <v>0</v>
      </c>
      <c r="O753" t="n">
        <v>0</v>
      </c>
      <c r="P753" t="n">
        <v>0</v>
      </c>
      <c r="Q753" t="n">
        <v>0</v>
      </c>
      <c r="R753" s="2" t="inlineStr"/>
    </row>
    <row r="754" ht="15" customHeight="1">
      <c r="A754" t="inlineStr">
        <is>
          <t>A 15326-2024</t>
        </is>
      </c>
      <c r="B754" s="1" t="n">
        <v>45400</v>
      </c>
      <c r="C754" s="1" t="n">
        <v>46110</v>
      </c>
      <c r="D754" t="inlineStr">
        <is>
          <t>VÄSTERBOTTENS LÄN</t>
        </is>
      </c>
      <c r="E754" t="inlineStr">
        <is>
          <t>VILHELMINA</t>
        </is>
      </c>
      <c r="G754" t="n">
        <v>4.7</v>
      </c>
      <c r="H754" t="n">
        <v>0</v>
      </c>
      <c r="I754" t="n">
        <v>0</v>
      </c>
      <c r="J754" t="n">
        <v>0</v>
      </c>
      <c r="K754" t="n">
        <v>0</v>
      </c>
      <c r="L754" t="n">
        <v>0</v>
      </c>
      <c r="M754" t="n">
        <v>0</v>
      </c>
      <c r="N754" t="n">
        <v>0</v>
      </c>
      <c r="O754" t="n">
        <v>0</v>
      </c>
      <c r="P754" t="n">
        <v>0</v>
      </c>
      <c r="Q754" t="n">
        <v>0</v>
      </c>
      <c r="R754" s="2" t="inlineStr"/>
    </row>
    <row r="755" ht="15" customHeight="1">
      <c r="A755" t="inlineStr">
        <is>
          <t>A 43791-2024</t>
        </is>
      </c>
      <c r="B755" s="1" t="n">
        <v>45571</v>
      </c>
      <c r="C755" s="1" t="n">
        <v>46110</v>
      </c>
      <c r="D755" t="inlineStr">
        <is>
          <t>VÄSTERBOTTENS LÄN</t>
        </is>
      </c>
      <c r="E755" t="inlineStr">
        <is>
          <t>VILHELMINA</t>
        </is>
      </c>
      <c r="G755" t="n">
        <v>30.3</v>
      </c>
      <c r="H755" t="n">
        <v>0</v>
      </c>
      <c r="I755" t="n">
        <v>0</v>
      </c>
      <c r="J755" t="n">
        <v>0</v>
      </c>
      <c r="K755" t="n">
        <v>0</v>
      </c>
      <c r="L755" t="n">
        <v>0</v>
      </c>
      <c r="M755" t="n">
        <v>0</v>
      </c>
      <c r="N755" t="n">
        <v>0</v>
      </c>
      <c r="O755" t="n">
        <v>0</v>
      </c>
      <c r="P755" t="n">
        <v>0</v>
      </c>
      <c r="Q755" t="n">
        <v>0</v>
      </c>
      <c r="R755" s="2" t="inlineStr"/>
    </row>
    <row r="756" ht="15" customHeight="1">
      <c r="A756" t="inlineStr">
        <is>
          <t>A 43792-2024</t>
        </is>
      </c>
      <c r="B756" s="1" t="n">
        <v>45571</v>
      </c>
      <c r="C756" s="1" t="n">
        <v>46110</v>
      </c>
      <c r="D756" t="inlineStr">
        <is>
          <t>VÄSTERBOTTENS LÄN</t>
        </is>
      </c>
      <c r="E756" t="inlineStr">
        <is>
          <t>VILHELMINA</t>
        </is>
      </c>
      <c r="G756" t="n">
        <v>25.3</v>
      </c>
      <c r="H756" t="n">
        <v>0</v>
      </c>
      <c r="I756" t="n">
        <v>0</v>
      </c>
      <c r="J756" t="n">
        <v>0</v>
      </c>
      <c r="K756" t="n">
        <v>0</v>
      </c>
      <c r="L756" t="n">
        <v>0</v>
      </c>
      <c r="M756" t="n">
        <v>0</v>
      </c>
      <c r="N756" t="n">
        <v>0</v>
      </c>
      <c r="O756" t="n">
        <v>0</v>
      </c>
      <c r="P756" t="n">
        <v>0</v>
      </c>
      <c r="Q756" t="n">
        <v>0</v>
      </c>
      <c r="R756" s="2" t="inlineStr"/>
    </row>
    <row r="757" ht="15" customHeight="1">
      <c r="A757" t="inlineStr">
        <is>
          <t>A 36376-2023</t>
        </is>
      </c>
      <c r="B757" s="1" t="n">
        <v>45152</v>
      </c>
      <c r="C757" s="1" t="n">
        <v>46110</v>
      </c>
      <c r="D757" t="inlineStr">
        <is>
          <t>VÄSTERBOTTENS LÄN</t>
        </is>
      </c>
      <c r="E757" t="inlineStr">
        <is>
          <t>VILHELMINA</t>
        </is>
      </c>
      <c r="G757" t="n">
        <v>12.7</v>
      </c>
      <c r="H757" t="n">
        <v>0</v>
      </c>
      <c r="I757" t="n">
        <v>0</v>
      </c>
      <c r="J757" t="n">
        <v>0</v>
      </c>
      <c r="K757" t="n">
        <v>0</v>
      </c>
      <c r="L757" t="n">
        <v>0</v>
      </c>
      <c r="M757" t="n">
        <v>0</v>
      </c>
      <c r="N757" t="n">
        <v>0</v>
      </c>
      <c r="O757" t="n">
        <v>0</v>
      </c>
      <c r="P757" t="n">
        <v>0</v>
      </c>
      <c r="Q757" t="n">
        <v>0</v>
      </c>
      <c r="R757" s="2" t="inlineStr"/>
    </row>
    <row r="758" ht="15" customHeight="1">
      <c r="A758" t="inlineStr">
        <is>
          <t>A 30575-2024</t>
        </is>
      </c>
      <c r="B758" s="1" t="n">
        <v>45492.95818287037</v>
      </c>
      <c r="C758" s="1" t="n">
        <v>46110</v>
      </c>
      <c r="D758" t="inlineStr">
        <is>
          <t>VÄSTERBOTTENS LÄN</t>
        </is>
      </c>
      <c r="E758" t="inlineStr">
        <is>
          <t>VILHELMINA</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30578-2024</t>
        </is>
      </c>
      <c r="B759" s="1" t="n">
        <v>45492.95939814814</v>
      </c>
      <c r="C759" s="1" t="n">
        <v>46110</v>
      </c>
      <c r="D759" t="inlineStr">
        <is>
          <t>VÄSTERBOTTENS LÄN</t>
        </is>
      </c>
      <c r="E759" t="inlineStr">
        <is>
          <t>VILHELMINA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30580-2024</t>
        </is>
      </c>
      <c r="B760" s="1" t="n">
        <v>45492.95981481481</v>
      </c>
      <c r="C760" s="1" t="n">
        <v>46110</v>
      </c>
      <c r="D760" t="inlineStr">
        <is>
          <t>VÄSTERBOTTENS LÄN</t>
        </is>
      </c>
      <c r="E760" t="inlineStr">
        <is>
          <t>VILHELMINA</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72153-2021</t>
        </is>
      </c>
      <c r="B761" s="1" t="n">
        <v>44543</v>
      </c>
      <c r="C761" s="1" t="n">
        <v>46110</v>
      </c>
      <c r="D761" t="inlineStr">
        <is>
          <t>VÄSTERBOTTENS LÄN</t>
        </is>
      </c>
      <c r="E761" t="inlineStr">
        <is>
          <t>VILHELMINA</t>
        </is>
      </c>
      <c r="G761" t="n">
        <v>6.7</v>
      </c>
      <c r="H761" t="n">
        <v>0</v>
      </c>
      <c r="I761" t="n">
        <v>0</v>
      </c>
      <c r="J761" t="n">
        <v>0</v>
      </c>
      <c r="K761" t="n">
        <v>0</v>
      </c>
      <c r="L761" t="n">
        <v>0</v>
      </c>
      <c r="M761" t="n">
        <v>0</v>
      </c>
      <c r="N761" t="n">
        <v>0</v>
      </c>
      <c r="O761" t="n">
        <v>0</v>
      </c>
      <c r="P761" t="n">
        <v>0</v>
      </c>
      <c r="Q761" t="n">
        <v>0</v>
      </c>
      <c r="R761" s="2" t="inlineStr"/>
    </row>
    <row r="762" ht="15" customHeight="1">
      <c r="A762" t="inlineStr">
        <is>
          <t>A 35983-2023</t>
        </is>
      </c>
      <c r="B762" s="1" t="n">
        <v>45148.96185185185</v>
      </c>
      <c r="C762" s="1" t="n">
        <v>46110</v>
      </c>
      <c r="D762" t="inlineStr">
        <is>
          <t>VÄSTERBOTTENS LÄN</t>
        </is>
      </c>
      <c r="E762" t="inlineStr">
        <is>
          <t>VILHELMINA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23536-2024</t>
        </is>
      </c>
      <c r="B763" s="1" t="n">
        <v>45453.95199074074</v>
      </c>
      <c r="C763" s="1" t="n">
        <v>46110</v>
      </c>
      <c r="D763" t="inlineStr">
        <is>
          <t>VÄSTERBOTTENS LÄN</t>
        </is>
      </c>
      <c r="E763" t="inlineStr">
        <is>
          <t>VILHELMINA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66917-2021</t>
        </is>
      </c>
      <c r="B764" s="1" t="n">
        <v>44522</v>
      </c>
      <c r="C764" s="1" t="n">
        <v>46110</v>
      </c>
      <c r="D764" t="inlineStr">
        <is>
          <t>VÄSTERBOTTENS LÄN</t>
        </is>
      </c>
      <c r="E764" t="inlineStr">
        <is>
          <t>VILHELMINA</t>
        </is>
      </c>
      <c r="F764" t="inlineStr">
        <is>
          <t>Allmännings- och besparingsskogar</t>
        </is>
      </c>
      <c r="G764" t="n">
        <v>11.7</v>
      </c>
      <c r="H764" t="n">
        <v>0</v>
      </c>
      <c r="I764" t="n">
        <v>0</v>
      </c>
      <c r="J764" t="n">
        <v>0</v>
      </c>
      <c r="K764" t="n">
        <v>0</v>
      </c>
      <c r="L764" t="n">
        <v>0</v>
      </c>
      <c r="M764" t="n">
        <v>0</v>
      </c>
      <c r="N764" t="n">
        <v>0</v>
      </c>
      <c r="O764" t="n">
        <v>0</v>
      </c>
      <c r="P764" t="n">
        <v>0</v>
      </c>
      <c r="Q764" t="n">
        <v>0</v>
      </c>
      <c r="R764" s="2" t="inlineStr"/>
    </row>
    <row r="765" ht="15" customHeight="1">
      <c r="A765" t="inlineStr">
        <is>
          <t>A 8652-2023</t>
        </is>
      </c>
      <c r="B765" s="1" t="n">
        <v>44977.98401620371</v>
      </c>
      <c r="C765" s="1" t="n">
        <v>46110</v>
      </c>
      <c r="D765" t="inlineStr">
        <is>
          <t>VÄSTERBOTTENS LÄN</t>
        </is>
      </c>
      <c r="E765" t="inlineStr">
        <is>
          <t>VILHELMINA</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8653-2023</t>
        </is>
      </c>
      <c r="B766" s="1" t="n">
        <v>44977</v>
      </c>
      <c r="C766" s="1" t="n">
        <v>46110</v>
      </c>
      <c r="D766" t="inlineStr">
        <is>
          <t>VÄSTERBOTTENS LÄN</t>
        </is>
      </c>
      <c r="E766" t="inlineStr">
        <is>
          <t>VILHELMINA</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5955-2023</t>
        </is>
      </c>
      <c r="B767" s="1" t="n">
        <v>44963.93989583333</v>
      </c>
      <c r="C767" s="1" t="n">
        <v>46110</v>
      </c>
      <c r="D767" t="inlineStr">
        <is>
          <t>VÄSTERBOTTENS LÄN</t>
        </is>
      </c>
      <c r="E767" t="inlineStr">
        <is>
          <t>VILHELMINA</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34135-2024</t>
        </is>
      </c>
      <c r="B768" s="1" t="n">
        <v>45524.35605324074</v>
      </c>
      <c r="C768" s="1" t="n">
        <v>46110</v>
      </c>
      <c r="D768" t="inlineStr">
        <is>
          <t>VÄSTERBOTTENS LÄN</t>
        </is>
      </c>
      <c r="E768" t="inlineStr">
        <is>
          <t>VILHELMINA</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42478-2024</t>
        </is>
      </c>
      <c r="B769" s="1" t="n">
        <v>45565.4912962963</v>
      </c>
      <c r="C769" s="1" t="n">
        <v>46110</v>
      </c>
      <c r="D769" t="inlineStr">
        <is>
          <t>VÄSTERBOTTENS LÄN</t>
        </is>
      </c>
      <c r="E769" t="inlineStr">
        <is>
          <t>VILHELMINA</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58749-2023</t>
        </is>
      </c>
      <c r="B770" s="1" t="n">
        <v>45251.92947916667</v>
      </c>
      <c r="C770" s="1" t="n">
        <v>46110</v>
      </c>
      <c r="D770" t="inlineStr">
        <is>
          <t>VÄSTERBOTTENS LÄN</t>
        </is>
      </c>
      <c r="E770" t="inlineStr">
        <is>
          <t>VILHELMINA</t>
        </is>
      </c>
      <c r="G770" t="n">
        <v>2.8</v>
      </c>
      <c r="H770" t="n">
        <v>0</v>
      </c>
      <c r="I770" t="n">
        <v>0</v>
      </c>
      <c r="J770" t="n">
        <v>0</v>
      </c>
      <c r="K770" t="n">
        <v>0</v>
      </c>
      <c r="L770" t="n">
        <v>0</v>
      </c>
      <c r="M770" t="n">
        <v>0</v>
      </c>
      <c r="N770" t="n">
        <v>0</v>
      </c>
      <c r="O770" t="n">
        <v>0</v>
      </c>
      <c r="P770" t="n">
        <v>0</v>
      </c>
      <c r="Q770" t="n">
        <v>0</v>
      </c>
      <c r="R770" s="2" t="inlineStr"/>
    </row>
    <row r="771" ht="15" customHeight="1">
      <c r="A771" t="inlineStr">
        <is>
          <t>A 38361-2023</t>
        </is>
      </c>
      <c r="B771" s="1" t="n">
        <v>45161.94315972222</v>
      </c>
      <c r="C771" s="1" t="n">
        <v>46110</v>
      </c>
      <c r="D771" t="inlineStr">
        <is>
          <t>VÄSTERBOTTENS LÄN</t>
        </is>
      </c>
      <c r="E771" t="inlineStr">
        <is>
          <t>VILHELMINA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58824-2024</t>
        </is>
      </c>
      <c r="B772" s="1" t="n">
        <v>45636.36488425926</v>
      </c>
      <c r="C772" s="1" t="n">
        <v>46110</v>
      </c>
      <c r="D772" t="inlineStr">
        <is>
          <t>VÄSTERBOTTENS LÄN</t>
        </is>
      </c>
      <c r="E772" t="inlineStr">
        <is>
          <t>VILHELMINA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60377-2024</t>
        </is>
      </c>
      <c r="B773" s="1" t="n">
        <v>45643</v>
      </c>
      <c r="C773" s="1" t="n">
        <v>46110</v>
      </c>
      <c r="D773" t="inlineStr">
        <is>
          <t>VÄSTERBOTTENS LÄN</t>
        </is>
      </c>
      <c r="E773" t="inlineStr">
        <is>
          <t>VILHELMINA</t>
        </is>
      </c>
      <c r="F773" t="inlineStr">
        <is>
          <t>SCA</t>
        </is>
      </c>
      <c r="G773" t="n">
        <v>16.2</v>
      </c>
      <c r="H773" t="n">
        <v>0</v>
      </c>
      <c r="I773" t="n">
        <v>0</v>
      </c>
      <c r="J773" t="n">
        <v>0</v>
      </c>
      <c r="K773" t="n">
        <v>0</v>
      </c>
      <c r="L773" t="n">
        <v>0</v>
      </c>
      <c r="M773" t="n">
        <v>0</v>
      </c>
      <c r="N773" t="n">
        <v>0</v>
      </c>
      <c r="O773" t="n">
        <v>0</v>
      </c>
      <c r="P773" t="n">
        <v>0</v>
      </c>
      <c r="Q773" t="n">
        <v>0</v>
      </c>
      <c r="R773" s="2" t="inlineStr"/>
    </row>
    <row r="774" ht="15" customHeight="1">
      <c r="A774" t="inlineStr">
        <is>
          <t>A 61953-2024</t>
        </is>
      </c>
      <c r="B774" s="1" t="n">
        <v>45653.5150462963</v>
      </c>
      <c r="C774" s="1" t="n">
        <v>46110</v>
      </c>
      <c r="D774" t="inlineStr">
        <is>
          <t>VÄSTERBOTTENS LÄN</t>
        </is>
      </c>
      <c r="E774" t="inlineStr">
        <is>
          <t>VILHELMINA</t>
        </is>
      </c>
      <c r="F774" t="inlineStr">
        <is>
          <t>Kommuner</t>
        </is>
      </c>
      <c r="G774" t="n">
        <v>10.2</v>
      </c>
      <c r="H774" t="n">
        <v>0</v>
      </c>
      <c r="I774" t="n">
        <v>0</v>
      </c>
      <c r="J774" t="n">
        <v>0</v>
      </c>
      <c r="K774" t="n">
        <v>0</v>
      </c>
      <c r="L774" t="n">
        <v>0</v>
      </c>
      <c r="M774" t="n">
        <v>0</v>
      </c>
      <c r="N774" t="n">
        <v>0</v>
      </c>
      <c r="O774" t="n">
        <v>0</v>
      </c>
      <c r="P774" t="n">
        <v>0</v>
      </c>
      <c r="Q774" t="n">
        <v>0</v>
      </c>
      <c r="R774" s="2" t="inlineStr"/>
    </row>
    <row r="775" ht="15" customHeight="1">
      <c r="A775" t="inlineStr">
        <is>
          <t>A 62100-2024</t>
        </is>
      </c>
      <c r="B775" s="1" t="n">
        <v>45656</v>
      </c>
      <c r="C775" s="1" t="n">
        <v>46110</v>
      </c>
      <c r="D775" t="inlineStr">
        <is>
          <t>VÄSTERBOTTENS LÄN</t>
        </is>
      </c>
      <c r="E775" t="inlineStr">
        <is>
          <t>VILHELMINA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15062-2024</t>
        </is>
      </c>
      <c r="B776" s="1" t="n">
        <v>45399</v>
      </c>
      <c r="C776" s="1" t="n">
        <v>46110</v>
      </c>
      <c r="D776" t="inlineStr">
        <is>
          <t>VÄSTERBOTTENS LÄN</t>
        </is>
      </c>
      <c r="E776" t="inlineStr">
        <is>
          <t>VILHELMINA</t>
        </is>
      </c>
      <c r="G776" t="n">
        <v>1.7</v>
      </c>
      <c r="H776" t="n">
        <v>0</v>
      </c>
      <c r="I776" t="n">
        <v>0</v>
      </c>
      <c r="J776" t="n">
        <v>0</v>
      </c>
      <c r="K776" t="n">
        <v>0</v>
      </c>
      <c r="L776" t="n">
        <v>0</v>
      </c>
      <c r="M776" t="n">
        <v>0</v>
      </c>
      <c r="N776" t="n">
        <v>0</v>
      </c>
      <c r="O776" t="n">
        <v>0</v>
      </c>
      <c r="P776" t="n">
        <v>0</v>
      </c>
      <c r="Q776" t="n">
        <v>0</v>
      </c>
      <c r="R776" s="2" t="inlineStr"/>
    </row>
    <row r="777" ht="15" customHeight="1">
      <c r="A777" t="inlineStr">
        <is>
          <t>A 15066-2024</t>
        </is>
      </c>
      <c r="B777" s="1" t="n">
        <v>45399</v>
      </c>
      <c r="C777" s="1" t="n">
        <v>46110</v>
      </c>
      <c r="D777" t="inlineStr">
        <is>
          <t>VÄSTERBOTTENS LÄN</t>
        </is>
      </c>
      <c r="E777" t="inlineStr">
        <is>
          <t>VILHELMINA</t>
        </is>
      </c>
      <c r="G777" t="n">
        <v>4.6</v>
      </c>
      <c r="H777" t="n">
        <v>0</v>
      </c>
      <c r="I777" t="n">
        <v>0</v>
      </c>
      <c r="J777" t="n">
        <v>0</v>
      </c>
      <c r="K777" t="n">
        <v>0</v>
      </c>
      <c r="L777" t="n">
        <v>0</v>
      </c>
      <c r="M777" t="n">
        <v>0</v>
      </c>
      <c r="N777" t="n">
        <v>0</v>
      </c>
      <c r="O777" t="n">
        <v>0</v>
      </c>
      <c r="P777" t="n">
        <v>0</v>
      </c>
      <c r="Q777" t="n">
        <v>0</v>
      </c>
      <c r="R777" s="2" t="inlineStr"/>
    </row>
    <row r="778" ht="15" customHeight="1">
      <c r="A778" t="inlineStr">
        <is>
          <t>A 8229-2022</t>
        </is>
      </c>
      <c r="B778" s="1" t="n">
        <v>44609</v>
      </c>
      <c r="C778" s="1" t="n">
        <v>46110</v>
      </c>
      <c r="D778" t="inlineStr">
        <is>
          <t>VÄSTERBOTTENS LÄN</t>
        </is>
      </c>
      <c r="E778" t="inlineStr">
        <is>
          <t>VILHELMINA</t>
        </is>
      </c>
      <c r="F778" t="inlineStr">
        <is>
          <t>SCA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31496-2023</t>
        </is>
      </c>
      <c r="B779" s="1" t="n">
        <v>45114.94138888889</v>
      </c>
      <c r="C779" s="1" t="n">
        <v>46110</v>
      </c>
      <c r="D779" t="inlineStr">
        <is>
          <t>VÄSTERBOTTENS LÄN</t>
        </is>
      </c>
      <c r="E779" t="inlineStr">
        <is>
          <t>VILHELMINA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15786-2025</t>
        </is>
      </c>
      <c r="B780" s="1" t="n">
        <v>45748.62240740741</v>
      </c>
      <c r="C780" s="1" t="n">
        <v>46110</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45593-2024</t>
        </is>
      </c>
      <c r="B781" s="1" t="n">
        <v>45579</v>
      </c>
      <c r="C781" s="1" t="n">
        <v>46110</v>
      </c>
      <c r="D781" t="inlineStr">
        <is>
          <t>VÄSTERBOTTENS LÄN</t>
        </is>
      </c>
      <c r="E781" t="inlineStr">
        <is>
          <t>VILHELMINA</t>
        </is>
      </c>
      <c r="G781" t="n">
        <v>0.9</v>
      </c>
      <c r="H781" t="n">
        <v>0</v>
      </c>
      <c r="I781" t="n">
        <v>0</v>
      </c>
      <c r="J781" t="n">
        <v>0</v>
      </c>
      <c r="K781" t="n">
        <v>0</v>
      </c>
      <c r="L781" t="n">
        <v>0</v>
      </c>
      <c r="M781" t="n">
        <v>0</v>
      </c>
      <c r="N781" t="n">
        <v>0</v>
      </c>
      <c r="O781" t="n">
        <v>0</v>
      </c>
      <c r="P781" t="n">
        <v>0</v>
      </c>
      <c r="Q781" t="n">
        <v>0</v>
      </c>
      <c r="R781" s="2" t="inlineStr"/>
    </row>
    <row r="782" ht="15" customHeight="1">
      <c r="A782" t="inlineStr">
        <is>
          <t>A 49221-2024</t>
        </is>
      </c>
      <c r="B782" s="1" t="n">
        <v>45595.41166666667</v>
      </c>
      <c r="C782" s="1" t="n">
        <v>46110</v>
      </c>
      <c r="D782" t="inlineStr">
        <is>
          <t>VÄSTERBOTTENS LÄN</t>
        </is>
      </c>
      <c r="E782" t="inlineStr">
        <is>
          <t>VILHELMINA</t>
        </is>
      </c>
      <c r="G782" t="n">
        <v>11.4</v>
      </c>
      <c r="H782" t="n">
        <v>0</v>
      </c>
      <c r="I782" t="n">
        <v>0</v>
      </c>
      <c r="J782" t="n">
        <v>0</v>
      </c>
      <c r="K782" t="n">
        <v>0</v>
      </c>
      <c r="L782" t="n">
        <v>0</v>
      </c>
      <c r="M782" t="n">
        <v>0</v>
      </c>
      <c r="N782" t="n">
        <v>0</v>
      </c>
      <c r="O782" t="n">
        <v>0</v>
      </c>
      <c r="P782" t="n">
        <v>0</v>
      </c>
      <c r="Q782" t="n">
        <v>0</v>
      </c>
      <c r="R782" s="2" t="inlineStr"/>
    </row>
    <row r="783" ht="15" customHeight="1">
      <c r="A783" t="inlineStr">
        <is>
          <t>A 49246-2024</t>
        </is>
      </c>
      <c r="B783" s="1" t="n">
        <v>45595.4618287037</v>
      </c>
      <c r="C783" s="1" t="n">
        <v>46110</v>
      </c>
      <c r="D783" t="inlineStr">
        <is>
          <t>VÄSTERBOTTENS LÄN</t>
        </is>
      </c>
      <c r="E783" t="inlineStr">
        <is>
          <t>VILHELMINA</t>
        </is>
      </c>
      <c r="G783" t="n">
        <v>0.9</v>
      </c>
      <c r="H783" t="n">
        <v>0</v>
      </c>
      <c r="I783" t="n">
        <v>0</v>
      </c>
      <c r="J783" t="n">
        <v>0</v>
      </c>
      <c r="K783" t="n">
        <v>0</v>
      </c>
      <c r="L783" t="n">
        <v>0</v>
      </c>
      <c r="M783" t="n">
        <v>0</v>
      </c>
      <c r="N783" t="n">
        <v>0</v>
      </c>
      <c r="O783" t="n">
        <v>0</v>
      </c>
      <c r="P783" t="n">
        <v>0</v>
      </c>
      <c r="Q783" t="n">
        <v>0</v>
      </c>
      <c r="R783" s="2" t="inlineStr"/>
    </row>
    <row r="784" ht="15" customHeight="1">
      <c r="A784" t="inlineStr">
        <is>
          <t>A 40505-2024</t>
        </is>
      </c>
      <c r="B784" s="1" t="n">
        <v>45555.57373842593</v>
      </c>
      <c r="C784" s="1" t="n">
        <v>46110</v>
      </c>
      <c r="D784" t="inlineStr">
        <is>
          <t>VÄSTERBOTTENS LÄN</t>
        </is>
      </c>
      <c r="E784" t="inlineStr">
        <is>
          <t>VILHELMINA</t>
        </is>
      </c>
      <c r="G784" t="n">
        <v>0.3</v>
      </c>
      <c r="H784" t="n">
        <v>0</v>
      </c>
      <c r="I784" t="n">
        <v>0</v>
      </c>
      <c r="J784" t="n">
        <v>0</v>
      </c>
      <c r="K784" t="n">
        <v>0</v>
      </c>
      <c r="L784" t="n">
        <v>0</v>
      </c>
      <c r="M784" t="n">
        <v>0</v>
      </c>
      <c r="N784" t="n">
        <v>0</v>
      </c>
      <c r="O784" t="n">
        <v>0</v>
      </c>
      <c r="P784" t="n">
        <v>0</v>
      </c>
      <c r="Q784" t="n">
        <v>0</v>
      </c>
      <c r="R784" s="2" t="inlineStr"/>
    </row>
    <row r="785" ht="15" customHeight="1">
      <c r="A785" t="inlineStr">
        <is>
          <t>A 65133-2021</t>
        </is>
      </c>
      <c r="B785" s="1" t="n">
        <v>44515</v>
      </c>
      <c r="C785" s="1" t="n">
        <v>46110</v>
      </c>
      <c r="D785" t="inlineStr">
        <is>
          <t>VÄSTERBOTTENS LÄN</t>
        </is>
      </c>
      <c r="E785" t="inlineStr">
        <is>
          <t>VILHELMINA</t>
        </is>
      </c>
      <c r="G785" t="n">
        <v>16.4</v>
      </c>
      <c r="H785" t="n">
        <v>0</v>
      </c>
      <c r="I785" t="n">
        <v>0</v>
      </c>
      <c r="J785" t="n">
        <v>0</v>
      </c>
      <c r="K785" t="n">
        <v>0</v>
      </c>
      <c r="L785" t="n">
        <v>0</v>
      </c>
      <c r="M785" t="n">
        <v>0</v>
      </c>
      <c r="N785" t="n">
        <v>0</v>
      </c>
      <c r="O785" t="n">
        <v>0</v>
      </c>
      <c r="P785" t="n">
        <v>0</v>
      </c>
      <c r="Q785" t="n">
        <v>0</v>
      </c>
      <c r="R785" s="2" t="inlineStr"/>
    </row>
    <row r="786" ht="15" customHeight="1">
      <c r="A786" t="inlineStr">
        <is>
          <t>A 38364-2023</t>
        </is>
      </c>
      <c r="B786" s="1" t="n">
        <v>45161</v>
      </c>
      <c r="C786" s="1" t="n">
        <v>46110</v>
      </c>
      <c r="D786" t="inlineStr">
        <is>
          <t>VÄSTERBOTTENS LÄN</t>
        </is>
      </c>
      <c r="E786" t="inlineStr">
        <is>
          <t>VILHELMINA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32925-2024</t>
        </is>
      </c>
      <c r="B787" s="1" t="n">
        <v>45516.95302083333</v>
      </c>
      <c r="C787" s="1" t="n">
        <v>46110</v>
      </c>
      <c r="D787" t="inlineStr">
        <is>
          <t>VÄSTERBOTTENS LÄN</t>
        </is>
      </c>
      <c r="E787" t="inlineStr">
        <is>
          <t>VILHELMINA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32926-2024</t>
        </is>
      </c>
      <c r="B788" s="1" t="n">
        <v>45516.95311342592</v>
      </c>
      <c r="C788" s="1" t="n">
        <v>46110</v>
      </c>
      <c r="D788" t="inlineStr">
        <is>
          <t>VÄSTERBOTTENS LÄN</t>
        </is>
      </c>
      <c r="E788" t="inlineStr">
        <is>
          <t>VILHELMINA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44505-2024</t>
        </is>
      </c>
      <c r="B789" s="1" t="n">
        <v>45574.40974537037</v>
      </c>
      <c r="C789" s="1" t="n">
        <v>46110</v>
      </c>
      <c r="D789" t="inlineStr">
        <is>
          <t>VÄSTERBOTTENS LÄN</t>
        </is>
      </c>
      <c r="E789" t="inlineStr">
        <is>
          <t>VILHELMINA</t>
        </is>
      </c>
      <c r="G789" t="n">
        <v>15.5</v>
      </c>
      <c r="H789" t="n">
        <v>0</v>
      </c>
      <c r="I789" t="n">
        <v>0</v>
      </c>
      <c r="J789" t="n">
        <v>0</v>
      </c>
      <c r="K789" t="n">
        <v>0</v>
      </c>
      <c r="L789" t="n">
        <v>0</v>
      </c>
      <c r="M789" t="n">
        <v>0</v>
      </c>
      <c r="N789" t="n">
        <v>0</v>
      </c>
      <c r="O789" t="n">
        <v>0</v>
      </c>
      <c r="P789" t="n">
        <v>0</v>
      </c>
      <c r="Q789" t="n">
        <v>0</v>
      </c>
      <c r="R789" s="2" t="inlineStr"/>
    </row>
    <row r="790" ht="15" customHeight="1">
      <c r="A790" t="inlineStr">
        <is>
          <t>A 55714-2023</t>
        </is>
      </c>
      <c r="B790" s="1" t="n">
        <v>45232</v>
      </c>
      <c r="C790" s="1" t="n">
        <v>46110</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45673-2023</t>
        </is>
      </c>
      <c r="B791" s="1" t="n">
        <v>45194</v>
      </c>
      <c r="C791" s="1" t="n">
        <v>46110</v>
      </c>
      <c r="D791" t="inlineStr">
        <is>
          <t>VÄSTERBOTTENS LÄN</t>
        </is>
      </c>
      <c r="E791" t="inlineStr">
        <is>
          <t>VILHELMINA</t>
        </is>
      </c>
      <c r="G791" t="n">
        <v>13.4</v>
      </c>
      <c r="H791" t="n">
        <v>0</v>
      </c>
      <c r="I791" t="n">
        <v>0</v>
      </c>
      <c r="J791" t="n">
        <v>0</v>
      </c>
      <c r="K791" t="n">
        <v>0</v>
      </c>
      <c r="L791" t="n">
        <v>0</v>
      </c>
      <c r="M791" t="n">
        <v>0</v>
      </c>
      <c r="N791" t="n">
        <v>0</v>
      </c>
      <c r="O791" t="n">
        <v>0</v>
      </c>
      <c r="P791" t="n">
        <v>0</v>
      </c>
      <c r="Q791" t="n">
        <v>0</v>
      </c>
      <c r="R791" s="2" t="inlineStr"/>
    </row>
    <row r="792" ht="15" customHeight="1">
      <c r="A792" t="inlineStr">
        <is>
          <t>A 8578-2025</t>
        </is>
      </c>
      <c r="B792" s="1" t="n">
        <v>45709</v>
      </c>
      <c r="C792" s="1" t="n">
        <v>46110</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46392-2024</t>
        </is>
      </c>
      <c r="B793" s="1" t="n">
        <v>45582</v>
      </c>
      <c r="C793" s="1" t="n">
        <v>46110</v>
      </c>
      <c r="D793" t="inlineStr">
        <is>
          <t>VÄSTERBOTTENS LÄN</t>
        </is>
      </c>
      <c r="E793" t="inlineStr">
        <is>
          <t>VILHELMINA</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12118-2024</t>
        </is>
      </c>
      <c r="B794" s="1" t="n">
        <v>45376</v>
      </c>
      <c r="C794" s="1" t="n">
        <v>46110</v>
      </c>
      <c r="D794" t="inlineStr">
        <is>
          <t>VÄSTERBOTTENS LÄN</t>
        </is>
      </c>
      <c r="E794" t="inlineStr">
        <is>
          <t>VILHELMINA</t>
        </is>
      </c>
      <c r="G794" t="n">
        <v>3.6</v>
      </c>
      <c r="H794" t="n">
        <v>0</v>
      </c>
      <c r="I794" t="n">
        <v>0</v>
      </c>
      <c r="J794" t="n">
        <v>0</v>
      </c>
      <c r="K794" t="n">
        <v>0</v>
      </c>
      <c r="L794" t="n">
        <v>0</v>
      </c>
      <c r="M794" t="n">
        <v>0</v>
      </c>
      <c r="N794" t="n">
        <v>0</v>
      </c>
      <c r="O794" t="n">
        <v>0</v>
      </c>
      <c r="P794" t="n">
        <v>0</v>
      </c>
      <c r="Q794" t="n">
        <v>0</v>
      </c>
      <c r="R794" s="2" t="inlineStr"/>
    </row>
    <row r="795" ht="15" customHeight="1">
      <c r="A795" t="inlineStr">
        <is>
          <t>A 37937-2023</t>
        </is>
      </c>
      <c r="B795" s="1" t="n">
        <v>45159</v>
      </c>
      <c r="C795" s="1" t="n">
        <v>46110</v>
      </c>
      <c r="D795" t="inlineStr">
        <is>
          <t>VÄSTERBOTTENS LÄN</t>
        </is>
      </c>
      <c r="E795" t="inlineStr">
        <is>
          <t>VILHELMINA</t>
        </is>
      </c>
      <c r="G795" t="n">
        <v>2.2</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46110</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19401-2023</t>
        </is>
      </c>
      <c r="B797" s="1" t="n">
        <v>45048</v>
      </c>
      <c r="C797" s="1" t="n">
        <v>46110</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57470-2024</t>
        </is>
      </c>
      <c r="B798" s="1" t="n">
        <v>45630</v>
      </c>
      <c r="C798" s="1" t="n">
        <v>46110</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31095-2024</t>
        </is>
      </c>
      <c r="B799" s="1" t="n">
        <v>45502</v>
      </c>
      <c r="C799" s="1" t="n">
        <v>46110</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7777-2024</t>
        </is>
      </c>
      <c r="B800" s="1" t="n">
        <v>45349</v>
      </c>
      <c r="C800" s="1" t="n">
        <v>46110</v>
      </c>
      <c r="D800" t="inlineStr">
        <is>
          <t>VÄSTERBOTTENS LÄN</t>
        </is>
      </c>
      <c r="E800" t="inlineStr">
        <is>
          <t>VILHELMINA</t>
        </is>
      </c>
      <c r="G800" t="n">
        <v>7</v>
      </c>
      <c r="H800" t="n">
        <v>0</v>
      </c>
      <c r="I800" t="n">
        <v>0</v>
      </c>
      <c r="J800" t="n">
        <v>0</v>
      </c>
      <c r="K800" t="n">
        <v>0</v>
      </c>
      <c r="L800" t="n">
        <v>0</v>
      </c>
      <c r="M800" t="n">
        <v>0</v>
      </c>
      <c r="N800" t="n">
        <v>0</v>
      </c>
      <c r="O800" t="n">
        <v>0</v>
      </c>
      <c r="P800" t="n">
        <v>0</v>
      </c>
      <c r="Q800" t="n">
        <v>0</v>
      </c>
      <c r="R800" s="2" t="inlineStr"/>
    </row>
    <row r="801" ht="15" customHeight="1">
      <c r="A801" t="inlineStr">
        <is>
          <t>A 48470-2023</t>
        </is>
      </c>
      <c r="B801" s="1" t="n">
        <v>45206.95747685185</v>
      </c>
      <c r="C801" s="1" t="n">
        <v>46110</v>
      </c>
      <c r="D801" t="inlineStr">
        <is>
          <t>VÄSTERBOTTENS LÄN</t>
        </is>
      </c>
      <c r="E801" t="inlineStr">
        <is>
          <t>VILHELMINA</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13829-2025</t>
        </is>
      </c>
      <c r="B802" s="1" t="n">
        <v>45737</v>
      </c>
      <c r="C802" s="1" t="n">
        <v>46110</v>
      </c>
      <c r="D802" t="inlineStr">
        <is>
          <t>VÄSTERBOTTENS LÄN</t>
        </is>
      </c>
      <c r="E802" t="inlineStr">
        <is>
          <t>VILHELMINA</t>
        </is>
      </c>
      <c r="F802" t="inlineStr">
        <is>
          <t>Övriga statliga verk och myndigheter</t>
        </is>
      </c>
      <c r="G802" t="n">
        <v>39.7</v>
      </c>
      <c r="H802" t="n">
        <v>0</v>
      </c>
      <c r="I802" t="n">
        <v>0</v>
      </c>
      <c r="J802" t="n">
        <v>0</v>
      </c>
      <c r="K802" t="n">
        <v>0</v>
      </c>
      <c r="L802" t="n">
        <v>0</v>
      </c>
      <c r="M802" t="n">
        <v>0</v>
      </c>
      <c r="N802" t="n">
        <v>0</v>
      </c>
      <c r="O802" t="n">
        <v>0</v>
      </c>
      <c r="P802" t="n">
        <v>0</v>
      </c>
      <c r="Q802" t="n">
        <v>0</v>
      </c>
      <c r="R802" s="2" t="inlineStr"/>
    </row>
    <row r="803" ht="15" customHeight="1">
      <c r="A803" t="inlineStr">
        <is>
          <t>A 5403-2025</t>
        </is>
      </c>
      <c r="B803" s="1" t="n">
        <v>45692.64475694444</v>
      </c>
      <c r="C803" s="1" t="n">
        <v>46110</v>
      </c>
      <c r="D803" t="inlineStr">
        <is>
          <t>VÄSTERBOTTENS LÄN</t>
        </is>
      </c>
      <c r="E803" t="inlineStr">
        <is>
          <t>VILHELMINA</t>
        </is>
      </c>
      <c r="F803" t="inlineStr">
        <is>
          <t>Kommuner</t>
        </is>
      </c>
      <c r="G803" t="n">
        <v>14.9</v>
      </c>
      <c r="H803" t="n">
        <v>0</v>
      </c>
      <c r="I803" t="n">
        <v>0</v>
      </c>
      <c r="J803" t="n">
        <v>0</v>
      </c>
      <c r="K803" t="n">
        <v>0</v>
      </c>
      <c r="L803" t="n">
        <v>0</v>
      </c>
      <c r="M803" t="n">
        <v>0</v>
      </c>
      <c r="N803" t="n">
        <v>0</v>
      </c>
      <c r="O803" t="n">
        <v>0</v>
      </c>
      <c r="P803" t="n">
        <v>0</v>
      </c>
      <c r="Q803" t="n">
        <v>0</v>
      </c>
      <c r="R803" s="2" t="inlineStr"/>
    </row>
    <row r="804" ht="15" customHeight="1">
      <c r="A804" t="inlineStr">
        <is>
          <t>A 54459-2024</t>
        </is>
      </c>
      <c r="B804" s="1" t="n">
        <v>45617</v>
      </c>
      <c r="C804" s="1" t="n">
        <v>46110</v>
      </c>
      <c r="D804" t="inlineStr">
        <is>
          <t>VÄSTERBOTTENS LÄN</t>
        </is>
      </c>
      <c r="E804" t="inlineStr">
        <is>
          <t>VILHELMINA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46177-2023</t>
        </is>
      </c>
      <c r="B805" s="1" t="n">
        <v>45190</v>
      </c>
      <c r="C805" s="1" t="n">
        <v>46110</v>
      </c>
      <c r="D805" t="inlineStr">
        <is>
          <t>VÄSTERBOTTENS LÄN</t>
        </is>
      </c>
      <c r="E805" t="inlineStr">
        <is>
          <t>VILHELMINA</t>
        </is>
      </c>
      <c r="F805" t="inlineStr">
        <is>
          <t>Övriga Aktiebolag</t>
        </is>
      </c>
      <c r="G805" t="n">
        <v>7.7</v>
      </c>
      <c r="H805" t="n">
        <v>0</v>
      </c>
      <c r="I805" t="n">
        <v>0</v>
      </c>
      <c r="J805" t="n">
        <v>0</v>
      </c>
      <c r="K805" t="n">
        <v>0</v>
      </c>
      <c r="L805" t="n">
        <v>0</v>
      </c>
      <c r="M805" t="n">
        <v>0</v>
      </c>
      <c r="N805" t="n">
        <v>0</v>
      </c>
      <c r="O805" t="n">
        <v>0</v>
      </c>
      <c r="P805" t="n">
        <v>0</v>
      </c>
      <c r="Q805" t="n">
        <v>0</v>
      </c>
      <c r="R805" s="2" t="inlineStr"/>
    </row>
    <row r="806" ht="15" customHeight="1">
      <c r="A806" t="inlineStr">
        <is>
          <t>A 51826-2023</t>
        </is>
      </c>
      <c r="B806" s="1" t="n">
        <v>45222.9678125</v>
      </c>
      <c r="C806" s="1" t="n">
        <v>46110</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18394-2025</t>
        </is>
      </c>
      <c r="B807" s="1" t="n">
        <v>45762</v>
      </c>
      <c r="C807" s="1" t="n">
        <v>46110</v>
      </c>
      <c r="D807" t="inlineStr">
        <is>
          <t>VÄSTERBOTTENS LÄN</t>
        </is>
      </c>
      <c r="E807" t="inlineStr">
        <is>
          <t>VILHELMINA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20524-2024</t>
        </is>
      </c>
      <c r="B808" s="1" t="n">
        <v>45435.94567129629</v>
      </c>
      <c r="C808" s="1" t="n">
        <v>46110</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50494-2023</t>
        </is>
      </c>
      <c r="B809" s="1" t="n">
        <v>45216.95604166666</v>
      </c>
      <c r="C809" s="1" t="n">
        <v>46110</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8566-2025</t>
        </is>
      </c>
      <c r="B810" s="1" t="n">
        <v>45709</v>
      </c>
      <c r="C810" s="1" t="n">
        <v>46110</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8585-2025</t>
        </is>
      </c>
      <c r="B811" s="1" t="n">
        <v>45709</v>
      </c>
      <c r="C811" s="1" t="n">
        <v>46110</v>
      </c>
      <c r="D811" t="inlineStr">
        <is>
          <t>VÄSTERBOTTENS LÄN</t>
        </is>
      </c>
      <c r="E811" t="inlineStr">
        <is>
          <t>VILHELMINA</t>
        </is>
      </c>
      <c r="G811" t="n">
        <v>3.4</v>
      </c>
      <c r="H811" t="n">
        <v>0</v>
      </c>
      <c r="I811" t="n">
        <v>0</v>
      </c>
      <c r="J811" t="n">
        <v>0</v>
      </c>
      <c r="K811" t="n">
        <v>0</v>
      </c>
      <c r="L811" t="n">
        <v>0</v>
      </c>
      <c r="M811" t="n">
        <v>0</v>
      </c>
      <c r="N811" t="n">
        <v>0</v>
      </c>
      <c r="O811" t="n">
        <v>0</v>
      </c>
      <c r="P811" t="n">
        <v>0</v>
      </c>
      <c r="Q811" t="n">
        <v>0</v>
      </c>
      <c r="R811" s="2" t="inlineStr"/>
    </row>
    <row r="812" ht="15" customHeight="1">
      <c r="A812" t="inlineStr">
        <is>
          <t>A 19585-2024</t>
        </is>
      </c>
      <c r="B812" s="1" t="n">
        <v>45429</v>
      </c>
      <c r="C812" s="1" t="n">
        <v>46110</v>
      </c>
      <c r="D812" t="inlineStr">
        <is>
          <t>VÄSTERBOTTENS LÄN</t>
        </is>
      </c>
      <c r="E812" t="inlineStr">
        <is>
          <t>VILHELMINA</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34805-2023</t>
        </is>
      </c>
      <c r="B813" s="1" t="n">
        <v>45140</v>
      </c>
      <c r="C813" s="1" t="n">
        <v>46110</v>
      </c>
      <c r="D813" t="inlineStr">
        <is>
          <t>VÄSTERBOTTENS LÄN</t>
        </is>
      </c>
      <c r="E813" t="inlineStr">
        <is>
          <t>VILHELMINA</t>
        </is>
      </c>
      <c r="G813" t="n">
        <v>4.3</v>
      </c>
      <c r="H813" t="n">
        <v>0</v>
      </c>
      <c r="I813" t="n">
        <v>0</v>
      </c>
      <c r="J813" t="n">
        <v>0</v>
      </c>
      <c r="K813" t="n">
        <v>0</v>
      </c>
      <c r="L813" t="n">
        <v>0</v>
      </c>
      <c r="M813" t="n">
        <v>0</v>
      </c>
      <c r="N813" t="n">
        <v>0</v>
      </c>
      <c r="O813" t="n">
        <v>0</v>
      </c>
      <c r="P813" t="n">
        <v>0</v>
      </c>
      <c r="Q813" t="n">
        <v>0</v>
      </c>
      <c r="R813" s="2" t="inlineStr"/>
    </row>
    <row r="814" ht="15" customHeight="1">
      <c r="A814" t="inlineStr">
        <is>
          <t>A 31449-2024</t>
        </is>
      </c>
      <c r="B814" s="1" t="n">
        <v>45505.9299537037</v>
      </c>
      <c r="C814" s="1" t="n">
        <v>46110</v>
      </c>
      <c r="D814" t="inlineStr">
        <is>
          <t>VÄSTERBOTTENS LÄN</t>
        </is>
      </c>
      <c r="E814" t="inlineStr">
        <is>
          <t>VILHELMINA</t>
        </is>
      </c>
      <c r="G814" t="n">
        <v>3.5</v>
      </c>
      <c r="H814" t="n">
        <v>0</v>
      </c>
      <c r="I814" t="n">
        <v>0</v>
      </c>
      <c r="J814" t="n">
        <v>0</v>
      </c>
      <c r="K814" t="n">
        <v>0</v>
      </c>
      <c r="L814" t="n">
        <v>0</v>
      </c>
      <c r="M814" t="n">
        <v>0</v>
      </c>
      <c r="N814" t="n">
        <v>0</v>
      </c>
      <c r="O814" t="n">
        <v>0</v>
      </c>
      <c r="P814" t="n">
        <v>0</v>
      </c>
      <c r="Q814" t="n">
        <v>0</v>
      </c>
      <c r="R814" s="2" t="inlineStr"/>
    </row>
    <row r="815" ht="15" customHeight="1">
      <c r="A815" t="inlineStr">
        <is>
          <t>A 51825-2023</t>
        </is>
      </c>
      <c r="B815" s="1" t="n">
        <v>45222</v>
      </c>
      <c r="C815" s="1" t="n">
        <v>46110</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9162-2022</t>
        </is>
      </c>
      <c r="B816" s="1" t="n">
        <v>44615</v>
      </c>
      <c r="C816" s="1" t="n">
        <v>46110</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20591-2025</t>
        </is>
      </c>
      <c r="B817" s="1" t="n">
        <v>45775</v>
      </c>
      <c r="C817" s="1" t="n">
        <v>46110</v>
      </c>
      <c r="D817" t="inlineStr">
        <is>
          <t>VÄSTERBOTTENS LÄN</t>
        </is>
      </c>
      <c r="E817" t="inlineStr">
        <is>
          <t>VILHELMINA</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33636-2021</t>
        </is>
      </c>
      <c r="B818" s="1" t="n">
        <v>44378</v>
      </c>
      <c r="C818" s="1" t="n">
        <v>46110</v>
      </c>
      <c r="D818" t="inlineStr">
        <is>
          <t>VÄSTERBOTTENS LÄN</t>
        </is>
      </c>
      <c r="E818" t="inlineStr">
        <is>
          <t>VILHELMINA</t>
        </is>
      </c>
      <c r="G818" t="n">
        <v>1.6</v>
      </c>
      <c r="H818" t="n">
        <v>0</v>
      </c>
      <c r="I818" t="n">
        <v>0</v>
      </c>
      <c r="J818" t="n">
        <v>0</v>
      </c>
      <c r="K818" t="n">
        <v>0</v>
      </c>
      <c r="L818" t="n">
        <v>0</v>
      </c>
      <c r="M818" t="n">
        <v>0</v>
      </c>
      <c r="N818" t="n">
        <v>0</v>
      </c>
      <c r="O818" t="n">
        <v>0</v>
      </c>
      <c r="P818" t="n">
        <v>0</v>
      </c>
      <c r="Q818" t="n">
        <v>0</v>
      </c>
      <c r="R818" s="2" t="inlineStr"/>
    </row>
    <row r="819" ht="15" customHeight="1">
      <c r="A819" t="inlineStr">
        <is>
          <t>A 35984-2023</t>
        </is>
      </c>
      <c r="B819" s="1" t="n">
        <v>45148.96195601852</v>
      </c>
      <c r="C819" s="1" t="n">
        <v>46110</v>
      </c>
      <c r="D819" t="inlineStr">
        <is>
          <t>VÄSTERBOTTENS LÄN</t>
        </is>
      </c>
      <c r="E819" t="inlineStr">
        <is>
          <t>VILHELMINA</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35753-2023</t>
        </is>
      </c>
      <c r="B820" s="1" t="n">
        <v>45147.95390046296</v>
      </c>
      <c r="C820" s="1" t="n">
        <v>46110</v>
      </c>
      <c r="D820" t="inlineStr">
        <is>
          <t>VÄSTERBOTTENS LÄN</t>
        </is>
      </c>
      <c r="E820" t="inlineStr">
        <is>
          <t>VILHELMINA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52746-2023</t>
        </is>
      </c>
      <c r="B821" s="1" t="n">
        <v>45225.96753472222</v>
      </c>
      <c r="C821" s="1" t="n">
        <v>46110</v>
      </c>
      <c r="D821" t="inlineStr">
        <is>
          <t>VÄSTERBOTTENS LÄN</t>
        </is>
      </c>
      <c r="E821" t="inlineStr">
        <is>
          <t>VILHELMINA</t>
        </is>
      </c>
      <c r="F821" t="inlineStr">
        <is>
          <t>SCA</t>
        </is>
      </c>
      <c r="G821" t="n">
        <v>10.4</v>
      </c>
      <c r="H821" t="n">
        <v>0</v>
      </c>
      <c r="I821" t="n">
        <v>0</v>
      </c>
      <c r="J821" t="n">
        <v>0</v>
      </c>
      <c r="K821" t="n">
        <v>0</v>
      </c>
      <c r="L821" t="n">
        <v>0</v>
      </c>
      <c r="M821" t="n">
        <v>0</v>
      </c>
      <c r="N821" t="n">
        <v>0</v>
      </c>
      <c r="O821" t="n">
        <v>0</v>
      </c>
      <c r="P821" t="n">
        <v>0</v>
      </c>
      <c r="Q821" t="n">
        <v>0</v>
      </c>
      <c r="R821" s="2" t="inlineStr"/>
    </row>
    <row r="822" ht="15" customHeight="1">
      <c r="A822" t="inlineStr">
        <is>
          <t>A 55326-2023</t>
        </is>
      </c>
      <c r="B822" s="1" t="n">
        <v>45237.97364583334</v>
      </c>
      <c r="C822" s="1" t="n">
        <v>46110</v>
      </c>
      <c r="D822" t="inlineStr">
        <is>
          <t>VÄSTERBOTTENS LÄN</t>
        </is>
      </c>
      <c r="E822" t="inlineStr">
        <is>
          <t>VILHELMINA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27918-2022</t>
        </is>
      </c>
      <c r="B823" s="1" t="n">
        <v>44743.94145833333</v>
      </c>
      <c r="C823" s="1" t="n">
        <v>46110</v>
      </c>
      <c r="D823" t="inlineStr">
        <is>
          <t>VÄSTERBOTTENS LÄN</t>
        </is>
      </c>
      <c r="E823" t="inlineStr">
        <is>
          <t>VILHELMINA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58833-2023</t>
        </is>
      </c>
      <c r="B824" s="1" t="n">
        <v>45248</v>
      </c>
      <c r="C824" s="1" t="n">
        <v>46110</v>
      </c>
      <c r="D824" t="inlineStr">
        <is>
          <t>VÄSTERBOTTENS LÄN</t>
        </is>
      </c>
      <c r="E824" t="inlineStr">
        <is>
          <t>VILHELMINA</t>
        </is>
      </c>
      <c r="G824" t="n">
        <v>1.5</v>
      </c>
      <c r="H824" t="n">
        <v>0</v>
      </c>
      <c r="I824" t="n">
        <v>0</v>
      </c>
      <c r="J824" t="n">
        <v>0</v>
      </c>
      <c r="K824" t="n">
        <v>0</v>
      </c>
      <c r="L824" t="n">
        <v>0</v>
      </c>
      <c r="M824" t="n">
        <v>0</v>
      </c>
      <c r="N824" t="n">
        <v>0</v>
      </c>
      <c r="O824" t="n">
        <v>0</v>
      </c>
      <c r="P824" t="n">
        <v>0</v>
      </c>
      <c r="Q824" t="n">
        <v>0</v>
      </c>
      <c r="R824" s="2" t="inlineStr"/>
    </row>
    <row r="825" ht="15" customHeight="1">
      <c r="A825" t="inlineStr">
        <is>
          <t>A 60035-2023</t>
        </is>
      </c>
      <c r="B825" s="1" t="n">
        <v>45254</v>
      </c>
      <c r="C825" s="1" t="n">
        <v>46110</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45672-2023</t>
        </is>
      </c>
      <c r="B826" s="1" t="n">
        <v>45194</v>
      </c>
      <c r="C826" s="1" t="n">
        <v>46110</v>
      </c>
      <c r="D826" t="inlineStr">
        <is>
          <t>VÄSTERBOTTENS LÄN</t>
        </is>
      </c>
      <c r="E826" t="inlineStr">
        <is>
          <t>VILHELMINA</t>
        </is>
      </c>
      <c r="G826" t="n">
        <v>1.5</v>
      </c>
      <c r="H826" t="n">
        <v>0</v>
      </c>
      <c r="I826" t="n">
        <v>0</v>
      </c>
      <c r="J826" t="n">
        <v>0</v>
      </c>
      <c r="K826" t="n">
        <v>0</v>
      </c>
      <c r="L826" t="n">
        <v>0</v>
      </c>
      <c r="M826" t="n">
        <v>0</v>
      </c>
      <c r="N826" t="n">
        <v>0</v>
      </c>
      <c r="O826" t="n">
        <v>0</v>
      </c>
      <c r="P826" t="n">
        <v>0</v>
      </c>
      <c r="Q826" t="n">
        <v>0</v>
      </c>
      <c r="R826" s="2" t="inlineStr"/>
    </row>
    <row r="827" ht="15" customHeight="1">
      <c r="A827" t="inlineStr">
        <is>
          <t>A 28486-2022</t>
        </is>
      </c>
      <c r="B827" s="1" t="n">
        <v>44747</v>
      </c>
      <c r="C827" s="1" t="n">
        <v>46110</v>
      </c>
      <c r="D827" t="inlineStr">
        <is>
          <t>VÄSTERBOTTENS LÄN</t>
        </is>
      </c>
      <c r="E827" t="inlineStr">
        <is>
          <t>VILHELMINA</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26663-2023</t>
        </is>
      </c>
      <c r="B828" s="1" t="n">
        <v>45092.94042824074</v>
      </c>
      <c r="C828" s="1" t="n">
        <v>46110</v>
      </c>
      <c r="D828" t="inlineStr">
        <is>
          <t>VÄSTERBOTTENS LÄN</t>
        </is>
      </c>
      <c r="E828" t="inlineStr">
        <is>
          <t>VILHELMINA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63877-2023</t>
        </is>
      </c>
      <c r="B829" s="1" t="n">
        <v>45278</v>
      </c>
      <c r="C829" s="1" t="n">
        <v>46110</v>
      </c>
      <c r="D829" t="inlineStr">
        <is>
          <t>VÄSTERBOTTENS LÄN</t>
        </is>
      </c>
      <c r="E829" t="inlineStr">
        <is>
          <t>VILHELMINA</t>
        </is>
      </c>
      <c r="G829" t="n">
        <v>1.2</v>
      </c>
      <c r="H829" t="n">
        <v>0</v>
      </c>
      <c r="I829" t="n">
        <v>0</v>
      </c>
      <c r="J829" t="n">
        <v>0</v>
      </c>
      <c r="K829" t="n">
        <v>0</v>
      </c>
      <c r="L829" t="n">
        <v>0</v>
      </c>
      <c r="M829" t="n">
        <v>0</v>
      </c>
      <c r="N829" t="n">
        <v>0</v>
      </c>
      <c r="O829" t="n">
        <v>0</v>
      </c>
      <c r="P829" t="n">
        <v>0</v>
      </c>
      <c r="Q829" t="n">
        <v>0</v>
      </c>
      <c r="R829" s="2" t="inlineStr"/>
    </row>
    <row r="830" ht="15" customHeight="1">
      <c r="A830" t="inlineStr">
        <is>
          <t>A 48472-2023</t>
        </is>
      </c>
      <c r="B830" s="1" t="n">
        <v>45206.95761574074</v>
      </c>
      <c r="C830" s="1" t="n">
        <v>46110</v>
      </c>
      <c r="D830" t="inlineStr">
        <is>
          <t>VÄSTERBOTTENS LÄN</t>
        </is>
      </c>
      <c r="E830" t="inlineStr">
        <is>
          <t>VILHELMINA</t>
        </is>
      </c>
      <c r="F830" t="inlineStr">
        <is>
          <t>SCA</t>
        </is>
      </c>
      <c r="G830" t="n">
        <v>4.6</v>
      </c>
      <c r="H830" t="n">
        <v>0</v>
      </c>
      <c r="I830" t="n">
        <v>0</v>
      </c>
      <c r="J830" t="n">
        <v>0</v>
      </c>
      <c r="K830" t="n">
        <v>0</v>
      </c>
      <c r="L830" t="n">
        <v>0</v>
      </c>
      <c r="M830" t="n">
        <v>0</v>
      </c>
      <c r="N830" t="n">
        <v>0</v>
      </c>
      <c r="O830" t="n">
        <v>0</v>
      </c>
      <c r="P830" t="n">
        <v>0</v>
      </c>
      <c r="Q830" t="n">
        <v>0</v>
      </c>
      <c r="R830" s="2" t="inlineStr"/>
    </row>
    <row r="831" ht="15" customHeight="1">
      <c r="A831" t="inlineStr">
        <is>
          <t>A 43637-2023</t>
        </is>
      </c>
      <c r="B831" s="1" t="n">
        <v>45186.51590277778</v>
      </c>
      <c r="C831" s="1" t="n">
        <v>46110</v>
      </c>
      <c r="D831" t="inlineStr">
        <is>
          <t>VÄSTERBOTTENS LÄN</t>
        </is>
      </c>
      <c r="E831" t="inlineStr">
        <is>
          <t>VILHELMINA</t>
        </is>
      </c>
      <c r="G831" t="n">
        <v>3.3</v>
      </c>
      <c r="H831" t="n">
        <v>0</v>
      </c>
      <c r="I831" t="n">
        <v>0</v>
      </c>
      <c r="J831" t="n">
        <v>0</v>
      </c>
      <c r="K831" t="n">
        <v>0</v>
      </c>
      <c r="L831" t="n">
        <v>0</v>
      </c>
      <c r="M831" t="n">
        <v>0</v>
      </c>
      <c r="N831" t="n">
        <v>0</v>
      </c>
      <c r="O831" t="n">
        <v>0</v>
      </c>
      <c r="P831" t="n">
        <v>0</v>
      </c>
      <c r="Q831" t="n">
        <v>0</v>
      </c>
      <c r="R831" s="2" t="inlineStr"/>
    </row>
    <row r="832" ht="15" customHeight="1">
      <c r="A832" t="inlineStr">
        <is>
          <t>A 16608-2024</t>
        </is>
      </c>
      <c r="B832" s="1" t="n">
        <v>45408</v>
      </c>
      <c r="C832" s="1" t="n">
        <v>46110</v>
      </c>
      <c r="D832" t="inlineStr">
        <is>
          <t>VÄSTERBOTTENS LÄN</t>
        </is>
      </c>
      <c r="E832" t="inlineStr">
        <is>
          <t>VILHELMINA</t>
        </is>
      </c>
      <c r="G832" t="n">
        <v>17.5</v>
      </c>
      <c r="H832" t="n">
        <v>0</v>
      </c>
      <c r="I832" t="n">
        <v>0</v>
      </c>
      <c r="J832" t="n">
        <v>0</v>
      </c>
      <c r="K832" t="n">
        <v>0</v>
      </c>
      <c r="L832" t="n">
        <v>0</v>
      </c>
      <c r="M832" t="n">
        <v>0</v>
      </c>
      <c r="N832" t="n">
        <v>0</v>
      </c>
      <c r="O832" t="n">
        <v>0</v>
      </c>
      <c r="P832" t="n">
        <v>0</v>
      </c>
      <c r="Q832" t="n">
        <v>0</v>
      </c>
      <c r="R832" s="2" t="inlineStr"/>
    </row>
    <row r="833" ht="15" customHeight="1">
      <c r="A833" t="inlineStr">
        <is>
          <t>A 26381-2024</t>
        </is>
      </c>
      <c r="B833" s="1" t="n">
        <v>45469</v>
      </c>
      <c r="C833" s="1" t="n">
        <v>46110</v>
      </c>
      <c r="D833" t="inlineStr">
        <is>
          <t>VÄSTERBOTTENS LÄN</t>
        </is>
      </c>
      <c r="E833" t="inlineStr">
        <is>
          <t>VILHELMINA</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47483-2023</t>
        </is>
      </c>
      <c r="B834" s="1" t="n">
        <v>45202.9413425926</v>
      </c>
      <c r="C834" s="1" t="n">
        <v>46110</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17186-2025</t>
        </is>
      </c>
      <c r="B835" s="1" t="n">
        <v>45756</v>
      </c>
      <c r="C835" s="1" t="n">
        <v>46110</v>
      </c>
      <c r="D835" t="inlineStr">
        <is>
          <t>VÄSTERBOTTENS LÄN</t>
        </is>
      </c>
      <c r="E835" t="inlineStr">
        <is>
          <t>VILHELMINA</t>
        </is>
      </c>
      <c r="F835" t="inlineStr">
        <is>
          <t>SCA</t>
        </is>
      </c>
      <c r="G835" t="n">
        <v>12.3</v>
      </c>
      <c r="H835" t="n">
        <v>0</v>
      </c>
      <c r="I835" t="n">
        <v>0</v>
      </c>
      <c r="J835" t="n">
        <v>0</v>
      </c>
      <c r="K835" t="n">
        <v>0</v>
      </c>
      <c r="L835" t="n">
        <v>0</v>
      </c>
      <c r="M835" t="n">
        <v>0</v>
      </c>
      <c r="N835" t="n">
        <v>0</v>
      </c>
      <c r="O835" t="n">
        <v>0</v>
      </c>
      <c r="P835" t="n">
        <v>0</v>
      </c>
      <c r="Q835" t="n">
        <v>0</v>
      </c>
      <c r="R835" s="2" t="inlineStr"/>
    </row>
    <row r="836" ht="15" customHeight="1">
      <c r="A836" t="inlineStr">
        <is>
          <t>A 17302-2025</t>
        </is>
      </c>
      <c r="B836" s="1" t="n">
        <v>45756</v>
      </c>
      <c r="C836" s="1" t="n">
        <v>46110</v>
      </c>
      <c r="D836" t="inlineStr">
        <is>
          <t>VÄSTERBOTTENS LÄN</t>
        </is>
      </c>
      <c r="E836" t="inlineStr">
        <is>
          <t>VILHELMINA</t>
        </is>
      </c>
      <c r="G836" t="n">
        <v>6.6</v>
      </c>
      <c r="H836" t="n">
        <v>0</v>
      </c>
      <c r="I836" t="n">
        <v>0</v>
      </c>
      <c r="J836" t="n">
        <v>0</v>
      </c>
      <c r="K836" t="n">
        <v>0</v>
      </c>
      <c r="L836" t="n">
        <v>0</v>
      </c>
      <c r="M836" t="n">
        <v>0</v>
      </c>
      <c r="N836" t="n">
        <v>0</v>
      </c>
      <c r="O836" t="n">
        <v>0</v>
      </c>
      <c r="P836" t="n">
        <v>0</v>
      </c>
      <c r="Q836" t="n">
        <v>0</v>
      </c>
      <c r="R836" s="2" t="inlineStr"/>
    </row>
    <row r="837" ht="15" customHeight="1">
      <c r="A837" t="inlineStr">
        <is>
          <t>A 17314-2025</t>
        </is>
      </c>
      <c r="B837" s="1" t="n">
        <v>45756</v>
      </c>
      <c r="C837" s="1" t="n">
        <v>46110</v>
      </c>
      <c r="D837" t="inlineStr">
        <is>
          <t>VÄSTERBOTTENS LÄN</t>
        </is>
      </c>
      <c r="E837" t="inlineStr">
        <is>
          <t>VILHELMINA</t>
        </is>
      </c>
      <c r="G837" t="n">
        <v>3.4</v>
      </c>
      <c r="H837" t="n">
        <v>0</v>
      </c>
      <c r="I837" t="n">
        <v>0</v>
      </c>
      <c r="J837" t="n">
        <v>0</v>
      </c>
      <c r="K837" t="n">
        <v>0</v>
      </c>
      <c r="L837" t="n">
        <v>0</v>
      </c>
      <c r="M837" t="n">
        <v>0</v>
      </c>
      <c r="N837" t="n">
        <v>0</v>
      </c>
      <c r="O837" t="n">
        <v>0</v>
      </c>
      <c r="P837" t="n">
        <v>0</v>
      </c>
      <c r="Q837" t="n">
        <v>0</v>
      </c>
      <c r="R837" s="2" t="inlineStr"/>
    </row>
    <row r="838" ht="15" customHeight="1">
      <c r="A838" t="inlineStr">
        <is>
          <t>A 8215-2023</t>
        </is>
      </c>
      <c r="B838" s="1" t="n">
        <v>44971</v>
      </c>
      <c r="C838" s="1" t="n">
        <v>46110</v>
      </c>
      <c r="D838" t="inlineStr">
        <is>
          <t>VÄSTERBOTTENS LÄN</t>
        </is>
      </c>
      <c r="E838" t="inlineStr">
        <is>
          <t>VILHELMINA</t>
        </is>
      </c>
      <c r="G838" t="n">
        <v>0.8</v>
      </c>
      <c r="H838" t="n">
        <v>0</v>
      </c>
      <c r="I838" t="n">
        <v>0</v>
      </c>
      <c r="J838" t="n">
        <v>0</v>
      </c>
      <c r="K838" t="n">
        <v>0</v>
      </c>
      <c r="L838" t="n">
        <v>0</v>
      </c>
      <c r="M838" t="n">
        <v>0</v>
      </c>
      <c r="N838" t="n">
        <v>0</v>
      </c>
      <c r="O838" t="n">
        <v>0</v>
      </c>
      <c r="P838" t="n">
        <v>0</v>
      </c>
      <c r="Q838" t="n">
        <v>0</v>
      </c>
      <c r="R838" s="2" t="inlineStr"/>
    </row>
    <row r="839" ht="15" customHeight="1">
      <c r="A839" t="inlineStr">
        <is>
          <t>A 48754-2021</t>
        </is>
      </c>
      <c r="B839" s="1" t="n">
        <v>44452</v>
      </c>
      <c r="C839" s="1" t="n">
        <v>46110</v>
      </c>
      <c r="D839" t="inlineStr">
        <is>
          <t>VÄSTERBOTTENS LÄN</t>
        </is>
      </c>
      <c r="E839" t="inlineStr">
        <is>
          <t>VILHELMINA</t>
        </is>
      </c>
      <c r="G839" t="n">
        <v>5.6</v>
      </c>
      <c r="H839" t="n">
        <v>0</v>
      </c>
      <c r="I839" t="n">
        <v>0</v>
      </c>
      <c r="J839" t="n">
        <v>0</v>
      </c>
      <c r="K839" t="n">
        <v>0</v>
      </c>
      <c r="L839" t="n">
        <v>0</v>
      </c>
      <c r="M839" t="n">
        <v>0</v>
      </c>
      <c r="N839" t="n">
        <v>0</v>
      </c>
      <c r="O839" t="n">
        <v>0</v>
      </c>
      <c r="P839" t="n">
        <v>0</v>
      </c>
      <c r="Q839" t="n">
        <v>0</v>
      </c>
      <c r="R839" s="2" t="inlineStr"/>
    </row>
    <row r="840" ht="15" customHeight="1">
      <c r="A840" t="inlineStr">
        <is>
          <t>A 48756-2021</t>
        </is>
      </c>
      <c r="B840" s="1" t="n">
        <v>44452</v>
      </c>
      <c r="C840" s="1" t="n">
        <v>46110</v>
      </c>
      <c r="D840" t="inlineStr">
        <is>
          <t>VÄSTERBOTTENS LÄN</t>
        </is>
      </c>
      <c r="E840" t="inlineStr">
        <is>
          <t>VILHELMINA</t>
        </is>
      </c>
      <c r="G840" t="n">
        <v>13.3</v>
      </c>
      <c r="H840" t="n">
        <v>0</v>
      </c>
      <c r="I840" t="n">
        <v>0</v>
      </c>
      <c r="J840" t="n">
        <v>0</v>
      </c>
      <c r="K840" t="n">
        <v>0</v>
      </c>
      <c r="L840" t="n">
        <v>0</v>
      </c>
      <c r="M840" t="n">
        <v>0</v>
      </c>
      <c r="N840" t="n">
        <v>0</v>
      </c>
      <c r="O840" t="n">
        <v>0</v>
      </c>
      <c r="P840" t="n">
        <v>0</v>
      </c>
      <c r="Q840" t="n">
        <v>0</v>
      </c>
      <c r="R840" s="2" t="inlineStr"/>
    </row>
    <row r="841" ht="15" customHeight="1">
      <c r="A841" t="inlineStr">
        <is>
          <t>A 20510-2024</t>
        </is>
      </c>
      <c r="B841" s="1" t="n">
        <v>45435.94324074074</v>
      </c>
      <c r="C841" s="1" t="n">
        <v>46110</v>
      </c>
      <c r="D841" t="inlineStr">
        <is>
          <t>VÄSTERBOTTENS LÄN</t>
        </is>
      </c>
      <c r="E841" t="inlineStr">
        <is>
          <t>VILHELMINA</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20523-2024</t>
        </is>
      </c>
      <c r="B842" s="1" t="n">
        <v>45435.94553240741</v>
      </c>
      <c r="C842" s="1" t="n">
        <v>46110</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32455-2024</t>
        </is>
      </c>
      <c r="B843" s="1" t="n">
        <v>45512.95870370371</v>
      </c>
      <c r="C843" s="1" t="n">
        <v>46110</v>
      </c>
      <c r="D843" t="inlineStr">
        <is>
          <t>VÄSTERBOTTENS LÄN</t>
        </is>
      </c>
      <c r="E843" t="inlineStr">
        <is>
          <t>VILHELMINA</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46110</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41484-2022</t>
        </is>
      </c>
      <c r="B845" s="1" t="n">
        <v>44826</v>
      </c>
      <c r="C845" s="1" t="n">
        <v>46110</v>
      </c>
      <c r="D845" t="inlineStr">
        <is>
          <t>VÄSTERBOTTENS LÄN</t>
        </is>
      </c>
      <c r="E845" t="inlineStr">
        <is>
          <t>VILHELMINA</t>
        </is>
      </c>
      <c r="F845" t="inlineStr">
        <is>
          <t>SCA</t>
        </is>
      </c>
      <c r="G845" t="n">
        <v>18.1</v>
      </c>
      <c r="H845" t="n">
        <v>0</v>
      </c>
      <c r="I845" t="n">
        <v>0</v>
      </c>
      <c r="J845" t="n">
        <v>0</v>
      </c>
      <c r="K845" t="n">
        <v>0</v>
      </c>
      <c r="L845" t="n">
        <v>0</v>
      </c>
      <c r="M845" t="n">
        <v>0</v>
      </c>
      <c r="N845" t="n">
        <v>0</v>
      </c>
      <c r="O845" t="n">
        <v>0</v>
      </c>
      <c r="P845" t="n">
        <v>0</v>
      </c>
      <c r="Q845" t="n">
        <v>0</v>
      </c>
      <c r="R845" s="2" t="inlineStr"/>
    </row>
    <row r="846" ht="15" customHeight="1">
      <c r="A846" t="inlineStr">
        <is>
          <t>A 47253-2022</t>
        </is>
      </c>
      <c r="B846" s="1" t="n">
        <v>44852</v>
      </c>
      <c r="C846" s="1" t="n">
        <v>46110</v>
      </c>
      <c r="D846" t="inlineStr">
        <is>
          <t>VÄSTERBOTTENS LÄN</t>
        </is>
      </c>
      <c r="E846" t="inlineStr">
        <is>
          <t>VILHELMINA</t>
        </is>
      </c>
      <c r="F846" t="inlineStr">
        <is>
          <t>SCA</t>
        </is>
      </c>
      <c r="G846" t="n">
        <v>0.3</v>
      </c>
      <c r="H846" t="n">
        <v>0</v>
      </c>
      <c r="I846" t="n">
        <v>0</v>
      </c>
      <c r="J846" t="n">
        <v>0</v>
      </c>
      <c r="K846" t="n">
        <v>0</v>
      </c>
      <c r="L846" t="n">
        <v>0</v>
      </c>
      <c r="M846" t="n">
        <v>0</v>
      </c>
      <c r="N846" t="n">
        <v>0</v>
      </c>
      <c r="O846" t="n">
        <v>0</v>
      </c>
      <c r="P846" t="n">
        <v>0</v>
      </c>
      <c r="Q846" t="n">
        <v>0</v>
      </c>
      <c r="R846" s="2" t="inlineStr"/>
    </row>
    <row r="847" ht="15" customHeight="1">
      <c r="A847" t="inlineStr">
        <is>
          <t>A 35412-2024</t>
        </is>
      </c>
      <c r="B847" s="1" t="n">
        <v>45531.4075</v>
      </c>
      <c r="C847" s="1" t="n">
        <v>46110</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14961-2022</t>
        </is>
      </c>
      <c r="B848" s="1" t="n">
        <v>44657</v>
      </c>
      <c r="C848" s="1" t="n">
        <v>46110</v>
      </c>
      <c r="D848" t="inlineStr">
        <is>
          <t>VÄSTERBOTTENS LÄN</t>
        </is>
      </c>
      <c r="E848" t="inlineStr">
        <is>
          <t>VILHELMINA</t>
        </is>
      </c>
      <c r="G848" t="n">
        <v>19.9</v>
      </c>
      <c r="H848" t="n">
        <v>0</v>
      </c>
      <c r="I848" t="n">
        <v>0</v>
      </c>
      <c r="J848" t="n">
        <v>0</v>
      </c>
      <c r="K848" t="n">
        <v>0</v>
      </c>
      <c r="L848" t="n">
        <v>0</v>
      </c>
      <c r="M848" t="n">
        <v>0</v>
      </c>
      <c r="N848" t="n">
        <v>0</v>
      </c>
      <c r="O848" t="n">
        <v>0</v>
      </c>
      <c r="P848" t="n">
        <v>0</v>
      </c>
      <c r="Q848" t="n">
        <v>0</v>
      </c>
      <c r="R848" s="2" t="inlineStr"/>
    </row>
    <row r="849" ht="15" customHeight="1">
      <c r="A849" t="inlineStr">
        <is>
          <t>A 44634-2024</t>
        </is>
      </c>
      <c r="B849" s="1" t="n">
        <v>45574</v>
      </c>
      <c r="C849" s="1" t="n">
        <v>46110</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66952-2021</t>
        </is>
      </c>
      <c r="B850" s="1" t="n">
        <v>44522</v>
      </c>
      <c r="C850" s="1" t="n">
        <v>46110</v>
      </c>
      <c r="D850" t="inlineStr">
        <is>
          <t>VÄSTERBOTTENS LÄN</t>
        </is>
      </c>
      <c r="E850" t="inlineStr">
        <is>
          <t>VILHELMINA</t>
        </is>
      </c>
      <c r="F850" t="inlineStr">
        <is>
          <t>Allmännings- och besparingsskogar</t>
        </is>
      </c>
      <c r="G850" t="n">
        <v>70</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46110</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46110</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46110</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46110</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29922-2024</t>
        </is>
      </c>
      <c r="B855" s="1" t="n">
        <v>45487.9563425926</v>
      </c>
      <c r="C855" s="1" t="n">
        <v>46110</v>
      </c>
      <c r="D855" t="inlineStr">
        <is>
          <t>VÄSTERBOTTENS LÄN</t>
        </is>
      </c>
      <c r="E855" t="inlineStr">
        <is>
          <t>VILHELMINA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12365-2025</t>
        </is>
      </c>
      <c r="B856" s="1" t="n">
        <v>45730.37549768519</v>
      </c>
      <c r="C856" s="1" t="n">
        <v>46110</v>
      </c>
      <c r="D856" t="inlineStr">
        <is>
          <t>VÄSTERBOTTENS LÄN</t>
        </is>
      </c>
      <c r="E856" t="inlineStr">
        <is>
          <t>VILHELMINA</t>
        </is>
      </c>
      <c r="F856" t="inlineStr">
        <is>
          <t>Övriga statliga verk och myndigheter</t>
        </is>
      </c>
      <c r="G856" t="n">
        <v>11.5</v>
      </c>
      <c r="H856" t="n">
        <v>0</v>
      </c>
      <c r="I856" t="n">
        <v>0</v>
      </c>
      <c r="J856" t="n">
        <v>0</v>
      </c>
      <c r="K856" t="n">
        <v>0</v>
      </c>
      <c r="L856" t="n">
        <v>0</v>
      </c>
      <c r="M856" t="n">
        <v>0</v>
      </c>
      <c r="N856" t="n">
        <v>0</v>
      </c>
      <c r="O856" t="n">
        <v>0</v>
      </c>
      <c r="P856" t="n">
        <v>0</v>
      </c>
      <c r="Q856" t="n">
        <v>0</v>
      </c>
      <c r="R856" s="2" t="inlineStr"/>
    </row>
    <row r="857" ht="15" customHeight="1">
      <c r="A857" t="inlineStr">
        <is>
          <t>A 12370-2025</t>
        </is>
      </c>
      <c r="B857" s="1" t="n">
        <v>45730.37681712963</v>
      </c>
      <c r="C857" s="1" t="n">
        <v>46110</v>
      </c>
      <c r="D857" t="inlineStr">
        <is>
          <t>VÄSTERBOTTENS LÄN</t>
        </is>
      </c>
      <c r="E857" t="inlineStr">
        <is>
          <t>VILHELMINA</t>
        </is>
      </c>
      <c r="F857" t="inlineStr">
        <is>
          <t>Övriga statliga verk och myndigheter</t>
        </is>
      </c>
      <c r="G857" t="n">
        <v>8.9</v>
      </c>
      <c r="H857" t="n">
        <v>0</v>
      </c>
      <c r="I857" t="n">
        <v>0</v>
      </c>
      <c r="J857" t="n">
        <v>0</v>
      </c>
      <c r="K857" t="n">
        <v>0</v>
      </c>
      <c r="L857" t="n">
        <v>0</v>
      </c>
      <c r="M857" t="n">
        <v>0</v>
      </c>
      <c r="N857" t="n">
        <v>0</v>
      </c>
      <c r="O857" t="n">
        <v>0</v>
      </c>
      <c r="P857" t="n">
        <v>0</v>
      </c>
      <c r="Q857" t="n">
        <v>0</v>
      </c>
      <c r="R857" s="2" t="inlineStr"/>
    </row>
    <row r="858" ht="15" customHeight="1">
      <c r="A858" t="inlineStr">
        <is>
          <t>A 2022-2024</t>
        </is>
      </c>
      <c r="B858" s="1" t="n">
        <v>45308</v>
      </c>
      <c r="C858" s="1" t="n">
        <v>46110</v>
      </c>
      <c r="D858" t="inlineStr">
        <is>
          <t>VÄSTERBOTTENS LÄN</t>
        </is>
      </c>
      <c r="E858" t="inlineStr">
        <is>
          <t>VILHELMINA</t>
        </is>
      </c>
      <c r="G858" t="n">
        <v>8.5</v>
      </c>
      <c r="H858" t="n">
        <v>0</v>
      </c>
      <c r="I858" t="n">
        <v>0</v>
      </c>
      <c r="J858" t="n">
        <v>0</v>
      </c>
      <c r="K858" t="n">
        <v>0</v>
      </c>
      <c r="L858" t="n">
        <v>0</v>
      </c>
      <c r="M858" t="n">
        <v>0</v>
      </c>
      <c r="N858" t="n">
        <v>0</v>
      </c>
      <c r="O858" t="n">
        <v>0</v>
      </c>
      <c r="P858" t="n">
        <v>0</v>
      </c>
      <c r="Q858" t="n">
        <v>0</v>
      </c>
      <c r="R858" s="2" t="inlineStr"/>
    </row>
    <row r="859" ht="15" customHeight="1">
      <c r="A859" t="inlineStr">
        <is>
          <t>A 17732-2024</t>
        </is>
      </c>
      <c r="B859" s="1" t="n">
        <v>45415</v>
      </c>
      <c r="C859" s="1" t="n">
        <v>46110</v>
      </c>
      <c r="D859" t="inlineStr">
        <is>
          <t>VÄSTERBOTTENS LÄN</t>
        </is>
      </c>
      <c r="E859" t="inlineStr">
        <is>
          <t>VILHELMINA</t>
        </is>
      </c>
      <c r="G859" t="n">
        <v>0.6</v>
      </c>
      <c r="H859" t="n">
        <v>0</v>
      </c>
      <c r="I859" t="n">
        <v>0</v>
      </c>
      <c r="J859" t="n">
        <v>0</v>
      </c>
      <c r="K859" t="n">
        <v>0</v>
      </c>
      <c r="L859" t="n">
        <v>0</v>
      </c>
      <c r="M859" t="n">
        <v>0</v>
      </c>
      <c r="N859" t="n">
        <v>0</v>
      </c>
      <c r="O859" t="n">
        <v>0</v>
      </c>
      <c r="P859" t="n">
        <v>0</v>
      </c>
      <c r="Q859" t="n">
        <v>0</v>
      </c>
      <c r="R859" s="2" t="inlineStr"/>
    </row>
    <row r="860" ht="15" customHeight="1">
      <c r="A860" t="inlineStr">
        <is>
          <t>A 34130-2024</t>
        </is>
      </c>
      <c r="B860" s="1" t="n">
        <v>45524.34668981482</v>
      </c>
      <c r="C860" s="1" t="n">
        <v>46110</v>
      </c>
      <c r="D860" t="inlineStr">
        <is>
          <t>VÄSTERBOTTENS LÄN</t>
        </is>
      </c>
      <c r="E860" t="inlineStr">
        <is>
          <t>VILHELMINA</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23176-2024</t>
        </is>
      </c>
      <c r="B861" s="1" t="n">
        <v>45450.94366898148</v>
      </c>
      <c r="C861" s="1" t="n">
        <v>46110</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49888-2024</t>
        </is>
      </c>
      <c r="B862" s="1" t="n">
        <v>45597.5109837963</v>
      </c>
      <c r="C862" s="1" t="n">
        <v>46110</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44516-2024</t>
        </is>
      </c>
      <c r="B863" s="1" t="n">
        <v>45574</v>
      </c>
      <c r="C863" s="1" t="n">
        <v>46110</v>
      </c>
      <c r="D863" t="inlineStr">
        <is>
          <t>VÄSTERBOTTENS LÄN</t>
        </is>
      </c>
      <c r="E863" t="inlineStr">
        <is>
          <t>VILHELMINA</t>
        </is>
      </c>
      <c r="G863" t="n">
        <v>2.9</v>
      </c>
      <c r="H863" t="n">
        <v>0</v>
      </c>
      <c r="I863" t="n">
        <v>0</v>
      </c>
      <c r="J863" t="n">
        <v>0</v>
      </c>
      <c r="K863" t="n">
        <v>0</v>
      </c>
      <c r="L863" t="n">
        <v>0</v>
      </c>
      <c r="M863" t="n">
        <v>0</v>
      </c>
      <c r="N863" t="n">
        <v>0</v>
      </c>
      <c r="O863" t="n">
        <v>0</v>
      </c>
      <c r="P863" t="n">
        <v>0</v>
      </c>
      <c r="Q863" t="n">
        <v>0</v>
      </c>
      <c r="R863" s="2" t="inlineStr"/>
    </row>
    <row r="864" ht="15" customHeight="1">
      <c r="A864" t="inlineStr">
        <is>
          <t>A 36320-2024</t>
        </is>
      </c>
      <c r="B864" s="1" t="n">
        <v>45534.63586805556</v>
      </c>
      <c r="C864" s="1" t="n">
        <v>46110</v>
      </c>
      <c r="D864" t="inlineStr">
        <is>
          <t>VÄSTERBOTTENS LÄN</t>
        </is>
      </c>
      <c r="E864" t="inlineStr">
        <is>
          <t>VILHELMINA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13768-2024</t>
        </is>
      </c>
      <c r="B865" s="1" t="n">
        <v>45390.95230324074</v>
      </c>
      <c r="C865" s="1" t="n">
        <v>46110</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53987-2021</t>
        </is>
      </c>
      <c r="B866" s="1" t="n">
        <v>44470.31884259259</v>
      </c>
      <c r="C866" s="1" t="n">
        <v>46110</v>
      </c>
      <c r="D866" t="inlineStr">
        <is>
          <t>VÄSTERBOTTENS LÄN</t>
        </is>
      </c>
      <c r="E866" t="inlineStr">
        <is>
          <t>VILHELMINA</t>
        </is>
      </c>
      <c r="F866" t="inlineStr">
        <is>
          <t>Kommuner</t>
        </is>
      </c>
      <c r="G866" t="n">
        <v>10</v>
      </c>
      <c r="H866" t="n">
        <v>0</v>
      </c>
      <c r="I866" t="n">
        <v>0</v>
      </c>
      <c r="J866" t="n">
        <v>0</v>
      </c>
      <c r="K866" t="n">
        <v>0</v>
      </c>
      <c r="L866" t="n">
        <v>0</v>
      </c>
      <c r="M866" t="n">
        <v>0</v>
      </c>
      <c r="N866" t="n">
        <v>0</v>
      </c>
      <c r="O866" t="n">
        <v>0</v>
      </c>
      <c r="P866" t="n">
        <v>0</v>
      </c>
      <c r="Q866" t="n">
        <v>0</v>
      </c>
      <c r="R866" s="2" t="inlineStr"/>
    </row>
    <row r="867" ht="15" customHeight="1">
      <c r="A867" t="inlineStr">
        <is>
          <t>A 32658-2021</t>
        </is>
      </c>
      <c r="B867" s="1" t="n">
        <v>44371</v>
      </c>
      <c r="C867" s="1" t="n">
        <v>46110</v>
      </c>
      <c r="D867" t="inlineStr">
        <is>
          <t>VÄSTERBOTTENS LÄN</t>
        </is>
      </c>
      <c r="E867" t="inlineStr">
        <is>
          <t>VILHELMINA</t>
        </is>
      </c>
      <c r="G867" t="n">
        <v>2.2</v>
      </c>
      <c r="H867" t="n">
        <v>0</v>
      </c>
      <c r="I867" t="n">
        <v>0</v>
      </c>
      <c r="J867" t="n">
        <v>0</v>
      </c>
      <c r="K867" t="n">
        <v>0</v>
      </c>
      <c r="L867" t="n">
        <v>0</v>
      </c>
      <c r="M867" t="n">
        <v>0</v>
      </c>
      <c r="N867" t="n">
        <v>0</v>
      </c>
      <c r="O867" t="n">
        <v>0</v>
      </c>
      <c r="P867" t="n">
        <v>0</v>
      </c>
      <c r="Q867" t="n">
        <v>0</v>
      </c>
      <c r="R867" s="2" t="inlineStr"/>
    </row>
    <row r="868" ht="15" customHeight="1">
      <c r="A868" t="inlineStr">
        <is>
          <t>A 29347-2021</t>
        </is>
      </c>
      <c r="B868" s="1" t="n">
        <v>44361</v>
      </c>
      <c r="C868" s="1" t="n">
        <v>46110</v>
      </c>
      <c r="D868" t="inlineStr">
        <is>
          <t>VÄSTERBOTTENS LÄN</t>
        </is>
      </c>
      <c r="E868" t="inlineStr">
        <is>
          <t>VILHELMINA</t>
        </is>
      </c>
      <c r="F868" t="inlineStr">
        <is>
          <t>Allmännings- och besparingsskogar</t>
        </is>
      </c>
      <c r="G868" t="n">
        <v>52</v>
      </c>
      <c r="H868" t="n">
        <v>0</v>
      </c>
      <c r="I868" t="n">
        <v>0</v>
      </c>
      <c r="J868" t="n">
        <v>0</v>
      </c>
      <c r="K868" t="n">
        <v>0</v>
      </c>
      <c r="L868" t="n">
        <v>0</v>
      </c>
      <c r="M868" t="n">
        <v>0</v>
      </c>
      <c r="N868" t="n">
        <v>0</v>
      </c>
      <c r="O868" t="n">
        <v>0</v>
      </c>
      <c r="P868" t="n">
        <v>0</v>
      </c>
      <c r="Q868" t="n">
        <v>0</v>
      </c>
      <c r="R868" s="2" t="inlineStr"/>
    </row>
    <row r="869" ht="15" customHeight="1">
      <c r="A869" t="inlineStr">
        <is>
          <t>A 30574-2024</t>
        </is>
      </c>
      <c r="B869" s="1" t="n">
        <v>45492.9580324074</v>
      </c>
      <c r="C869" s="1" t="n">
        <v>46110</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30681-2024</t>
        </is>
      </c>
      <c r="B870" s="1" t="n">
        <v>45495.9509837963</v>
      </c>
      <c r="C870" s="1" t="n">
        <v>46110</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40462-2024</t>
        </is>
      </c>
      <c r="B871" s="1" t="n">
        <v>45555.51084490741</v>
      </c>
      <c r="C871" s="1" t="n">
        <v>46110</v>
      </c>
      <c r="D871" t="inlineStr">
        <is>
          <t>VÄSTERBOTTENS LÄN</t>
        </is>
      </c>
      <c r="E871" t="inlineStr">
        <is>
          <t>VILHELMINA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10833-2022</t>
        </is>
      </c>
      <c r="B872" s="1" t="n">
        <v>44627</v>
      </c>
      <c r="C872" s="1" t="n">
        <v>46110</v>
      </c>
      <c r="D872" t="inlineStr">
        <is>
          <t>VÄSTERBOTTENS LÄN</t>
        </is>
      </c>
      <c r="E872" t="inlineStr">
        <is>
          <t>VILHELMINA</t>
        </is>
      </c>
      <c r="G872" t="n">
        <v>5.4</v>
      </c>
      <c r="H872" t="n">
        <v>0</v>
      </c>
      <c r="I872" t="n">
        <v>0</v>
      </c>
      <c r="J872" t="n">
        <v>0</v>
      </c>
      <c r="K872" t="n">
        <v>0</v>
      </c>
      <c r="L872" t="n">
        <v>0</v>
      </c>
      <c r="M872" t="n">
        <v>0</v>
      </c>
      <c r="N872" t="n">
        <v>0</v>
      </c>
      <c r="O872" t="n">
        <v>0</v>
      </c>
      <c r="P872" t="n">
        <v>0</v>
      </c>
      <c r="Q872" t="n">
        <v>0</v>
      </c>
      <c r="R872" s="2" t="inlineStr"/>
    </row>
    <row r="873" ht="15" customHeight="1">
      <c r="A873" t="inlineStr">
        <is>
          <t>A 46372-2021</t>
        </is>
      </c>
      <c r="B873" s="1" t="n">
        <v>44442.94226851852</v>
      </c>
      <c r="C873" s="1" t="n">
        <v>46110</v>
      </c>
      <c r="D873" t="inlineStr">
        <is>
          <t>VÄSTERBOTTENS LÄN</t>
        </is>
      </c>
      <c r="E873" t="inlineStr">
        <is>
          <t>VILHELMINA</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28722-2022</t>
        </is>
      </c>
      <c r="B874" s="1" t="n">
        <v>44748</v>
      </c>
      <c r="C874" s="1" t="n">
        <v>46110</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43251-2024</t>
        </is>
      </c>
      <c r="B875" s="1" t="n">
        <v>45568.34429398148</v>
      </c>
      <c r="C875" s="1" t="n">
        <v>46110</v>
      </c>
      <c r="D875" t="inlineStr">
        <is>
          <t>VÄSTERBOTTENS LÄN</t>
        </is>
      </c>
      <c r="E875" t="inlineStr">
        <is>
          <t>VILHELMINA</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12373-2024</t>
        </is>
      </c>
      <c r="B876" s="1" t="n">
        <v>45378</v>
      </c>
      <c r="C876" s="1" t="n">
        <v>46110</v>
      </c>
      <c r="D876" t="inlineStr">
        <is>
          <t>VÄSTERBOTTENS LÄN</t>
        </is>
      </c>
      <c r="E876" t="inlineStr">
        <is>
          <t>VILHELMINA</t>
        </is>
      </c>
      <c r="G876" t="n">
        <v>0.7</v>
      </c>
      <c r="H876" t="n">
        <v>0</v>
      </c>
      <c r="I876" t="n">
        <v>0</v>
      </c>
      <c r="J876" t="n">
        <v>0</v>
      </c>
      <c r="K876" t="n">
        <v>0</v>
      </c>
      <c r="L876" t="n">
        <v>0</v>
      </c>
      <c r="M876" t="n">
        <v>0</v>
      </c>
      <c r="N876" t="n">
        <v>0</v>
      </c>
      <c r="O876" t="n">
        <v>0</v>
      </c>
      <c r="P876" t="n">
        <v>0</v>
      </c>
      <c r="Q876" t="n">
        <v>0</v>
      </c>
      <c r="R876" s="2" t="inlineStr"/>
    </row>
    <row r="877" ht="15" customHeight="1">
      <c r="A877" t="inlineStr">
        <is>
          <t>A 21843-2024</t>
        </is>
      </c>
      <c r="B877" s="1" t="n">
        <v>45442.96064814815</v>
      </c>
      <c r="C877" s="1" t="n">
        <v>46110</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34819-2024</t>
        </is>
      </c>
      <c r="B878" s="1" t="n">
        <v>45526.71134259259</v>
      </c>
      <c r="C878" s="1" t="n">
        <v>46110</v>
      </c>
      <c r="D878" t="inlineStr">
        <is>
          <t>VÄSTERBOTTENS LÄN</t>
        </is>
      </c>
      <c r="E878" t="inlineStr">
        <is>
          <t>VILHELMINA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12043-2023</t>
        </is>
      </c>
      <c r="B879" s="1" t="n">
        <v>44995</v>
      </c>
      <c r="C879" s="1" t="n">
        <v>46110</v>
      </c>
      <c r="D879" t="inlineStr">
        <is>
          <t>VÄSTERBOTTENS LÄN</t>
        </is>
      </c>
      <c r="E879" t="inlineStr">
        <is>
          <t>VILHELMINA</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48117-2022</t>
        </is>
      </c>
      <c r="B880" s="1" t="n">
        <v>44857</v>
      </c>
      <c r="C880" s="1" t="n">
        <v>46110</v>
      </c>
      <c r="D880" t="inlineStr">
        <is>
          <t>VÄSTERBOTTENS LÄN</t>
        </is>
      </c>
      <c r="E880" t="inlineStr">
        <is>
          <t>VILHELMINA</t>
        </is>
      </c>
      <c r="G880" t="n">
        <v>5.6</v>
      </c>
      <c r="H880" t="n">
        <v>0</v>
      </c>
      <c r="I880" t="n">
        <v>0</v>
      </c>
      <c r="J880" t="n">
        <v>0</v>
      </c>
      <c r="K880" t="n">
        <v>0</v>
      </c>
      <c r="L880" t="n">
        <v>0</v>
      </c>
      <c r="M880" t="n">
        <v>0</v>
      </c>
      <c r="N880" t="n">
        <v>0</v>
      </c>
      <c r="O880" t="n">
        <v>0</v>
      </c>
      <c r="P880" t="n">
        <v>0</v>
      </c>
      <c r="Q880" t="n">
        <v>0</v>
      </c>
      <c r="R880" s="2" t="inlineStr"/>
    </row>
    <row r="881" ht="15" customHeight="1">
      <c r="A881" t="inlineStr">
        <is>
          <t>A 4869-2023</t>
        </is>
      </c>
      <c r="B881" s="1" t="n">
        <v>44957</v>
      </c>
      <c r="C881" s="1" t="n">
        <v>46110</v>
      </c>
      <c r="D881" t="inlineStr">
        <is>
          <t>VÄSTERBOTTENS LÄN</t>
        </is>
      </c>
      <c r="E881" t="inlineStr">
        <is>
          <t>VILHELMINA</t>
        </is>
      </c>
      <c r="G881" t="n">
        <v>5.7</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46110</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30572-2024</t>
        </is>
      </c>
      <c r="B883" s="1" t="n">
        <v>45492.95777777778</v>
      </c>
      <c r="C883" s="1" t="n">
        <v>46110</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30582-2024</t>
        </is>
      </c>
      <c r="B884" s="1" t="n">
        <v>45492</v>
      </c>
      <c r="C884" s="1" t="n">
        <v>46110</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55620-2024</t>
        </is>
      </c>
      <c r="B885" s="1" t="n">
        <v>45622</v>
      </c>
      <c r="C885" s="1" t="n">
        <v>46110</v>
      </c>
      <c r="D885" t="inlineStr">
        <is>
          <t>VÄSTERBOTTENS LÄN</t>
        </is>
      </c>
      <c r="E885" t="inlineStr">
        <is>
          <t>VILHELMINA</t>
        </is>
      </c>
      <c r="F885" t="inlineStr">
        <is>
          <t>SCA</t>
        </is>
      </c>
      <c r="G885" t="n">
        <v>21.4</v>
      </c>
      <c r="H885" t="n">
        <v>0</v>
      </c>
      <c r="I885" t="n">
        <v>0</v>
      </c>
      <c r="J885" t="n">
        <v>0</v>
      </c>
      <c r="K885" t="n">
        <v>0</v>
      </c>
      <c r="L885" t="n">
        <v>0</v>
      </c>
      <c r="M885" t="n">
        <v>0</v>
      </c>
      <c r="N885" t="n">
        <v>0</v>
      </c>
      <c r="O885" t="n">
        <v>0</v>
      </c>
      <c r="P885" t="n">
        <v>0</v>
      </c>
      <c r="Q885" t="n">
        <v>0</v>
      </c>
      <c r="R885" s="2" t="inlineStr"/>
    </row>
    <row r="886" ht="15" customHeight="1">
      <c r="A886" t="inlineStr">
        <is>
          <t>A 37320-2021</t>
        </is>
      </c>
      <c r="B886" s="1" t="n">
        <v>44397</v>
      </c>
      <c r="C886" s="1" t="n">
        <v>46110</v>
      </c>
      <c r="D886" t="inlineStr">
        <is>
          <t>VÄSTERBOTTENS LÄN</t>
        </is>
      </c>
      <c r="E886" t="inlineStr">
        <is>
          <t>VILHELMINA</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12362-2025</t>
        </is>
      </c>
      <c r="B887" s="1" t="n">
        <v>45730</v>
      </c>
      <c r="C887" s="1" t="n">
        <v>46110</v>
      </c>
      <c r="D887" t="inlineStr">
        <is>
          <t>VÄSTERBOTTENS LÄN</t>
        </is>
      </c>
      <c r="E887" t="inlineStr">
        <is>
          <t>VILHELMINA</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52740-2023</t>
        </is>
      </c>
      <c r="B888" s="1" t="n">
        <v>45225</v>
      </c>
      <c r="C888" s="1" t="n">
        <v>46110</v>
      </c>
      <c r="D888" t="inlineStr">
        <is>
          <t>VÄSTERBOTTENS LÄN</t>
        </is>
      </c>
      <c r="E888" t="inlineStr">
        <is>
          <t>VILHELMINA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46110</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46547-2023</t>
        </is>
      </c>
      <c r="B890" s="1" t="n">
        <v>45197.94158564815</v>
      </c>
      <c r="C890" s="1" t="n">
        <v>46110</v>
      </c>
      <c r="D890" t="inlineStr">
        <is>
          <t>VÄSTERBOTTENS LÄN</t>
        </is>
      </c>
      <c r="E890" t="inlineStr">
        <is>
          <t>VILHELMINA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14959-2022</t>
        </is>
      </c>
      <c r="B891" s="1" t="n">
        <v>44657</v>
      </c>
      <c r="C891" s="1" t="n">
        <v>46110</v>
      </c>
      <c r="D891" t="inlineStr">
        <is>
          <t>VÄSTERBOTTENS LÄN</t>
        </is>
      </c>
      <c r="E891" t="inlineStr">
        <is>
          <t>VILHELMINA</t>
        </is>
      </c>
      <c r="G891" t="n">
        <v>71.8</v>
      </c>
      <c r="H891" t="n">
        <v>0</v>
      </c>
      <c r="I891" t="n">
        <v>0</v>
      </c>
      <c r="J891" t="n">
        <v>0</v>
      </c>
      <c r="K891" t="n">
        <v>0</v>
      </c>
      <c r="L891" t="n">
        <v>0</v>
      </c>
      <c r="M891" t="n">
        <v>0</v>
      </c>
      <c r="N891" t="n">
        <v>0</v>
      </c>
      <c r="O891" t="n">
        <v>0</v>
      </c>
      <c r="P891" t="n">
        <v>0</v>
      </c>
      <c r="Q891" t="n">
        <v>0</v>
      </c>
      <c r="R891" s="2" t="inlineStr"/>
    </row>
    <row r="892" ht="15" customHeight="1">
      <c r="A892" t="inlineStr">
        <is>
          <t>A 12825-2023</t>
        </is>
      </c>
      <c r="B892" s="1" t="n">
        <v>45000</v>
      </c>
      <c r="C892" s="1" t="n">
        <v>46110</v>
      </c>
      <c r="D892" t="inlineStr">
        <is>
          <t>VÄSTERBOTTENS LÄN</t>
        </is>
      </c>
      <c r="E892" t="inlineStr">
        <is>
          <t>VILHELMINA</t>
        </is>
      </c>
      <c r="G892" t="n">
        <v>22.4</v>
      </c>
      <c r="H892" t="n">
        <v>0</v>
      </c>
      <c r="I892" t="n">
        <v>0</v>
      </c>
      <c r="J892" t="n">
        <v>0</v>
      </c>
      <c r="K892" t="n">
        <v>0</v>
      </c>
      <c r="L892" t="n">
        <v>0</v>
      </c>
      <c r="M892" t="n">
        <v>0</v>
      </c>
      <c r="N892" t="n">
        <v>0</v>
      </c>
      <c r="O892" t="n">
        <v>0</v>
      </c>
      <c r="P892" t="n">
        <v>0</v>
      </c>
      <c r="Q892" t="n">
        <v>0</v>
      </c>
      <c r="R892" s="2" t="inlineStr"/>
    </row>
    <row r="893" ht="15" customHeight="1">
      <c r="A893" t="inlineStr">
        <is>
          <t>A 19349-2024</t>
        </is>
      </c>
      <c r="B893" s="1" t="n">
        <v>45428.97231481481</v>
      </c>
      <c r="C893" s="1" t="n">
        <v>46110</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18692-2023</t>
        </is>
      </c>
      <c r="B894" s="1" t="n">
        <v>45042</v>
      </c>
      <c r="C894" s="1" t="n">
        <v>46110</v>
      </c>
      <c r="D894" t="inlineStr">
        <is>
          <t>VÄSTERBOTTENS LÄN</t>
        </is>
      </c>
      <c r="E894" t="inlineStr">
        <is>
          <t>VILHELMINA</t>
        </is>
      </c>
      <c r="F894" t="inlineStr">
        <is>
          <t>Allmännings- och besparingsskogar</t>
        </is>
      </c>
      <c r="G894" t="n">
        <v>0.6</v>
      </c>
      <c r="H894" t="n">
        <v>0</v>
      </c>
      <c r="I894" t="n">
        <v>0</v>
      </c>
      <c r="J894" t="n">
        <v>0</v>
      </c>
      <c r="K894" t="n">
        <v>0</v>
      </c>
      <c r="L894" t="n">
        <v>0</v>
      </c>
      <c r="M894" t="n">
        <v>0</v>
      </c>
      <c r="N894" t="n">
        <v>0</v>
      </c>
      <c r="O894" t="n">
        <v>0</v>
      </c>
      <c r="P894" t="n">
        <v>0</v>
      </c>
      <c r="Q894" t="n">
        <v>0</v>
      </c>
      <c r="R894" s="2" t="inlineStr"/>
    </row>
    <row r="895" ht="15" customHeight="1">
      <c r="A895" t="inlineStr">
        <is>
          <t>A 58363-2021</t>
        </is>
      </c>
      <c r="B895" s="1" t="n">
        <v>44488</v>
      </c>
      <c r="C895" s="1" t="n">
        <v>46110</v>
      </c>
      <c r="D895" t="inlineStr">
        <is>
          <t>VÄSTERBOTTENS LÄN</t>
        </is>
      </c>
      <c r="E895" t="inlineStr">
        <is>
          <t>VILHELMINA</t>
        </is>
      </c>
      <c r="G895" t="n">
        <v>7.3</v>
      </c>
      <c r="H895" t="n">
        <v>0</v>
      </c>
      <c r="I895" t="n">
        <v>0</v>
      </c>
      <c r="J895" t="n">
        <v>0</v>
      </c>
      <c r="K895" t="n">
        <v>0</v>
      </c>
      <c r="L895" t="n">
        <v>0</v>
      </c>
      <c r="M895" t="n">
        <v>0</v>
      </c>
      <c r="N895" t="n">
        <v>0</v>
      </c>
      <c r="O895" t="n">
        <v>0</v>
      </c>
      <c r="P895" t="n">
        <v>0</v>
      </c>
      <c r="Q895" t="n">
        <v>0</v>
      </c>
      <c r="R895" s="2" t="inlineStr"/>
    </row>
    <row r="896" ht="15" customHeight="1">
      <c r="A896" t="inlineStr">
        <is>
          <t>A 53606-2024</t>
        </is>
      </c>
      <c r="B896" s="1" t="n">
        <v>45614</v>
      </c>
      <c r="C896" s="1" t="n">
        <v>46110</v>
      </c>
      <c r="D896" t="inlineStr">
        <is>
          <t>VÄSTERBOTTENS LÄN</t>
        </is>
      </c>
      <c r="E896" t="inlineStr">
        <is>
          <t>VILHELMINA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46110</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28869-2024</t>
        </is>
      </c>
      <c r="B898" s="1" t="n">
        <v>45478.94722222222</v>
      </c>
      <c r="C898" s="1" t="n">
        <v>46110</v>
      </c>
      <c r="D898" t="inlineStr">
        <is>
          <t>VÄSTERBOTTENS LÄN</t>
        </is>
      </c>
      <c r="E898" t="inlineStr">
        <is>
          <t>VILHELMINA</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25102-2021</t>
        </is>
      </c>
      <c r="B899" s="1" t="n">
        <v>44341</v>
      </c>
      <c r="C899" s="1" t="n">
        <v>46110</v>
      </c>
      <c r="D899" t="inlineStr">
        <is>
          <t>VÄSTERBOTTENS LÄN</t>
        </is>
      </c>
      <c r="E899" t="inlineStr">
        <is>
          <t>VILHELMINA</t>
        </is>
      </c>
      <c r="G899" t="n">
        <v>6.7</v>
      </c>
      <c r="H899" t="n">
        <v>0</v>
      </c>
      <c r="I899" t="n">
        <v>0</v>
      </c>
      <c r="J899" t="n">
        <v>0</v>
      </c>
      <c r="K899" t="n">
        <v>0</v>
      </c>
      <c r="L899" t="n">
        <v>0</v>
      </c>
      <c r="M899" t="n">
        <v>0</v>
      </c>
      <c r="N899" t="n">
        <v>0</v>
      </c>
      <c r="O899" t="n">
        <v>0</v>
      </c>
      <c r="P899" t="n">
        <v>0</v>
      </c>
      <c r="Q899" t="n">
        <v>0</v>
      </c>
      <c r="R899" s="2" t="inlineStr"/>
    </row>
    <row r="900" ht="15" customHeight="1">
      <c r="A900" t="inlineStr">
        <is>
          <t>A 20322-2022</t>
        </is>
      </c>
      <c r="B900" s="1" t="n">
        <v>44698</v>
      </c>
      <c r="C900" s="1" t="n">
        <v>46110</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2742-2023</t>
        </is>
      </c>
      <c r="B901" s="1" t="n">
        <v>44943</v>
      </c>
      <c r="C901" s="1" t="n">
        <v>46110</v>
      </c>
      <c r="D901" t="inlineStr">
        <is>
          <t>VÄSTERBOTTENS LÄN</t>
        </is>
      </c>
      <c r="E901" t="inlineStr">
        <is>
          <t>VILHELMINA</t>
        </is>
      </c>
      <c r="G901" t="n">
        <v>34.8</v>
      </c>
      <c r="H901" t="n">
        <v>0</v>
      </c>
      <c r="I901" t="n">
        <v>0</v>
      </c>
      <c r="J901" t="n">
        <v>0</v>
      </c>
      <c r="K901" t="n">
        <v>0</v>
      </c>
      <c r="L901" t="n">
        <v>0</v>
      </c>
      <c r="M901" t="n">
        <v>0</v>
      </c>
      <c r="N901" t="n">
        <v>0</v>
      </c>
      <c r="O901" t="n">
        <v>0</v>
      </c>
      <c r="P901" t="n">
        <v>0</v>
      </c>
      <c r="Q901" t="n">
        <v>0</v>
      </c>
      <c r="R901" s="2" t="inlineStr"/>
    </row>
    <row r="902" ht="15" customHeight="1">
      <c r="A902" t="inlineStr">
        <is>
          <t>A 26947-2024</t>
        </is>
      </c>
      <c r="B902" s="1" t="n">
        <v>45470.9693287037</v>
      </c>
      <c r="C902" s="1" t="n">
        <v>46110</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26557-2023</t>
        </is>
      </c>
      <c r="B903" s="1" t="n">
        <v>45089</v>
      </c>
      <c r="C903" s="1" t="n">
        <v>46110</v>
      </c>
      <c r="D903" t="inlineStr">
        <is>
          <t>VÄSTERBOTTENS LÄN</t>
        </is>
      </c>
      <c r="E903" t="inlineStr">
        <is>
          <t>VILHELMINA</t>
        </is>
      </c>
      <c r="G903" t="n">
        <v>0.5</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45154.92628472222</v>
      </c>
      <c r="C904" s="1" t="n">
        <v>46110</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12784-2023</t>
        </is>
      </c>
      <c r="B905" s="1" t="n">
        <v>45000</v>
      </c>
      <c r="C905" s="1" t="n">
        <v>46110</v>
      </c>
      <c r="D905" t="inlineStr">
        <is>
          <t>VÄSTERBOTTENS LÄN</t>
        </is>
      </c>
      <c r="E905" t="inlineStr">
        <is>
          <t>VILHELMINA</t>
        </is>
      </c>
      <c r="G905" t="n">
        <v>18.6</v>
      </c>
      <c r="H905" t="n">
        <v>0</v>
      </c>
      <c r="I905" t="n">
        <v>0</v>
      </c>
      <c r="J905" t="n">
        <v>0</v>
      </c>
      <c r="K905" t="n">
        <v>0</v>
      </c>
      <c r="L905" t="n">
        <v>0</v>
      </c>
      <c r="M905" t="n">
        <v>0</v>
      </c>
      <c r="N905" t="n">
        <v>0</v>
      </c>
      <c r="O905" t="n">
        <v>0</v>
      </c>
      <c r="P905" t="n">
        <v>0</v>
      </c>
      <c r="Q905" t="n">
        <v>0</v>
      </c>
      <c r="R905" s="2" t="inlineStr"/>
    </row>
    <row r="906" ht="15" customHeight="1">
      <c r="A906" t="inlineStr">
        <is>
          <t>A 5947-2023</t>
        </is>
      </c>
      <c r="B906" s="1" t="n">
        <v>44963.92259259259</v>
      </c>
      <c r="C906" s="1" t="n">
        <v>46110</v>
      </c>
      <c r="D906" t="inlineStr">
        <is>
          <t>VÄSTERBOTTENS LÄN</t>
        </is>
      </c>
      <c r="E906" t="inlineStr">
        <is>
          <t>VILHELMINA</t>
        </is>
      </c>
      <c r="G906" t="n">
        <v>4.3</v>
      </c>
      <c r="H906" t="n">
        <v>0</v>
      </c>
      <c r="I906" t="n">
        <v>0</v>
      </c>
      <c r="J906" t="n">
        <v>0</v>
      </c>
      <c r="K906" t="n">
        <v>0</v>
      </c>
      <c r="L906" t="n">
        <v>0</v>
      </c>
      <c r="M906" t="n">
        <v>0</v>
      </c>
      <c r="N906" t="n">
        <v>0</v>
      </c>
      <c r="O906" t="n">
        <v>0</v>
      </c>
      <c r="P906" t="n">
        <v>0</v>
      </c>
      <c r="Q906" t="n">
        <v>0</v>
      </c>
      <c r="R906" s="2" t="inlineStr"/>
    </row>
    <row r="907" ht="15" customHeight="1">
      <c r="A907" t="inlineStr">
        <is>
          <t>A 65179-2021</t>
        </is>
      </c>
      <c r="B907" s="1" t="n">
        <v>44515</v>
      </c>
      <c r="C907" s="1" t="n">
        <v>46110</v>
      </c>
      <c r="D907" t="inlineStr">
        <is>
          <t>VÄSTERBOTTENS LÄN</t>
        </is>
      </c>
      <c r="E907" t="inlineStr">
        <is>
          <t>VILHELMINA</t>
        </is>
      </c>
      <c r="G907" t="n">
        <v>8</v>
      </c>
      <c r="H907" t="n">
        <v>0</v>
      </c>
      <c r="I907" t="n">
        <v>0</v>
      </c>
      <c r="J907" t="n">
        <v>0</v>
      </c>
      <c r="K907" t="n">
        <v>0</v>
      </c>
      <c r="L907" t="n">
        <v>0</v>
      </c>
      <c r="M907" t="n">
        <v>0</v>
      </c>
      <c r="N907" t="n">
        <v>0</v>
      </c>
      <c r="O907" t="n">
        <v>0</v>
      </c>
      <c r="P907" t="n">
        <v>0</v>
      </c>
      <c r="Q907" t="n">
        <v>0</v>
      </c>
      <c r="R907" s="2" t="inlineStr"/>
    </row>
    <row r="908" ht="15" customHeight="1">
      <c r="A908" t="inlineStr">
        <is>
          <t>A 26499-2024</t>
        </is>
      </c>
      <c r="B908" s="1" t="n">
        <v>45469</v>
      </c>
      <c r="C908" s="1" t="n">
        <v>46110</v>
      </c>
      <c r="D908" t="inlineStr">
        <is>
          <t>VÄSTERBOTTENS LÄN</t>
        </is>
      </c>
      <c r="E908" t="inlineStr">
        <is>
          <t>VILHELMINA</t>
        </is>
      </c>
      <c r="F908" t="inlineStr">
        <is>
          <t>Sveaskog</t>
        </is>
      </c>
      <c r="G908" t="n">
        <v>5.1</v>
      </c>
      <c r="H908" t="n">
        <v>0</v>
      </c>
      <c r="I908" t="n">
        <v>0</v>
      </c>
      <c r="J908" t="n">
        <v>0</v>
      </c>
      <c r="K908" t="n">
        <v>0</v>
      </c>
      <c r="L908" t="n">
        <v>0</v>
      </c>
      <c r="M908" t="n">
        <v>0</v>
      </c>
      <c r="N908" t="n">
        <v>0</v>
      </c>
      <c r="O908" t="n">
        <v>0</v>
      </c>
      <c r="P908" t="n">
        <v>0</v>
      </c>
      <c r="Q908" t="n">
        <v>0</v>
      </c>
      <c r="R908" s="2" t="inlineStr"/>
    </row>
    <row r="909" ht="15" customHeight="1">
      <c r="A909" t="inlineStr">
        <is>
          <t>A 8745-2023</t>
        </is>
      </c>
      <c r="B909" s="1" t="n">
        <v>44972</v>
      </c>
      <c r="C909" s="1" t="n">
        <v>46110</v>
      </c>
      <c r="D909" t="inlineStr">
        <is>
          <t>VÄSTERBOTTENS LÄN</t>
        </is>
      </c>
      <c r="E909" t="inlineStr">
        <is>
          <t>VILHELMINA</t>
        </is>
      </c>
      <c r="F909" t="inlineStr">
        <is>
          <t>Allmännings- och besparingsskogar</t>
        </is>
      </c>
      <c r="G909" t="n">
        <v>41</v>
      </c>
      <c r="H909" t="n">
        <v>0</v>
      </c>
      <c r="I909" t="n">
        <v>0</v>
      </c>
      <c r="J909" t="n">
        <v>0</v>
      </c>
      <c r="K909" t="n">
        <v>0</v>
      </c>
      <c r="L909" t="n">
        <v>0</v>
      </c>
      <c r="M909" t="n">
        <v>0</v>
      </c>
      <c r="N909" t="n">
        <v>0</v>
      </c>
      <c r="O909" t="n">
        <v>0</v>
      </c>
      <c r="P909" t="n">
        <v>0</v>
      </c>
      <c r="Q909" t="n">
        <v>0</v>
      </c>
      <c r="R909" s="2" t="inlineStr"/>
    </row>
    <row r="910" ht="15" customHeight="1">
      <c r="A910" t="inlineStr">
        <is>
          <t>A 16719-2025</t>
        </is>
      </c>
      <c r="B910" s="1" t="n">
        <v>45754.49008101852</v>
      </c>
      <c r="C910" s="1" t="n">
        <v>46110</v>
      </c>
      <c r="D910" t="inlineStr">
        <is>
          <t>VÄSTERBOTTENS LÄN</t>
        </is>
      </c>
      <c r="E910" t="inlineStr">
        <is>
          <t>VILHELMINA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8733-2023</t>
        </is>
      </c>
      <c r="B911" s="1" t="n">
        <v>44972</v>
      </c>
      <c r="C911" s="1" t="n">
        <v>46110</v>
      </c>
      <c r="D911" t="inlineStr">
        <is>
          <t>VÄSTERBOTTENS LÄN</t>
        </is>
      </c>
      <c r="E911" t="inlineStr">
        <is>
          <t>VILHELMINA</t>
        </is>
      </c>
      <c r="F911" t="inlineStr">
        <is>
          <t>Allmännings- och besparingsskogar</t>
        </is>
      </c>
      <c r="G911" t="n">
        <v>20</v>
      </c>
      <c r="H911" t="n">
        <v>0</v>
      </c>
      <c r="I911" t="n">
        <v>0</v>
      </c>
      <c r="J911" t="n">
        <v>0</v>
      </c>
      <c r="K911" t="n">
        <v>0</v>
      </c>
      <c r="L911" t="n">
        <v>0</v>
      </c>
      <c r="M911" t="n">
        <v>0</v>
      </c>
      <c r="N911" t="n">
        <v>0</v>
      </c>
      <c r="O911" t="n">
        <v>0</v>
      </c>
      <c r="P911" t="n">
        <v>0</v>
      </c>
      <c r="Q911" t="n">
        <v>0</v>
      </c>
      <c r="R911" s="2" t="inlineStr"/>
    </row>
    <row r="912" ht="15" customHeight="1">
      <c r="A912" t="inlineStr">
        <is>
          <t>A 8759-2023</t>
        </is>
      </c>
      <c r="B912" s="1" t="n">
        <v>44972</v>
      </c>
      <c r="C912" s="1" t="n">
        <v>46110</v>
      </c>
      <c r="D912" t="inlineStr">
        <is>
          <t>VÄSTERBOTTENS LÄN</t>
        </is>
      </c>
      <c r="E912" t="inlineStr">
        <is>
          <t>VILHELMINA</t>
        </is>
      </c>
      <c r="F912" t="inlineStr">
        <is>
          <t>Allmännings- och besparingsskogar</t>
        </is>
      </c>
      <c r="G912" t="n">
        <v>23.4</v>
      </c>
      <c r="H912" t="n">
        <v>0</v>
      </c>
      <c r="I912" t="n">
        <v>0</v>
      </c>
      <c r="J912" t="n">
        <v>0</v>
      </c>
      <c r="K912" t="n">
        <v>0</v>
      </c>
      <c r="L912" t="n">
        <v>0</v>
      </c>
      <c r="M912" t="n">
        <v>0</v>
      </c>
      <c r="N912" t="n">
        <v>0</v>
      </c>
      <c r="O912" t="n">
        <v>0</v>
      </c>
      <c r="P912" t="n">
        <v>0</v>
      </c>
      <c r="Q912" t="n">
        <v>0</v>
      </c>
      <c r="R912" s="2" t="inlineStr"/>
    </row>
    <row r="913" ht="15" customHeight="1">
      <c r="A913" t="inlineStr">
        <is>
          <t>A 59693-2024</t>
        </is>
      </c>
      <c r="B913" s="1" t="n">
        <v>45639</v>
      </c>
      <c r="C913" s="1" t="n">
        <v>46110</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46110</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56891-2023</t>
        </is>
      </c>
      <c r="B915" s="1" t="n">
        <v>45239</v>
      </c>
      <c r="C915" s="1" t="n">
        <v>46110</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33661-2023</t>
        </is>
      </c>
      <c r="B916" s="1" t="n">
        <v>45119</v>
      </c>
      <c r="C916" s="1" t="n">
        <v>46110</v>
      </c>
      <c r="D916" t="inlineStr">
        <is>
          <t>VÄSTERBOTTENS LÄN</t>
        </is>
      </c>
      <c r="E916" t="inlineStr">
        <is>
          <t>VILHELMINA</t>
        </is>
      </c>
      <c r="G916" t="n">
        <v>1.8</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46110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33349-2023</t>
        </is>
      </c>
      <c r="B918" s="1" t="n">
        <v>45117</v>
      </c>
      <c r="C918" s="1" t="n">
        <v>46110</v>
      </c>
      <c r="D918" t="inlineStr">
        <is>
          <t>VÄSTERBOTTENS LÄN</t>
        </is>
      </c>
      <c r="E918" t="inlineStr">
        <is>
          <t>VILHELMINA</t>
        </is>
      </c>
      <c r="G918" t="n">
        <v>1.3</v>
      </c>
      <c r="H918" t="n">
        <v>0</v>
      </c>
      <c r="I918" t="n">
        <v>0</v>
      </c>
      <c r="J918" t="n">
        <v>0</v>
      </c>
      <c r="K918" t="n">
        <v>0</v>
      </c>
      <c r="L918" t="n">
        <v>0</v>
      </c>
      <c r="M918" t="n">
        <v>0</v>
      </c>
      <c r="N918" t="n">
        <v>0</v>
      </c>
      <c r="O918" t="n">
        <v>0</v>
      </c>
      <c r="P918" t="n">
        <v>0</v>
      </c>
      <c r="Q918" t="n">
        <v>0</v>
      </c>
      <c r="R918" s="2" t="inlineStr"/>
    </row>
    <row r="919" ht="15" customHeight="1">
      <c r="A919" t="inlineStr">
        <is>
          <t>A 58450-2024</t>
        </is>
      </c>
      <c r="B919" s="1" t="n">
        <v>45635.34425925926</v>
      </c>
      <c r="C919" s="1" t="n">
        <v>46110</v>
      </c>
      <c r="D919" t="inlineStr">
        <is>
          <t>VÄSTERBOTTENS LÄN</t>
        </is>
      </c>
      <c r="E919" t="inlineStr">
        <is>
          <t>VILHELMINA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34763-2024</t>
        </is>
      </c>
      <c r="B920" s="1" t="n">
        <v>45526.61646990741</v>
      </c>
      <c r="C920" s="1" t="n">
        <v>46110</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34764-2024</t>
        </is>
      </c>
      <c r="B921" s="1" t="n">
        <v>45526.61664351852</v>
      </c>
      <c r="C921" s="1" t="n">
        <v>46110</v>
      </c>
      <c r="D921" t="inlineStr">
        <is>
          <t>VÄSTERBOTTENS LÄN</t>
        </is>
      </c>
      <c r="E921" t="inlineStr">
        <is>
          <t>VILHELMINA</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10418-2023</t>
        </is>
      </c>
      <c r="B922" s="1" t="n">
        <v>44987</v>
      </c>
      <c r="C922" s="1" t="n">
        <v>46110</v>
      </c>
      <c r="D922" t="inlineStr">
        <is>
          <t>VÄSTERBOTTENS LÄN</t>
        </is>
      </c>
      <c r="E922" t="inlineStr">
        <is>
          <t>VILHELMINA</t>
        </is>
      </c>
      <c r="G922" t="n">
        <v>3.2</v>
      </c>
      <c r="H922" t="n">
        <v>0</v>
      </c>
      <c r="I922" t="n">
        <v>0</v>
      </c>
      <c r="J922" t="n">
        <v>0</v>
      </c>
      <c r="K922" t="n">
        <v>0</v>
      </c>
      <c r="L922" t="n">
        <v>0</v>
      </c>
      <c r="M922" t="n">
        <v>0</v>
      </c>
      <c r="N922" t="n">
        <v>0</v>
      </c>
      <c r="O922" t="n">
        <v>0</v>
      </c>
      <c r="P922" t="n">
        <v>0</v>
      </c>
      <c r="Q922" t="n">
        <v>0</v>
      </c>
      <c r="R922" s="2" t="inlineStr"/>
    </row>
    <row r="923" ht="15" customHeight="1">
      <c r="A923" t="inlineStr">
        <is>
          <t>A 34087-2023</t>
        </is>
      </c>
      <c r="B923" s="1" t="n">
        <v>45125</v>
      </c>
      <c r="C923" s="1" t="n">
        <v>46110</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19464-2025</t>
        </is>
      </c>
      <c r="B924" s="1" t="n">
        <v>45770</v>
      </c>
      <c r="C924" s="1" t="n">
        <v>46110</v>
      </c>
      <c r="D924" t="inlineStr">
        <is>
          <t>VÄSTERBOTTENS LÄN</t>
        </is>
      </c>
      <c r="E924" t="inlineStr">
        <is>
          <t>VILHELMINA</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49236-2024</t>
        </is>
      </c>
      <c r="B925" s="1" t="n">
        <v>45595</v>
      </c>
      <c r="C925" s="1" t="n">
        <v>46110</v>
      </c>
      <c r="D925" t="inlineStr">
        <is>
          <t>VÄSTERBOTTENS LÄN</t>
        </is>
      </c>
      <c r="E925" t="inlineStr">
        <is>
          <t>VILHELMINA</t>
        </is>
      </c>
      <c r="G925" t="n">
        <v>4.1</v>
      </c>
      <c r="H925" t="n">
        <v>0</v>
      </c>
      <c r="I925" t="n">
        <v>0</v>
      </c>
      <c r="J925" t="n">
        <v>0</v>
      </c>
      <c r="K925" t="n">
        <v>0</v>
      </c>
      <c r="L925" t="n">
        <v>0</v>
      </c>
      <c r="M925" t="n">
        <v>0</v>
      </c>
      <c r="N925" t="n">
        <v>0</v>
      </c>
      <c r="O925" t="n">
        <v>0</v>
      </c>
      <c r="P925" t="n">
        <v>0</v>
      </c>
      <c r="Q925" t="n">
        <v>0</v>
      </c>
      <c r="R925" s="2" t="inlineStr"/>
    </row>
    <row r="926" ht="15" customHeight="1">
      <c r="A926" t="inlineStr">
        <is>
          <t>A 475-2024</t>
        </is>
      </c>
      <c r="B926" s="1" t="n">
        <v>45297.83246527778</v>
      </c>
      <c r="C926" s="1" t="n">
        <v>46110</v>
      </c>
      <c r="D926" t="inlineStr">
        <is>
          <t>VÄSTERBOTTENS LÄN</t>
        </is>
      </c>
      <c r="E926" t="inlineStr">
        <is>
          <t>VILHELMINA</t>
        </is>
      </c>
      <c r="G926" t="n">
        <v>6.1</v>
      </c>
      <c r="H926" t="n">
        <v>0</v>
      </c>
      <c r="I926" t="n">
        <v>0</v>
      </c>
      <c r="J926" t="n">
        <v>0</v>
      </c>
      <c r="K926" t="n">
        <v>0</v>
      </c>
      <c r="L926" t="n">
        <v>0</v>
      </c>
      <c r="M926" t="n">
        <v>0</v>
      </c>
      <c r="N926" t="n">
        <v>0</v>
      </c>
      <c r="O926" t="n">
        <v>0</v>
      </c>
      <c r="P926" t="n">
        <v>0</v>
      </c>
      <c r="Q926" t="n">
        <v>0</v>
      </c>
      <c r="R926" s="2" t="inlineStr"/>
    </row>
    <row r="927" ht="15" customHeight="1">
      <c r="A927" t="inlineStr">
        <is>
          <t>A 61801-2024</t>
        </is>
      </c>
      <c r="B927" s="1" t="n">
        <v>45649.56392361111</v>
      </c>
      <c r="C927" s="1" t="n">
        <v>46110</v>
      </c>
      <c r="D927" t="inlineStr">
        <is>
          <t>VÄSTERBOTTENS LÄN</t>
        </is>
      </c>
      <c r="E927" t="inlineStr">
        <is>
          <t>VILHELMINA</t>
        </is>
      </c>
      <c r="G927" t="n">
        <v>2.5</v>
      </c>
      <c r="H927" t="n">
        <v>0</v>
      </c>
      <c r="I927" t="n">
        <v>0</v>
      </c>
      <c r="J927" t="n">
        <v>0</v>
      </c>
      <c r="K927" t="n">
        <v>0</v>
      </c>
      <c r="L927" t="n">
        <v>0</v>
      </c>
      <c r="M927" t="n">
        <v>0</v>
      </c>
      <c r="N927" t="n">
        <v>0</v>
      </c>
      <c r="O927" t="n">
        <v>0</v>
      </c>
      <c r="P927" t="n">
        <v>0</v>
      </c>
      <c r="Q927" t="n">
        <v>0</v>
      </c>
      <c r="R927" s="2" t="inlineStr"/>
    </row>
    <row r="928" ht="15" customHeight="1">
      <c r="A928" t="inlineStr">
        <is>
          <t>A 61780-2023</t>
        </is>
      </c>
      <c r="B928" s="1" t="n">
        <v>45265.95685185185</v>
      </c>
      <c r="C928" s="1" t="n">
        <v>46110</v>
      </c>
      <c r="D928" t="inlineStr">
        <is>
          <t>VÄSTERBOTTENS LÄN</t>
        </is>
      </c>
      <c r="E928" t="inlineStr">
        <is>
          <t>VILHELMINA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367-2024</t>
        </is>
      </c>
      <c r="B929" s="1" t="n">
        <v>45295</v>
      </c>
      <c r="C929" s="1" t="n">
        <v>46110</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12765-2025</t>
        </is>
      </c>
      <c r="B930" s="1" t="n">
        <v>45733</v>
      </c>
      <c r="C930" s="1" t="n">
        <v>46110</v>
      </c>
      <c r="D930" t="inlineStr">
        <is>
          <t>VÄSTERBOTTENS LÄN</t>
        </is>
      </c>
      <c r="E930" t="inlineStr">
        <is>
          <t>VILHELMINA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33828-2024</t>
        </is>
      </c>
      <c r="B931" s="1" t="n">
        <v>45520.61695601852</v>
      </c>
      <c r="C931" s="1" t="n">
        <v>46110</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13557-2024</t>
        </is>
      </c>
      <c r="B932" s="1" t="n">
        <v>45388</v>
      </c>
      <c r="C932" s="1" t="n">
        <v>46110</v>
      </c>
      <c r="D932" t="inlineStr">
        <is>
          <t>VÄSTERBOTTENS LÄN</t>
        </is>
      </c>
      <c r="E932" t="inlineStr">
        <is>
          <t>VILHELMINA</t>
        </is>
      </c>
      <c r="G932" t="n">
        <v>11.2</v>
      </c>
      <c r="H932" t="n">
        <v>0</v>
      </c>
      <c r="I932" t="n">
        <v>0</v>
      </c>
      <c r="J932" t="n">
        <v>0</v>
      </c>
      <c r="K932" t="n">
        <v>0</v>
      </c>
      <c r="L932" t="n">
        <v>0</v>
      </c>
      <c r="M932" t="n">
        <v>0</v>
      </c>
      <c r="N932" t="n">
        <v>0</v>
      </c>
      <c r="O932" t="n">
        <v>0</v>
      </c>
      <c r="P932" t="n">
        <v>0</v>
      </c>
      <c r="Q932" t="n">
        <v>0</v>
      </c>
      <c r="R932" s="2" t="inlineStr"/>
    </row>
    <row r="933" ht="15" customHeight="1">
      <c r="A933" t="inlineStr">
        <is>
          <t>A 54984-2023</t>
        </is>
      </c>
      <c r="B933" s="1" t="n">
        <v>45236</v>
      </c>
      <c r="C933" s="1" t="n">
        <v>46110</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27917-2024</t>
        </is>
      </c>
      <c r="B934" s="1" t="n">
        <v>45475.94844907407</v>
      </c>
      <c r="C934" s="1" t="n">
        <v>46110</v>
      </c>
      <c r="D934" t="inlineStr">
        <is>
          <t>VÄSTERBOTTENS LÄN</t>
        </is>
      </c>
      <c r="E934" t="inlineStr">
        <is>
          <t>VILHELMINA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55978-2024</t>
        </is>
      </c>
      <c r="B935" s="1" t="n">
        <v>45623</v>
      </c>
      <c r="C935" s="1" t="n">
        <v>46110</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45972-2023</t>
        </is>
      </c>
      <c r="B936" s="1" t="n">
        <v>45195</v>
      </c>
      <c r="C936" s="1" t="n">
        <v>46110</v>
      </c>
      <c r="D936" t="inlineStr">
        <is>
          <t>VÄSTERBOTTENS LÄN</t>
        </is>
      </c>
      <c r="E936" t="inlineStr">
        <is>
          <t>VILHELMINA</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21844-2024</t>
        </is>
      </c>
      <c r="B937" s="1" t="n">
        <v>45442</v>
      </c>
      <c r="C937" s="1" t="n">
        <v>46110</v>
      </c>
      <c r="D937" t="inlineStr">
        <is>
          <t>VÄSTERBOTTENS LÄN</t>
        </is>
      </c>
      <c r="E937" t="inlineStr">
        <is>
          <t>VILHELMINA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12371-2025</t>
        </is>
      </c>
      <c r="B938" s="1" t="n">
        <v>45730</v>
      </c>
      <c r="C938" s="1" t="n">
        <v>46110</v>
      </c>
      <c r="D938" t="inlineStr">
        <is>
          <t>VÄSTERBOTTENS LÄN</t>
        </is>
      </c>
      <c r="E938" t="inlineStr">
        <is>
          <t>VILHELMINA</t>
        </is>
      </c>
      <c r="F938" t="inlineStr">
        <is>
          <t>Övriga statliga verk och myndigheter</t>
        </is>
      </c>
      <c r="G938" t="n">
        <v>37.1</v>
      </c>
      <c r="H938" t="n">
        <v>0</v>
      </c>
      <c r="I938" t="n">
        <v>0</v>
      </c>
      <c r="J938" t="n">
        <v>0</v>
      </c>
      <c r="K938" t="n">
        <v>0</v>
      </c>
      <c r="L938" t="n">
        <v>0</v>
      </c>
      <c r="M938" t="n">
        <v>0</v>
      </c>
      <c r="N938" t="n">
        <v>0</v>
      </c>
      <c r="O938" t="n">
        <v>0</v>
      </c>
      <c r="P938" t="n">
        <v>0</v>
      </c>
      <c r="Q938" t="n">
        <v>0</v>
      </c>
      <c r="R938" s="2" t="inlineStr"/>
    </row>
    <row r="939" ht="15" customHeight="1">
      <c r="A939" t="inlineStr">
        <is>
          <t>A 14993-2025</t>
        </is>
      </c>
      <c r="B939" s="1" t="n">
        <v>45743</v>
      </c>
      <c r="C939" s="1" t="n">
        <v>46110</v>
      </c>
      <c r="D939" t="inlineStr">
        <is>
          <t>VÄSTERBOTTENS LÄN</t>
        </is>
      </c>
      <c r="E939" t="inlineStr">
        <is>
          <t>VILHELMINA</t>
        </is>
      </c>
      <c r="G939" t="n">
        <v>2.1</v>
      </c>
      <c r="H939" t="n">
        <v>0</v>
      </c>
      <c r="I939" t="n">
        <v>0</v>
      </c>
      <c r="J939" t="n">
        <v>0</v>
      </c>
      <c r="K939" t="n">
        <v>0</v>
      </c>
      <c r="L939" t="n">
        <v>0</v>
      </c>
      <c r="M939" t="n">
        <v>0</v>
      </c>
      <c r="N939" t="n">
        <v>0</v>
      </c>
      <c r="O939" t="n">
        <v>0</v>
      </c>
      <c r="P939" t="n">
        <v>0</v>
      </c>
      <c r="Q939" t="n">
        <v>0</v>
      </c>
      <c r="R939" s="2" t="inlineStr"/>
    </row>
    <row r="940" ht="15" customHeight="1">
      <c r="A940" t="inlineStr">
        <is>
          <t>A 23270-2021</t>
        </is>
      </c>
      <c r="B940" s="1" t="n">
        <v>44328</v>
      </c>
      <c r="C940" s="1" t="n">
        <v>46110</v>
      </c>
      <c r="D940" t="inlineStr">
        <is>
          <t>VÄSTERBOTTENS LÄN</t>
        </is>
      </c>
      <c r="E940" t="inlineStr">
        <is>
          <t>VILHELMINA</t>
        </is>
      </c>
      <c r="F940" t="inlineStr">
        <is>
          <t>Allmännings- och besparingsskogar</t>
        </is>
      </c>
      <c r="G940" t="n">
        <v>14.7</v>
      </c>
      <c r="H940" t="n">
        <v>0</v>
      </c>
      <c r="I940" t="n">
        <v>0</v>
      </c>
      <c r="J940" t="n">
        <v>0</v>
      </c>
      <c r="K940" t="n">
        <v>0</v>
      </c>
      <c r="L940" t="n">
        <v>0</v>
      </c>
      <c r="M940" t="n">
        <v>0</v>
      </c>
      <c r="N940" t="n">
        <v>0</v>
      </c>
      <c r="O940" t="n">
        <v>0</v>
      </c>
      <c r="P940" t="n">
        <v>0</v>
      </c>
      <c r="Q940" t="n">
        <v>0</v>
      </c>
      <c r="R940" s="2" t="inlineStr"/>
    </row>
    <row r="941" ht="15" customHeight="1">
      <c r="A941" t="inlineStr">
        <is>
          <t>A 54931-2023</t>
        </is>
      </c>
      <c r="B941" s="1" t="n">
        <v>45229</v>
      </c>
      <c r="C941" s="1" t="n">
        <v>46110</v>
      </c>
      <c r="D941" t="inlineStr">
        <is>
          <t>VÄSTERBOTTENS LÄN</t>
        </is>
      </c>
      <c r="E941" t="inlineStr">
        <is>
          <t>VILHELMINA</t>
        </is>
      </c>
      <c r="G941" t="n">
        <v>14.5</v>
      </c>
      <c r="H941" t="n">
        <v>0</v>
      </c>
      <c r="I941" t="n">
        <v>0</v>
      </c>
      <c r="J941" t="n">
        <v>0</v>
      </c>
      <c r="K941" t="n">
        <v>0</v>
      </c>
      <c r="L941" t="n">
        <v>0</v>
      </c>
      <c r="M941" t="n">
        <v>0</v>
      </c>
      <c r="N941" t="n">
        <v>0</v>
      </c>
      <c r="O941" t="n">
        <v>0</v>
      </c>
      <c r="P941" t="n">
        <v>0</v>
      </c>
      <c r="Q941" t="n">
        <v>0</v>
      </c>
      <c r="R941" s="2" t="inlineStr"/>
    </row>
    <row r="942" ht="15" customHeight="1">
      <c r="A942" t="inlineStr">
        <is>
          <t>A 42976-2024</t>
        </is>
      </c>
      <c r="B942" s="1" t="n">
        <v>45567.37387731481</v>
      </c>
      <c r="C942" s="1" t="n">
        <v>46110</v>
      </c>
      <c r="D942" t="inlineStr">
        <is>
          <t>VÄSTERBOTTENS LÄN</t>
        </is>
      </c>
      <c r="E942" t="inlineStr">
        <is>
          <t>VILHELMINA</t>
        </is>
      </c>
      <c r="F942" t="inlineStr">
        <is>
          <t>SCA</t>
        </is>
      </c>
      <c r="G942" t="n">
        <v>20.6</v>
      </c>
      <c r="H942" t="n">
        <v>0</v>
      </c>
      <c r="I942" t="n">
        <v>0</v>
      </c>
      <c r="J942" t="n">
        <v>0</v>
      </c>
      <c r="K942" t="n">
        <v>0</v>
      </c>
      <c r="L942" t="n">
        <v>0</v>
      </c>
      <c r="M942" t="n">
        <v>0</v>
      </c>
      <c r="N942" t="n">
        <v>0</v>
      </c>
      <c r="O942" t="n">
        <v>0</v>
      </c>
      <c r="P942" t="n">
        <v>0</v>
      </c>
      <c r="Q942" t="n">
        <v>0</v>
      </c>
      <c r="R942" s="2" t="inlineStr"/>
    </row>
    <row r="943" ht="15" customHeight="1">
      <c r="A943" t="inlineStr">
        <is>
          <t>A 7982-2025</t>
        </is>
      </c>
      <c r="B943" s="1" t="n">
        <v>45707.46905092592</v>
      </c>
      <c r="C943" s="1" t="n">
        <v>46110</v>
      </c>
      <c r="D943" t="inlineStr">
        <is>
          <t>VÄSTERBOTTENS LÄN</t>
        </is>
      </c>
      <c r="E943" t="inlineStr">
        <is>
          <t>VILHELMINA</t>
        </is>
      </c>
      <c r="G943" t="n">
        <v>6</v>
      </c>
      <c r="H943" t="n">
        <v>0</v>
      </c>
      <c r="I943" t="n">
        <v>0</v>
      </c>
      <c r="J943" t="n">
        <v>0</v>
      </c>
      <c r="K943" t="n">
        <v>0</v>
      </c>
      <c r="L943" t="n">
        <v>0</v>
      </c>
      <c r="M943" t="n">
        <v>0</v>
      </c>
      <c r="N943" t="n">
        <v>0</v>
      </c>
      <c r="O943" t="n">
        <v>0</v>
      </c>
      <c r="P943" t="n">
        <v>0</v>
      </c>
      <c r="Q943" t="n">
        <v>0</v>
      </c>
      <c r="R943" s="2" t="inlineStr"/>
    </row>
    <row r="944" ht="15" customHeight="1">
      <c r="A944" t="inlineStr">
        <is>
          <t>A 15176-2022</t>
        </is>
      </c>
      <c r="B944" s="1" t="n">
        <v>44658</v>
      </c>
      <c r="C944" s="1" t="n">
        <v>46110</v>
      </c>
      <c r="D944" t="inlineStr">
        <is>
          <t>VÄSTERBOTTENS LÄN</t>
        </is>
      </c>
      <c r="E944" t="inlineStr">
        <is>
          <t>VILHELMINA</t>
        </is>
      </c>
      <c r="G944" t="n">
        <v>1.6</v>
      </c>
      <c r="H944" t="n">
        <v>0</v>
      </c>
      <c r="I944" t="n">
        <v>0</v>
      </c>
      <c r="J944" t="n">
        <v>0</v>
      </c>
      <c r="K944" t="n">
        <v>0</v>
      </c>
      <c r="L944" t="n">
        <v>0</v>
      </c>
      <c r="M944" t="n">
        <v>0</v>
      </c>
      <c r="N944" t="n">
        <v>0</v>
      </c>
      <c r="O944" t="n">
        <v>0</v>
      </c>
      <c r="P944" t="n">
        <v>0</v>
      </c>
      <c r="Q944" t="n">
        <v>0</v>
      </c>
      <c r="R944" s="2" t="inlineStr"/>
    </row>
    <row r="945" ht="15" customHeight="1">
      <c r="A945" t="inlineStr">
        <is>
          <t>A 35755-2023</t>
        </is>
      </c>
      <c r="B945" s="1" t="n">
        <v>45147.9540625</v>
      </c>
      <c r="C945" s="1" t="n">
        <v>46110</v>
      </c>
      <c r="D945" t="inlineStr">
        <is>
          <t>VÄSTERBOTTENS LÄN</t>
        </is>
      </c>
      <c r="E945" t="inlineStr">
        <is>
          <t>VILHELMINA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36219-2023</t>
        </is>
      </c>
      <c r="B946" s="1" t="n">
        <v>45149.95310185185</v>
      </c>
      <c r="C946" s="1" t="n">
        <v>46110</v>
      </c>
      <c r="D946" t="inlineStr">
        <is>
          <t>VÄSTERBOTTENS LÄN</t>
        </is>
      </c>
      <c r="E946" t="inlineStr">
        <is>
          <t>VILHELMINA</t>
        </is>
      </c>
      <c r="F946" t="inlineStr">
        <is>
          <t>SCA</t>
        </is>
      </c>
      <c r="G946" t="n">
        <v>7.3</v>
      </c>
      <c r="H946" t="n">
        <v>0</v>
      </c>
      <c r="I946" t="n">
        <v>0</v>
      </c>
      <c r="J946" t="n">
        <v>0</v>
      </c>
      <c r="K946" t="n">
        <v>0</v>
      </c>
      <c r="L946" t="n">
        <v>0</v>
      </c>
      <c r="M946" t="n">
        <v>0</v>
      </c>
      <c r="N946" t="n">
        <v>0</v>
      </c>
      <c r="O946" t="n">
        <v>0</v>
      </c>
      <c r="P946" t="n">
        <v>0</v>
      </c>
      <c r="Q946" t="n">
        <v>0</v>
      </c>
      <c r="R946" s="2" t="inlineStr"/>
    </row>
    <row r="947" ht="15" customHeight="1">
      <c r="A947" t="inlineStr">
        <is>
          <t>A 35758-2023</t>
        </is>
      </c>
      <c r="B947" s="1" t="n">
        <v>45147.95452546296</v>
      </c>
      <c r="C947" s="1" t="n">
        <v>46110</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12368-2025</t>
        </is>
      </c>
      <c r="B948" s="1" t="n">
        <v>45730.37633101852</v>
      </c>
      <c r="C948" s="1" t="n">
        <v>46110</v>
      </c>
      <c r="D948" t="inlineStr">
        <is>
          <t>VÄSTERBOTTENS LÄN</t>
        </is>
      </c>
      <c r="E948" t="inlineStr">
        <is>
          <t>VILHELMINA</t>
        </is>
      </c>
      <c r="F948" t="inlineStr">
        <is>
          <t>Övriga statliga verk och myndigheter</t>
        </is>
      </c>
      <c r="G948" t="n">
        <v>14.8</v>
      </c>
      <c r="H948" t="n">
        <v>0</v>
      </c>
      <c r="I948" t="n">
        <v>0</v>
      </c>
      <c r="J948" t="n">
        <v>0</v>
      </c>
      <c r="K948" t="n">
        <v>0</v>
      </c>
      <c r="L948" t="n">
        <v>0</v>
      </c>
      <c r="M948" t="n">
        <v>0</v>
      </c>
      <c r="N948" t="n">
        <v>0</v>
      </c>
      <c r="O948" t="n">
        <v>0</v>
      </c>
      <c r="P948" t="n">
        <v>0</v>
      </c>
      <c r="Q948" t="n">
        <v>0</v>
      </c>
      <c r="R948" s="2" t="inlineStr"/>
    </row>
    <row r="949" ht="15" customHeight="1">
      <c r="A949" t="inlineStr">
        <is>
          <t>A 12373-2025</t>
        </is>
      </c>
      <c r="B949" s="1" t="n">
        <v>45730</v>
      </c>
      <c r="C949" s="1" t="n">
        <v>46110</v>
      </c>
      <c r="D949" t="inlineStr">
        <is>
          <t>VÄSTERBOTTENS LÄN</t>
        </is>
      </c>
      <c r="E949" t="inlineStr">
        <is>
          <t>VILHELMINA</t>
        </is>
      </c>
      <c r="F949" t="inlineStr">
        <is>
          <t>Övriga statliga verk och myndigheter</t>
        </is>
      </c>
      <c r="G949" t="n">
        <v>25.5</v>
      </c>
      <c r="H949" t="n">
        <v>0</v>
      </c>
      <c r="I949" t="n">
        <v>0</v>
      </c>
      <c r="J949" t="n">
        <v>0</v>
      </c>
      <c r="K949" t="n">
        <v>0</v>
      </c>
      <c r="L949" t="n">
        <v>0</v>
      </c>
      <c r="M949" t="n">
        <v>0</v>
      </c>
      <c r="N949" t="n">
        <v>0</v>
      </c>
      <c r="O949" t="n">
        <v>0</v>
      </c>
      <c r="P949" t="n">
        <v>0</v>
      </c>
      <c r="Q949" t="n">
        <v>0</v>
      </c>
      <c r="R949" s="2" t="inlineStr"/>
    </row>
    <row r="950" ht="15" customHeight="1">
      <c r="A950" t="inlineStr">
        <is>
          <t>A 60782-2023</t>
        </is>
      </c>
      <c r="B950" s="1" t="n">
        <v>45259</v>
      </c>
      <c r="C950" s="1" t="n">
        <v>46110</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9815-2024</t>
        </is>
      </c>
      <c r="B951" s="1" t="n">
        <v>45362.96927083333</v>
      </c>
      <c r="C951" s="1" t="n">
        <v>46110</v>
      </c>
      <c r="D951" t="inlineStr">
        <is>
          <t>VÄSTERBOTTENS LÄN</t>
        </is>
      </c>
      <c r="E951" t="inlineStr">
        <is>
          <t>VILHELMINA</t>
        </is>
      </c>
      <c r="G951" t="n">
        <v>1.3</v>
      </c>
      <c r="H951" t="n">
        <v>0</v>
      </c>
      <c r="I951" t="n">
        <v>0</v>
      </c>
      <c r="J951" t="n">
        <v>0</v>
      </c>
      <c r="K951" t="n">
        <v>0</v>
      </c>
      <c r="L951" t="n">
        <v>0</v>
      </c>
      <c r="M951" t="n">
        <v>0</v>
      </c>
      <c r="N951" t="n">
        <v>0</v>
      </c>
      <c r="O951" t="n">
        <v>0</v>
      </c>
      <c r="P951" t="n">
        <v>0</v>
      </c>
      <c r="Q951" t="n">
        <v>0</v>
      </c>
      <c r="R951" s="2" t="inlineStr"/>
    </row>
    <row r="952" ht="15" customHeight="1">
      <c r="A952" t="inlineStr">
        <is>
          <t>A 60151-2024</t>
        </is>
      </c>
      <c r="B952" s="1" t="n">
        <v>45642.61490740741</v>
      </c>
      <c r="C952" s="1" t="n">
        <v>46110</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8908-2023</t>
        </is>
      </c>
      <c r="B953" s="1" t="n">
        <v>44972</v>
      </c>
      <c r="C953" s="1" t="n">
        <v>46110</v>
      </c>
      <c r="D953" t="inlineStr">
        <is>
          <t>VÄSTERBOTTENS LÄN</t>
        </is>
      </c>
      <c r="E953" t="inlineStr">
        <is>
          <t>VILHELMINA</t>
        </is>
      </c>
      <c r="F953" t="inlineStr">
        <is>
          <t>Allmännings- och besparingsskogar</t>
        </is>
      </c>
      <c r="G953" t="n">
        <v>22.3</v>
      </c>
      <c r="H953" t="n">
        <v>0</v>
      </c>
      <c r="I953" t="n">
        <v>0</v>
      </c>
      <c r="J953" t="n">
        <v>0</v>
      </c>
      <c r="K953" t="n">
        <v>0</v>
      </c>
      <c r="L953" t="n">
        <v>0</v>
      </c>
      <c r="M953" t="n">
        <v>0</v>
      </c>
      <c r="N953" t="n">
        <v>0</v>
      </c>
      <c r="O953" t="n">
        <v>0</v>
      </c>
      <c r="P953" t="n">
        <v>0</v>
      </c>
      <c r="Q953" t="n">
        <v>0</v>
      </c>
      <c r="R953" s="2" t="inlineStr"/>
    </row>
    <row r="954" ht="15" customHeight="1">
      <c r="A954" t="inlineStr">
        <is>
          <t>A 48424-2023</t>
        </is>
      </c>
      <c r="B954" s="1" t="n">
        <v>45205</v>
      </c>
      <c r="C954" s="1" t="n">
        <v>46110</v>
      </c>
      <c r="D954" t="inlineStr">
        <is>
          <t>VÄSTERBOTTENS LÄN</t>
        </is>
      </c>
      <c r="E954" t="inlineStr">
        <is>
          <t>VILHELMINA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44714-2021</t>
        </is>
      </c>
      <c r="B955" s="1" t="n">
        <v>44435</v>
      </c>
      <c r="C955" s="1" t="n">
        <v>46110</v>
      </c>
      <c r="D955" t="inlineStr">
        <is>
          <t>VÄSTERBOTTENS LÄN</t>
        </is>
      </c>
      <c r="E955" t="inlineStr">
        <is>
          <t>VILHELMINA</t>
        </is>
      </c>
      <c r="G955" t="n">
        <v>4.3</v>
      </c>
      <c r="H955" t="n">
        <v>0</v>
      </c>
      <c r="I955" t="n">
        <v>0</v>
      </c>
      <c r="J955" t="n">
        <v>0</v>
      </c>
      <c r="K955" t="n">
        <v>0</v>
      </c>
      <c r="L955" t="n">
        <v>0</v>
      </c>
      <c r="M955" t="n">
        <v>0</v>
      </c>
      <c r="N955" t="n">
        <v>0</v>
      </c>
      <c r="O955" t="n">
        <v>0</v>
      </c>
      <c r="P955" t="n">
        <v>0</v>
      </c>
      <c r="Q955" t="n">
        <v>0</v>
      </c>
      <c r="R955" s="2" t="inlineStr"/>
    </row>
    <row r="956" ht="15" customHeight="1">
      <c r="A956" t="inlineStr">
        <is>
          <t>A 19221-2025</t>
        </is>
      </c>
      <c r="B956" s="1" t="n">
        <v>45769</v>
      </c>
      <c r="C956" s="1" t="n">
        <v>46110</v>
      </c>
      <c r="D956" t="inlineStr">
        <is>
          <t>VÄSTERBOTTENS LÄN</t>
        </is>
      </c>
      <c r="E956" t="inlineStr">
        <is>
          <t>VILHELMINA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8556-2025</t>
        </is>
      </c>
      <c r="B957" s="1" t="n">
        <v>45709</v>
      </c>
      <c r="C957" s="1" t="n">
        <v>46110</v>
      </c>
      <c r="D957" t="inlineStr">
        <is>
          <t>VÄSTERBOTTENS LÄN</t>
        </is>
      </c>
      <c r="E957" t="inlineStr">
        <is>
          <t>VILHELMINA</t>
        </is>
      </c>
      <c r="G957" t="n">
        <v>1</v>
      </c>
      <c r="H957" t="n">
        <v>0</v>
      </c>
      <c r="I957" t="n">
        <v>0</v>
      </c>
      <c r="J957" t="n">
        <v>0</v>
      </c>
      <c r="K957" t="n">
        <v>0</v>
      </c>
      <c r="L957" t="n">
        <v>0</v>
      </c>
      <c r="M957" t="n">
        <v>0</v>
      </c>
      <c r="N957" t="n">
        <v>0</v>
      </c>
      <c r="O957" t="n">
        <v>0</v>
      </c>
      <c r="P957" t="n">
        <v>0</v>
      </c>
      <c r="Q957" t="n">
        <v>0</v>
      </c>
      <c r="R957" s="2" t="inlineStr"/>
    </row>
    <row r="958" ht="15" customHeight="1">
      <c r="A958" t="inlineStr">
        <is>
          <t>A 57324-2022</t>
        </is>
      </c>
      <c r="B958" s="1" t="n">
        <v>44889</v>
      </c>
      <c r="C958" s="1" t="n">
        <v>46110</v>
      </c>
      <c r="D958" t="inlineStr">
        <is>
          <t>VÄSTERBOTTENS LÄN</t>
        </is>
      </c>
      <c r="E958" t="inlineStr">
        <is>
          <t>VILHELMINA</t>
        </is>
      </c>
      <c r="G958" t="n">
        <v>1.7</v>
      </c>
      <c r="H958" t="n">
        <v>0</v>
      </c>
      <c r="I958" t="n">
        <v>0</v>
      </c>
      <c r="J958" t="n">
        <v>0</v>
      </c>
      <c r="K958" t="n">
        <v>0</v>
      </c>
      <c r="L958" t="n">
        <v>0</v>
      </c>
      <c r="M958" t="n">
        <v>0</v>
      </c>
      <c r="N958" t="n">
        <v>0</v>
      </c>
      <c r="O958" t="n">
        <v>0</v>
      </c>
      <c r="P958" t="n">
        <v>0</v>
      </c>
      <c r="Q958" t="n">
        <v>0</v>
      </c>
      <c r="R958" s="2" t="inlineStr"/>
    </row>
    <row r="959" ht="15" customHeight="1">
      <c r="A959" t="inlineStr">
        <is>
          <t>A 14254-2025</t>
        </is>
      </c>
      <c r="B959" s="1" t="n">
        <v>45740.61644675926</v>
      </c>
      <c r="C959" s="1" t="n">
        <v>46110</v>
      </c>
      <c r="D959" t="inlineStr">
        <is>
          <t>VÄSTERBOTTENS LÄN</t>
        </is>
      </c>
      <c r="E959" t="inlineStr">
        <is>
          <t>VILHELMINA</t>
        </is>
      </c>
      <c r="G959" t="n">
        <v>2</v>
      </c>
      <c r="H959" t="n">
        <v>0</v>
      </c>
      <c r="I959" t="n">
        <v>0</v>
      </c>
      <c r="J959" t="n">
        <v>0</v>
      </c>
      <c r="K959" t="n">
        <v>0</v>
      </c>
      <c r="L959" t="n">
        <v>0</v>
      </c>
      <c r="M959" t="n">
        <v>0</v>
      </c>
      <c r="N959" t="n">
        <v>0</v>
      </c>
      <c r="O959" t="n">
        <v>0</v>
      </c>
      <c r="P959" t="n">
        <v>0</v>
      </c>
      <c r="Q959" t="n">
        <v>0</v>
      </c>
      <c r="R959" s="2" t="inlineStr"/>
    </row>
    <row r="960" ht="15" customHeight="1">
      <c r="A960" t="inlineStr">
        <is>
          <t>A 17307-2025</t>
        </is>
      </c>
      <c r="B960" s="1" t="n">
        <v>45756</v>
      </c>
      <c r="C960" s="1" t="n">
        <v>46110</v>
      </c>
      <c r="D960" t="inlineStr">
        <is>
          <t>VÄSTERBOTTENS LÄN</t>
        </is>
      </c>
      <c r="E960" t="inlineStr">
        <is>
          <t>VILHELMINA</t>
        </is>
      </c>
      <c r="G960" t="n">
        <v>11.2</v>
      </c>
      <c r="H960" t="n">
        <v>0</v>
      </c>
      <c r="I960" t="n">
        <v>0</v>
      </c>
      <c r="J960" t="n">
        <v>0</v>
      </c>
      <c r="K960" t="n">
        <v>0</v>
      </c>
      <c r="L960" t="n">
        <v>0</v>
      </c>
      <c r="M960" t="n">
        <v>0</v>
      </c>
      <c r="N960" t="n">
        <v>0</v>
      </c>
      <c r="O960" t="n">
        <v>0</v>
      </c>
      <c r="P960" t="n">
        <v>0</v>
      </c>
      <c r="Q960" t="n">
        <v>0</v>
      </c>
      <c r="R960" s="2" t="inlineStr"/>
    </row>
    <row r="961" ht="15" customHeight="1">
      <c r="A961" t="inlineStr">
        <is>
          <t>A 35006-2023</t>
        </is>
      </c>
      <c r="B961" s="1" t="n">
        <v>45142.95103009259</v>
      </c>
      <c r="C961" s="1" t="n">
        <v>46110</v>
      </c>
      <c r="D961" t="inlineStr">
        <is>
          <t>VÄSTERBOTTENS LÄN</t>
        </is>
      </c>
      <c r="E961" t="inlineStr">
        <is>
          <t>VILHELMINA</t>
        </is>
      </c>
      <c r="F961" t="inlineStr">
        <is>
          <t>SCA</t>
        </is>
      </c>
      <c r="G961" t="n">
        <v>11.6</v>
      </c>
      <c r="H961" t="n">
        <v>0</v>
      </c>
      <c r="I961" t="n">
        <v>0</v>
      </c>
      <c r="J961" t="n">
        <v>0</v>
      </c>
      <c r="K961" t="n">
        <v>0</v>
      </c>
      <c r="L961" t="n">
        <v>0</v>
      </c>
      <c r="M961" t="n">
        <v>0</v>
      </c>
      <c r="N961" t="n">
        <v>0</v>
      </c>
      <c r="O961" t="n">
        <v>0</v>
      </c>
      <c r="P961" t="n">
        <v>0</v>
      </c>
      <c r="Q961" t="n">
        <v>0</v>
      </c>
      <c r="R961" s="2" t="inlineStr"/>
    </row>
    <row r="962" ht="15" customHeight="1">
      <c r="A962" t="inlineStr">
        <is>
          <t>A 252-2025</t>
        </is>
      </c>
      <c r="B962" s="1" t="n">
        <v>45660.42734953704</v>
      </c>
      <c r="C962" s="1" t="n">
        <v>46110</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2008-2025</t>
        </is>
      </c>
      <c r="B963" s="1" t="n">
        <v>45672.45302083333</v>
      </c>
      <c r="C963" s="1" t="n">
        <v>46110</v>
      </c>
      <c r="D963" t="inlineStr">
        <is>
          <t>VÄSTERBOTTENS LÄN</t>
        </is>
      </c>
      <c r="E963" t="inlineStr">
        <is>
          <t>VILHELMINA</t>
        </is>
      </c>
      <c r="G963" t="n">
        <v>0.7</v>
      </c>
      <c r="H963" t="n">
        <v>0</v>
      </c>
      <c r="I963" t="n">
        <v>0</v>
      </c>
      <c r="J963" t="n">
        <v>0</v>
      </c>
      <c r="K963" t="n">
        <v>0</v>
      </c>
      <c r="L963" t="n">
        <v>0</v>
      </c>
      <c r="M963" t="n">
        <v>0</v>
      </c>
      <c r="N963" t="n">
        <v>0</v>
      </c>
      <c r="O963" t="n">
        <v>0</v>
      </c>
      <c r="P963" t="n">
        <v>0</v>
      </c>
      <c r="Q963" t="n">
        <v>0</v>
      </c>
      <c r="R963" s="2" t="inlineStr"/>
    </row>
    <row r="964" ht="15" customHeight="1">
      <c r="A964" t="inlineStr">
        <is>
          <t>A 18398-2025</t>
        </is>
      </c>
      <c r="B964" s="1" t="n">
        <v>45762.59491898148</v>
      </c>
      <c r="C964" s="1" t="n">
        <v>46110</v>
      </c>
      <c r="D964" t="inlineStr">
        <is>
          <t>VÄSTERBOTTENS LÄN</t>
        </is>
      </c>
      <c r="E964" t="inlineStr">
        <is>
          <t>VILHELMINA</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16721-2025</t>
        </is>
      </c>
      <c r="B965" s="1" t="n">
        <v>45754.49045138889</v>
      </c>
      <c r="C965" s="1" t="n">
        <v>46110</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60376-2024</t>
        </is>
      </c>
      <c r="B966" s="1" t="n">
        <v>45643</v>
      </c>
      <c r="C966" s="1" t="n">
        <v>46110</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19465-2025</t>
        </is>
      </c>
      <c r="B967" s="1" t="n">
        <v>45770</v>
      </c>
      <c r="C967" s="1" t="n">
        <v>46110</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52749-2023</t>
        </is>
      </c>
      <c r="B968" s="1" t="n">
        <v>45225.9678587963</v>
      </c>
      <c r="C968" s="1" t="n">
        <v>46110</v>
      </c>
      <c r="D968" t="inlineStr">
        <is>
          <t>VÄSTERBOTTENS LÄN</t>
        </is>
      </c>
      <c r="E968" t="inlineStr">
        <is>
          <t>VILHELMINA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30583-2024</t>
        </is>
      </c>
      <c r="B969" s="1" t="n">
        <v>45492.96108796296</v>
      </c>
      <c r="C969" s="1" t="n">
        <v>46110</v>
      </c>
      <c r="D969" t="inlineStr">
        <is>
          <t>VÄSTERBOTTENS LÄN</t>
        </is>
      </c>
      <c r="E969" t="inlineStr">
        <is>
          <t>VILHELMINA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21035-2025</t>
        </is>
      </c>
      <c r="B970" s="1" t="n">
        <v>45777.53157407408</v>
      </c>
      <c r="C970" s="1" t="n">
        <v>46110</v>
      </c>
      <c r="D970" t="inlineStr">
        <is>
          <t>VÄSTERBOTTENS LÄN</t>
        </is>
      </c>
      <c r="E970" t="inlineStr">
        <is>
          <t>VILHELMINA</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21069-2025</t>
        </is>
      </c>
      <c r="B971" s="1" t="n">
        <v>45777.59427083333</v>
      </c>
      <c r="C971" s="1" t="n">
        <v>46110</v>
      </c>
      <c r="D971" t="inlineStr">
        <is>
          <t>VÄSTERBOTTENS LÄN</t>
        </is>
      </c>
      <c r="E971" t="inlineStr">
        <is>
          <t>VILHELMINA</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21410-2025</t>
        </is>
      </c>
      <c r="B972" s="1" t="n">
        <v>45782</v>
      </c>
      <c r="C972" s="1" t="n">
        <v>46110</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3745-2023</t>
        </is>
      </c>
      <c r="B973" s="1" t="n">
        <v>44949</v>
      </c>
      <c r="C973" s="1" t="n">
        <v>46110</v>
      </c>
      <c r="D973" t="inlineStr">
        <is>
          <t>VÄSTERBOTTENS LÄN</t>
        </is>
      </c>
      <c r="E973" t="inlineStr">
        <is>
          <t>VILHELMINA</t>
        </is>
      </c>
      <c r="G973" t="n">
        <v>36.6</v>
      </c>
      <c r="H973" t="n">
        <v>0</v>
      </c>
      <c r="I973" t="n">
        <v>0</v>
      </c>
      <c r="J973" t="n">
        <v>0</v>
      </c>
      <c r="K973" t="n">
        <v>0</v>
      </c>
      <c r="L973" t="n">
        <v>0</v>
      </c>
      <c r="M973" t="n">
        <v>0</v>
      </c>
      <c r="N973" t="n">
        <v>0</v>
      </c>
      <c r="O973" t="n">
        <v>0</v>
      </c>
      <c r="P973" t="n">
        <v>0</v>
      </c>
      <c r="Q973" t="n">
        <v>0</v>
      </c>
      <c r="R973" s="2" t="inlineStr"/>
    </row>
    <row r="974" ht="15" customHeight="1">
      <c r="A974" t="inlineStr">
        <is>
          <t>A 21205-2025</t>
        </is>
      </c>
      <c r="B974" s="1" t="n">
        <v>45779</v>
      </c>
      <c r="C974" s="1" t="n">
        <v>46110</v>
      </c>
      <c r="D974" t="inlineStr">
        <is>
          <t>VÄSTERBOTTENS LÄN</t>
        </is>
      </c>
      <c r="E974" t="inlineStr">
        <is>
          <t>VILHELMINA</t>
        </is>
      </c>
      <c r="F974" t="inlineStr">
        <is>
          <t>Allmännings- och besparingsskogar</t>
        </is>
      </c>
      <c r="G974" t="n">
        <v>6.2</v>
      </c>
      <c r="H974" t="n">
        <v>0</v>
      </c>
      <c r="I974" t="n">
        <v>0</v>
      </c>
      <c r="J974" t="n">
        <v>0</v>
      </c>
      <c r="K974" t="n">
        <v>0</v>
      </c>
      <c r="L974" t="n">
        <v>0</v>
      </c>
      <c r="M974" t="n">
        <v>0</v>
      </c>
      <c r="N974" t="n">
        <v>0</v>
      </c>
      <c r="O974" t="n">
        <v>0</v>
      </c>
      <c r="P974" t="n">
        <v>0</v>
      </c>
      <c r="Q974" t="n">
        <v>0</v>
      </c>
      <c r="R974" s="2" t="inlineStr"/>
    </row>
    <row r="975" ht="15" customHeight="1">
      <c r="A975" t="inlineStr">
        <is>
          <t>A 21448-2025</t>
        </is>
      </c>
      <c r="B975" s="1" t="n">
        <v>45782.55241898148</v>
      </c>
      <c r="C975" s="1" t="n">
        <v>46110</v>
      </c>
      <c r="D975" t="inlineStr">
        <is>
          <t>VÄSTERBOTTENS LÄN</t>
        </is>
      </c>
      <c r="E975" t="inlineStr">
        <is>
          <t>VILHELMINA</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21204-2025</t>
        </is>
      </c>
      <c r="B976" s="1" t="n">
        <v>45779</v>
      </c>
      <c r="C976" s="1" t="n">
        <v>46110</v>
      </c>
      <c r="D976" t="inlineStr">
        <is>
          <t>VÄSTERBOTTENS LÄN</t>
        </is>
      </c>
      <c r="E976" t="inlineStr">
        <is>
          <t>VILHELMINA</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21924-2025</t>
        </is>
      </c>
      <c r="B977" s="1" t="n">
        <v>45784</v>
      </c>
      <c r="C977" s="1" t="n">
        <v>46110</v>
      </c>
      <c r="D977" t="inlineStr">
        <is>
          <t>VÄSTERBOTTENS LÄN</t>
        </is>
      </c>
      <c r="E977" t="inlineStr">
        <is>
          <t>VILHELMINA</t>
        </is>
      </c>
      <c r="G977" t="n">
        <v>10.2</v>
      </c>
      <c r="H977" t="n">
        <v>0</v>
      </c>
      <c r="I977" t="n">
        <v>0</v>
      </c>
      <c r="J977" t="n">
        <v>0</v>
      </c>
      <c r="K977" t="n">
        <v>0</v>
      </c>
      <c r="L977" t="n">
        <v>0</v>
      </c>
      <c r="M977" t="n">
        <v>0</v>
      </c>
      <c r="N977" t="n">
        <v>0</v>
      </c>
      <c r="O977" t="n">
        <v>0</v>
      </c>
      <c r="P977" t="n">
        <v>0</v>
      </c>
      <c r="Q977" t="n">
        <v>0</v>
      </c>
      <c r="R977" s="2" t="inlineStr"/>
    </row>
    <row r="978" ht="15" customHeight="1">
      <c r="A978" t="inlineStr">
        <is>
          <t>A 50482-2023</t>
        </is>
      </c>
      <c r="B978" s="1" t="n">
        <v>45216</v>
      </c>
      <c r="C978" s="1" t="n">
        <v>46110</v>
      </c>
      <c r="D978" t="inlineStr">
        <is>
          <t>VÄSTERBOTTENS LÄN</t>
        </is>
      </c>
      <c r="E978" t="inlineStr">
        <is>
          <t>VILHELMINA</t>
        </is>
      </c>
      <c r="G978" t="n">
        <v>3.5</v>
      </c>
      <c r="H978" t="n">
        <v>0</v>
      </c>
      <c r="I978" t="n">
        <v>0</v>
      </c>
      <c r="J978" t="n">
        <v>0</v>
      </c>
      <c r="K978" t="n">
        <v>0</v>
      </c>
      <c r="L978" t="n">
        <v>0</v>
      </c>
      <c r="M978" t="n">
        <v>0</v>
      </c>
      <c r="N978" t="n">
        <v>0</v>
      </c>
      <c r="O978" t="n">
        <v>0</v>
      </c>
      <c r="P978" t="n">
        <v>0</v>
      </c>
      <c r="Q978" t="n">
        <v>0</v>
      </c>
      <c r="R978" s="2" t="inlineStr"/>
    </row>
    <row r="979" ht="15" customHeight="1">
      <c r="A979" t="inlineStr">
        <is>
          <t>A 21999-2025</t>
        </is>
      </c>
      <c r="B979" s="1" t="n">
        <v>45784</v>
      </c>
      <c r="C979" s="1" t="n">
        <v>46110</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21950-2025</t>
        </is>
      </c>
      <c r="B980" s="1" t="n">
        <v>45784.59418981482</v>
      </c>
      <c r="C980" s="1" t="n">
        <v>46110</v>
      </c>
      <c r="D980" t="inlineStr">
        <is>
          <t>VÄSTERBOTTENS LÄN</t>
        </is>
      </c>
      <c r="E980" t="inlineStr">
        <is>
          <t>VILHELMINA</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21623-2025</t>
        </is>
      </c>
      <c r="B981" s="1" t="n">
        <v>45783</v>
      </c>
      <c r="C981" s="1" t="n">
        <v>46110</v>
      </c>
      <c r="D981" t="inlineStr">
        <is>
          <t>VÄSTERBOTTENS LÄN</t>
        </is>
      </c>
      <c r="E981" t="inlineStr">
        <is>
          <t>VILHELMINA</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21670-2025</t>
        </is>
      </c>
      <c r="B982" s="1" t="n">
        <v>45783.46917824074</v>
      </c>
      <c r="C982" s="1" t="n">
        <v>46110</v>
      </c>
      <c r="D982" t="inlineStr">
        <is>
          <t>VÄSTERBOTTENS LÄN</t>
        </is>
      </c>
      <c r="E982" t="inlineStr">
        <is>
          <t>VILHELMINA</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21972-2025</t>
        </is>
      </c>
      <c r="B983" s="1" t="n">
        <v>45784.63592592593</v>
      </c>
      <c r="C983" s="1" t="n">
        <v>46110</v>
      </c>
      <c r="D983" t="inlineStr">
        <is>
          <t>VÄSTERBOTTENS LÄN</t>
        </is>
      </c>
      <c r="E983" t="inlineStr">
        <is>
          <t>VILHELMINA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34809-2023</t>
        </is>
      </c>
      <c r="B984" s="1" t="n">
        <v>45140</v>
      </c>
      <c r="C984" s="1" t="n">
        <v>46110</v>
      </c>
      <c r="D984" t="inlineStr">
        <is>
          <t>VÄSTERBOTTENS LÄN</t>
        </is>
      </c>
      <c r="E984" t="inlineStr">
        <is>
          <t>VILHELMINA</t>
        </is>
      </c>
      <c r="G984" t="n">
        <v>8.699999999999999</v>
      </c>
      <c r="H984" t="n">
        <v>0</v>
      </c>
      <c r="I984" t="n">
        <v>0</v>
      </c>
      <c r="J984" t="n">
        <v>0</v>
      </c>
      <c r="K984" t="n">
        <v>0</v>
      </c>
      <c r="L984" t="n">
        <v>0</v>
      </c>
      <c r="M984" t="n">
        <v>0</v>
      </c>
      <c r="N984" t="n">
        <v>0</v>
      </c>
      <c r="O984" t="n">
        <v>0</v>
      </c>
      <c r="P984" t="n">
        <v>0</v>
      </c>
      <c r="Q984" t="n">
        <v>0</v>
      </c>
      <c r="R984" s="2" t="inlineStr"/>
    </row>
    <row r="985">
      <c r="A985" t="inlineStr">
        <is>
          <t>A 22048-2025</t>
        </is>
      </c>
      <c r="B985" s="1" t="n">
        <v>45785.3443287037</v>
      </c>
      <c r="C985" s="1" t="n">
        <v>46110</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2026-03-29T11:42:58Z</dcterms:created>
  <dcterms:modified xmlns:dcterms="http://purl.org/dc/terms/" xmlns:xsi="http://www.w3.org/2001/XMLSchema-instance" xsi:type="dcterms:W3CDTF">2026-03-29T11:42:59Z</dcterms:modified>
</cp:coreProperties>
</file>