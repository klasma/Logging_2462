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46193</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46193</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46193</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46193</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46193</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46193</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46193</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46193</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46193</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46193</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46193</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46193</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46193</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46193</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46193</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46193</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46193</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46193</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46193</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46193</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46193</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46193</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46193</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46193</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46193</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20904-2026</t>
        </is>
      </c>
      <c r="B27" s="1" t="n">
        <v>46142</v>
      </c>
      <c r="C27" s="1" t="n">
        <v>46193</v>
      </c>
      <c r="D27" t="inlineStr">
        <is>
          <t>VÄSTERBOTTENS LÄN</t>
        </is>
      </c>
      <c r="E27" t="inlineStr">
        <is>
          <t>VILHELMINA</t>
        </is>
      </c>
      <c r="G27" t="n">
        <v>14.6</v>
      </c>
      <c r="H27" t="n">
        <v>7</v>
      </c>
      <c r="I27" t="n">
        <v>8</v>
      </c>
      <c r="J27" t="n">
        <v>9</v>
      </c>
      <c r="K27" t="n">
        <v>2</v>
      </c>
      <c r="L27" t="n">
        <v>0</v>
      </c>
      <c r="M27" t="n">
        <v>0</v>
      </c>
      <c r="N27" t="n">
        <v>0</v>
      </c>
      <c r="O27" t="n">
        <v>11</v>
      </c>
      <c r="P27" t="n">
        <v>2</v>
      </c>
      <c r="Q27" t="n">
        <v>19</v>
      </c>
      <c r="R27" s="2" t="inlineStr">
        <is>
          <t>Garnlav
Grantickeporing
Kungsörn
Lappmes
Lavskrika
Lunglav
Skrovellav
Tretåig hackspett
Ullticka
Violettgrå tagellav
Älg
Bårdlav
Korallrot
Luddlav
Plattlummer
Skinnlav
Spindelblomster
Stuplav
Trådticka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46776-2024</t>
        </is>
      </c>
      <c r="B28" s="1" t="n">
        <v>45583</v>
      </c>
      <c r="C28" s="1" t="n">
        <v>46193</v>
      </c>
      <c r="D28" t="inlineStr">
        <is>
          <t>VÄSTERBOTTENS LÄN</t>
        </is>
      </c>
      <c r="E28" t="inlineStr">
        <is>
          <t>VILHELMINA</t>
        </is>
      </c>
      <c r="F28" t="inlineStr">
        <is>
          <t>SCA</t>
        </is>
      </c>
      <c r="G28" t="n">
        <v>5.8</v>
      </c>
      <c r="H28" t="n">
        <v>3</v>
      </c>
      <c r="I28" t="n">
        <v>3</v>
      </c>
      <c r="J28" t="n">
        <v>12</v>
      </c>
      <c r="K28" t="n">
        <v>3</v>
      </c>
      <c r="L28" t="n">
        <v>0</v>
      </c>
      <c r="M28" t="n">
        <v>0</v>
      </c>
      <c r="N28" t="n">
        <v>0</v>
      </c>
      <c r="O28" t="n">
        <v>15</v>
      </c>
      <c r="P28" t="n">
        <v>3</v>
      </c>
      <c r="Q28" t="n">
        <v>19</v>
      </c>
      <c r="R28" s="2" t="inlineStr">
        <is>
          <t>Garnlav
Gränsticka
Ulltickeporing
Knottrig blåslav
Kolflarnlav
Kötticka
Lunglav
Rosenticka
Skarp dropptaggsvamp
Skrovellav
Tallfingersvamp
Tretåig hackspett
Ullticka
Vedskivlav
Äggvaxskivling
Korallblylav
Spindelblomster
Stuplav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13030-2025</t>
        </is>
      </c>
      <c r="B29" s="1" t="n">
        <v>45734</v>
      </c>
      <c r="C29" s="1" t="n">
        <v>46193</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46193</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367-2024</t>
        </is>
      </c>
      <c r="B31" s="1" t="n">
        <v>45295</v>
      </c>
      <c r="C31" s="1" t="n">
        <v>46193</v>
      </c>
      <c r="D31" t="inlineStr">
        <is>
          <t>VÄSTERBOTTENS LÄN</t>
        </is>
      </c>
      <c r="E31" t="inlineStr">
        <is>
          <t>VILHELMINA</t>
        </is>
      </c>
      <c r="F31" t="inlineStr">
        <is>
          <t>SCA</t>
        </is>
      </c>
      <c r="G31" t="n">
        <v>5.4</v>
      </c>
      <c r="H31" t="n">
        <v>7</v>
      </c>
      <c r="I31" t="n">
        <v>1</v>
      </c>
      <c r="J31" t="n">
        <v>9</v>
      </c>
      <c r="K31" t="n">
        <v>3</v>
      </c>
      <c r="L31" t="n">
        <v>0</v>
      </c>
      <c r="M31" t="n">
        <v>0</v>
      </c>
      <c r="N31" t="n">
        <v>0</v>
      </c>
      <c r="O31" t="n">
        <v>12</v>
      </c>
      <c r="P31" t="n">
        <v>3</v>
      </c>
      <c r="Q31" t="n">
        <v>17</v>
      </c>
      <c r="R31" s="2" t="inlineStr">
        <is>
          <t>Garnlav
Gränsticka
Liten sotlav
Gammelgransskål
Järnsparv
Lavskrika
Liten svartspik
Rosenticka
Rödbrun blekspik
Rödvingetrast
Talltita
Ullticka
Mörk husmossa
Nordisk stormhatt
Spillkråka
Videsparv
Revlummer</t>
        </is>
      </c>
      <c r="S31">
        <f>HYPERLINK("https://klasma.github.io/Logging_2462/artfynd/A 367-2024 artfynd.xlsx", "A 367-2024")</f>
        <v/>
      </c>
      <c r="T31">
        <f>HYPERLINK("https://klasma.github.io/Logging_2462/kartor/A 367-2024 karta.png", "A 367-2024")</f>
        <v/>
      </c>
      <c r="V31">
        <f>HYPERLINK("https://klasma.github.io/Logging_2462/klagomål/A 367-2024 FSC-klagomål.docx", "A 367-2024")</f>
        <v/>
      </c>
      <c r="W31">
        <f>HYPERLINK("https://klasma.github.io/Logging_2462/klagomålsmail/A 367-2024 FSC-klagomål mail.docx", "A 367-2024")</f>
        <v/>
      </c>
      <c r="X31">
        <f>HYPERLINK("https://klasma.github.io/Logging_2462/tillsyn/A 367-2024 tillsynsbegäran.docx", "A 367-2024")</f>
        <v/>
      </c>
      <c r="Y31">
        <f>HYPERLINK("https://klasma.github.io/Logging_2462/tillsynsmail/A 367-2024 tillsynsbegäran mail.docx", "A 367-2024")</f>
        <v/>
      </c>
      <c r="Z31">
        <f>HYPERLINK("https://klasma.github.io/Logging_2462/fåglar/A 367-2024 prioriterade fågelarter.docx", "A 367-2024")</f>
        <v/>
      </c>
    </row>
    <row r="32" ht="15" customHeight="1">
      <c r="A32" t="inlineStr">
        <is>
          <t>A 42064-2024</t>
        </is>
      </c>
      <c r="B32" s="1" t="n">
        <v>45561</v>
      </c>
      <c r="C32" s="1" t="n">
        <v>46193</v>
      </c>
      <c r="D32" t="inlineStr">
        <is>
          <t>VÄSTERBOTTENS LÄN</t>
        </is>
      </c>
      <c r="E32" t="inlineStr">
        <is>
          <t>VILHELMINA</t>
        </is>
      </c>
      <c r="G32" t="n">
        <v>37.2</v>
      </c>
      <c r="H32" t="n">
        <v>3</v>
      </c>
      <c r="I32" t="n">
        <v>2</v>
      </c>
      <c r="J32" t="n">
        <v>12</v>
      </c>
      <c r="K32" t="n">
        <v>2</v>
      </c>
      <c r="L32" t="n">
        <v>0</v>
      </c>
      <c r="M32" t="n">
        <v>0</v>
      </c>
      <c r="N32" t="n">
        <v>0</v>
      </c>
      <c r="O32" t="n">
        <v>14</v>
      </c>
      <c r="P32" t="n">
        <v>2</v>
      </c>
      <c r="Q32" t="n">
        <v>17</v>
      </c>
      <c r="R32" s="2" t="inlineStr">
        <is>
          <t>Garnlav
Ulltickeporing
Blanksvart spiklav
Gammelgransskål
Harticka
Kortskaftad ärgspik
Kötticka
Rosenticka
Skogshare
Skrovellav
Talltita
Tretåig hackspett
Ullticka
Vitgrynig nållav
Korallblylav
Luddlav
Järpe</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59489-2025</t>
        </is>
      </c>
      <c r="B33" s="1" t="n">
        <v>45989</v>
      </c>
      <c r="C33" s="1" t="n">
        <v>46193</v>
      </c>
      <c r="D33" t="inlineStr">
        <is>
          <t>VÄSTERBOTTENS LÄN</t>
        </is>
      </c>
      <c r="E33" t="inlineStr">
        <is>
          <t>VILHELMINA</t>
        </is>
      </c>
      <c r="F33" t="inlineStr">
        <is>
          <t>Allmännings- och besparingsskogar</t>
        </is>
      </c>
      <c r="G33" t="n">
        <v>15.1</v>
      </c>
      <c r="H33" t="n">
        <v>1</v>
      </c>
      <c r="I33" t="n">
        <v>7</v>
      </c>
      <c r="J33" t="n">
        <v>8</v>
      </c>
      <c r="K33" t="n">
        <v>2</v>
      </c>
      <c r="L33" t="n">
        <v>0</v>
      </c>
      <c r="M33" t="n">
        <v>0</v>
      </c>
      <c r="N33" t="n">
        <v>0</v>
      </c>
      <c r="O33" t="n">
        <v>10</v>
      </c>
      <c r="P33" t="n">
        <v>2</v>
      </c>
      <c r="Q33" t="n">
        <v>17</v>
      </c>
      <c r="R33" s="2" t="inlineStr">
        <is>
          <t>Gränsticka
Liten sotlav
Brunpudrad nållav
Doftskinn
Harticka
Knottrig blåslav
Rosenticka
Rödbrun blekspik
Skrovellav
Tretåig hackspett
Kornig nållav
Mörk husmossa
Rostfläck
Skogshakmossa
Skör kvastmossa
Trådticka
Ögonpyrola</t>
        </is>
      </c>
      <c r="S33">
        <f>HYPERLINK("https://klasma.github.io/Logging_2462/artfynd/A 59489-2025 artfynd.xlsx", "A 59489-2025")</f>
        <v/>
      </c>
      <c r="T33">
        <f>HYPERLINK("https://klasma.github.io/Logging_2462/kartor/A 59489-2025 karta.png", "A 59489-2025")</f>
        <v/>
      </c>
      <c r="V33">
        <f>HYPERLINK("https://klasma.github.io/Logging_2462/klagomål/A 59489-2025 FSC-klagomål.docx", "A 59489-2025")</f>
        <v/>
      </c>
      <c r="W33">
        <f>HYPERLINK("https://klasma.github.io/Logging_2462/klagomålsmail/A 59489-2025 FSC-klagomål mail.docx", "A 59489-2025")</f>
        <v/>
      </c>
      <c r="X33">
        <f>HYPERLINK("https://klasma.github.io/Logging_2462/tillsyn/A 59489-2025 tillsynsbegäran.docx", "A 59489-2025")</f>
        <v/>
      </c>
      <c r="Y33">
        <f>HYPERLINK("https://klasma.github.io/Logging_2462/tillsynsmail/A 59489-2025 tillsynsbegäran mail.docx", "A 59489-2025")</f>
        <v/>
      </c>
      <c r="Z33">
        <f>HYPERLINK("https://klasma.github.io/Logging_2462/fåglar/A 59489-2025 prioriterade fågelarter.docx", "A 59489-2025")</f>
        <v/>
      </c>
    </row>
    <row r="34" ht="15" customHeight="1">
      <c r="A34" t="inlineStr">
        <is>
          <t>A 9048-2023</t>
        </is>
      </c>
      <c r="B34" s="1" t="n">
        <v>44972</v>
      </c>
      <c r="C34" s="1" t="n">
        <v>46193</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9827-2025</t>
        </is>
      </c>
      <c r="B35" s="1" t="n">
        <v>45716</v>
      </c>
      <c r="C35" s="1" t="n">
        <v>46193</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46193</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46193</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46193</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46193</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46193</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46193</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46193</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46193</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46193</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46193</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46193</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44016-2025</t>
        </is>
      </c>
      <c r="B47" s="1" t="n">
        <v>45915</v>
      </c>
      <c r="C47" s="1" t="n">
        <v>46193</v>
      </c>
      <c r="D47" t="inlineStr">
        <is>
          <t>VÄSTERBOTTENS LÄN</t>
        </is>
      </c>
      <c r="E47" t="inlineStr">
        <is>
          <t>VILHELMINA</t>
        </is>
      </c>
      <c r="G47" t="n">
        <v>8.6</v>
      </c>
      <c r="H47" t="n">
        <v>2</v>
      </c>
      <c r="I47" t="n">
        <v>4</v>
      </c>
      <c r="J47" t="n">
        <v>6</v>
      </c>
      <c r="K47" t="n">
        <v>1</v>
      </c>
      <c r="L47" t="n">
        <v>0</v>
      </c>
      <c r="M47" t="n">
        <v>0</v>
      </c>
      <c r="N47" t="n">
        <v>0</v>
      </c>
      <c r="O47" t="n">
        <v>7</v>
      </c>
      <c r="P47" t="n">
        <v>1</v>
      </c>
      <c r="Q47" t="n">
        <v>12</v>
      </c>
      <c r="R47" s="2" t="inlineStr">
        <is>
          <t>Garnlav
Gammelgransskål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46193</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59039-2024</t>
        </is>
      </c>
      <c r="B49" s="1" t="n">
        <v>45636</v>
      </c>
      <c r="C49" s="1" t="n">
        <v>46193</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15051-2024</t>
        </is>
      </c>
      <c r="B50" s="1" t="n">
        <v>45399</v>
      </c>
      <c r="C50" s="1" t="n">
        <v>46193</v>
      </c>
      <c r="D50" t="inlineStr">
        <is>
          <t>VÄSTERBOTTENS LÄN</t>
        </is>
      </c>
      <c r="E50" t="inlineStr">
        <is>
          <t>VILHELMINA</t>
        </is>
      </c>
      <c r="F50" t="inlineStr">
        <is>
          <t>SCA</t>
        </is>
      </c>
      <c r="G50" t="n">
        <v>8.300000000000001</v>
      </c>
      <c r="H50" t="n">
        <v>1</v>
      </c>
      <c r="I50" t="n">
        <v>1</v>
      </c>
      <c r="J50" t="n">
        <v>8</v>
      </c>
      <c r="K50" t="n">
        <v>3</v>
      </c>
      <c r="L50" t="n">
        <v>0</v>
      </c>
      <c r="M50" t="n">
        <v>0</v>
      </c>
      <c r="N50" t="n">
        <v>0</v>
      </c>
      <c r="O50" t="n">
        <v>11</v>
      </c>
      <c r="P50" t="n">
        <v>3</v>
      </c>
      <c r="Q50" t="n">
        <v>12</v>
      </c>
      <c r="R50" s="2" t="inlineStr">
        <is>
          <t>Garnlav
Gränsticka
Vitskaftad svartspik
Gammelgransskål
Harticka
Liten svartspik
Rosenticka
Rynkskinn
Tretåig hackspett
Ullticka
Vitgrynig nållav
Trådticka</t>
        </is>
      </c>
      <c r="S50">
        <f>HYPERLINK("https://klasma.github.io/Logging_2462/artfynd/A 15051-2024 artfynd.xlsx", "A 15051-2024")</f>
        <v/>
      </c>
      <c r="T50">
        <f>HYPERLINK("https://klasma.github.io/Logging_2462/kartor/A 15051-2024 karta.png", "A 15051-2024")</f>
        <v/>
      </c>
      <c r="V50">
        <f>HYPERLINK("https://klasma.github.io/Logging_2462/klagomål/A 15051-2024 FSC-klagomål.docx", "A 15051-2024")</f>
        <v/>
      </c>
      <c r="W50">
        <f>HYPERLINK("https://klasma.github.io/Logging_2462/klagomålsmail/A 15051-2024 FSC-klagomål mail.docx", "A 15051-2024")</f>
        <v/>
      </c>
      <c r="X50">
        <f>HYPERLINK("https://klasma.github.io/Logging_2462/tillsyn/A 15051-2024 tillsynsbegäran.docx", "A 15051-2024")</f>
        <v/>
      </c>
      <c r="Y50">
        <f>HYPERLINK("https://klasma.github.io/Logging_2462/tillsynsmail/A 15051-2024 tillsynsbegäran mail.docx", "A 15051-2024")</f>
        <v/>
      </c>
      <c r="Z50">
        <f>HYPERLINK("https://klasma.github.io/Logging_2462/fåglar/A 15051-2024 prioriterade fågelarter.docx", "A 15051-2024")</f>
        <v/>
      </c>
    </row>
    <row r="51" ht="15" customHeight="1">
      <c r="A51" t="inlineStr">
        <is>
          <t>A 36220-2023</t>
        </is>
      </c>
      <c r="B51" s="1" t="n">
        <v>45149</v>
      </c>
      <c r="C51" s="1" t="n">
        <v>46193</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46193</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46193</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46193</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46193</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14963-2022</t>
        </is>
      </c>
      <c r="B56" s="1" t="n">
        <v>44657</v>
      </c>
      <c r="C56" s="1" t="n">
        <v>46193</v>
      </c>
      <c r="D56" t="inlineStr">
        <is>
          <t>VÄSTERBOTTENS LÄN</t>
        </is>
      </c>
      <c r="E56" t="inlineStr">
        <is>
          <t>VILHELMINA</t>
        </is>
      </c>
      <c r="G56" t="n">
        <v>11.5</v>
      </c>
      <c r="H56" t="n">
        <v>4</v>
      </c>
      <c r="I56" t="n">
        <v>0</v>
      </c>
      <c r="J56" t="n">
        <v>6</v>
      </c>
      <c r="K56" t="n">
        <v>3</v>
      </c>
      <c r="L56" t="n">
        <v>0</v>
      </c>
      <c r="M56" t="n">
        <v>0</v>
      </c>
      <c r="N56" t="n">
        <v>0</v>
      </c>
      <c r="O56" t="n">
        <v>9</v>
      </c>
      <c r="P56" t="n">
        <v>3</v>
      </c>
      <c r="Q56" t="n">
        <v>10</v>
      </c>
      <c r="R56" s="2" t="inlineStr">
        <is>
          <t>Garnlav
Ostticka
Ulltickeporing
Harticka
Lavskrika
Rosenticka
Talltita
Tretåig hackspett
Ullticka
Kungsfågel</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49977-2023</t>
        </is>
      </c>
      <c r="B57" s="1" t="n">
        <v>45208</v>
      </c>
      <c r="C57" s="1" t="n">
        <v>46193</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46193</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59038-2024</t>
        </is>
      </c>
      <c r="B59" s="1" t="n">
        <v>45636</v>
      </c>
      <c r="C59" s="1" t="n">
        <v>46193</v>
      </c>
      <c r="D59" t="inlineStr">
        <is>
          <t>VÄSTERBOTTENS LÄN</t>
        </is>
      </c>
      <c r="E59" t="inlineStr">
        <is>
          <t>VILHELMINA</t>
        </is>
      </c>
      <c r="F59" t="inlineStr">
        <is>
          <t>Allmännings- och besparingsskogar</t>
        </is>
      </c>
      <c r="G59" t="n">
        <v>12.1</v>
      </c>
      <c r="H59" t="n">
        <v>2</v>
      </c>
      <c r="I59" t="n">
        <v>1</v>
      </c>
      <c r="J59" t="n">
        <v>7</v>
      </c>
      <c r="K59" t="n">
        <v>2</v>
      </c>
      <c r="L59" t="n">
        <v>0</v>
      </c>
      <c r="M59" t="n">
        <v>0</v>
      </c>
      <c r="N59" t="n">
        <v>0</v>
      </c>
      <c r="O59" t="n">
        <v>9</v>
      </c>
      <c r="P59" t="n">
        <v>2</v>
      </c>
      <c r="Q59" t="n">
        <v>10</v>
      </c>
      <c r="R59" s="2" t="inlineStr">
        <is>
          <t>Garnlav
Vitskaftad svartspik
Brunpudrad nållav
Gammelgransskål
Knottrig blåslav
Lavskrika
Rödvingetrast
Ullticka
Vitgrynig nållav
Mörk husmossa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49141-2023</t>
        </is>
      </c>
      <c r="B60" s="1" t="n">
        <v>45205</v>
      </c>
      <c r="C60" s="1" t="n">
        <v>46193</v>
      </c>
      <c r="D60" t="inlineStr">
        <is>
          <t>VÄSTERBOTTENS LÄN</t>
        </is>
      </c>
      <c r="E60" t="inlineStr">
        <is>
          <t>VILHELMINA</t>
        </is>
      </c>
      <c r="F60" t="inlineStr">
        <is>
          <t>Allmännings- och besparingsskogar</t>
        </is>
      </c>
      <c r="G60" t="n">
        <v>8.1</v>
      </c>
      <c r="H60" t="n">
        <v>2</v>
      </c>
      <c r="I60" t="n">
        <v>1</v>
      </c>
      <c r="J60" t="n">
        <v>7</v>
      </c>
      <c r="K60" t="n">
        <v>2</v>
      </c>
      <c r="L60" t="n">
        <v>0</v>
      </c>
      <c r="M60" t="n">
        <v>0</v>
      </c>
      <c r="N60" t="n">
        <v>0</v>
      </c>
      <c r="O60" t="n">
        <v>9</v>
      </c>
      <c r="P60" t="n">
        <v>2</v>
      </c>
      <c r="Q60" t="n">
        <v>10</v>
      </c>
      <c r="R60" s="2" t="inlineStr">
        <is>
          <t>Garnlav
Vitskaftad svartspik
Liten svartspik
Lunglav
Skrovellav
Talltita
Tretåig hackspett
Ullticka
Vitgrynig nållav
Trådticka</t>
        </is>
      </c>
      <c r="S60">
        <f>HYPERLINK("https://klasma.github.io/Logging_2462/artfynd/A 49141-2023 artfynd.xlsx", "A 49141-2023")</f>
        <v/>
      </c>
      <c r="T60">
        <f>HYPERLINK("https://klasma.github.io/Logging_2462/kartor/A 49141-2023 karta.png", "A 49141-2023")</f>
        <v/>
      </c>
      <c r="V60">
        <f>HYPERLINK("https://klasma.github.io/Logging_2462/klagomål/A 49141-2023 FSC-klagomål.docx", "A 49141-2023")</f>
        <v/>
      </c>
      <c r="W60">
        <f>HYPERLINK("https://klasma.github.io/Logging_2462/klagomålsmail/A 49141-2023 FSC-klagomål mail.docx", "A 49141-2023")</f>
        <v/>
      </c>
      <c r="X60">
        <f>HYPERLINK("https://klasma.github.io/Logging_2462/tillsyn/A 49141-2023 tillsynsbegäran.docx", "A 49141-2023")</f>
        <v/>
      </c>
      <c r="Y60">
        <f>HYPERLINK("https://klasma.github.io/Logging_2462/tillsynsmail/A 49141-2023 tillsynsbegäran mail.docx", "A 49141-2023")</f>
        <v/>
      </c>
      <c r="Z60">
        <f>HYPERLINK("https://klasma.github.io/Logging_2462/fåglar/A 49141-2023 prioriterade fågelarter.docx", "A 49141-2023")</f>
        <v/>
      </c>
    </row>
    <row r="61" ht="15" customHeight="1">
      <c r="A61" t="inlineStr">
        <is>
          <t>A 51947-2025</t>
        </is>
      </c>
      <c r="B61" s="1" t="n">
        <v>45952</v>
      </c>
      <c r="C61" s="1" t="n">
        <v>46193</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46193</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7762-2024</t>
        </is>
      </c>
      <c r="B63" s="1" t="n">
        <v>45349</v>
      </c>
      <c r="C63" s="1" t="n">
        <v>46193</v>
      </c>
      <c r="D63" t="inlineStr">
        <is>
          <t>VÄSTERBOTTENS LÄN</t>
        </is>
      </c>
      <c r="E63" t="inlineStr">
        <is>
          <t>VILHELMINA</t>
        </is>
      </c>
      <c r="G63" t="n">
        <v>4.8</v>
      </c>
      <c r="H63" t="n">
        <v>3</v>
      </c>
      <c r="I63" t="n">
        <v>2</v>
      </c>
      <c r="J63" t="n">
        <v>6</v>
      </c>
      <c r="K63" t="n">
        <v>1</v>
      </c>
      <c r="L63" t="n">
        <v>0</v>
      </c>
      <c r="M63" t="n">
        <v>0</v>
      </c>
      <c r="N63" t="n">
        <v>0</v>
      </c>
      <c r="O63" t="n">
        <v>7</v>
      </c>
      <c r="P63" t="n">
        <v>1</v>
      </c>
      <c r="Q63" t="n">
        <v>10</v>
      </c>
      <c r="R63" s="2" t="inlineStr">
        <is>
          <t>Garnlav
Gammelgransskål
Skogshare
Skrovellav
Talltita
Tretåig hackspett
Vitgrynig nållav
Korallblylav
Luddlav
Järpe</t>
        </is>
      </c>
      <c r="S63">
        <f>HYPERLINK("https://klasma.github.io/Logging_2462/artfynd/A 7762-2024 artfynd.xlsx", "A 7762-2024")</f>
        <v/>
      </c>
      <c r="T63">
        <f>HYPERLINK("https://klasma.github.io/Logging_2462/kartor/A 7762-2024 karta.png", "A 7762-2024")</f>
        <v/>
      </c>
      <c r="V63">
        <f>HYPERLINK("https://klasma.github.io/Logging_2462/klagomål/A 7762-2024 FSC-klagomål.docx", "A 7762-2024")</f>
        <v/>
      </c>
      <c r="W63">
        <f>HYPERLINK("https://klasma.github.io/Logging_2462/klagomålsmail/A 7762-2024 FSC-klagomål mail.docx", "A 7762-2024")</f>
        <v/>
      </c>
      <c r="X63">
        <f>HYPERLINK("https://klasma.github.io/Logging_2462/tillsyn/A 7762-2024 tillsynsbegäran.docx", "A 7762-2024")</f>
        <v/>
      </c>
      <c r="Y63">
        <f>HYPERLINK("https://klasma.github.io/Logging_2462/tillsynsmail/A 7762-2024 tillsynsbegäran mail.docx", "A 7762-2024")</f>
        <v/>
      </c>
      <c r="Z63">
        <f>HYPERLINK("https://klasma.github.io/Logging_2462/fåglar/A 7762-2024 prioriterade fågelarter.docx", "A 7762-2024")</f>
        <v/>
      </c>
    </row>
    <row r="64" ht="15" customHeight="1">
      <c r="A64" t="inlineStr">
        <is>
          <t>A 6969-2023</t>
        </is>
      </c>
      <c r="B64" s="1" t="n">
        <v>44964</v>
      </c>
      <c r="C64" s="1" t="n">
        <v>46193</v>
      </c>
      <c r="D64" t="inlineStr">
        <is>
          <t>VÄSTERBOTTENS LÄN</t>
        </is>
      </c>
      <c r="E64" t="inlineStr">
        <is>
          <t>VILHELMINA</t>
        </is>
      </c>
      <c r="F64" t="inlineStr">
        <is>
          <t>Allmännings- och besparingsskogar</t>
        </is>
      </c>
      <c r="G64" t="n">
        <v>22</v>
      </c>
      <c r="H64" t="n">
        <v>0</v>
      </c>
      <c r="I64" t="n">
        <v>3</v>
      </c>
      <c r="J64" t="n">
        <v>5</v>
      </c>
      <c r="K64" t="n">
        <v>1</v>
      </c>
      <c r="L64" t="n">
        <v>0</v>
      </c>
      <c r="M64" t="n">
        <v>0</v>
      </c>
      <c r="N64" t="n">
        <v>0</v>
      </c>
      <c r="O64" t="n">
        <v>6</v>
      </c>
      <c r="P64" t="n">
        <v>1</v>
      </c>
      <c r="Q64" t="n">
        <v>9</v>
      </c>
      <c r="R64" s="2" t="inlineStr">
        <is>
          <t>Garnlav
Brunpudrad nållav
Rosenticka
Rödbrun blekspik
Skrovellav
Ullticka
Gulnål
Mörk husmossa
Stuplav</t>
        </is>
      </c>
      <c r="S64">
        <f>HYPERLINK("https://klasma.github.io/Logging_2462/artfynd/A 6969-2023 artfynd.xlsx", "A 6969-2023")</f>
        <v/>
      </c>
      <c r="T64">
        <f>HYPERLINK("https://klasma.github.io/Logging_2462/kartor/A 6969-2023 karta.png", "A 6969-2023")</f>
        <v/>
      </c>
      <c r="V64">
        <f>HYPERLINK("https://klasma.github.io/Logging_2462/klagomål/A 6969-2023 FSC-klagomål.docx", "A 6969-2023")</f>
        <v/>
      </c>
      <c r="W64">
        <f>HYPERLINK("https://klasma.github.io/Logging_2462/klagomålsmail/A 6969-2023 FSC-klagomål mail.docx", "A 6969-2023")</f>
        <v/>
      </c>
      <c r="X64">
        <f>HYPERLINK("https://klasma.github.io/Logging_2462/tillsyn/A 6969-2023 tillsynsbegäran.docx", "A 6969-2023")</f>
        <v/>
      </c>
      <c r="Y64">
        <f>HYPERLINK("https://klasma.github.io/Logging_2462/tillsynsmail/A 6969-2023 tillsynsbegäran mail.docx", "A 6969-2023")</f>
        <v/>
      </c>
    </row>
    <row r="65" ht="15" customHeight="1">
      <c r="A65" t="inlineStr">
        <is>
          <t>A 6963-2023</t>
        </is>
      </c>
      <c r="B65" s="1" t="n">
        <v>44964</v>
      </c>
      <c r="C65" s="1" t="n">
        <v>46193</v>
      </c>
      <c r="D65" t="inlineStr">
        <is>
          <t>VÄSTERBOTTENS LÄN</t>
        </is>
      </c>
      <c r="E65" t="inlineStr">
        <is>
          <t>VILHELMINA</t>
        </is>
      </c>
      <c r="F65" t="inlineStr">
        <is>
          <t>Allmännings- och besparingsskogar</t>
        </is>
      </c>
      <c r="G65" t="n">
        <v>8</v>
      </c>
      <c r="H65" t="n">
        <v>2</v>
      </c>
      <c r="I65" t="n">
        <v>2</v>
      </c>
      <c r="J65" t="n">
        <v>5</v>
      </c>
      <c r="K65" t="n">
        <v>2</v>
      </c>
      <c r="L65" t="n">
        <v>0</v>
      </c>
      <c r="M65" t="n">
        <v>0</v>
      </c>
      <c r="N65" t="n">
        <v>0</v>
      </c>
      <c r="O65" t="n">
        <v>7</v>
      </c>
      <c r="P65" t="n">
        <v>2</v>
      </c>
      <c r="Q65" t="n">
        <v>9</v>
      </c>
      <c r="R65" s="2" t="inlineStr">
        <is>
          <t>Garnlav
Vitskaftad svartspik
Gammelgransskål
Knottrig blåslav
Skrovellav
Tretåig hackspett
Vitgrynig nållav
Mörk husmossa
Spindelblomster</t>
        </is>
      </c>
      <c r="S65">
        <f>HYPERLINK("https://klasma.github.io/Logging_2462/artfynd/A 6963-2023 artfynd.xlsx", "A 6963-2023")</f>
        <v/>
      </c>
      <c r="T65">
        <f>HYPERLINK("https://klasma.github.io/Logging_2462/kartor/A 6963-2023 karta.png", "A 6963-2023")</f>
        <v/>
      </c>
      <c r="V65">
        <f>HYPERLINK("https://klasma.github.io/Logging_2462/klagomål/A 6963-2023 FSC-klagomål.docx", "A 6963-2023")</f>
        <v/>
      </c>
      <c r="W65">
        <f>HYPERLINK("https://klasma.github.io/Logging_2462/klagomålsmail/A 6963-2023 FSC-klagomål mail.docx", "A 6963-2023")</f>
        <v/>
      </c>
      <c r="X65">
        <f>HYPERLINK("https://klasma.github.io/Logging_2462/tillsyn/A 6963-2023 tillsynsbegäran.docx", "A 6963-2023")</f>
        <v/>
      </c>
      <c r="Y65">
        <f>HYPERLINK("https://klasma.github.io/Logging_2462/tillsynsmail/A 6963-2023 tillsynsbegäran mail.docx", "A 6963-2023")</f>
        <v/>
      </c>
      <c r="Z65">
        <f>HYPERLINK("https://klasma.github.io/Logging_2462/fåglar/A 6963-2023 prioriterade fågelarter.docx", "A 6963-2023")</f>
        <v/>
      </c>
    </row>
    <row r="66" ht="15" customHeight="1">
      <c r="A66" t="inlineStr">
        <is>
          <t>A 56840-2023</t>
        </is>
      </c>
      <c r="B66" s="1" t="n">
        <v>45238</v>
      </c>
      <c r="C66" s="1" t="n">
        <v>46193</v>
      </c>
      <c r="D66" t="inlineStr">
        <is>
          <t>VÄSTERBOTTENS LÄN</t>
        </is>
      </c>
      <c r="E66" t="inlineStr">
        <is>
          <t>VILHELMINA</t>
        </is>
      </c>
      <c r="F66" t="inlineStr">
        <is>
          <t>Allmännings- och besparingsskogar</t>
        </is>
      </c>
      <c r="G66" t="n">
        <v>55</v>
      </c>
      <c r="H66" t="n">
        <v>0</v>
      </c>
      <c r="I66" t="n">
        <v>1</v>
      </c>
      <c r="J66" t="n">
        <v>5</v>
      </c>
      <c r="K66" t="n">
        <v>3</v>
      </c>
      <c r="L66" t="n">
        <v>0</v>
      </c>
      <c r="M66" t="n">
        <v>0</v>
      </c>
      <c r="N66" t="n">
        <v>0</v>
      </c>
      <c r="O66" t="n">
        <v>8</v>
      </c>
      <c r="P66" t="n">
        <v>3</v>
      </c>
      <c r="Q66" t="n">
        <v>9</v>
      </c>
      <c r="R66" s="2" t="inlineStr">
        <is>
          <t>Gränsticka
Kristallticka
Tajgaskinn
Doftskinn
Gammelgransskål
Harticka
Rosenticka
Skrovellav
Sotlav</t>
        </is>
      </c>
      <c r="S66">
        <f>HYPERLINK("https://klasma.github.io/Logging_2462/artfynd/A 56840-2023 artfynd.xlsx", "A 56840-2023")</f>
        <v/>
      </c>
      <c r="T66">
        <f>HYPERLINK("https://klasma.github.io/Logging_2462/kartor/A 56840-2023 karta.png", "A 56840-2023")</f>
        <v/>
      </c>
      <c r="V66">
        <f>HYPERLINK("https://klasma.github.io/Logging_2462/klagomål/A 56840-2023 FSC-klagomål.docx", "A 56840-2023")</f>
        <v/>
      </c>
      <c r="W66">
        <f>HYPERLINK("https://klasma.github.io/Logging_2462/klagomålsmail/A 56840-2023 FSC-klagomål mail.docx", "A 56840-2023")</f>
        <v/>
      </c>
      <c r="X66">
        <f>HYPERLINK("https://klasma.github.io/Logging_2462/tillsyn/A 56840-2023 tillsynsbegäran.docx", "A 56840-2023")</f>
        <v/>
      </c>
      <c r="Y66">
        <f>HYPERLINK("https://klasma.github.io/Logging_2462/tillsynsmail/A 56840-2023 tillsynsbegäran mail.docx", "A 56840-2023")</f>
        <v/>
      </c>
    </row>
    <row r="67" ht="15" customHeight="1">
      <c r="A67" t="inlineStr">
        <is>
          <t>A 25564-2024</t>
        </is>
      </c>
      <c r="B67" s="1" t="n">
        <v>45463</v>
      </c>
      <c r="C67" s="1" t="n">
        <v>46193</v>
      </c>
      <c r="D67" t="inlineStr">
        <is>
          <t>VÄSTERBOTTENS LÄN</t>
        </is>
      </c>
      <c r="E67" t="inlineStr">
        <is>
          <t>VILHELMINA</t>
        </is>
      </c>
      <c r="F67" t="inlineStr">
        <is>
          <t>Sveaskog</t>
        </is>
      </c>
      <c r="G67" t="n">
        <v>4.2</v>
      </c>
      <c r="H67" t="n">
        <v>3</v>
      </c>
      <c r="I67" t="n">
        <v>1</v>
      </c>
      <c r="J67" t="n">
        <v>6</v>
      </c>
      <c r="K67" t="n">
        <v>1</v>
      </c>
      <c r="L67" t="n">
        <v>0</v>
      </c>
      <c r="M67" t="n">
        <v>0</v>
      </c>
      <c r="N67" t="n">
        <v>0</v>
      </c>
      <c r="O67" t="n">
        <v>7</v>
      </c>
      <c r="P67" t="n">
        <v>1</v>
      </c>
      <c r="Q67" t="n">
        <v>9</v>
      </c>
      <c r="R67" s="2" t="inlineStr">
        <is>
          <t>Garnlav
Gammelgransskål
Kandelabersvamp
Koralltaggsvamp
Lavskrika
Tretåig hackspett
Vedtrappmossa
Blodticka
Tjäder</t>
        </is>
      </c>
      <c r="S67">
        <f>HYPERLINK("https://klasma.github.io/Logging_2462/artfynd/A 25564-2024 artfynd.xlsx", "A 25564-2024")</f>
        <v/>
      </c>
      <c r="T67">
        <f>HYPERLINK("https://klasma.github.io/Logging_2462/kartor/A 25564-2024 karta.png", "A 25564-2024")</f>
        <v/>
      </c>
      <c r="V67">
        <f>HYPERLINK("https://klasma.github.io/Logging_2462/klagomål/A 25564-2024 FSC-klagomål.docx", "A 25564-2024")</f>
        <v/>
      </c>
      <c r="W67">
        <f>HYPERLINK("https://klasma.github.io/Logging_2462/klagomålsmail/A 25564-2024 FSC-klagomål mail.docx", "A 25564-2024")</f>
        <v/>
      </c>
      <c r="X67">
        <f>HYPERLINK("https://klasma.github.io/Logging_2462/tillsyn/A 25564-2024 tillsynsbegäran.docx", "A 25564-2024")</f>
        <v/>
      </c>
      <c r="Y67">
        <f>HYPERLINK("https://klasma.github.io/Logging_2462/tillsynsmail/A 25564-2024 tillsynsbegäran mail.docx", "A 25564-2024")</f>
        <v/>
      </c>
      <c r="Z67">
        <f>HYPERLINK("https://klasma.github.io/Logging_2462/fåglar/A 25564-2024 prioriterade fågelarter.docx", "A 25564-2024")</f>
        <v/>
      </c>
    </row>
    <row r="68" ht="15" customHeight="1">
      <c r="A68" t="inlineStr">
        <is>
          <t>A 7260-2026</t>
        </is>
      </c>
      <c r="B68" s="1" t="n">
        <v>46058</v>
      </c>
      <c r="C68" s="1" t="n">
        <v>46193</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46193</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46193</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20322-2022</t>
        </is>
      </c>
      <c r="B71" s="1" t="n">
        <v>44698</v>
      </c>
      <c r="C71" s="1" t="n">
        <v>46193</v>
      </c>
      <c r="D71" t="inlineStr">
        <is>
          <t>VÄSTERBOTTENS LÄN</t>
        </is>
      </c>
      <c r="E71" t="inlineStr">
        <is>
          <t>VILHELMINA</t>
        </is>
      </c>
      <c r="G71" t="n">
        <v>10.5</v>
      </c>
      <c r="H71" t="n">
        <v>1</v>
      </c>
      <c r="I71" t="n">
        <v>0</v>
      </c>
      <c r="J71" t="n">
        <v>4</v>
      </c>
      <c r="K71" t="n">
        <v>3</v>
      </c>
      <c r="L71" t="n">
        <v>0</v>
      </c>
      <c r="M71" t="n">
        <v>0</v>
      </c>
      <c r="N71" t="n">
        <v>0</v>
      </c>
      <c r="O71" t="n">
        <v>7</v>
      </c>
      <c r="P71" t="n">
        <v>3</v>
      </c>
      <c r="Q71" t="n">
        <v>7</v>
      </c>
      <c r="R71" s="2" t="inlineStr">
        <is>
          <t>Garnlav
Grantickeporing
Tajgaskinn
Doftskinn
Gammelgransskål
Harticka
Tretåig hackspett</t>
        </is>
      </c>
      <c r="S71">
        <f>HYPERLINK("https://klasma.github.io/Logging_2462/artfynd/A 20322-2022 artfynd.xlsx", "A 20322-2022")</f>
        <v/>
      </c>
      <c r="T71">
        <f>HYPERLINK("https://klasma.github.io/Logging_2462/kartor/A 20322-2022 karta.png", "A 20322-2022")</f>
        <v/>
      </c>
      <c r="V71">
        <f>HYPERLINK("https://klasma.github.io/Logging_2462/klagomål/A 20322-2022 FSC-klagomål.docx", "A 20322-2022")</f>
        <v/>
      </c>
      <c r="W71">
        <f>HYPERLINK("https://klasma.github.io/Logging_2462/klagomålsmail/A 20322-2022 FSC-klagomål mail.docx", "A 20322-2022")</f>
        <v/>
      </c>
      <c r="X71">
        <f>HYPERLINK("https://klasma.github.io/Logging_2462/tillsyn/A 20322-2022 tillsynsbegäran.docx", "A 20322-2022")</f>
        <v/>
      </c>
      <c r="Y71">
        <f>HYPERLINK("https://klasma.github.io/Logging_2462/tillsynsmail/A 20322-2022 tillsynsbegäran mail.docx", "A 20322-2022")</f>
        <v/>
      </c>
      <c r="Z71">
        <f>HYPERLINK("https://klasma.github.io/Logging_2462/fåglar/A 20322-2022 prioriterade fågelarter.docx", "A 20322-2022")</f>
        <v/>
      </c>
    </row>
    <row r="72" ht="15" customHeight="1">
      <c r="A72" t="inlineStr">
        <is>
          <t>A 55870-2022</t>
        </is>
      </c>
      <c r="B72" s="1" t="n">
        <v>44888</v>
      </c>
      <c r="C72" s="1" t="n">
        <v>46193</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26191-2022</t>
        </is>
      </c>
      <c r="B73" s="1" t="n">
        <v>44735</v>
      </c>
      <c r="C73" s="1" t="n">
        <v>46193</v>
      </c>
      <c r="D73" t="inlineStr">
        <is>
          <t>VÄSTERBOTTENS LÄN</t>
        </is>
      </c>
      <c r="E73" t="inlineStr">
        <is>
          <t>VILHELMINA</t>
        </is>
      </c>
      <c r="G73" t="n">
        <v>42.1</v>
      </c>
      <c r="H73" t="n">
        <v>2</v>
      </c>
      <c r="I73" t="n">
        <v>0</v>
      </c>
      <c r="J73" t="n">
        <v>6</v>
      </c>
      <c r="K73" t="n">
        <v>1</v>
      </c>
      <c r="L73" t="n">
        <v>0</v>
      </c>
      <c r="M73" t="n">
        <v>0</v>
      </c>
      <c r="N73" t="n">
        <v>0</v>
      </c>
      <c r="O73" t="n">
        <v>7</v>
      </c>
      <c r="P73" t="n">
        <v>1</v>
      </c>
      <c r="Q73" t="n">
        <v>7</v>
      </c>
      <c r="R73" s="2" t="inlineStr">
        <is>
          <t>Garnlav
Gammelgransskål
Rosenticka
Rödbrun blekspik
Talltita
Tretåig hackspett
Ullticka</t>
        </is>
      </c>
      <c r="S73">
        <f>HYPERLINK("https://klasma.github.io/Logging_2462/artfynd/A 26191-2022 artfynd.xlsx", "A 26191-2022")</f>
        <v/>
      </c>
      <c r="T73">
        <f>HYPERLINK("https://klasma.github.io/Logging_2462/kartor/A 26191-2022 karta.png", "A 26191-2022")</f>
        <v/>
      </c>
      <c r="V73">
        <f>HYPERLINK("https://klasma.github.io/Logging_2462/klagomål/A 26191-2022 FSC-klagomål.docx", "A 26191-2022")</f>
        <v/>
      </c>
      <c r="W73">
        <f>HYPERLINK("https://klasma.github.io/Logging_2462/klagomålsmail/A 26191-2022 FSC-klagomål mail.docx", "A 26191-2022")</f>
        <v/>
      </c>
      <c r="X73">
        <f>HYPERLINK("https://klasma.github.io/Logging_2462/tillsyn/A 26191-2022 tillsynsbegäran.docx", "A 26191-2022")</f>
        <v/>
      </c>
      <c r="Y73">
        <f>HYPERLINK("https://klasma.github.io/Logging_2462/tillsynsmail/A 26191-2022 tillsynsbegäran mail.docx", "A 26191-2022")</f>
        <v/>
      </c>
      <c r="Z73">
        <f>HYPERLINK("https://klasma.github.io/Logging_2462/fåglar/A 26191-2022 prioriterade fågelarter.docx", "A 26191-2022")</f>
        <v/>
      </c>
    </row>
    <row r="74" ht="15" customHeight="1">
      <c r="A74" t="inlineStr">
        <is>
          <t>A 56632-2024</t>
        </is>
      </c>
      <c r="B74" s="1" t="n">
        <v>45625</v>
      </c>
      <c r="C74" s="1" t="n">
        <v>46193</v>
      </c>
      <c r="D74" t="inlineStr">
        <is>
          <t>VÄSTERBOTTENS LÄN</t>
        </is>
      </c>
      <c r="E74" t="inlineStr">
        <is>
          <t>VILHELMINA</t>
        </is>
      </c>
      <c r="F74" t="inlineStr">
        <is>
          <t>Allmännings- och besparingsskogar</t>
        </is>
      </c>
      <c r="G74" t="n">
        <v>36.4</v>
      </c>
      <c r="H74" t="n">
        <v>1</v>
      </c>
      <c r="I74" t="n">
        <v>3</v>
      </c>
      <c r="J74" t="n">
        <v>3</v>
      </c>
      <c r="K74" t="n">
        <v>1</v>
      </c>
      <c r="L74" t="n">
        <v>0</v>
      </c>
      <c r="M74" t="n">
        <v>0</v>
      </c>
      <c r="N74" t="n">
        <v>0</v>
      </c>
      <c r="O74" t="n">
        <v>4</v>
      </c>
      <c r="P74" t="n">
        <v>1</v>
      </c>
      <c r="Q74" t="n">
        <v>7</v>
      </c>
      <c r="R74" s="2" t="inlineStr">
        <is>
          <t>Garnlav
Harticka
Tretåig hackspett
Vitgrynig nållav
Gulnål
Mörk husmossa
Stuplav</t>
        </is>
      </c>
      <c r="S74">
        <f>HYPERLINK("https://klasma.github.io/Logging_2462/artfynd/A 56632-2024 artfynd.xlsx", "A 56632-2024")</f>
        <v/>
      </c>
      <c r="T74">
        <f>HYPERLINK("https://klasma.github.io/Logging_2462/kartor/A 56632-2024 karta.png", "A 56632-2024")</f>
        <v/>
      </c>
      <c r="V74">
        <f>HYPERLINK("https://klasma.github.io/Logging_2462/klagomål/A 56632-2024 FSC-klagomål.docx", "A 56632-2024")</f>
        <v/>
      </c>
      <c r="W74">
        <f>HYPERLINK("https://klasma.github.io/Logging_2462/klagomålsmail/A 56632-2024 FSC-klagomål mail.docx", "A 56632-2024")</f>
        <v/>
      </c>
      <c r="X74">
        <f>HYPERLINK("https://klasma.github.io/Logging_2462/tillsyn/A 56632-2024 tillsynsbegäran.docx", "A 56632-2024")</f>
        <v/>
      </c>
      <c r="Y74">
        <f>HYPERLINK("https://klasma.github.io/Logging_2462/tillsynsmail/A 56632-2024 tillsynsbegäran mail.docx", "A 56632-2024")</f>
        <v/>
      </c>
      <c r="Z74">
        <f>HYPERLINK("https://klasma.github.io/Logging_2462/fåglar/A 56632-2024 prioriterade fågelarter.docx", "A 56632-2024")</f>
        <v/>
      </c>
    </row>
    <row r="75" ht="15" customHeight="1">
      <c r="A75" t="inlineStr">
        <is>
          <t>A 30810-2024</t>
        </is>
      </c>
      <c r="B75" s="1" t="n">
        <v>45497</v>
      </c>
      <c r="C75" s="1" t="n">
        <v>46193</v>
      </c>
      <c r="D75" t="inlineStr">
        <is>
          <t>VÄSTERBOTTENS LÄN</t>
        </is>
      </c>
      <c r="E75" t="inlineStr">
        <is>
          <t>VILHELMINA</t>
        </is>
      </c>
      <c r="G75" t="n">
        <v>24.7</v>
      </c>
      <c r="H75" t="n">
        <v>3</v>
      </c>
      <c r="I75" t="n">
        <v>1</v>
      </c>
      <c r="J75" t="n">
        <v>4</v>
      </c>
      <c r="K75" t="n">
        <v>1</v>
      </c>
      <c r="L75" t="n">
        <v>0</v>
      </c>
      <c r="M75" t="n">
        <v>0</v>
      </c>
      <c r="N75" t="n">
        <v>0</v>
      </c>
      <c r="O75" t="n">
        <v>5</v>
      </c>
      <c r="P75" t="n">
        <v>1</v>
      </c>
      <c r="Q75" t="n">
        <v>7</v>
      </c>
      <c r="R75" s="2" t="inlineStr">
        <is>
          <t>Garnlav
Harticka
Lavskrika
Tretåig hackspett
Ullticka
Vedticka
Spillkråka</t>
        </is>
      </c>
      <c r="S75">
        <f>HYPERLINK("https://klasma.github.io/Logging_2462/artfynd/A 30810-2024 artfynd.xlsx", "A 30810-2024")</f>
        <v/>
      </c>
      <c r="T75">
        <f>HYPERLINK("https://klasma.github.io/Logging_2462/kartor/A 30810-2024 karta.png", "A 30810-2024")</f>
        <v/>
      </c>
      <c r="V75">
        <f>HYPERLINK("https://klasma.github.io/Logging_2462/klagomål/A 30810-2024 FSC-klagomål.docx", "A 30810-2024")</f>
        <v/>
      </c>
      <c r="W75">
        <f>HYPERLINK("https://klasma.github.io/Logging_2462/klagomålsmail/A 30810-2024 FSC-klagomål mail.docx", "A 30810-2024")</f>
        <v/>
      </c>
      <c r="X75">
        <f>HYPERLINK("https://klasma.github.io/Logging_2462/tillsyn/A 30810-2024 tillsynsbegäran.docx", "A 30810-2024")</f>
        <v/>
      </c>
      <c r="Y75">
        <f>HYPERLINK("https://klasma.github.io/Logging_2462/tillsynsmail/A 30810-2024 tillsynsbegäran mail.docx", "A 30810-2024")</f>
        <v/>
      </c>
      <c r="Z75">
        <f>HYPERLINK("https://klasma.github.io/Logging_2462/fåglar/A 30810-2024 prioriterade fågelarter.docx", "A 30810-2024")</f>
        <v/>
      </c>
    </row>
    <row r="76" ht="15" customHeight="1">
      <c r="A76" t="inlineStr">
        <is>
          <t>A 49135-2023</t>
        </is>
      </c>
      <c r="B76" s="1" t="n">
        <v>45205</v>
      </c>
      <c r="C76" s="1" t="n">
        <v>46193</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28799-2024</t>
        </is>
      </c>
      <c r="B77" s="1" t="n">
        <v>45478</v>
      </c>
      <c r="C77" s="1" t="n">
        <v>46193</v>
      </c>
      <c r="D77" t="inlineStr">
        <is>
          <t>VÄSTERBOTTENS LÄN</t>
        </is>
      </c>
      <c r="E77" t="inlineStr">
        <is>
          <t>VILHELMINA</t>
        </is>
      </c>
      <c r="G77" t="n">
        <v>5.2</v>
      </c>
      <c r="H77" t="n">
        <v>1</v>
      </c>
      <c r="I77" t="n">
        <v>1</v>
      </c>
      <c r="J77" t="n">
        <v>4</v>
      </c>
      <c r="K77" t="n">
        <v>2</v>
      </c>
      <c r="L77" t="n">
        <v>0</v>
      </c>
      <c r="M77" t="n">
        <v>0</v>
      </c>
      <c r="N77" t="n">
        <v>0</v>
      </c>
      <c r="O77" t="n">
        <v>6</v>
      </c>
      <c r="P77" t="n">
        <v>2</v>
      </c>
      <c r="Q77" t="n">
        <v>7</v>
      </c>
      <c r="R77" s="2" t="inlineStr">
        <is>
          <t>Garnlav
Skeletocutis delicata
Harticka
Rynkskinn
Tretåig hackspett
Ullticka
Stuplav</t>
        </is>
      </c>
      <c r="S77">
        <f>HYPERLINK("https://klasma.github.io/Logging_2462/artfynd/A 28799-2024 artfynd.xlsx", "A 28799-2024")</f>
        <v/>
      </c>
      <c r="T77">
        <f>HYPERLINK("https://klasma.github.io/Logging_2462/kartor/A 28799-2024 karta.png", "A 28799-2024")</f>
        <v/>
      </c>
      <c r="V77">
        <f>HYPERLINK("https://klasma.github.io/Logging_2462/klagomål/A 28799-2024 FSC-klagomål.docx", "A 28799-2024")</f>
        <v/>
      </c>
      <c r="W77">
        <f>HYPERLINK("https://klasma.github.io/Logging_2462/klagomålsmail/A 28799-2024 FSC-klagomål mail.docx", "A 28799-2024")</f>
        <v/>
      </c>
      <c r="X77">
        <f>HYPERLINK("https://klasma.github.io/Logging_2462/tillsyn/A 28799-2024 tillsynsbegäran.docx", "A 28799-2024")</f>
        <v/>
      </c>
      <c r="Y77">
        <f>HYPERLINK("https://klasma.github.io/Logging_2462/tillsynsmail/A 28799-2024 tillsynsbegäran mail.docx", "A 28799-2024")</f>
        <v/>
      </c>
      <c r="Z77">
        <f>HYPERLINK("https://klasma.github.io/Logging_2462/fåglar/A 28799-2024 prioriterade fågelarter.docx", "A 28799-2024")</f>
        <v/>
      </c>
    </row>
    <row r="78" ht="15" customHeight="1">
      <c r="A78" t="inlineStr">
        <is>
          <t>A 30345-2024</t>
        </is>
      </c>
      <c r="B78" s="1" t="n">
        <v>45490</v>
      </c>
      <c r="C78" s="1" t="n">
        <v>46193</v>
      </c>
      <c r="D78" t="inlineStr">
        <is>
          <t>VÄSTERBOTTENS LÄN</t>
        </is>
      </c>
      <c r="E78" t="inlineStr">
        <is>
          <t>VILHELMINA</t>
        </is>
      </c>
      <c r="F78" t="inlineStr">
        <is>
          <t>SCA</t>
        </is>
      </c>
      <c r="G78" t="n">
        <v>4.1</v>
      </c>
      <c r="H78" t="n">
        <v>4</v>
      </c>
      <c r="I78" t="n">
        <v>1</v>
      </c>
      <c r="J78" t="n">
        <v>4</v>
      </c>
      <c r="K78" t="n">
        <v>1</v>
      </c>
      <c r="L78" t="n">
        <v>0</v>
      </c>
      <c r="M78" t="n">
        <v>0</v>
      </c>
      <c r="N78" t="n">
        <v>0</v>
      </c>
      <c r="O78" t="n">
        <v>5</v>
      </c>
      <c r="P78" t="n">
        <v>1</v>
      </c>
      <c r="Q78" t="n">
        <v>7</v>
      </c>
      <c r="R78" s="2" t="inlineStr">
        <is>
          <t>Garnlav
Gammelgransskål
Lavskrika
Talltita
Tretåig hackspett
Stuplav
Orre</t>
        </is>
      </c>
      <c r="S78">
        <f>HYPERLINK("https://klasma.github.io/Logging_2462/artfynd/A 30345-2024 artfynd.xlsx", "A 30345-2024")</f>
        <v/>
      </c>
      <c r="T78">
        <f>HYPERLINK("https://klasma.github.io/Logging_2462/kartor/A 30345-2024 karta.png", "A 30345-2024")</f>
        <v/>
      </c>
      <c r="V78">
        <f>HYPERLINK("https://klasma.github.io/Logging_2462/klagomål/A 30345-2024 FSC-klagomål.docx", "A 30345-2024")</f>
        <v/>
      </c>
      <c r="W78">
        <f>HYPERLINK("https://klasma.github.io/Logging_2462/klagomålsmail/A 30345-2024 FSC-klagomål mail.docx", "A 30345-2024")</f>
        <v/>
      </c>
      <c r="X78">
        <f>HYPERLINK("https://klasma.github.io/Logging_2462/tillsyn/A 30345-2024 tillsynsbegäran.docx", "A 30345-2024")</f>
        <v/>
      </c>
      <c r="Y78">
        <f>HYPERLINK("https://klasma.github.io/Logging_2462/tillsynsmail/A 30345-2024 tillsynsbegäran mail.docx", "A 30345-2024")</f>
        <v/>
      </c>
      <c r="Z78">
        <f>HYPERLINK("https://klasma.github.io/Logging_2462/fåglar/A 30345-2024 prioriterade fågelarter.docx", "A 30345-2024")</f>
        <v/>
      </c>
    </row>
    <row r="79" ht="15" customHeight="1">
      <c r="A79" t="inlineStr">
        <is>
          <t>A 18873-2025</t>
        </is>
      </c>
      <c r="B79" s="1" t="n">
        <v>45764</v>
      </c>
      <c r="C79" s="1" t="n">
        <v>46193</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46193</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46193</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44354-2024</t>
        </is>
      </c>
      <c r="B82" s="1" t="n">
        <v>45573</v>
      </c>
      <c r="C82" s="1" t="n">
        <v>46193</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38929-2025</t>
        </is>
      </c>
      <c r="B83" s="1" t="n">
        <v>45887</v>
      </c>
      <c r="C83" s="1" t="n">
        <v>46193</v>
      </c>
      <c r="D83" t="inlineStr">
        <is>
          <t>VÄSTERBOTTENS LÄN</t>
        </is>
      </c>
      <c r="E83" t="inlineStr">
        <is>
          <t>VILHELMINA</t>
        </is>
      </c>
      <c r="F83" t="inlineStr">
        <is>
          <t>SCA</t>
        </is>
      </c>
      <c r="G83" t="n">
        <v>3.5</v>
      </c>
      <c r="H83" t="n">
        <v>0</v>
      </c>
      <c r="I83" t="n">
        <v>3</v>
      </c>
      <c r="J83" t="n">
        <v>2</v>
      </c>
      <c r="K83" t="n">
        <v>1</v>
      </c>
      <c r="L83" t="n">
        <v>0</v>
      </c>
      <c r="M83" t="n">
        <v>0</v>
      </c>
      <c r="N83" t="n">
        <v>0</v>
      </c>
      <c r="O83" t="n">
        <v>3</v>
      </c>
      <c r="P83" t="n">
        <v>1</v>
      </c>
      <c r="Q83" t="n">
        <v>6</v>
      </c>
      <c r="R83" s="2" t="inlineStr">
        <is>
          <t>Garnlav
Gammelgransskål
Vitgrynig nållav
Blodticka
Thomsons trägnagare
Vågbandad barkbock</t>
        </is>
      </c>
      <c r="S83">
        <f>HYPERLINK("https://klasma.github.io/Logging_2462/artfynd/A 38929-2025 artfynd.xlsx", "A 38929-2025")</f>
        <v/>
      </c>
      <c r="T83">
        <f>HYPERLINK("https://klasma.github.io/Logging_2462/kartor/A 38929-2025 karta.png", "A 38929-2025")</f>
        <v/>
      </c>
      <c r="V83">
        <f>HYPERLINK("https://klasma.github.io/Logging_2462/klagomål/A 38929-2025 FSC-klagomål.docx", "A 38929-2025")</f>
        <v/>
      </c>
      <c r="W83">
        <f>HYPERLINK("https://klasma.github.io/Logging_2462/klagomålsmail/A 38929-2025 FSC-klagomål mail.docx", "A 38929-2025")</f>
        <v/>
      </c>
      <c r="X83">
        <f>HYPERLINK("https://klasma.github.io/Logging_2462/tillsyn/A 38929-2025 tillsynsbegäran.docx", "A 38929-2025")</f>
        <v/>
      </c>
      <c r="Y83">
        <f>HYPERLINK("https://klasma.github.io/Logging_2462/tillsynsmail/A 38929-2025 tillsynsbegäran mail.docx", "A 38929-2025")</f>
        <v/>
      </c>
    </row>
    <row r="84" ht="15" customHeight="1">
      <c r="A84" t="inlineStr">
        <is>
          <t>A 9157-2023</t>
        </is>
      </c>
      <c r="B84" s="1" t="n">
        <v>44972</v>
      </c>
      <c r="C84" s="1" t="n">
        <v>46193</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896-2025</t>
        </is>
      </c>
      <c r="B85" s="1" t="n">
        <v>45665</v>
      </c>
      <c r="C85" s="1" t="n">
        <v>46193</v>
      </c>
      <c r="D85" t="inlineStr">
        <is>
          <t>VÄSTERBOTTENS LÄN</t>
        </is>
      </c>
      <c r="E85" t="inlineStr">
        <is>
          <t>VILHELMINA</t>
        </is>
      </c>
      <c r="G85" t="n">
        <v>24.8</v>
      </c>
      <c r="H85" t="n">
        <v>1</v>
      </c>
      <c r="I85" t="n">
        <v>0</v>
      </c>
      <c r="J85" t="n">
        <v>5</v>
      </c>
      <c r="K85" t="n">
        <v>1</v>
      </c>
      <c r="L85" t="n">
        <v>0</v>
      </c>
      <c r="M85" t="n">
        <v>0</v>
      </c>
      <c r="N85" t="n">
        <v>0</v>
      </c>
      <c r="O85" t="n">
        <v>6</v>
      </c>
      <c r="P85" t="n">
        <v>1</v>
      </c>
      <c r="Q85" t="n">
        <v>6</v>
      </c>
      <c r="R85" s="2" t="inlineStr">
        <is>
          <t>Garnlav
Doftskinn
Rosenticka
Rynkskinn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25180-2025</t>
        </is>
      </c>
      <c r="B86" s="1" t="n">
        <v>45800</v>
      </c>
      <c r="C86" s="1" t="n">
        <v>46193</v>
      </c>
      <c r="D86" t="inlineStr">
        <is>
          <t>VÄSTERBOTTENS LÄN</t>
        </is>
      </c>
      <c r="E86" t="inlineStr">
        <is>
          <t>VILHELMINA</t>
        </is>
      </c>
      <c r="F86" t="inlineStr">
        <is>
          <t>SCA</t>
        </is>
      </c>
      <c r="G86" t="n">
        <v>10.8</v>
      </c>
      <c r="H86" t="n">
        <v>3</v>
      </c>
      <c r="I86" t="n">
        <v>0</v>
      </c>
      <c r="J86" t="n">
        <v>3</v>
      </c>
      <c r="K86" t="n">
        <v>1</v>
      </c>
      <c r="L86" t="n">
        <v>0</v>
      </c>
      <c r="M86" t="n">
        <v>0</v>
      </c>
      <c r="N86" t="n">
        <v>0</v>
      </c>
      <c r="O86" t="n">
        <v>4</v>
      </c>
      <c r="P86" t="n">
        <v>1</v>
      </c>
      <c r="Q86" t="n">
        <v>6</v>
      </c>
      <c r="R86" s="2" t="inlineStr">
        <is>
          <t>Garnlav
Tretåig hackspett
Ullticka
Vitgrynig nållav
Spillkråka
Revlummer</t>
        </is>
      </c>
      <c r="S86">
        <f>HYPERLINK("https://klasma.github.io/Logging_2462/artfynd/A 25180-2025 artfynd.xlsx", "A 25180-2025")</f>
        <v/>
      </c>
      <c r="T86">
        <f>HYPERLINK("https://klasma.github.io/Logging_2462/kartor/A 25180-2025 karta.png", "A 25180-2025")</f>
        <v/>
      </c>
      <c r="V86">
        <f>HYPERLINK("https://klasma.github.io/Logging_2462/klagomål/A 25180-2025 FSC-klagomål.docx", "A 25180-2025")</f>
        <v/>
      </c>
      <c r="W86">
        <f>HYPERLINK("https://klasma.github.io/Logging_2462/klagomålsmail/A 25180-2025 FSC-klagomål mail.docx", "A 25180-2025")</f>
        <v/>
      </c>
      <c r="X86">
        <f>HYPERLINK("https://klasma.github.io/Logging_2462/tillsyn/A 25180-2025 tillsynsbegäran.docx", "A 25180-2025")</f>
        <v/>
      </c>
      <c r="Y86">
        <f>HYPERLINK("https://klasma.github.io/Logging_2462/tillsynsmail/A 25180-2025 tillsynsbegäran mail.docx", "A 25180-2025")</f>
        <v/>
      </c>
      <c r="Z86">
        <f>HYPERLINK("https://klasma.github.io/Logging_2462/fåglar/A 25180-2025 prioriterade fågelarter.docx", "A 25180-2025")</f>
        <v/>
      </c>
    </row>
    <row r="87" ht="15" customHeight="1">
      <c r="A87" t="inlineStr">
        <is>
          <t>A 25040-2025</t>
        </is>
      </c>
      <c r="B87" s="1" t="n">
        <v>45799</v>
      </c>
      <c r="C87" s="1" t="n">
        <v>46193</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15852-2022</t>
        </is>
      </c>
      <c r="B88" s="1" t="n">
        <v>44664</v>
      </c>
      <c r="C88" s="1" t="n">
        <v>46193</v>
      </c>
      <c r="D88" t="inlineStr">
        <is>
          <t>VÄSTERBOTTENS LÄN</t>
        </is>
      </c>
      <c r="E88" t="inlineStr">
        <is>
          <t>VILHELMINA</t>
        </is>
      </c>
      <c r="G88" t="n">
        <v>9.300000000000001</v>
      </c>
      <c r="H88" t="n">
        <v>1</v>
      </c>
      <c r="I88" t="n">
        <v>2</v>
      </c>
      <c r="J88" t="n">
        <v>4</v>
      </c>
      <c r="K88" t="n">
        <v>0</v>
      </c>
      <c r="L88" t="n">
        <v>0</v>
      </c>
      <c r="M88" t="n">
        <v>0</v>
      </c>
      <c r="N88" t="n">
        <v>0</v>
      </c>
      <c r="O88" t="n">
        <v>4</v>
      </c>
      <c r="P88" t="n">
        <v>0</v>
      </c>
      <c r="Q88" t="n">
        <v>6</v>
      </c>
      <c r="R88" s="2" t="inlineStr">
        <is>
          <t>Harticka
Lunglav
Skrovellav
Ullticka
Spindelblomster
Stuplav</t>
        </is>
      </c>
      <c r="S88">
        <f>HYPERLINK("https://klasma.github.io/Logging_2462/artfynd/A 15852-2022 artfynd.xlsx", "A 15852-2022")</f>
        <v/>
      </c>
      <c r="T88">
        <f>HYPERLINK("https://klasma.github.io/Logging_2462/kartor/A 15852-2022 karta.png", "A 15852-2022")</f>
        <v/>
      </c>
      <c r="V88">
        <f>HYPERLINK("https://klasma.github.io/Logging_2462/klagomål/A 15852-2022 FSC-klagomål.docx", "A 15852-2022")</f>
        <v/>
      </c>
      <c r="W88">
        <f>HYPERLINK("https://klasma.github.io/Logging_2462/klagomålsmail/A 15852-2022 FSC-klagomål mail.docx", "A 15852-2022")</f>
        <v/>
      </c>
      <c r="X88">
        <f>HYPERLINK("https://klasma.github.io/Logging_2462/tillsyn/A 15852-2022 tillsynsbegäran.docx", "A 15852-2022")</f>
        <v/>
      </c>
      <c r="Y88">
        <f>HYPERLINK("https://klasma.github.io/Logging_2462/tillsynsmail/A 15852-2022 tillsynsbegäran mail.docx", "A 15852-2022")</f>
        <v/>
      </c>
    </row>
    <row r="89" ht="15" customHeight="1">
      <c r="A89" t="inlineStr">
        <is>
          <t>A 44874-2024</t>
        </is>
      </c>
      <c r="B89" s="1" t="n">
        <v>45575</v>
      </c>
      <c r="C89" s="1" t="n">
        <v>46193</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46193</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46193</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46193</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46193</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46193</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46193</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46193</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38128-2024</t>
        </is>
      </c>
      <c r="B97" s="1" t="n">
        <v>45545</v>
      </c>
      <c r="C97" s="1" t="n">
        <v>46193</v>
      </c>
      <c r="D97" t="inlineStr">
        <is>
          <t>VÄSTERBOTTENS LÄN</t>
        </is>
      </c>
      <c r="E97" t="inlineStr">
        <is>
          <t>VILHELMINA</t>
        </is>
      </c>
      <c r="F97" t="inlineStr">
        <is>
          <t>SCA</t>
        </is>
      </c>
      <c r="G97" t="n">
        <v>9.5</v>
      </c>
      <c r="H97" t="n">
        <v>1</v>
      </c>
      <c r="I97" t="n">
        <v>0</v>
      </c>
      <c r="J97" t="n">
        <v>4</v>
      </c>
      <c r="K97" t="n">
        <v>1</v>
      </c>
      <c r="L97" t="n">
        <v>0</v>
      </c>
      <c r="M97" t="n">
        <v>0</v>
      </c>
      <c r="N97" t="n">
        <v>0</v>
      </c>
      <c r="O97" t="n">
        <v>5</v>
      </c>
      <c r="P97" t="n">
        <v>1</v>
      </c>
      <c r="Q97" t="n">
        <v>5</v>
      </c>
      <c r="R97" s="2" t="inlineStr">
        <is>
          <t>Garnlav
Gammelgransskål
Liten svartspik
Tretåig hackspett
Vitgrynig nållav</t>
        </is>
      </c>
      <c r="S97">
        <f>HYPERLINK("https://klasma.github.io/Logging_2462/artfynd/A 38128-2024 artfynd.xlsx", "A 38128-2024")</f>
        <v/>
      </c>
      <c r="T97">
        <f>HYPERLINK("https://klasma.github.io/Logging_2462/kartor/A 38128-2024 karta.png", "A 38128-2024")</f>
        <v/>
      </c>
      <c r="V97">
        <f>HYPERLINK("https://klasma.github.io/Logging_2462/klagomål/A 38128-2024 FSC-klagomål.docx", "A 38128-2024")</f>
        <v/>
      </c>
      <c r="W97">
        <f>HYPERLINK("https://klasma.github.io/Logging_2462/klagomålsmail/A 38128-2024 FSC-klagomål mail.docx", "A 38128-2024")</f>
        <v/>
      </c>
      <c r="X97">
        <f>HYPERLINK("https://klasma.github.io/Logging_2462/tillsyn/A 38128-2024 tillsynsbegäran.docx", "A 38128-2024")</f>
        <v/>
      </c>
      <c r="Y97">
        <f>HYPERLINK("https://klasma.github.io/Logging_2462/tillsynsmail/A 38128-2024 tillsynsbegäran mail.docx", "A 38128-2024")</f>
        <v/>
      </c>
      <c r="Z97">
        <f>HYPERLINK("https://klasma.github.io/Logging_2462/fåglar/A 38128-2024 prioriterade fågelarter.docx", "A 38128-2024")</f>
        <v/>
      </c>
    </row>
    <row r="98" ht="15" customHeight="1">
      <c r="A98" t="inlineStr">
        <is>
          <t>A 39678-2024</t>
        </is>
      </c>
      <c r="B98" s="1" t="n">
        <v>45552</v>
      </c>
      <c r="C98" s="1" t="n">
        <v>46193</v>
      </c>
      <c r="D98" t="inlineStr">
        <is>
          <t>VÄSTERBOTTENS LÄN</t>
        </is>
      </c>
      <c r="E98" t="inlineStr">
        <is>
          <t>VILHELMINA</t>
        </is>
      </c>
      <c r="F98" t="inlineStr">
        <is>
          <t>SCA</t>
        </is>
      </c>
      <c r="G98" t="n">
        <v>9</v>
      </c>
      <c r="H98" t="n">
        <v>2</v>
      </c>
      <c r="I98" t="n">
        <v>1</v>
      </c>
      <c r="J98" t="n">
        <v>2</v>
      </c>
      <c r="K98" t="n">
        <v>1</v>
      </c>
      <c r="L98" t="n">
        <v>0</v>
      </c>
      <c r="M98" t="n">
        <v>0</v>
      </c>
      <c r="N98" t="n">
        <v>0</v>
      </c>
      <c r="O98" t="n">
        <v>3</v>
      </c>
      <c r="P98" t="n">
        <v>1</v>
      </c>
      <c r="Q98" t="n">
        <v>5</v>
      </c>
      <c r="R98" s="2" t="inlineStr">
        <is>
          <t>Garnlav
Rödbrun blekspik
Tretåig hackspett
Gulnål
Spillkråka</t>
        </is>
      </c>
      <c r="S98">
        <f>HYPERLINK("https://klasma.github.io/Logging_2462/artfynd/A 39678-2024 artfynd.xlsx", "A 39678-2024")</f>
        <v/>
      </c>
      <c r="T98">
        <f>HYPERLINK("https://klasma.github.io/Logging_2462/kartor/A 39678-2024 karta.png", "A 39678-2024")</f>
        <v/>
      </c>
      <c r="V98">
        <f>HYPERLINK("https://klasma.github.io/Logging_2462/klagomål/A 39678-2024 FSC-klagomål.docx", "A 39678-2024")</f>
        <v/>
      </c>
      <c r="W98">
        <f>HYPERLINK("https://klasma.github.io/Logging_2462/klagomålsmail/A 39678-2024 FSC-klagomål mail.docx", "A 39678-2024")</f>
        <v/>
      </c>
      <c r="X98">
        <f>HYPERLINK("https://klasma.github.io/Logging_2462/tillsyn/A 39678-2024 tillsynsbegäran.docx", "A 39678-2024")</f>
        <v/>
      </c>
      <c r="Y98">
        <f>HYPERLINK("https://klasma.github.io/Logging_2462/tillsynsmail/A 39678-2024 tillsynsbegäran mail.docx", "A 39678-2024")</f>
        <v/>
      </c>
      <c r="Z98">
        <f>HYPERLINK("https://klasma.github.io/Logging_2462/fåglar/A 39678-2024 prioriterade fågelarter.docx", "A 39678-2024")</f>
        <v/>
      </c>
    </row>
    <row r="99" ht="15" customHeight="1">
      <c r="A99" t="inlineStr">
        <is>
          <t>A 10364-2026</t>
        </is>
      </c>
      <c r="B99" s="1" t="n">
        <v>46076</v>
      </c>
      <c r="C99" s="1" t="n">
        <v>46193</v>
      </c>
      <c r="D99" t="inlineStr">
        <is>
          <t>VÄSTERBOTTENS LÄN</t>
        </is>
      </c>
      <c r="E99" t="inlineStr">
        <is>
          <t>VILHELMINA</t>
        </is>
      </c>
      <c r="G99" t="n">
        <v>13.3</v>
      </c>
      <c r="H99" t="n">
        <v>1</v>
      </c>
      <c r="I99" t="n">
        <v>0</v>
      </c>
      <c r="J99" t="n">
        <v>3</v>
      </c>
      <c r="K99" t="n">
        <v>2</v>
      </c>
      <c r="L99" t="n">
        <v>0</v>
      </c>
      <c r="M99" t="n">
        <v>0</v>
      </c>
      <c r="N99" t="n">
        <v>0</v>
      </c>
      <c r="O99" t="n">
        <v>5</v>
      </c>
      <c r="P99" t="n">
        <v>2</v>
      </c>
      <c r="Q99" t="n">
        <v>5</v>
      </c>
      <c r="R99" s="2" t="inlineStr">
        <is>
          <t>Garnlav
Gränsticka
Gammelgransskål
Harticka
Tretåig hackspett</t>
        </is>
      </c>
      <c r="S99">
        <f>HYPERLINK("https://klasma.github.io/Logging_2462/artfynd/A 10364-2026 artfynd.xlsx", "A 10364-2026")</f>
        <v/>
      </c>
      <c r="T99">
        <f>HYPERLINK("https://klasma.github.io/Logging_2462/kartor/A 10364-2026 karta.png", "A 10364-2026")</f>
        <v/>
      </c>
      <c r="V99">
        <f>HYPERLINK("https://klasma.github.io/Logging_2462/klagomål/A 10364-2026 FSC-klagomål.docx", "A 10364-2026")</f>
        <v/>
      </c>
      <c r="W99">
        <f>HYPERLINK("https://klasma.github.io/Logging_2462/klagomålsmail/A 10364-2026 FSC-klagomål mail.docx", "A 10364-2026")</f>
        <v/>
      </c>
      <c r="X99">
        <f>HYPERLINK("https://klasma.github.io/Logging_2462/tillsyn/A 10364-2026 tillsynsbegäran.docx", "A 10364-2026")</f>
        <v/>
      </c>
      <c r="Y99">
        <f>HYPERLINK("https://klasma.github.io/Logging_2462/tillsynsmail/A 10364-2026 tillsynsbegäran mail.docx", "A 10364-2026")</f>
        <v/>
      </c>
      <c r="Z99">
        <f>HYPERLINK("https://klasma.github.io/Logging_2462/fåglar/A 10364-2026 prioriterade fågelarter.docx", "A 10364-2026")</f>
        <v/>
      </c>
    </row>
    <row r="100" ht="15" customHeight="1">
      <c r="A100" t="inlineStr">
        <is>
          <t>A 8562-2025</t>
        </is>
      </c>
      <c r="B100" s="1" t="n">
        <v>45709</v>
      </c>
      <c r="C100" s="1" t="n">
        <v>46193</v>
      </c>
      <c r="D100" t="inlineStr">
        <is>
          <t>VÄSTERBOTTENS LÄN</t>
        </is>
      </c>
      <c r="E100" t="inlineStr">
        <is>
          <t>VILHELMINA</t>
        </is>
      </c>
      <c r="G100" t="n">
        <v>3.1</v>
      </c>
      <c r="H100" t="n">
        <v>0</v>
      </c>
      <c r="I100" t="n">
        <v>0</v>
      </c>
      <c r="J100" t="n">
        <v>4</v>
      </c>
      <c r="K100" t="n">
        <v>1</v>
      </c>
      <c r="L100" t="n">
        <v>0</v>
      </c>
      <c r="M100" t="n">
        <v>0</v>
      </c>
      <c r="N100" t="n">
        <v>0</v>
      </c>
      <c r="O100" t="n">
        <v>5</v>
      </c>
      <c r="P100" t="n">
        <v>1</v>
      </c>
      <c r="Q100" t="n">
        <v>5</v>
      </c>
      <c r="R100" s="2" t="inlineStr">
        <is>
          <t>Garnlav
Blanksvart spiklav
Harticka
Vedtrappmossa
Vitgrynig nållav</t>
        </is>
      </c>
      <c r="S100">
        <f>HYPERLINK("https://klasma.github.io/Logging_2462/artfynd/A 8562-2025 artfynd.xlsx", "A 8562-2025")</f>
        <v/>
      </c>
      <c r="T100">
        <f>HYPERLINK("https://klasma.github.io/Logging_2462/kartor/A 8562-2025 karta.png", "A 8562-2025")</f>
        <v/>
      </c>
      <c r="V100">
        <f>HYPERLINK("https://klasma.github.io/Logging_2462/klagomål/A 8562-2025 FSC-klagomål.docx", "A 8562-2025")</f>
        <v/>
      </c>
      <c r="W100">
        <f>HYPERLINK("https://klasma.github.io/Logging_2462/klagomålsmail/A 8562-2025 FSC-klagomål mail.docx", "A 8562-2025")</f>
        <v/>
      </c>
      <c r="X100">
        <f>HYPERLINK("https://klasma.github.io/Logging_2462/tillsyn/A 8562-2025 tillsynsbegäran.docx", "A 8562-2025")</f>
        <v/>
      </c>
      <c r="Y100">
        <f>HYPERLINK("https://klasma.github.io/Logging_2462/tillsynsmail/A 8562-2025 tillsynsbegäran mail.docx", "A 8562-2025")</f>
        <v/>
      </c>
    </row>
    <row r="101" ht="15" customHeight="1">
      <c r="A101" t="inlineStr">
        <is>
          <t>A 54780-2024</t>
        </is>
      </c>
      <c r="B101" s="1" t="n">
        <v>45618</v>
      </c>
      <c r="C101" s="1" t="n">
        <v>46193</v>
      </c>
      <c r="D101" t="inlineStr">
        <is>
          <t>VÄSTERBOTTENS LÄN</t>
        </is>
      </c>
      <c r="E101" t="inlineStr">
        <is>
          <t>VILHELMINA</t>
        </is>
      </c>
      <c r="F101" t="inlineStr">
        <is>
          <t>SCA</t>
        </is>
      </c>
      <c r="G101" t="n">
        <v>8.199999999999999</v>
      </c>
      <c r="H101" t="n">
        <v>0</v>
      </c>
      <c r="I101" t="n">
        <v>0</v>
      </c>
      <c r="J101" t="n">
        <v>3</v>
      </c>
      <c r="K101" t="n">
        <v>1</v>
      </c>
      <c r="L101" t="n">
        <v>0</v>
      </c>
      <c r="M101" t="n">
        <v>0</v>
      </c>
      <c r="N101" t="n">
        <v>0</v>
      </c>
      <c r="O101" t="n">
        <v>4</v>
      </c>
      <c r="P101" t="n">
        <v>1</v>
      </c>
      <c r="Q101" t="n">
        <v>4</v>
      </c>
      <c r="R101" s="2" t="inlineStr">
        <is>
          <t>Vitskaftad svartspik
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31198-2023</t>
        </is>
      </c>
      <c r="B102" s="1" t="n">
        <v>45113</v>
      </c>
      <c r="C102" s="1" t="n">
        <v>46193</v>
      </c>
      <c r="D102" t="inlineStr">
        <is>
          <t>VÄSTERBOTTENS LÄN</t>
        </is>
      </c>
      <c r="E102" t="inlineStr">
        <is>
          <t>VILHELMINA</t>
        </is>
      </c>
      <c r="F102" t="inlineStr">
        <is>
          <t>SCA</t>
        </is>
      </c>
      <c r="G102" t="n">
        <v>4.2</v>
      </c>
      <c r="H102" t="n">
        <v>1</v>
      </c>
      <c r="I102" t="n">
        <v>0</v>
      </c>
      <c r="J102" t="n">
        <v>3</v>
      </c>
      <c r="K102" t="n">
        <v>1</v>
      </c>
      <c r="L102" t="n">
        <v>0</v>
      </c>
      <c r="M102" t="n">
        <v>0</v>
      </c>
      <c r="N102" t="n">
        <v>0</v>
      </c>
      <c r="O102" t="n">
        <v>4</v>
      </c>
      <c r="P102" t="n">
        <v>1</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65382-2021</t>
        </is>
      </c>
      <c r="B103" s="1" t="n">
        <v>44515</v>
      </c>
      <c r="C103" s="1" t="n">
        <v>46193</v>
      </c>
      <c r="D103" t="inlineStr">
        <is>
          <t>VÄSTERBOTTENS LÄN</t>
        </is>
      </c>
      <c r="E103" t="inlineStr">
        <is>
          <t>VILHELMINA</t>
        </is>
      </c>
      <c r="G103" t="n">
        <v>10.7</v>
      </c>
      <c r="H103" t="n">
        <v>0</v>
      </c>
      <c r="I103" t="n">
        <v>0</v>
      </c>
      <c r="J103" t="n">
        <v>3</v>
      </c>
      <c r="K103" t="n">
        <v>1</v>
      </c>
      <c r="L103" t="n">
        <v>0</v>
      </c>
      <c r="M103" t="n">
        <v>0</v>
      </c>
      <c r="N103" t="n">
        <v>0</v>
      </c>
      <c r="O103" t="n">
        <v>4</v>
      </c>
      <c r="P103" t="n">
        <v>1</v>
      </c>
      <c r="Q103" t="n">
        <v>4</v>
      </c>
      <c r="R103" s="2" t="inlineStr">
        <is>
          <t>Gränsticka
Lunglav
Rosenticka
Rynkskinn</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64030-2023</t>
        </is>
      </c>
      <c r="B104" s="1" t="n">
        <v>45278</v>
      </c>
      <c r="C104" s="1" t="n">
        <v>46193</v>
      </c>
      <c r="D104" t="inlineStr">
        <is>
          <t>VÄSTERBOTTENS LÄN</t>
        </is>
      </c>
      <c r="E104" t="inlineStr">
        <is>
          <t>VILHELMINA</t>
        </is>
      </c>
      <c r="F104" t="inlineStr">
        <is>
          <t>SCA</t>
        </is>
      </c>
      <c r="G104" t="n">
        <v>1.7</v>
      </c>
      <c r="H104" t="n">
        <v>2</v>
      </c>
      <c r="I104" t="n">
        <v>0</v>
      </c>
      <c r="J104" t="n">
        <v>3</v>
      </c>
      <c r="K104" t="n">
        <v>1</v>
      </c>
      <c r="L104" t="n">
        <v>0</v>
      </c>
      <c r="M104" t="n">
        <v>0</v>
      </c>
      <c r="N104" t="n">
        <v>0</v>
      </c>
      <c r="O104" t="n">
        <v>4</v>
      </c>
      <c r="P104" t="n">
        <v>1</v>
      </c>
      <c r="Q104" t="n">
        <v>4</v>
      </c>
      <c r="R104" s="2" t="inlineStr">
        <is>
          <t>Garnlav
Lavskrika
Tretåig hackspett
Ullticka</t>
        </is>
      </c>
      <c r="S104">
        <f>HYPERLINK("https://klasma.github.io/Logging_2462/artfynd/A 64030-2023 artfynd.xlsx", "A 64030-2023")</f>
        <v/>
      </c>
      <c r="T104">
        <f>HYPERLINK("https://klasma.github.io/Logging_2462/kartor/A 64030-2023 karta.png", "A 64030-2023")</f>
        <v/>
      </c>
      <c r="V104">
        <f>HYPERLINK("https://klasma.github.io/Logging_2462/klagomål/A 64030-2023 FSC-klagomål.docx", "A 64030-2023")</f>
        <v/>
      </c>
      <c r="W104">
        <f>HYPERLINK("https://klasma.github.io/Logging_2462/klagomålsmail/A 64030-2023 FSC-klagomål mail.docx", "A 64030-2023")</f>
        <v/>
      </c>
      <c r="X104">
        <f>HYPERLINK("https://klasma.github.io/Logging_2462/tillsyn/A 64030-2023 tillsynsbegäran.docx", "A 64030-2023")</f>
        <v/>
      </c>
      <c r="Y104">
        <f>HYPERLINK("https://klasma.github.io/Logging_2462/tillsynsmail/A 64030-2023 tillsynsbegäran mail.docx", "A 64030-2023")</f>
        <v/>
      </c>
      <c r="Z104">
        <f>HYPERLINK("https://klasma.github.io/Logging_2462/fåglar/A 64030-2023 prioriterade fågelarter.docx", "A 64030-2023")</f>
        <v/>
      </c>
    </row>
    <row r="105" ht="15" customHeight="1">
      <c r="A105" t="inlineStr">
        <is>
          <t>A 25176-2025</t>
        </is>
      </c>
      <c r="B105" s="1" t="n">
        <v>45800</v>
      </c>
      <c r="C105" s="1" t="n">
        <v>46193</v>
      </c>
      <c r="D105" t="inlineStr">
        <is>
          <t>VÄSTERBOTTENS LÄN</t>
        </is>
      </c>
      <c r="E105" t="inlineStr">
        <is>
          <t>VILHELMINA</t>
        </is>
      </c>
      <c r="F105" t="inlineStr">
        <is>
          <t>SCA</t>
        </is>
      </c>
      <c r="G105" t="n">
        <v>3.5</v>
      </c>
      <c r="H105" t="n">
        <v>2</v>
      </c>
      <c r="I105" t="n">
        <v>0</v>
      </c>
      <c r="J105" t="n">
        <v>2</v>
      </c>
      <c r="K105" t="n">
        <v>1</v>
      </c>
      <c r="L105" t="n">
        <v>0</v>
      </c>
      <c r="M105" t="n">
        <v>0</v>
      </c>
      <c r="N105" t="n">
        <v>0</v>
      </c>
      <c r="O105" t="n">
        <v>3</v>
      </c>
      <c r="P105" t="n">
        <v>1</v>
      </c>
      <c r="Q105" t="n">
        <v>4</v>
      </c>
      <c r="R105" s="2" t="inlineStr">
        <is>
          <t>Garnlav
Gammelgransskål
Tretåig hackspett
Revlummer</t>
        </is>
      </c>
      <c r="S105">
        <f>HYPERLINK("https://klasma.github.io/Logging_2462/artfynd/A 25176-2025 artfynd.xlsx", "A 25176-2025")</f>
        <v/>
      </c>
      <c r="T105">
        <f>HYPERLINK("https://klasma.github.io/Logging_2462/kartor/A 25176-2025 karta.png", "A 25176-2025")</f>
        <v/>
      </c>
      <c r="V105">
        <f>HYPERLINK("https://klasma.github.io/Logging_2462/klagomål/A 25176-2025 FSC-klagomål.docx", "A 25176-2025")</f>
        <v/>
      </c>
      <c r="W105">
        <f>HYPERLINK("https://klasma.github.io/Logging_2462/klagomålsmail/A 25176-2025 FSC-klagomål mail.docx", "A 25176-2025")</f>
        <v/>
      </c>
      <c r="X105">
        <f>HYPERLINK("https://klasma.github.io/Logging_2462/tillsyn/A 25176-2025 tillsynsbegäran.docx", "A 25176-2025")</f>
        <v/>
      </c>
      <c r="Y105">
        <f>HYPERLINK("https://klasma.github.io/Logging_2462/tillsynsmail/A 25176-2025 tillsynsbegäran mail.docx", "A 25176-2025")</f>
        <v/>
      </c>
      <c r="Z105">
        <f>HYPERLINK("https://klasma.github.io/Logging_2462/fåglar/A 25176-2025 prioriterade fågelarter.docx", "A 25176-2025")</f>
        <v/>
      </c>
    </row>
    <row r="106" ht="15" customHeight="1">
      <c r="A106" t="inlineStr">
        <is>
          <t>A 38534-2024</t>
        </is>
      </c>
      <c r="B106" s="1" t="n">
        <v>45546</v>
      </c>
      <c r="C106" s="1" t="n">
        <v>46193</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46193</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25036-2024</t>
        </is>
      </c>
      <c r="B108" s="1" t="n">
        <v>45461</v>
      </c>
      <c r="C108" s="1" t="n">
        <v>46193</v>
      </c>
      <c r="D108" t="inlineStr">
        <is>
          <t>VÄSTERBOTTENS LÄN</t>
        </is>
      </c>
      <c r="E108" t="inlineStr">
        <is>
          <t>VILHELMINA</t>
        </is>
      </c>
      <c r="F108" t="inlineStr">
        <is>
          <t>SCA</t>
        </is>
      </c>
      <c r="G108" t="n">
        <v>7</v>
      </c>
      <c r="H108" t="n">
        <v>3</v>
      </c>
      <c r="I108" t="n">
        <v>1</v>
      </c>
      <c r="J108" t="n">
        <v>0</v>
      </c>
      <c r="K108" t="n">
        <v>1</v>
      </c>
      <c r="L108" t="n">
        <v>0</v>
      </c>
      <c r="M108" t="n">
        <v>0</v>
      </c>
      <c r="N108" t="n">
        <v>0</v>
      </c>
      <c r="O108" t="n">
        <v>1</v>
      </c>
      <c r="P108" t="n">
        <v>1</v>
      </c>
      <c r="Q108" t="n">
        <v>4</v>
      </c>
      <c r="R108" s="2" t="inlineStr">
        <is>
          <t>Garnlav
Plattlummer
Tjäder
Revlummer</t>
        </is>
      </c>
      <c r="S108">
        <f>HYPERLINK("https://klasma.github.io/Logging_2462/artfynd/A 25036-2024 artfynd.xlsx", "A 25036-2024")</f>
        <v/>
      </c>
      <c r="T108">
        <f>HYPERLINK("https://klasma.github.io/Logging_2462/kartor/A 25036-2024 karta.png", "A 25036-2024")</f>
        <v/>
      </c>
      <c r="V108">
        <f>HYPERLINK("https://klasma.github.io/Logging_2462/klagomål/A 25036-2024 FSC-klagomål.docx", "A 25036-2024")</f>
        <v/>
      </c>
      <c r="W108">
        <f>HYPERLINK("https://klasma.github.io/Logging_2462/klagomålsmail/A 25036-2024 FSC-klagomål mail.docx", "A 25036-2024")</f>
        <v/>
      </c>
      <c r="X108">
        <f>HYPERLINK("https://klasma.github.io/Logging_2462/tillsyn/A 25036-2024 tillsynsbegäran.docx", "A 25036-2024")</f>
        <v/>
      </c>
      <c r="Y108">
        <f>HYPERLINK("https://klasma.github.io/Logging_2462/tillsynsmail/A 25036-2024 tillsynsbegäran mail.docx", "A 25036-2024")</f>
        <v/>
      </c>
      <c r="Z108">
        <f>HYPERLINK("https://klasma.github.io/Logging_2462/fåglar/A 25036-2024 prioriterade fågelarter.docx", "A 25036-2024")</f>
        <v/>
      </c>
    </row>
    <row r="109" ht="15" customHeight="1">
      <c r="A109" t="inlineStr">
        <is>
          <t>A 37325-2022</t>
        </is>
      </c>
      <c r="B109" s="1" t="n">
        <v>44806</v>
      </c>
      <c r="C109" s="1" t="n">
        <v>46193</v>
      </c>
      <c r="D109" t="inlineStr">
        <is>
          <t>VÄSTERBOTTENS LÄN</t>
        </is>
      </c>
      <c r="E109" t="inlineStr">
        <is>
          <t>VILHELMINA</t>
        </is>
      </c>
      <c r="F109" t="inlineStr">
        <is>
          <t>Övriga statliga verk och myndigheter</t>
        </is>
      </c>
      <c r="G109" t="n">
        <v>11</v>
      </c>
      <c r="H109" t="n">
        <v>2</v>
      </c>
      <c r="I109" t="n">
        <v>0</v>
      </c>
      <c r="J109" t="n">
        <v>2</v>
      </c>
      <c r="K109" t="n">
        <v>1</v>
      </c>
      <c r="L109" t="n">
        <v>0</v>
      </c>
      <c r="M109" t="n">
        <v>0</v>
      </c>
      <c r="N109" t="n">
        <v>0</v>
      </c>
      <c r="O109" t="n">
        <v>3</v>
      </c>
      <c r="P109" t="n">
        <v>1</v>
      </c>
      <c r="Q109" t="n">
        <v>4</v>
      </c>
      <c r="R109" s="2" t="inlineStr">
        <is>
          <t>Garnlav
Lavskrika
Skrovellav
Spillkråka</t>
        </is>
      </c>
      <c r="S109">
        <f>HYPERLINK("https://klasma.github.io/Logging_2462/artfynd/A 37325-2022 artfynd.xlsx", "A 37325-2022")</f>
        <v/>
      </c>
      <c r="T109">
        <f>HYPERLINK("https://klasma.github.io/Logging_2462/kartor/A 37325-2022 karta.png", "A 37325-2022")</f>
        <v/>
      </c>
      <c r="V109">
        <f>HYPERLINK("https://klasma.github.io/Logging_2462/klagomål/A 37325-2022 FSC-klagomål.docx", "A 37325-2022")</f>
        <v/>
      </c>
      <c r="W109">
        <f>HYPERLINK("https://klasma.github.io/Logging_2462/klagomålsmail/A 37325-2022 FSC-klagomål mail.docx", "A 37325-2022")</f>
        <v/>
      </c>
      <c r="X109">
        <f>HYPERLINK("https://klasma.github.io/Logging_2462/tillsyn/A 37325-2022 tillsynsbegäran.docx", "A 37325-2022")</f>
        <v/>
      </c>
      <c r="Y109">
        <f>HYPERLINK("https://klasma.github.io/Logging_2462/tillsynsmail/A 37325-2022 tillsynsbegäran mail.docx", "A 37325-2022")</f>
        <v/>
      </c>
      <c r="Z109">
        <f>HYPERLINK("https://klasma.github.io/Logging_2462/fåglar/A 37325-2022 prioriterade fågelarter.docx", "A 37325-2022")</f>
        <v/>
      </c>
    </row>
    <row r="110" ht="15" customHeight="1">
      <c r="A110" t="inlineStr">
        <is>
          <t>A 38124-2024</t>
        </is>
      </c>
      <c r="B110" s="1" t="n">
        <v>45545</v>
      </c>
      <c r="C110" s="1" t="n">
        <v>46193</v>
      </c>
      <c r="D110" t="inlineStr">
        <is>
          <t>VÄSTERBOTTENS LÄN</t>
        </is>
      </c>
      <c r="E110" t="inlineStr">
        <is>
          <t>VILHELMINA</t>
        </is>
      </c>
      <c r="F110" t="inlineStr">
        <is>
          <t>SCA</t>
        </is>
      </c>
      <c r="G110" t="n">
        <v>3.2</v>
      </c>
      <c r="H110" t="n">
        <v>3</v>
      </c>
      <c r="I110" t="n">
        <v>0</v>
      </c>
      <c r="J110" t="n">
        <v>2</v>
      </c>
      <c r="K110" t="n">
        <v>1</v>
      </c>
      <c r="L110" t="n">
        <v>0</v>
      </c>
      <c r="M110" t="n">
        <v>0</v>
      </c>
      <c r="N110" t="n">
        <v>0</v>
      </c>
      <c r="O110" t="n">
        <v>3</v>
      </c>
      <c r="P110" t="n">
        <v>1</v>
      </c>
      <c r="Q110" t="n">
        <v>4</v>
      </c>
      <c r="R110" s="2" t="inlineStr">
        <is>
          <t>Garnlav
Lavskrika
Tretåig hackspett
Spillkråka</t>
        </is>
      </c>
      <c r="S110">
        <f>HYPERLINK("https://klasma.github.io/Logging_2462/artfynd/A 38124-2024 artfynd.xlsx", "A 38124-2024")</f>
        <v/>
      </c>
      <c r="T110">
        <f>HYPERLINK("https://klasma.github.io/Logging_2462/kartor/A 38124-2024 karta.png", "A 38124-2024")</f>
        <v/>
      </c>
      <c r="V110">
        <f>HYPERLINK("https://klasma.github.io/Logging_2462/klagomål/A 38124-2024 FSC-klagomål.docx", "A 38124-2024")</f>
        <v/>
      </c>
      <c r="W110">
        <f>HYPERLINK("https://klasma.github.io/Logging_2462/klagomålsmail/A 38124-2024 FSC-klagomål mail.docx", "A 38124-2024")</f>
        <v/>
      </c>
      <c r="X110">
        <f>HYPERLINK("https://klasma.github.io/Logging_2462/tillsyn/A 38124-2024 tillsynsbegäran.docx", "A 38124-2024")</f>
        <v/>
      </c>
      <c r="Y110">
        <f>HYPERLINK("https://klasma.github.io/Logging_2462/tillsynsmail/A 38124-2024 tillsynsbegäran mail.docx", "A 38124-2024")</f>
        <v/>
      </c>
      <c r="Z110">
        <f>HYPERLINK("https://klasma.github.io/Logging_2462/fåglar/A 38124-2024 prioriterade fågelarter.docx", "A 38124-2024")</f>
        <v/>
      </c>
    </row>
    <row r="111" ht="15" customHeight="1">
      <c r="A111" t="inlineStr">
        <is>
          <t>A 11207-2026</t>
        </is>
      </c>
      <c r="B111" s="1" t="n">
        <v>46080</v>
      </c>
      <c r="C111" s="1" t="n">
        <v>46193</v>
      </c>
      <c r="D111" t="inlineStr">
        <is>
          <t>VÄSTERBOTTENS LÄN</t>
        </is>
      </c>
      <c r="E111" t="inlineStr">
        <is>
          <t>VILHELMINA</t>
        </is>
      </c>
      <c r="G111" t="n">
        <v>22.3</v>
      </c>
      <c r="H111" t="n">
        <v>0</v>
      </c>
      <c r="I111" t="n">
        <v>1</v>
      </c>
      <c r="J111" t="n">
        <v>3</v>
      </c>
      <c r="K111" t="n">
        <v>0</v>
      </c>
      <c r="L111" t="n">
        <v>0</v>
      </c>
      <c r="M111" t="n">
        <v>0</v>
      </c>
      <c r="N111" t="n">
        <v>0</v>
      </c>
      <c r="O111" t="n">
        <v>3</v>
      </c>
      <c r="P111" t="n">
        <v>0</v>
      </c>
      <c r="Q111" t="n">
        <v>4</v>
      </c>
      <c r="R111" s="2" t="inlineStr">
        <is>
          <t>Gammelgransskål
Harticka
Rödbrun blekspik
Vedticka</t>
        </is>
      </c>
      <c r="S111">
        <f>HYPERLINK("https://klasma.github.io/Logging_2462/artfynd/A 11207-2026 artfynd.xlsx", "A 11207-2026")</f>
        <v/>
      </c>
      <c r="T111">
        <f>HYPERLINK("https://klasma.github.io/Logging_2462/kartor/A 11207-2026 karta.png", "A 11207-2026")</f>
        <v/>
      </c>
      <c r="V111">
        <f>HYPERLINK("https://klasma.github.io/Logging_2462/klagomål/A 11207-2026 FSC-klagomål.docx", "A 11207-2026")</f>
        <v/>
      </c>
      <c r="W111">
        <f>HYPERLINK("https://klasma.github.io/Logging_2462/klagomålsmail/A 11207-2026 FSC-klagomål mail.docx", "A 11207-2026")</f>
        <v/>
      </c>
      <c r="X111">
        <f>HYPERLINK("https://klasma.github.io/Logging_2462/tillsyn/A 11207-2026 tillsynsbegäran.docx", "A 11207-2026")</f>
        <v/>
      </c>
      <c r="Y111">
        <f>HYPERLINK("https://klasma.github.io/Logging_2462/tillsynsmail/A 11207-2026 tillsynsbegäran mail.docx", "A 11207-2026")</f>
        <v/>
      </c>
    </row>
    <row r="112" ht="15" customHeight="1">
      <c r="A112" t="inlineStr">
        <is>
          <t>A 12377-2025</t>
        </is>
      </c>
      <c r="B112" s="1" t="n">
        <v>45730</v>
      </c>
      <c r="C112" s="1" t="n">
        <v>46193</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46193</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40736-2024</t>
        </is>
      </c>
      <c r="B114" s="1" t="n">
        <v>45558</v>
      </c>
      <c r="C114" s="1" t="n">
        <v>46193</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46193</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47036-2025</t>
        </is>
      </c>
      <c r="B116" s="1" t="n">
        <v>45929</v>
      </c>
      <c r="C116" s="1" t="n">
        <v>46193</v>
      </c>
      <c r="D116" t="inlineStr">
        <is>
          <t>VÄSTERBOTTENS LÄN</t>
        </is>
      </c>
      <c r="E116" t="inlineStr">
        <is>
          <t>VILHELMINA</t>
        </is>
      </c>
      <c r="F116" t="inlineStr">
        <is>
          <t>SCA</t>
        </is>
      </c>
      <c r="G116" t="n">
        <v>5.5</v>
      </c>
      <c r="H116" t="n">
        <v>0</v>
      </c>
      <c r="I116" t="n">
        <v>0</v>
      </c>
      <c r="J116" t="n">
        <v>2</v>
      </c>
      <c r="K116" t="n">
        <v>1</v>
      </c>
      <c r="L116" t="n">
        <v>0</v>
      </c>
      <c r="M116" t="n">
        <v>0</v>
      </c>
      <c r="N116" t="n">
        <v>0</v>
      </c>
      <c r="O116" t="n">
        <v>3</v>
      </c>
      <c r="P116" t="n">
        <v>1</v>
      </c>
      <c r="Q116" t="n">
        <v>3</v>
      </c>
      <c r="R116" s="2" t="inlineStr">
        <is>
          <t>Lateritticka
Ullticka
Vedskivlav</t>
        </is>
      </c>
      <c r="S116">
        <f>HYPERLINK("https://klasma.github.io/Logging_2462/artfynd/A 47036-2025 artfynd.xlsx", "A 47036-2025")</f>
        <v/>
      </c>
      <c r="T116">
        <f>HYPERLINK("https://klasma.github.io/Logging_2462/kartor/A 47036-2025 karta.png", "A 47036-2025")</f>
        <v/>
      </c>
      <c r="V116">
        <f>HYPERLINK("https://klasma.github.io/Logging_2462/klagomål/A 47036-2025 FSC-klagomål.docx", "A 47036-2025")</f>
        <v/>
      </c>
      <c r="W116">
        <f>HYPERLINK("https://klasma.github.io/Logging_2462/klagomålsmail/A 47036-2025 FSC-klagomål mail.docx", "A 47036-2025")</f>
        <v/>
      </c>
      <c r="X116">
        <f>HYPERLINK("https://klasma.github.io/Logging_2462/tillsyn/A 47036-2025 tillsynsbegäran.docx", "A 47036-2025")</f>
        <v/>
      </c>
      <c r="Y116">
        <f>HYPERLINK("https://klasma.github.io/Logging_2462/tillsynsmail/A 47036-2025 tillsynsbegäran mail.docx", "A 47036-2025")</f>
        <v/>
      </c>
    </row>
    <row r="117" ht="15" customHeight="1">
      <c r="A117" t="inlineStr">
        <is>
          <t>A 54955-2025</t>
        </is>
      </c>
      <c r="B117" s="1" t="n">
        <v>45967</v>
      </c>
      <c r="C117" s="1" t="n">
        <v>46193</v>
      </c>
      <c r="D117" t="inlineStr">
        <is>
          <t>VÄSTERBOTTENS LÄN</t>
        </is>
      </c>
      <c r="E117" t="inlineStr">
        <is>
          <t>VILHELMINA</t>
        </is>
      </c>
      <c r="G117" t="n">
        <v>15.6</v>
      </c>
      <c r="H117" t="n">
        <v>0</v>
      </c>
      <c r="I117" t="n">
        <v>0</v>
      </c>
      <c r="J117" t="n">
        <v>1</v>
      </c>
      <c r="K117" t="n">
        <v>2</v>
      </c>
      <c r="L117" t="n">
        <v>0</v>
      </c>
      <c r="M117" t="n">
        <v>0</v>
      </c>
      <c r="N117" t="n">
        <v>0</v>
      </c>
      <c r="O117" t="n">
        <v>3</v>
      </c>
      <c r="P117" t="n">
        <v>2</v>
      </c>
      <c r="Q117" t="n">
        <v>3</v>
      </c>
      <c r="R117" s="2" t="inlineStr">
        <is>
          <t>Garnlav
Vitskaftad svartspik
Gammelgransskål</t>
        </is>
      </c>
      <c r="S117">
        <f>HYPERLINK("https://klasma.github.io/Logging_2462/artfynd/A 54955-2025 artfynd.xlsx", "A 54955-2025")</f>
        <v/>
      </c>
      <c r="T117">
        <f>HYPERLINK("https://klasma.github.io/Logging_2462/kartor/A 54955-2025 karta.png", "A 54955-2025")</f>
        <v/>
      </c>
      <c r="V117">
        <f>HYPERLINK("https://klasma.github.io/Logging_2462/klagomål/A 54955-2025 FSC-klagomål.docx", "A 54955-2025")</f>
        <v/>
      </c>
      <c r="W117">
        <f>HYPERLINK("https://klasma.github.io/Logging_2462/klagomålsmail/A 54955-2025 FSC-klagomål mail.docx", "A 54955-2025")</f>
        <v/>
      </c>
      <c r="X117">
        <f>HYPERLINK("https://klasma.github.io/Logging_2462/tillsyn/A 54955-2025 tillsynsbegäran.docx", "A 54955-2025")</f>
        <v/>
      </c>
      <c r="Y117">
        <f>HYPERLINK("https://klasma.github.io/Logging_2462/tillsynsmail/A 54955-2025 tillsynsbegäran mail.docx", "A 54955-2025")</f>
        <v/>
      </c>
    </row>
    <row r="118" ht="15" customHeight="1">
      <c r="A118" t="inlineStr">
        <is>
          <t>A 32779-2025</t>
        </is>
      </c>
      <c r="B118" s="1" t="n">
        <v>45839</v>
      </c>
      <c r="C118" s="1" t="n">
        <v>46193</v>
      </c>
      <c r="D118" t="inlineStr">
        <is>
          <t>VÄSTERBOTTENS LÄN</t>
        </is>
      </c>
      <c r="E118" t="inlineStr">
        <is>
          <t>VILHELMINA</t>
        </is>
      </c>
      <c r="F118" t="inlineStr">
        <is>
          <t>SCA</t>
        </is>
      </c>
      <c r="G118" t="n">
        <v>13.6</v>
      </c>
      <c r="H118" t="n">
        <v>0</v>
      </c>
      <c r="I118" t="n">
        <v>1</v>
      </c>
      <c r="J118" t="n">
        <v>2</v>
      </c>
      <c r="K118" t="n">
        <v>0</v>
      </c>
      <c r="L118" t="n">
        <v>0</v>
      </c>
      <c r="M118" t="n">
        <v>0</v>
      </c>
      <c r="N118" t="n">
        <v>0</v>
      </c>
      <c r="O118" t="n">
        <v>2</v>
      </c>
      <c r="P118" t="n">
        <v>0</v>
      </c>
      <c r="Q118" t="n">
        <v>3</v>
      </c>
      <c r="R118" s="2" t="inlineStr">
        <is>
          <t>Doftskinn
Lunglav
Stuplav</t>
        </is>
      </c>
      <c r="S118">
        <f>HYPERLINK("https://klasma.github.io/Logging_2462/artfynd/A 32779-2025 artfynd.xlsx", "A 32779-2025")</f>
        <v/>
      </c>
      <c r="T118">
        <f>HYPERLINK("https://klasma.github.io/Logging_2462/kartor/A 32779-2025 karta.png", "A 32779-2025")</f>
        <v/>
      </c>
      <c r="V118">
        <f>HYPERLINK("https://klasma.github.io/Logging_2462/klagomål/A 32779-2025 FSC-klagomål.docx", "A 32779-2025")</f>
        <v/>
      </c>
      <c r="W118">
        <f>HYPERLINK("https://klasma.github.io/Logging_2462/klagomålsmail/A 32779-2025 FSC-klagomål mail.docx", "A 32779-2025")</f>
        <v/>
      </c>
      <c r="X118">
        <f>HYPERLINK("https://klasma.github.io/Logging_2462/tillsyn/A 32779-2025 tillsynsbegäran.docx", "A 32779-2025")</f>
        <v/>
      </c>
      <c r="Y118">
        <f>HYPERLINK("https://klasma.github.io/Logging_2462/tillsynsmail/A 32779-2025 tillsynsbegäran mail.docx", "A 32779-2025")</f>
        <v/>
      </c>
    </row>
    <row r="119" ht="15" customHeight="1">
      <c r="A119" t="inlineStr">
        <is>
          <t>A 15062-2024</t>
        </is>
      </c>
      <c r="B119" s="1" t="n">
        <v>45399</v>
      </c>
      <c r="C119" s="1" t="n">
        <v>46193</v>
      </c>
      <c r="D119" t="inlineStr">
        <is>
          <t>VÄSTERBOTTENS LÄN</t>
        </is>
      </c>
      <c r="E119" t="inlineStr">
        <is>
          <t>VILHELMINA</t>
        </is>
      </c>
      <c r="G119" t="n">
        <v>1.7</v>
      </c>
      <c r="H119" t="n">
        <v>0</v>
      </c>
      <c r="I119" t="n">
        <v>0</v>
      </c>
      <c r="J119" t="n">
        <v>0</v>
      </c>
      <c r="K119" t="n">
        <v>0</v>
      </c>
      <c r="L119" t="n">
        <v>0</v>
      </c>
      <c r="M119" t="n">
        <v>0</v>
      </c>
      <c r="N119" t="n">
        <v>0</v>
      </c>
      <c r="O119" t="n">
        <v>0</v>
      </c>
      <c r="P119" t="n">
        <v>0</v>
      </c>
      <c r="Q119" t="n">
        <v>3</v>
      </c>
      <c r="R119" s="2" t="inlineStr">
        <is>
          <t>Humleblomster
Kransmossa
Torta</t>
        </is>
      </c>
      <c r="S119">
        <f>HYPERLINK("https://klasma.github.io/Logging_2462/artfynd/A 15062-2024 artfynd.xlsx", "A 15062-2024")</f>
        <v/>
      </c>
      <c r="T119">
        <f>HYPERLINK("https://klasma.github.io/Logging_2462/kartor/A 15062-2024 karta.png", "A 15062-2024")</f>
        <v/>
      </c>
      <c r="V119">
        <f>HYPERLINK("https://klasma.github.io/Logging_2462/klagomål/A 15062-2024 FSC-klagomål.docx", "A 15062-2024")</f>
        <v/>
      </c>
      <c r="W119">
        <f>HYPERLINK("https://klasma.github.io/Logging_2462/klagomålsmail/A 15062-2024 FSC-klagomål mail.docx", "A 15062-2024")</f>
        <v/>
      </c>
      <c r="X119">
        <f>HYPERLINK("https://klasma.github.io/Logging_2462/tillsyn/A 15062-2024 tillsynsbegäran.docx", "A 15062-2024")</f>
        <v/>
      </c>
      <c r="Y119">
        <f>HYPERLINK("https://klasma.github.io/Logging_2462/tillsynsmail/A 15062-2024 tillsynsbegäran mail.docx", "A 15062-2024")</f>
        <v/>
      </c>
    </row>
    <row r="120" ht="15" customHeight="1">
      <c r="A120" t="inlineStr">
        <is>
          <t>A 37322-2022</t>
        </is>
      </c>
      <c r="B120" s="1" t="n">
        <v>44806</v>
      </c>
      <c r="C120" s="1" t="n">
        <v>46193</v>
      </c>
      <c r="D120" t="inlineStr">
        <is>
          <t>VÄSTERBOTTENS LÄN</t>
        </is>
      </c>
      <c r="E120" t="inlineStr">
        <is>
          <t>VILHELMINA</t>
        </is>
      </c>
      <c r="F120" t="inlineStr">
        <is>
          <t>Övriga statliga verk och myndigheter</t>
        </is>
      </c>
      <c r="G120" t="n">
        <v>15.4</v>
      </c>
      <c r="H120" t="n">
        <v>1</v>
      </c>
      <c r="I120" t="n">
        <v>0</v>
      </c>
      <c r="J120" t="n">
        <v>2</v>
      </c>
      <c r="K120" t="n">
        <v>1</v>
      </c>
      <c r="L120" t="n">
        <v>0</v>
      </c>
      <c r="M120" t="n">
        <v>0</v>
      </c>
      <c r="N120" t="n">
        <v>0</v>
      </c>
      <c r="O120" t="n">
        <v>3</v>
      </c>
      <c r="P120" t="n">
        <v>1</v>
      </c>
      <c r="Q120" t="n">
        <v>3</v>
      </c>
      <c r="R120" s="2" t="inlineStr">
        <is>
          <t>Garnlav
Skrovellav
Tretåig hackspett</t>
        </is>
      </c>
      <c r="S120">
        <f>HYPERLINK("https://klasma.github.io/Logging_2462/artfynd/A 37322-2022 artfynd.xlsx", "A 37322-2022")</f>
        <v/>
      </c>
      <c r="T120">
        <f>HYPERLINK("https://klasma.github.io/Logging_2462/kartor/A 37322-2022 karta.png", "A 37322-2022")</f>
        <v/>
      </c>
      <c r="V120">
        <f>HYPERLINK("https://klasma.github.io/Logging_2462/klagomål/A 37322-2022 FSC-klagomål.docx", "A 37322-2022")</f>
        <v/>
      </c>
      <c r="W120">
        <f>HYPERLINK("https://klasma.github.io/Logging_2462/klagomålsmail/A 37322-2022 FSC-klagomål mail.docx", "A 37322-2022")</f>
        <v/>
      </c>
      <c r="X120">
        <f>HYPERLINK("https://klasma.github.io/Logging_2462/tillsyn/A 37322-2022 tillsynsbegäran.docx", "A 37322-2022")</f>
        <v/>
      </c>
      <c r="Y120">
        <f>HYPERLINK("https://klasma.github.io/Logging_2462/tillsynsmail/A 37322-2022 tillsynsbegäran mail.docx", "A 37322-2022")</f>
        <v/>
      </c>
      <c r="Z120">
        <f>HYPERLINK("https://klasma.github.io/Logging_2462/fåglar/A 37322-2022 prioriterade fågelarter.docx", "A 37322-2022")</f>
        <v/>
      </c>
    </row>
    <row r="121" ht="15" customHeight="1">
      <c r="A121" t="inlineStr">
        <is>
          <t>A 38123-2024</t>
        </is>
      </c>
      <c r="B121" s="1" t="n">
        <v>45545</v>
      </c>
      <c r="C121" s="1" t="n">
        <v>46193</v>
      </c>
      <c r="D121" t="inlineStr">
        <is>
          <t>VÄSTERBOTTENS LÄN</t>
        </is>
      </c>
      <c r="E121" t="inlineStr">
        <is>
          <t>VILHELMINA</t>
        </is>
      </c>
      <c r="F121" t="inlineStr">
        <is>
          <t>SCA</t>
        </is>
      </c>
      <c r="G121" t="n">
        <v>4.8</v>
      </c>
      <c r="H121" t="n">
        <v>2</v>
      </c>
      <c r="I121" t="n">
        <v>0</v>
      </c>
      <c r="J121" t="n">
        <v>1</v>
      </c>
      <c r="K121" t="n">
        <v>1</v>
      </c>
      <c r="L121" t="n">
        <v>0</v>
      </c>
      <c r="M121" t="n">
        <v>0</v>
      </c>
      <c r="N121" t="n">
        <v>0</v>
      </c>
      <c r="O121" t="n">
        <v>2</v>
      </c>
      <c r="P121" t="n">
        <v>1</v>
      </c>
      <c r="Q121" t="n">
        <v>3</v>
      </c>
      <c r="R121" s="2" t="inlineStr">
        <is>
          <t>Garnlav
Tretåig hackspett
Spillkråka</t>
        </is>
      </c>
      <c r="S121">
        <f>HYPERLINK("https://klasma.github.io/Logging_2462/artfynd/A 38123-2024 artfynd.xlsx", "A 38123-2024")</f>
        <v/>
      </c>
      <c r="T121">
        <f>HYPERLINK("https://klasma.github.io/Logging_2462/kartor/A 38123-2024 karta.png", "A 38123-2024")</f>
        <v/>
      </c>
      <c r="V121">
        <f>HYPERLINK("https://klasma.github.io/Logging_2462/klagomål/A 38123-2024 FSC-klagomål.docx", "A 38123-2024")</f>
        <v/>
      </c>
      <c r="W121">
        <f>HYPERLINK("https://klasma.github.io/Logging_2462/klagomålsmail/A 38123-2024 FSC-klagomål mail.docx", "A 38123-2024")</f>
        <v/>
      </c>
      <c r="X121">
        <f>HYPERLINK("https://klasma.github.io/Logging_2462/tillsyn/A 38123-2024 tillsynsbegäran.docx", "A 38123-2024")</f>
        <v/>
      </c>
      <c r="Y121">
        <f>HYPERLINK("https://klasma.github.io/Logging_2462/tillsynsmail/A 38123-2024 tillsynsbegäran mail.docx", "A 38123-2024")</f>
        <v/>
      </c>
      <c r="Z121">
        <f>HYPERLINK("https://klasma.github.io/Logging_2462/fåglar/A 38123-2024 prioriterade fågelarter.docx", "A 38123-2024")</f>
        <v/>
      </c>
    </row>
    <row r="122" ht="15" customHeight="1">
      <c r="A122" t="inlineStr">
        <is>
          <t>A 48652-2025</t>
        </is>
      </c>
      <c r="B122" s="1" t="n">
        <v>45936</v>
      </c>
      <c r="C122" s="1" t="n">
        <v>46193</v>
      </c>
      <c r="D122" t="inlineStr">
        <is>
          <t>VÄSTERBOTTENS LÄN</t>
        </is>
      </c>
      <c r="E122" t="inlineStr">
        <is>
          <t>VILHELMINA</t>
        </is>
      </c>
      <c r="F122" t="inlineStr">
        <is>
          <t>SCA</t>
        </is>
      </c>
      <c r="G122" t="n">
        <v>6.8</v>
      </c>
      <c r="H122" t="n">
        <v>0</v>
      </c>
      <c r="I122" t="n">
        <v>0</v>
      </c>
      <c r="J122" t="n">
        <v>2</v>
      </c>
      <c r="K122" t="n">
        <v>1</v>
      </c>
      <c r="L122" t="n">
        <v>0</v>
      </c>
      <c r="M122" t="n">
        <v>0</v>
      </c>
      <c r="N122" t="n">
        <v>0</v>
      </c>
      <c r="O122" t="n">
        <v>3</v>
      </c>
      <c r="P122" t="n">
        <v>1</v>
      </c>
      <c r="Q122" t="n">
        <v>3</v>
      </c>
      <c r="R122" s="2" t="inlineStr">
        <is>
          <t>Liten sotlav
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28867-2024</t>
        </is>
      </c>
      <c r="B123" s="1" t="n">
        <v>45478</v>
      </c>
      <c r="C123" s="1" t="n">
        <v>46193</v>
      </c>
      <c r="D123" t="inlineStr">
        <is>
          <t>VÄSTERBOTTENS LÄN</t>
        </is>
      </c>
      <c r="E123" t="inlineStr">
        <is>
          <t>VILHELMINA</t>
        </is>
      </c>
      <c r="F123" t="inlineStr">
        <is>
          <t>SCA</t>
        </is>
      </c>
      <c r="G123" t="n">
        <v>1</v>
      </c>
      <c r="H123" t="n">
        <v>1</v>
      </c>
      <c r="I123" t="n">
        <v>0</v>
      </c>
      <c r="J123" t="n">
        <v>2</v>
      </c>
      <c r="K123" t="n">
        <v>1</v>
      </c>
      <c r="L123" t="n">
        <v>0</v>
      </c>
      <c r="M123" t="n">
        <v>0</v>
      </c>
      <c r="N123" t="n">
        <v>0</v>
      </c>
      <c r="O123" t="n">
        <v>3</v>
      </c>
      <c r="P123" t="n">
        <v>1</v>
      </c>
      <c r="Q123" t="n">
        <v>3</v>
      </c>
      <c r="R123" s="2" t="inlineStr">
        <is>
          <t>Garnlav
Liten svartspik
Tretåig hackspett</t>
        </is>
      </c>
      <c r="S123">
        <f>HYPERLINK("https://klasma.github.io/Logging_2462/artfynd/A 28867-2024 artfynd.xlsx", "A 28867-2024")</f>
        <v/>
      </c>
      <c r="T123">
        <f>HYPERLINK("https://klasma.github.io/Logging_2462/kartor/A 28867-2024 karta.png", "A 28867-2024")</f>
        <v/>
      </c>
      <c r="V123">
        <f>HYPERLINK("https://klasma.github.io/Logging_2462/klagomål/A 28867-2024 FSC-klagomål.docx", "A 28867-2024")</f>
        <v/>
      </c>
      <c r="W123">
        <f>HYPERLINK("https://klasma.github.io/Logging_2462/klagomålsmail/A 28867-2024 FSC-klagomål mail.docx", "A 28867-2024")</f>
        <v/>
      </c>
      <c r="X123">
        <f>HYPERLINK("https://klasma.github.io/Logging_2462/tillsyn/A 28867-2024 tillsynsbegäran.docx", "A 28867-2024")</f>
        <v/>
      </c>
      <c r="Y123">
        <f>HYPERLINK("https://klasma.github.io/Logging_2462/tillsynsmail/A 28867-2024 tillsynsbegäran mail.docx", "A 28867-2024")</f>
        <v/>
      </c>
      <c r="Z123">
        <f>HYPERLINK("https://klasma.github.io/Logging_2462/fåglar/A 28867-2024 prioriterade fågelarter.docx", "A 28867-2024")</f>
        <v/>
      </c>
    </row>
    <row r="124" ht="15" customHeight="1">
      <c r="A124" t="inlineStr">
        <is>
          <t>A 41646-2024</t>
        </is>
      </c>
      <c r="B124" s="1" t="n">
        <v>45560</v>
      </c>
      <c r="C124" s="1" t="n">
        <v>46193</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46193</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29922-2024</t>
        </is>
      </c>
      <c r="B126" s="1" t="n">
        <v>45487</v>
      </c>
      <c r="C126" s="1" t="n">
        <v>46193</v>
      </c>
      <c r="D126" t="inlineStr">
        <is>
          <t>VÄSTERBOTTENS LÄN</t>
        </is>
      </c>
      <c r="E126" t="inlineStr">
        <is>
          <t>VILHELMINA</t>
        </is>
      </c>
      <c r="F126" t="inlineStr">
        <is>
          <t>SCA</t>
        </is>
      </c>
      <c r="G126" t="n">
        <v>5.2</v>
      </c>
      <c r="H126" t="n">
        <v>2</v>
      </c>
      <c r="I126" t="n">
        <v>0</v>
      </c>
      <c r="J126" t="n">
        <v>3</v>
      </c>
      <c r="K126" t="n">
        <v>0</v>
      </c>
      <c r="L126" t="n">
        <v>0</v>
      </c>
      <c r="M126" t="n">
        <v>0</v>
      </c>
      <c r="N126" t="n">
        <v>0</v>
      </c>
      <c r="O126" t="n">
        <v>3</v>
      </c>
      <c r="P126" t="n">
        <v>0</v>
      </c>
      <c r="Q126" t="n">
        <v>3</v>
      </c>
      <c r="R126" s="2" t="inlineStr">
        <is>
          <t>Gammelgransskål
Lavskrika
Tretåig hackspett</t>
        </is>
      </c>
      <c r="S126">
        <f>HYPERLINK("https://klasma.github.io/Logging_2462/artfynd/A 29922-2024 artfynd.xlsx", "A 29922-2024")</f>
        <v/>
      </c>
      <c r="T126">
        <f>HYPERLINK("https://klasma.github.io/Logging_2462/kartor/A 29922-2024 karta.png", "A 29922-2024")</f>
        <v/>
      </c>
      <c r="V126">
        <f>HYPERLINK("https://klasma.github.io/Logging_2462/klagomål/A 29922-2024 FSC-klagomål.docx", "A 29922-2024")</f>
        <v/>
      </c>
      <c r="W126">
        <f>HYPERLINK("https://klasma.github.io/Logging_2462/klagomålsmail/A 29922-2024 FSC-klagomål mail.docx", "A 29922-2024")</f>
        <v/>
      </c>
      <c r="X126">
        <f>HYPERLINK("https://klasma.github.io/Logging_2462/tillsyn/A 29922-2024 tillsynsbegäran.docx", "A 29922-2024")</f>
        <v/>
      </c>
      <c r="Y126">
        <f>HYPERLINK("https://klasma.github.io/Logging_2462/tillsynsmail/A 29922-2024 tillsynsbegäran mail.docx", "A 29922-2024")</f>
        <v/>
      </c>
      <c r="Z126">
        <f>HYPERLINK("https://klasma.github.io/Logging_2462/fåglar/A 29922-2024 prioriterade fågelarter.docx", "A 29922-2024")</f>
        <v/>
      </c>
    </row>
    <row r="127" ht="15" customHeight="1">
      <c r="A127" t="inlineStr">
        <is>
          <t>A 13211-2026</t>
        </is>
      </c>
      <c r="B127" s="1" t="n">
        <v>46093</v>
      </c>
      <c r="C127" s="1" t="n">
        <v>46193</v>
      </c>
      <c r="D127" t="inlineStr">
        <is>
          <t>VÄSTERBOTTENS LÄN</t>
        </is>
      </c>
      <c r="E127" t="inlineStr">
        <is>
          <t>VILHELMINA</t>
        </is>
      </c>
      <c r="F127" t="inlineStr">
        <is>
          <t>SCA</t>
        </is>
      </c>
      <c r="G127" t="n">
        <v>12.7</v>
      </c>
      <c r="H127" t="n">
        <v>1</v>
      </c>
      <c r="I127" t="n">
        <v>0</v>
      </c>
      <c r="J127" t="n">
        <v>2</v>
      </c>
      <c r="K127" t="n">
        <v>1</v>
      </c>
      <c r="L127" t="n">
        <v>0</v>
      </c>
      <c r="M127" t="n">
        <v>0</v>
      </c>
      <c r="N127" t="n">
        <v>0</v>
      </c>
      <c r="O127" t="n">
        <v>3</v>
      </c>
      <c r="P127" t="n">
        <v>1</v>
      </c>
      <c r="Q127" t="n">
        <v>3</v>
      </c>
      <c r="R127" s="2" t="inlineStr">
        <is>
          <t>Gränsticka
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12000-2026</t>
        </is>
      </c>
      <c r="B128" s="1" t="n">
        <v>46085</v>
      </c>
      <c r="C128" s="1" t="n">
        <v>46193</v>
      </c>
      <c r="D128" t="inlineStr">
        <is>
          <t>VÄSTERBOTTENS LÄN</t>
        </is>
      </c>
      <c r="E128" t="inlineStr">
        <is>
          <t>VILHELMINA</t>
        </is>
      </c>
      <c r="G128" t="n">
        <v>41.2</v>
      </c>
      <c r="H128" t="n">
        <v>1</v>
      </c>
      <c r="I128" t="n">
        <v>2</v>
      </c>
      <c r="J128" t="n">
        <v>1</v>
      </c>
      <c r="K128" t="n">
        <v>0</v>
      </c>
      <c r="L128" t="n">
        <v>0</v>
      </c>
      <c r="M128" t="n">
        <v>0</v>
      </c>
      <c r="N128" t="n">
        <v>0</v>
      </c>
      <c r="O128" t="n">
        <v>1</v>
      </c>
      <c r="P128" t="n">
        <v>0</v>
      </c>
      <c r="Q128" t="n">
        <v>3</v>
      </c>
      <c r="R128" s="2" t="inlineStr">
        <is>
          <t>Harticka
Spindelblomster
Vedticka</t>
        </is>
      </c>
      <c r="S128">
        <f>HYPERLINK("https://klasma.github.io/Logging_2462/artfynd/A 12000-2026 artfynd.xlsx", "A 12000-2026")</f>
        <v/>
      </c>
      <c r="T128">
        <f>HYPERLINK("https://klasma.github.io/Logging_2462/kartor/A 12000-2026 karta.png", "A 12000-2026")</f>
        <v/>
      </c>
      <c r="V128">
        <f>HYPERLINK("https://klasma.github.io/Logging_2462/klagomål/A 12000-2026 FSC-klagomål.docx", "A 12000-2026")</f>
        <v/>
      </c>
      <c r="W128">
        <f>HYPERLINK("https://klasma.github.io/Logging_2462/klagomålsmail/A 12000-2026 FSC-klagomål mail.docx", "A 12000-2026")</f>
        <v/>
      </c>
      <c r="X128">
        <f>HYPERLINK("https://klasma.github.io/Logging_2462/tillsyn/A 12000-2026 tillsynsbegäran.docx", "A 12000-2026")</f>
        <v/>
      </c>
      <c r="Y128">
        <f>HYPERLINK("https://klasma.github.io/Logging_2462/tillsynsmail/A 12000-2026 tillsynsbegäran mail.docx", "A 12000-2026")</f>
        <v/>
      </c>
    </row>
    <row r="129" ht="15" customHeight="1">
      <c r="A129" t="inlineStr">
        <is>
          <t>A 54779-2024</t>
        </is>
      </c>
      <c r="B129" s="1" t="n">
        <v>45618</v>
      </c>
      <c r="C129" s="1" t="n">
        <v>46193</v>
      </c>
      <c r="D129" t="inlineStr">
        <is>
          <t>VÄSTERBOTTENS LÄN</t>
        </is>
      </c>
      <c r="E129" t="inlineStr">
        <is>
          <t>VILHELMINA</t>
        </is>
      </c>
      <c r="F129" t="inlineStr">
        <is>
          <t>SCA</t>
        </is>
      </c>
      <c r="G129" t="n">
        <v>10.3</v>
      </c>
      <c r="H129" t="n">
        <v>0</v>
      </c>
      <c r="I129" t="n">
        <v>0</v>
      </c>
      <c r="J129" t="n">
        <v>2</v>
      </c>
      <c r="K129" t="n">
        <v>0</v>
      </c>
      <c r="L129" t="n">
        <v>0</v>
      </c>
      <c r="M129" t="n">
        <v>0</v>
      </c>
      <c r="N129" t="n">
        <v>0</v>
      </c>
      <c r="O129" t="n">
        <v>2</v>
      </c>
      <c r="P129" t="n">
        <v>0</v>
      </c>
      <c r="Q129" t="n">
        <v>2</v>
      </c>
      <c r="R129" s="2" t="inlineStr">
        <is>
          <t>Gammelgransskål
Harticka</t>
        </is>
      </c>
      <c r="S129">
        <f>HYPERLINK("https://klasma.github.io/Logging_2462/artfynd/A 54779-2024 artfynd.xlsx", "A 54779-2024")</f>
        <v/>
      </c>
      <c r="T129">
        <f>HYPERLINK("https://klasma.github.io/Logging_2462/kartor/A 54779-2024 karta.png", "A 54779-2024")</f>
        <v/>
      </c>
      <c r="V129">
        <f>HYPERLINK("https://klasma.github.io/Logging_2462/klagomål/A 54779-2024 FSC-klagomål.docx", "A 54779-2024")</f>
        <v/>
      </c>
      <c r="W129">
        <f>HYPERLINK("https://klasma.github.io/Logging_2462/klagomålsmail/A 54779-2024 FSC-klagomål mail.docx", "A 54779-2024")</f>
        <v/>
      </c>
      <c r="X129">
        <f>HYPERLINK("https://klasma.github.io/Logging_2462/tillsyn/A 54779-2024 tillsynsbegäran.docx", "A 54779-2024")</f>
        <v/>
      </c>
      <c r="Y129">
        <f>HYPERLINK("https://klasma.github.io/Logging_2462/tillsynsmail/A 54779-2024 tillsynsbegäran mail.docx", "A 54779-2024")</f>
        <v/>
      </c>
    </row>
    <row r="130" ht="15" customHeight="1">
      <c r="A130" t="inlineStr">
        <is>
          <t>A 28012-2023</t>
        </is>
      </c>
      <c r="B130" s="1" t="n">
        <v>45098</v>
      </c>
      <c r="C130" s="1" t="n">
        <v>46193</v>
      </c>
      <c r="D130" t="inlineStr">
        <is>
          <t>VÄSTERBOTTENS LÄN</t>
        </is>
      </c>
      <c r="E130" t="inlineStr">
        <is>
          <t>VILHELMINA</t>
        </is>
      </c>
      <c r="F130" t="inlineStr">
        <is>
          <t>SCA</t>
        </is>
      </c>
      <c r="G130" t="n">
        <v>1.7</v>
      </c>
      <c r="H130" t="n">
        <v>1</v>
      </c>
      <c r="I130" t="n">
        <v>0</v>
      </c>
      <c r="J130" t="n">
        <v>1</v>
      </c>
      <c r="K130" t="n">
        <v>1</v>
      </c>
      <c r="L130" t="n">
        <v>0</v>
      </c>
      <c r="M130" t="n">
        <v>0</v>
      </c>
      <c r="N130" t="n">
        <v>0</v>
      </c>
      <c r="O130" t="n">
        <v>2</v>
      </c>
      <c r="P130" t="n">
        <v>1</v>
      </c>
      <c r="Q130" t="n">
        <v>2</v>
      </c>
      <c r="R130" s="2" t="inlineStr">
        <is>
          <t>Garnlav
Tretåig hackspett</t>
        </is>
      </c>
      <c r="S130">
        <f>HYPERLINK("https://klasma.github.io/Logging_2462/artfynd/A 28012-2023 artfynd.xlsx", "A 28012-2023")</f>
        <v/>
      </c>
      <c r="T130">
        <f>HYPERLINK("https://klasma.github.io/Logging_2462/kartor/A 28012-2023 karta.png", "A 28012-2023")</f>
        <v/>
      </c>
      <c r="V130">
        <f>HYPERLINK("https://klasma.github.io/Logging_2462/klagomål/A 28012-2023 FSC-klagomål.docx", "A 28012-2023")</f>
        <v/>
      </c>
      <c r="W130">
        <f>HYPERLINK("https://klasma.github.io/Logging_2462/klagomålsmail/A 28012-2023 FSC-klagomål mail.docx", "A 28012-2023")</f>
        <v/>
      </c>
      <c r="X130">
        <f>HYPERLINK("https://klasma.github.io/Logging_2462/tillsyn/A 28012-2023 tillsynsbegäran.docx", "A 28012-2023")</f>
        <v/>
      </c>
      <c r="Y130">
        <f>HYPERLINK("https://klasma.github.io/Logging_2462/tillsynsmail/A 28012-2023 tillsynsbegäran mail.docx", "A 28012-2023")</f>
        <v/>
      </c>
      <c r="Z130">
        <f>HYPERLINK("https://klasma.github.io/Logging_2462/fåglar/A 28012-2023 prioriterade fågelarter.docx", "A 28012-2023")</f>
        <v/>
      </c>
    </row>
    <row r="131" ht="15" customHeight="1">
      <c r="A131" t="inlineStr">
        <is>
          <t>A 37513-2024</t>
        </is>
      </c>
      <c r="B131" s="1" t="n">
        <v>45541</v>
      </c>
      <c r="C131" s="1" t="n">
        <v>46193</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33661-2023</t>
        </is>
      </c>
      <c r="B132" s="1" t="n">
        <v>45119</v>
      </c>
      <c r="C132" s="1" t="n">
        <v>46193</v>
      </c>
      <c r="D132" t="inlineStr">
        <is>
          <t>VÄSTERBOTTENS LÄN</t>
        </is>
      </c>
      <c r="E132" t="inlineStr">
        <is>
          <t>VILHELMINA</t>
        </is>
      </c>
      <c r="G132" t="n">
        <v>1.8</v>
      </c>
      <c r="H132" t="n">
        <v>0</v>
      </c>
      <c r="I132" t="n">
        <v>0</v>
      </c>
      <c r="J132" t="n">
        <v>1</v>
      </c>
      <c r="K132" t="n">
        <v>1</v>
      </c>
      <c r="L132" t="n">
        <v>0</v>
      </c>
      <c r="M132" t="n">
        <v>0</v>
      </c>
      <c r="N132" t="n">
        <v>0</v>
      </c>
      <c r="O132" t="n">
        <v>2</v>
      </c>
      <c r="P132" t="n">
        <v>1</v>
      </c>
      <c r="Q132" t="n">
        <v>2</v>
      </c>
      <c r="R132" s="2" t="inlineStr">
        <is>
          <t>Grantickeporing
Äggvaxskivling</t>
        </is>
      </c>
      <c r="S132">
        <f>HYPERLINK("https://klasma.github.io/Logging_2462/artfynd/A 33661-2023 artfynd.xlsx", "A 33661-2023")</f>
        <v/>
      </c>
      <c r="T132">
        <f>HYPERLINK("https://klasma.github.io/Logging_2462/kartor/A 33661-2023 karta.png", "A 33661-2023")</f>
        <v/>
      </c>
      <c r="V132">
        <f>HYPERLINK("https://klasma.github.io/Logging_2462/klagomål/A 33661-2023 FSC-klagomål.docx", "A 33661-2023")</f>
        <v/>
      </c>
      <c r="W132">
        <f>HYPERLINK("https://klasma.github.io/Logging_2462/klagomålsmail/A 33661-2023 FSC-klagomål mail.docx", "A 33661-2023")</f>
        <v/>
      </c>
      <c r="X132">
        <f>HYPERLINK("https://klasma.github.io/Logging_2462/tillsyn/A 33661-2023 tillsynsbegäran.docx", "A 33661-2023")</f>
        <v/>
      </c>
      <c r="Y132">
        <f>HYPERLINK("https://klasma.github.io/Logging_2462/tillsynsmail/A 33661-2023 tillsynsbegäran mail.docx", "A 33661-2023")</f>
        <v/>
      </c>
    </row>
    <row r="133" ht="15" customHeight="1">
      <c r="A133" t="inlineStr">
        <is>
          <t>A 38429-2025</t>
        </is>
      </c>
      <c r="B133" s="1" t="n">
        <v>45883</v>
      </c>
      <c r="C133" s="1" t="n">
        <v>46193</v>
      </c>
      <c r="D133" t="inlineStr">
        <is>
          <t>VÄSTERBOTTENS LÄN</t>
        </is>
      </c>
      <c r="E133" t="inlineStr">
        <is>
          <t>VILHELMINA</t>
        </is>
      </c>
      <c r="G133" t="n">
        <v>5.5</v>
      </c>
      <c r="H133" t="n">
        <v>0</v>
      </c>
      <c r="I133" t="n">
        <v>0</v>
      </c>
      <c r="J133" t="n">
        <v>1</v>
      </c>
      <c r="K133" t="n">
        <v>1</v>
      </c>
      <c r="L133" t="n">
        <v>0</v>
      </c>
      <c r="M133" t="n">
        <v>0</v>
      </c>
      <c r="N133" t="n">
        <v>0</v>
      </c>
      <c r="O133" t="n">
        <v>2</v>
      </c>
      <c r="P133" t="n">
        <v>1</v>
      </c>
      <c r="Q133" t="n">
        <v>2</v>
      </c>
      <c r="R133" s="2" t="inlineStr">
        <is>
          <t>Vitskaftad svartspik
Ullticka</t>
        </is>
      </c>
      <c r="S133">
        <f>HYPERLINK("https://klasma.github.io/Logging_2462/artfynd/A 38429-2025 artfynd.xlsx", "A 38429-2025")</f>
        <v/>
      </c>
      <c r="T133">
        <f>HYPERLINK("https://klasma.github.io/Logging_2462/kartor/A 38429-2025 karta.png", "A 38429-2025")</f>
        <v/>
      </c>
      <c r="V133">
        <f>HYPERLINK("https://klasma.github.io/Logging_2462/klagomål/A 38429-2025 FSC-klagomål.docx", "A 38429-2025")</f>
        <v/>
      </c>
      <c r="W133">
        <f>HYPERLINK("https://klasma.github.io/Logging_2462/klagomålsmail/A 38429-2025 FSC-klagomål mail.docx", "A 38429-2025")</f>
        <v/>
      </c>
      <c r="X133">
        <f>HYPERLINK("https://klasma.github.io/Logging_2462/tillsyn/A 38429-2025 tillsynsbegäran.docx", "A 38429-2025")</f>
        <v/>
      </c>
      <c r="Y133">
        <f>HYPERLINK("https://klasma.github.io/Logging_2462/tillsynsmail/A 38429-2025 tillsynsbegäran mail.docx", "A 38429-2025")</f>
        <v/>
      </c>
    </row>
    <row r="134" ht="15" customHeight="1">
      <c r="A134" t="inlineStr">
        <is>
          <t>A 25037-2024</t>
        </is>
      </c>
      <c r="B134" s="1" t="n">
        <v>45461</v>
      </c>
      <c r="C134" s="1" t="n">
        <v>46193</v>
      </c>
      <c r="D134" t="inlineStr">
        <is>
          <t>VÄSTERBOTTENS LÄN</t>
        </is>
      </c>
      <c r="E134" t="inlineStr">
        <is>
          <t>VILHELMINA</t>
        </is>
      </c>
      <c r="F134" t="inlineStr">
        <is>
          <t>SCA</t>
        </is>
      </c>
      <c r="G134" t="n">
        <v>0.5</v>
      </c>
      <c r="H134" t="n">
        <v>2</v>
      </c>
      <c r="I134" t="n">
        <v>0</v>
      </c>
      <c r="J134" t="n">
        <v>2</v>
      </c>
      <c r="K134" t="n">
        <v>0</v>
      </c>
      <c r="L134" t="n">
        <v>0</v>
      </c>
      <c r="M134" t="n">
        <v>0</v>
      </c>
      <c r="N134" t="n">
        <v>0</v>
      </c>
      <c r="O134" t="n">
        <v>2</v>
      </c>
      <c r="P134" t="n">
        <v>0</v>
      </c>
      <c r="Q134" t="n">
        <v>2</v>
      </c>
      <c r="R134" s="2" t="inlineStr">
        <is>
          <t>Lavskrika
Tretåig hackspett</t>
        </is>
      </c>
      <c r="S134">
        <f>HYPERLINK("https://klasma.github.io/Logging_2462/artfynd/A 25037-2024 artfynd.xlsx", "A 25037-2024")</f>
        <v/>
      </c>
      <c r="T134">
        <f>HYPERLINK("https://klasma.github.io/Logging_2462/kartor/A 25037-2024 karta.png", "A 25037-2024")</f>
        <v/>
      </c>
      <c r="V134">
        <f>HYPERLINK("https://klasma.github.io/Logging_2462/klagomål/A 25037-2024 FSC-klagomål.docx", "A 25037-2024")</f>
        <v/>
      </c>
      <c r="W134">
        <f>HYPERLINK("https://klasma.github.io/Logging_2462/klagomålsmail/A 25037-2024 FSC-klagomål mail.docx", "A 25037-2024")</f>
        <v/>
      </c>
      <c r="X134">
        <f>HYPERLINK("https://klasma.github.io/Logging_2462/tillsyn/A 25037-2024 tillsynsbegäran.docx", "A 25037-2024")</f>
        <v/>
      </c>
      <c r="Y134">
        <f>HYPERLINK("https://klasma.github.io/Logging_2462/tillsynsmail/A 25037-2024 tillsynsbegäran mail.docx", "A 25037-2024")</f>
        <v/>
      </c>
      <c r="Z134">
        <f>HYPERLINK("https://klasma.github.io/Logging_2462/fåglar/A 25037-2024 prioriterade fågelarter.docx", "A 25037-2024")</f>
        <v/>
      </c>
    </row>
    <row r="135" ht="15" customHeight="1">
      <c r="A135" t="inlineStr">
        <is>
          <t>A 65586-2021</t>
        </is>
      </c>
      <c r="B135" s="1" t="n">
        <v>44518</v>
      </c>
      <c r="C135" s="1" t="n">
        <v>46193</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30583-2024</t>
        </is>
      </c>
      <c r="B136" s="1" t="n">
        <v>45492</v>
      </c>
      <c r="C136" s="1" t="n">
        <v>46193</v>
      </c>
      <c r="D136" t="inlineStr">
        <is>
          <t>VÄSTERBOTTENS LÄN</t>
        </is>
      </c>
      <c r="E136" t="inlineStr">
        <is>
          <t>VILHELMINA</t>
        </is>
      </c>
      <c r="F136" t="inlineStr">
        <is>
          <t>SCA</t>
        </is>
      </c>
      <c r="G136" t="n">
        <v>3.3</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30583-2024 artfynd.xlsx", "A 30583-2024")</f>
        <v/>
      </c>
      <c r="T136">
        <f>HYPERLINK("https://klasma.github.io/Logging_2462/kartor/A 30583-2024 karta.png", "A 30583-2024")</f>
        <v/>
      </c>
      <c r="V136">
        <f>HYPERLINK("https://klasma.github.io/Logging_2462/klagomål/A 30583-2024 FSC-klagomål.docx", "A 30583-2024")</f>
        <v/>
      </c>
      <c r="W136">
        <f>HYPERLINK("https://klasma.github.io/Logging_2462/klagomålsmail/A 30583-2024 FSC-klagomål mail.docx", "A 30583-2024")</f>
        <v/>
      </c>
      <c r="X136">
        <f>HYPERLINK("https://klasma.github.io/Logging_2462/tillsyn/A 30583-2024 tillsynsbegäran.docx", "A 30583-2024")</f>
        <v/>
      </c>
      <c r="Y136">
        <f>HYPERLINK("https://klasma.github.io/Logging_2462/tillsynsmail/A 30583-2024 tillsynsbegäran mail.docx", "A 30583-2024")</f>
        <v/>
      </c>
    </row>
    <row r="137" ht="15" customHeight="1">
      <c r="A137" t="inlineStr">
        <is>
          <t>A 60379-2024</t>
        </is>
      </c>
      <c r="B137" s="1" t="n">
        <v>45643</v>
      </c>
      <c r="C137" s="1" t="n">
        <v>46193</v>
      </c>
      <c r="D137" t="inlineStr">
        <is>
          <t>VÄSTERBOTTENS LÄN</t>
        </is>
      </c>
      <c r="E137" t="inlineStr">
        <is>
          <t>VILHELMINA</t>
        </is>
      </c>
      <c r="F137" t="inlineStr">
        <is>
          <t>SCA</t>
        </is>
      </c>
      <c r="G137" t="n">
        <v>12.4</v>
      </c>
      <c r="H137" t="n">
        <v>0</v>
      </c>
      <c r="I137" t="n">
        <v>0</v>
      </c>
      <c r="J137" t="n">
        <v>2</v>
      </c>
      <c r="K137" t="n">
        <v>0</v>
      </c>
      <c r="L137" t="n">
        <v>0</v>
      </c>
      <c r="M137" t="n">
        <v>0</v>
      </c>
      <c r="N137" t="n">
        <v>0</v>
      </c>
      <c r="O137" t="n">
        <v>2</v>
      </c>
      <c r="P137" t="n">
        <v>0</v>
      </c>
      <c r="Q137" t="n">
        <v>2</v>
      </c>
      <c r="R137" s="2" t="inlineStr">
        <is>
          <t>Skrovellav
Ullticka</t>
        </is>
      </c>
      <c r="S137">
        <f>HYPERLINK("https://klasma.github.io/Logging_2462/artfynd/A 60379-2024 artfynd.xlsx", "A 60379-2024")</f>
        <v/>
      </c>
      <c r="T137">
        <f>HYPERLINK("https://klasma.github.io/Logging_2462/kartor/A 60379-2024 karta.png", "A 60379-2024")</f>
        <v/>
      </c>
      <c r="V137">
        <f>HYPERLINK("https://klasma.github.io/Logging_2462/klagomål/A 60379-2024 FSC-klagomål.docx", "A 60379-2024")</f>
        <v/>
      </c>
      <c r="W137">
        <f>HYPERLINK("https://klasma.github.io/Logging_2462/klagomålsmail/A 60379-2024 FSC-klagomål mail.docx", "A 60379-2024")</f>
        <v/>
      </c>
      <c r="X137">
        <f>HYPERLINK("https://klasma.github.io/Logging_2462/tillsyn/A 60379-2024 tillsynsbegäran.docx", "A 60379-2024")</f>
        <v/>
      </c>
      <c r="Y137">
        <f>HYPERLINK("https://klasma.github.io/Logging_2462/tillsynsmail/A 60379-2024 tillsynsbegäran mail.docx", "A 60379-2024")</f>
        <v/>
      </c>
    </row>
    <row r="138" ht="15" customHeight="1">
      <c r="A138" t="inlineStr">
        <is>
          <t>A 10956-2023</t>
        </is>
      </c>
      <c r="B138" s="1" t="n">
        <v>44985</v>
      </c>
      <c r="C138" s="1" t="n">
        <v>46193</v>
      </c>
      <c r="D138" t="inlineStr">
        <is>
          <t>VÄSTERBOTTENS LÄN</t>
        </is>
      </c>
      <c r="E138" t="inlineStr">
        <is>
          <t>VILHELMINA</t>
        </is>
      </c>
      <c r="G138" t="n">
        <v>3.3</v>
      </c>
      <c r="H138" t="n">
        <v>1</v>
      </c>
      <c r="I138" t="n">
        <v>1</v>
      </c>
      <c r="J138" t="n">
        <v>1</v>
      </c>
      <c r="K138" t="n">
        <v>0</v>
      </c>
      <c r="L138" t="n">
        <v>0</v>
      </c>
      <c r="M138" t="n">
        <v>0</v>
      </c>
      <c r="N138" t="n">
        <v>0</v>
      </c>
      <c r="O138" t="n">
        <v>1</v>
      </c>
      <c r="P138" t="n">
        <v>0</v>
      </c>
      <c r="Q138" t="n">
        <v>2</v>
      </c>
      <c r="R138" s="2" t="inlineStr">
        <is>
          <t>Lunglav
Plattlummer</t>
        </is>
      </c>
      <c r="S138">
        <f>HYPERLINK("https://klasma.github.io/Logging_2462/artfynd/A 10956-2023 artfynd.xlsx", "A 10956-2023")</f>
        <v/>
      </c>
      <c r="T138">
        <f>HYPERLINK("https://klasma.github.io/Logging_2462/kartor/A 10956-2023 karta.png", "A 10956-2023")</f>
        <v/>
      </c>
      <c r="V138">
        <f>HYPERLINK("https://klasma.github.io/Logging_2462/klagomål/A 10956-2023 FSC-klagomål.docx", "A 10956-2023")</f>
        <v/>
      </c>
      <c r="W138">
        <f>HYPERLINK("https://klasma.github.io/Logging_2462/klagomålsmail/A 10956-2023 FSC-klagomål mail.docx", "A 10956-2023")</f>
        <v/>
      </c>
      <c r="X138">
        <f>HYPERLINK("https://klasma.github.io/Logging_2462/tillsyn/A 10956-2023 tillsynsbegäran.docx", "A 10956-2023")</f>
        <v/>
      </c>
      <c r="Y138">
        <f>HYPERLINK("https://klasma.github.io/Logging_2462/tillsynsmail/A 10956-2023 tillsynsbegäran mail.docx", "A 10956-2023")</f>
        <v/>
      </c>
    </row>
    <row r="139" ht="15" customHeight="1">
      <c r="A139" t="inlineStr">
        <is>
          <t>A 48816-2025</t>
        </is>
      </c>
      <c r="B139" s="1" t="n">
        <v>45937</v>
      </c>
      <c r="C139" s="1" t="n">
        <v>46193</v>
      </c>
      <c r="D139" t="inlineStr">
        <is>
          <t>VÄSTERBOTTENS LÄN</t>
        </is>
      </c>
      <c r="E139" t="inlineStr">
        <is>
          <t>VILHELMINA</t>
        </is>
      </c>
      <c r="F139" t="inlineStr">
        <is>
          <t>SCA</t>
        </is>
      </c>
      <c r="G139" t="n">
        <v>1.3</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HYPERLINK("https://klasma.github.io/Logging_2462/artfynd/A 48816-2025 artfynd.xlsx", "A 48816-2025")</f>
        <v/>
      </c>
      <c r="T139">
        <f>HYPERLINK("https://klasma.github.io/Logging_2462/kartor/A 48816-2025 karta.png", "A 48816-2025")</f>
        <v/>
      </c>
      <c r="V139">
        <f>HYPERLINK("https://klasma.github.io/Logging_2462/klagomål/A 48816-2025 FSC-klagomål.docx", "A 48816-2025")</f>
        <v/>
      </c>
      <c r="W139">
        <f>HYPERLINK("https://klasma.github.io/Logging_2462/klagomålsmail/A 48816-2025 FSC-klagomål mail.docx", "A 48816-2025")</f>
        <v/>
      </c>
      <c r="X139">
        <f>HYPERLINK("https://klasma.github.io/Logging_2462/tillsyn/A 48816-2025 tillsynsbegäran.docx", "A 48816-2025")</f>
        <v/>
      </c>
      <c r="Y139">
        <f>HYPERLINK("https://klasma.github.io/Logging_2462/tillsynsmail/A 48816-2025 tillsynsbegäran mail.docx", "A 48816-2025")</f>
        <v/>
      </c>
      <c r="Z139">
        <f>HYPERLINK("https://klasma.github.io/Logging_2462/fåglar/A 48816-2025 prioriterade fågelarter.docx", "A 48816-2025")</f>
        <v/>
      </c>
    </row>
    <row r="140" ht="15" customHeight="1">
      <c r="A140" t="inlineStr">
        <is>
          <t>A 56618-2024</t>
        </is>
      </c>
      <c r="B140" s="1" t="n">
        <v>45625</v>
      </c>
      <c r="C140" s="1" t="n">
        <v>46193</v>
      </c>
      <c r="D140" t="inlineStr">
        <is>
          <t>VÄSTERBOTTENS LÄN</t>
        </is>
      </c>
      <c r="E140" t="inlineStr">
        <is>
          <t>VILHELMINA</t>
        </is>
      </c>
      <c r="F140" t="inlineStr">
        <is>
          <t>Allmännings- och besparingsskogar</t>
        </is>
      </c>
      <c r="G140" t="n">
        <v>17.1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56618-2024 artfynd.xlsx", "A 56618-2024")</f>
        <v/>
      </c>
      <c r="T140">
        <f>HYPERLINK("https://klasma.github.io/Logging_2462/kartor/A 56618-2024 karta.png", "A 56618-2024")</f>
        <v/>
      </c>
      <c r="V140">
        <f>HYPERLINK("https://klasma.github.io/Logging_2462/klagomål/A 56618-2024 FSC-klagomål.docx", "A 56618-2024")</f>
        <v/>
      </c>
      <c r="W140">
        <f>HYPERLINK("https://klasma.github.io/Logging_2462/klagomålsmail/A 56618-2024 FSC-klagomål mail.docx", "A 56618-2024")</f>
        <v/>
      </c>
      <c r="X140">
        <f>HYPERLINK("https://klasma.github.io/Logging_2462/tillsyn/A 56618-2024 tillsynsbegäran.docx", "A 56618-2024")</f>
        <v/>
      </c>
      <c r="Y140">
        <f>HYPERLINK("https://klasma.github.io/Logging_2462/tillsynsmail/A 56618-2024 tillsynsbegäran mail.docx", "A 56618-2024")</f>
        <v/>
      </c>
      <c r="Z140">
        <f>HYPERLINK("https://klasma.github.io/Logging_2462/fåglar/A 56618-2024 prioriterade fågelarter.docx", "A 56618-2024")</f>
        <v/>
      </c>
    </row>
    <row r="141" ht="15" customHeight="1">
      <c r="A141" t="inlineStr">
        <is>
          <t>A 28071-2025</t>
        </is>
      </c>
      <c r="B141" s="1" t="n">
        <v>45817</v>
      </c>
      <c r="C141" s="1" t="n">
        <v>46193</v>
      </c>
      <c r="D141" t="inlineStr">
        <is>
          <t>VÄSTERBOTTENS LÄN</t>
        </is>
      </c>
      <c r="E141" t="inlineStr">
        <is>
          <t>VILHELMINA</t>
        </is>
      </c>
      <c r="F141" t="inlineStr">
        <is>
          <t>SCA</t>
        </is>
      </c>
      <c r="G141" t="n">
        <v>2.9</v>
      </c>
      <c r="H141" t="n">
        <v>0</v>
      </c>
      <c r="I141" t="n">
        <v>0</v>
      </c>
      <c r="J141" t="n">
        <v>2</v>
      </c>
      <c r="K141" t="n">
        <v>0</v>
      </c>
      <c r="L141" t="n">
        <v>0</v>
      </c>
      <c r="M141" t="n">
        <v>0</v>
      </c>
      <c r="N141" t="n">
        <v>0</v>
      </c>
      <c r="O141" t="n">
        <v>2</v>
      </c>
      <c r="P141" t="n">
        <v>0</v>
      </c>
      <c r="Q141" t="n">
        <v>2</v>
      </c>
      <c r="R141" s="2" t="inlineStr">
        <is>
          <t>Doftskinn
Äggvaxskivling</t>
        </is>
      </c>
      <c r="S141">
        <f>HYPERLINK("https://klasma.github.io/Logging_2462/artfynd/A 28071-2025 artfynd.xlsx", "A 28071-2025")</f>
        <v/>
      </c>
      <c r="T141">
        <f>HYPERLINK("https://klasma.github.io/Logging_2462/kartor/A 28071-2025 karta.png", "A 28071-2025")</f>
        <v/>
      </c>
      <c r="V141">
        <f>HYPERLINK("https://klasma.github.io/Logging_2462/klagomål/A 28071-2025 FSC-klagomål.docx", "A 28071-2025")</f>
        <v/>
      </c>
      <c r="W141">
        <f>HYPERLINK("https://klasma.github.io/Logging_2462/klagomålsmail/A 28071-2025 FSC-klagomål mail.docx", "A 28071-2025")</f>
        <v/>
      </c>
      <c r="X141">
        <f>HYPERLINK("https://klasma.github.io/Logging_2462/tillsyn/A 28071-2025 tillsynsbegäran.docx", "A 28071-2025")</f>
        <v/>
      </c>
      <c r="Y141">
        <f>HYPERLINK("https://klasma.github.io/Logging_2462/tillsynsmail/A 28071-2025 tillsynsbegäran mail.docx", "A 28071-2025")</f>
        <v/>
      </c>
    </row>
    <row r="142" ht="15" customHeight="1">
      <c r="A142" t="inlineStr">
        <is>
          <t>A 31735-2025</t>
        </is>
      </c>
      <c r="B142" s="1" t="n">
        <v>45834</v>
      </c>
      <c r="C142" s="1" t="n">
        <v>46193</v>
      </c>
      <c r="D142" t="inlineStr">
        <is>
          <t>VÄSTERBOTTENS LÄN</t>
        </is>
      </c>
      <c r="E142" t="inlineStr">
        <is>
          <t>VILHELMINA</t>
        </is>
      </c>
      <c r="F142" t="inlineStr">
        <is>
          <t>SCA</t>
        </is>
      </c>
      <c r="G142" t="n">
        <v>7.4</v>
      </c>
      <c r="H142" t="n">
        <v>0</v>
      </c>
      <c r="I142" t="n">
        <v>1</v>
      </c>
      <c r="J142" t="n">
        <v>1</v>
      </c>
      <c r="K142" t="n">
        <v>0</v>
      </c>
      <c r="L142" t="n">
        <v>0</v>
      </c>
      <c r="M142" t="n">
        <v>0</v>
      </c>
      <c r="N142" t="n">
        <v>0</v>
      </c>
      <c r="O142" t="n">
        <v>1</v>
      </c>
      <c r="P142" t="n">
        <v>0</v>
      </c>
      <c r="Q142" t="n">
        <v>2</v>
      </c>
      <c r="R142" s="2" t="inlineStr">
        <is>
          <t>Skrovellav
Stuplav</t>
        </is>
      </c>
      <c r="S142">
        <f>HYPERLINK("https://klasma.github.io/Logging_2462/artfynd/A 31735-2025 artfynd.xlsx", "A 31735-2025")</f>
        <v/>
      </c>
      <c r="T142">
        <f>HYPERLINK("https://klasma.github.io/Logging_2462/kartor/A 31735-2025 karta.png", "A 31735-2025")</f>
        <v/>
      </c>
      <c r="V142">
        <f>HYPERLINK("https://klasma.github.io/Logging_2462/klagomål/A 31735-2025 FSC-klagomål.docx", "A 31735-2025")</f>
        <v/>
      </c>
      <c r="W142">
        <f>HYPERLINK("https://klasma.github.io/Logging_2462/klagomålsmail/A 31735-2025 FSC-klagomål mail.docx", "A 31735-2025")</f>
        <v/>
      </c>
      <c r="X142">
        <f>HYPERLINK("https://klasma.github.io/Logging_2462/tillsyn/A 31735-2025 tillsynsbegäran.docx", "A 31735-2025")</f>
        <v/>
      </c>
      <c r="Y142">
        <f>HYPERLINK("https://klasma.github.io/Logging_2462/tillsynsmail/A 31735-2025 tillsynsbegäran mail.docx", "A 31735-2025")</f>
        <v/>
      </c>
    </row>
    <row r="143" ht="15" customHeight="1">
      <c r="A143" t="inlineStr">
        <is>
          <t>A 21405-2026</t>
        </is>
      </c>
      <c r="B143" s="1" t="n">
        <v>46148</v>
      </c>
      <c r="C143" s="1" t="n">
        <v>46193</v>
      </c>
      <c r="D143" t="inlineStr">
        <is>
          <t>VÄSTERBOTTENS LÄN</t>
        </is>
      </c>
      <c r="E143" t="inlineStr">
        <is>
          <t>VILHELMINA</t>
        </is>
      </c>
      <c r="F143" t="inlineStr">
        <is>
          <t>SCA</t>
        </is>
      </c>
      <c r="G143" t="n">
        <v>8.699999999999999</v>
      </c>
      <c r="H143" t="n">
        <v>0</v>
      </c>
      <c r="I143" t="n">
        <v>0</v>
      </c>
      <c r="J143" t="n">
        <v>2</v>
      </c>
      <c r="K143" t="n">
        <v>0</v>
      </c>
      <c r="L143" t="n">
        <v>0</v>
      </c>
      <c r="M143" t="n">
        <v>0</v>
      </c>
      <c r="N143" t="n">
        <v>0</v>
      </c>
      <c r="O143" t="n">
        <v>2</v>
      </c>
      <c r="P143" t="n">
        <v>0</v>
      </c>
      <c r="Q143" t="n">
        <v>2</v>
      </c>
      <c r="R143" s="2" t="inlineStr">
        <is>
          <t>Gammelgransskål
Rödbrun blekspik</t>
        </is>
      </c>
      <c r="S143">
        <f>HYPERLINK("https://klasma.github.io/Logging_2462/artfynd/A 21405-2026 artfynd.xlsx", "A 21405-2026")</f>
        <v/>
      </c>
      <c r="T143">
        <f>HYPERLINK("https://klasma.github.io/Logging_2462/kartor/A 21405-2026 karta.png", "A 21405-2026")</f>
        <v/>
      </c>
      <c r="V143">
        <f>HYPERLINK("https://klasma.github.io/Logging_2462/klagomål/A 21405-2026 FSC-klagomål.docx", "A 21405-2026")</f>
        <v/>
      </c>
      <c r="W143">
        <f>HYPERLINK("https://klasma.github.io/Logging_2462/klagomålsmail/A 21405-2026 FSC-klagomål mail.docx", "A 21405-2026")</f>
        <v/>
      </c>
      <c r="X143">
        <f>HYPERLINK("https://klasma.github.io/Logging_2462/tillsyn/A 21405-2026 tillsynsbegäran.docx", "A 21405-2026")</f>
        <v/>
      </c>
      <c r="Y143">
        <f>HYPERLINK("https://klasma.github.io/Logging_2462/tillsynsmail/A 21405-2026 tillsynsbegäran mail.docx", "A 21405-2026")</f>
        <v/>
      </c>
    </row>
    <row r="144" ht="15" customHeight="1">
      <c r="A144" t="inlineStr">
        <is>
          <t>A 61821-2025</t>
        </is>
      </c>
      <c r="B144" s="1" t="n">
        <v>46003</v>
      </c>
      <c r="C144" s="1" t="n">
        <v>46193</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38131-2024</t>
        </is>
      </c>
      <c r="B145" s="1" t="n">
        <v>45545</v>
      </c>
      <c r="C145" s="1" t="n">
        <v>46193</v>
      </c>
      <c r="D145" t="inlineStr">
        <is>
          <t>VÄSTERBOTTENS LÄN</t>
        </is>
      </c>
      <c r="E145" t="inlineStr">
        <is>
          <t>VILHELMINA</t>
        </is>
      </c>
      <c r="F145" t="inlineStr">
        <is>
          <t>SCA</t>
        </is>
      </c>
      <c r="G145" t="n">
        <v>1.5</v>
      </c>
      <c r="H145" t="n">
        <v>1</v>
      </c>
      <c r="I145" t="n">
        <v>0</v>
      </c>
      <c r="J145" t="n">
        <v>1</v>
      </c>
      <c r="K145" t="n">
        <v>1</v>
      </c>
      <c r="L145" t="n">
        <v>0</v>
      </c>
      <c r="M145" t="n">
        <v>0</v>
      </c>
      <c r="N145" t="n">
        <v>0</v>
      </c>
      <c r="O145" t="n">
        <v>2</v>
      </c>
      <c r="P145" t="n">
        <v>1</v>
      </c>
      <c r="Q145" t="n">
        <v>2</v>
      </c>
      <c r="R145" s="2" t="inlineStr">
        <is>
          <t>Garnlav
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4802-2026</t>
        </is>
      </c>
      <c r="B146" s="1" t="n">
        <v>46048</v>
      </c>
      <c r="C146" s="1" t="n">
        <v>46193</v>
      </c>
      <c r="D146" t="inlineStr">
        <is>
          <t>VÄSTERBOTTENS LÄN</t>
        </is>
      </c>
      <c r="E146" t="inlineStr">
        <is>
          <t>VILHELMINA</t>
        </is>
      </c>
      <c r="G146" t="n">
        <v>5.9</v>
      </c>
      <c r="H146" t="n">
        <v>1</v>
      </c>
      <c r="I146" t="n">
        <v>1</v>
      </c>
      <c r="J146" t="n">
        <v>0</v>
      </c>
      <c r="K146" t="n">
        <v>0</v>
      </c>
      <c r="L146" t="n">
        <v>0</v>
      </c>
      <c r="M146" t="n">
        <v>0</v>
      </c>
      <c r="N146" t="n">
        <v>0</v>
      </c>
      <c r="O146" t="n">
        <v>0</v>
      </c>
      <c r="P146" t="n">
        <v>0</v>
      </c>
      <c r="Q146" t="n">
        <v>2</v>
      </c>
      <c r="R146" s="2" t="inlineStr">
        <is>
          <t>Traslav
Revlummer</t>
        </is>
      </c>
      <c r="S146">
        <f>HYPERLINK("https://klasma.github.io/Logging_2462/artfynd/A 4802-2026 artfynd.xlsx", "A 4802-2026")</f>
        <v/>
      </c>
      <c r="T146">
        <f>HYPERLINK("https://klasma.github.io/Logging_2462/kartor/A 4802-2026 karta.png", "A 4802-2026")</f>
        <v/>
      </c>
      <c r="V146">
        <f>HYPERLINK("https://klasma.github.io/Logging_2462/klagomål/A 4802-2026 FSC-klagomål.docx", "A 4802-2026")</f>
        <v/>
      </c>
      <c r="W146">
        <f>HYPERLINK("https://klasma.github.io/Logging_2462/klagomålsmail/A 4802-2026 FSC-klagomål mail.docx", "A 4802-2026")</f>
        <v/>
      </c>
      <c r="X146">
        <f>HYPERLINK("https://klasma.github.io/Logging_2462/tillsyn/A 4802-2026 tillsynsbegäran.docx", "A 4802-2026")</f>
        <v/>
      </c>
      <c r="Y146">
        <f>HYPERLINK("https://klasma.github.io/Logging_2462/tillsynsmail/A 4802-2026 tillsynsbegäran mail.docx", "A 4802-2026")</f>
        <v/>
      </c>
    </row>
    <row r="147" ht="15" customHeight="1">
      <c r="A147" t="inlineStr">
        <is>
          <t>A 41645-2024</t>
        </is>
      </c>
      <c r="B147" s="1" t="n">
        <v>45560</v>
      </c>
      <c r="C147" s="1" t="n">
        <v>46193</v>
      </c>
      <c r="D147" t="inlineStr">
        <is>
          <t>VÄSTERBOTTENS LÄN</t>
        </is>
      </c>
      <c r="E147" t="inlineStr">
        <is>
          <t>VILHELMINA</t>
        </is>
      </c>
      <c r="F147" t="inlineStr">
        <is>
          <t>SCA</t>
        </is>
      </c>
      <c r="G147" t="n">
        <v>10.4</v>
      </c>
      <c r="H147" t="n">
        <v>1</v>
      </c>
      <c r="I147" t="n">
        <v>1</v>
      </c>
      <c r="J147" t="n">
        <v>1</v>
      </c>
      <c r="K147" t="n">
        <v>0</v>
      </c>
      <c r="L147" t="n">
        <v>0</v>
      </c>
      <c r="M147" t="n">
        <v>0</v>
      </c>
      <c r="N147" t="n">
        <v>0</v>
      </c>
      <c r="O147" t="n">
        <v>1</v>
      </c>
      <c r="P147" t="n">
        <v>0</v>
      </c>
      <c r="Q147" t="n">
        <v>2</v>
      </c>
      <c r="R147" s="2" t="inlineStr">
        <is>
          <t>Gammelgransskål
Lappranunkel</t>
        </is>
      </c>
      <c r="S147">
        <f>HYPERLINK("https://klasma.github.io/Logging_2462/artfynd/A 41645-2024 artfynd.xlsx", "A 41645-2024")</f>
        <v/>
      </c>
      <c r="T147">
        <f>HYPERLINK("https://klasma.github.io/Logging_2462/kartor/A 41645-2024 karta.png", "A 41645-2024")</f>
        <v/>
      </c>
      <c r="V147">
        <f>HYPERLINK("https://klasma.github.io/Logging_2462/klagomål/A 41645-2024 FSC-klagomål.docx", "A 41645-2024")</f>
        <v/>
      </c>
      <c r="W147">
        <f>HYPERLINK("https://klasma.github.io/Logging_2462/klagomålsmail/A 41645-2024 FSC-klagomål mail.docx", "A 41645-2024")</f>
        <v/>
      </c>
      <c r="X147">
        <f>HYPERLINK("https://klasma.github.io/Logging_2462/tillsyn/A 41645-2024 tillsynsbegäran.docx", "A 41645-2024")</f>
        <v/>
      </c>
      <c r="Y147">
        <f>HYPERLINK("https://klasma.github.io/Logging_2462/tillsynsmail/A 41645-2024 tillsynsbegäran mail.docx", "A 41645-2024")</f>
        <v/>
      </c>
    </row>
    <row r="148" ht="15" customHeight="1">
      <c r="A148" t="inlineStr">
        <is>
          <t>A 59001-2024</t>
        </is>
      </c>
      <c r="B148" s="1" t="n">
        <v>45636</v>
      </c>
      <c r="C148" s="1" t="n">
        <v>46193</v>
      </c>
      <c r="D148" t="inlineStr">
        <is>
          <t>VÄSTERBOTTENS LÄN</t>
        </is>
      </c>
      <c r="E148" t="inlineStr">
        <is>
          <t>VILHELMINA</t>
        </is>
      </c>
      <c r="F148" t="inlineStr">
        <is>
          <t>Allmännings- och besparingsskogar</t>
        </is>
      </c>
      <c r="G148" t="n">
        <v>32.5</v>
      </c>
      <c r="H148" t="n">
        <v>1</v>
      </c>
      <c r="I148" t="n">
        <v>0</v>
      </c>
      <c r="J148" t="n">
        <v>2</v>
      </c>
      <c r="K148" t="n">
        <v>0</v>
      </c>
      <c r="L148" t="n">
        <v>0</v>
      </c>
      <c r="M148" t="n">
        <v>0</v>
      </c>
      <c r="N148" t="n">
        <v>0</v>
      </c>
      <c r="O148" t="n">
        <v>2</v>
      </c>
      <c r="P148" t="n">
        <v>0</v>
      </c>
      <c r="Q148" t="n">
        <v>2</v>
      </c>
      <c r="R148" s="2" t="inlineStr">
        <is>
          <t>Gammelgransskål
Lavskrika</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c r="Z148">
        <f>HYPERLINK("https://klasma.github.io/Logging_2462/fåglar/A 59001-2024 prioriterade fågelarter.docx", "A 59001-2024")</f>
        <v/>
      </c>
    </row>
    <row r="149" ht="15" customHeight="1">
      <c r="A149" t="inlineStr">
        <is>
          <t>A 37785-2021</t>
        </is>
      </c>
      <c r="B149" s="1" t="n">
        <v>44401</v>
      </c>
      <c r="C149" s="1" t="n">
        <v>46193</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16463-2025</t>
        </is>
      </c>
      <c r="B150" s="1" t="n">
        <v>45751</v>
      </c>
      <c r="C150" s="1" t="n">
        <v>46193</v>
      </c>
      <c r="D150" t="inlineStr">
        <is>
          <t>VÄSTERBOTTENS LÄN</t>
        </is>
      </c>
      <c r="E150" t="inlineStr">
        <is>
          <t>VILHELMINA</t>
        </is>
      </c>
      <c r="G150" t="n">
        <v>8.1</v>
      </c>
      <c r="H150" t="n">
        <v>1</v>
      </c>
      <c r="I150" t="n">
        <v>0</v>
      </c>
      <c r="J150" t="n">
        <v>1</v>
      </c>
      <c r="K150" t="n">
        <v>1</v>
      </c>
      <c r="L150" t="n">
        <v>0</v>
      </c>
      <c r="M150" t="n">
        <v>0</v>
      </c>
      <c r="N150" t="n">
        <v>0</v>
      </c>
      <c r="O150" t="n">
        <v>2</v>
      </c>
      <c r="P150" t="n">
        <v>1</v>
      </c>
      <c r="Q150" t="n">
        <v>2</v>
      </c>
      <c r="R150" s="2" t="inlineStr">
        <is>
          <t>Gränsticka
Tretåig hackspett</t>
        </is>
      </c>
      <c r="S150">
        <f>HYPERLINK("https://klasma.github.io/Logging_2462/artfynd/A 16463-2025 artfynd.xlsx", "A 16463-2025")</f>
        <v/>
      </c>
      <c r="T150">
        <f>HYPERLINK("https://klasma.github.io/Logging_2462/kartor/A 16463-2025 karta.png", "A 16463-2025")</f>
        <v/>
      </c>
      <c r="V150">
        <f>HYPERLINK("https://klasma.github.io/Logging_2462/klagomål/A 16463-2025 FSC-klagomål.docx", "A 16463-2025")</f>
        <v/>
      </c>
      <c r="W150">
        <f>HYPERLINK("https://klasma.github.io/Logging_2462/klagomålsmail/A 16463-2025 FSC-klagomål mail.docx", "A 16463-2025")</f>
        <v/>
      </c>
      <c r="X150">
        <f>HYPERLINK("https://klasma.github.io/Logging_2462/tillsyn/A 16463-2025 tillsynsbegäran.docx", "A 16463-2025")</f>
        <v/>
      </c>
      <c r="Y150">
        <f>HYPERLINK("https://klasma.github.io/Logging_2462/tillsynsmail/A 16463-2025 tillsynsbegäran mail.docx", "A 16463-2025")</f>
        <v/>
      </c>
      <c r="Z150">
        <f>HYPERLINK("https://klasma.github.io/Logging_2462/fåglar/A 16463-2025 prioriterade fågelarter.docx", "A 16463-2025")</f>
        <v/>
      </c>
    </row>
    <row r="151" ht="15" customHeight="1">
      <c r="A151" t="inlineStr">
        <is>
          <t>A 23403-2026</t>
        </is>
      </c>
      <c r="B151" s="1" t="n">
        <v>46162</v>
      </c>
      <c r="C151" s="1" t="n">
        <v>46193</v>
      </c>
      <c r="D151" t="inlineStr">
        <is>
          <t>VÄSTERBOTTENS LÄN</t>
        </is>
      </c>
      <c r="E151" t="inlineStr">
        <is>
          <t>VILHELMINA</t>
        </is>
      </c>
      <c r="G151" t="n">
        <v>9.1</v>
      </c>
      <c r="H151" t="n">
        <v>1</v>
      </c>
      <c r="I151" t="n">
        <v>0</v>
      </c>
      <c r="J151" t="n">
        <v>0</v>
      </c>
      <c r="K151" t="n">
        <v>1</v>
      </c>
      <c r="L151" t="n">
        <v>0</v>
      </c>
      <c r="M151" t="n">
        <v>0</v>
      </c>
      <c r="N151" t="n">
        <v>0</v>
      </c>
      <c r="O151" t="n">
        <v>1</v>
      </c>
      <c r="P151" t="n">
        <v>1</v>
      </c>
      <c r="Q151" t="n">
        <v>2</v>
      </c>
      <c r="R151" s="2" t="inlineStr">
        <is>
          <t>Garnlav
Fläcknycklar</t>
        </is>
      </c>
      <c r="S151">
        <f>HYPERLINK("https://klasma.github.io/Logging_2462/artfynd/A 23403-2026 artfynd.xlsx", "A 23403-2026")</f>
        <v/>
      </c>
      <c r="T151">
        <f>HYPERLINK("https://klasma.github.io/Logging_2462/kartor/A 23403-2026 karta.png", "A 23403-2026")</f>
        <v/>
      </c>
      <c r="V151">
        <f>HYPERLINK("https://klasma.github.io/Logging_2462/klagomål/A 23403-2026 FSC-klagomål.docx", "A 23403-2026")</f>
        <v/>
      </c>
      <c r="W151">
        <f>HYPERLINK("https://klasma.github.io/Logging_2462/klagomålsmail/A 23403-2026 FSC-klagomål mail.docx", "A 23403-2026")</f>
        <v/>
      </c>
      <c r="X151">
        <f>HYPERLINK("https://klasma.github.io/Logging_2462/tillsyn/A 23403-2026 tillsynsbegäran.docx", "A 23403-2026")</f>
        <v/>
      </c>
      <c r="Y151">
        <f>HYPERLINK("https://klasma.github.io/Logging_2462/tillsynsmail/A 23403-2026 tillsynsbegäran mail.docx", "A 23403-2026")</f>
        <v/>
      </c>
    </row>
    <row r="152" ht="15" customHeight="1">
      <c r="A152" t="inlineStr">
        <is>
          <t>A 66259-2021</t>
        </is>
      </c>
      <c r="B152" s="1" t="n">
        <v>44518</v>
      </c>
      <c r="C152" s="1" t="n">
        <v>46193</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46193</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46391-2024</t>
        </is>
      </c>
      <c r="B154" s="1" t="n">
        <v>45582</v>
      </c>
      <c r="C154" s="1" t="n">
        <v>46193</v>
      </c>
      <c r="D154" t="inlineStr">
        <is>
          <t>VÄSTERBOTTENS LÄN</t>
        </is>
      </c>
      <c r="E154" t="inlineStr">
        <is>
          <t>VILHELMINA</t>
        </is>
      </c>
      <c r="F154" t="inlineStr">
        <is>
          <t>SCA</t>
        </is>
      </c>
      <c r="G154" t="n">
        <v>23.4</v>
      </c>
      <c r="H154" t="n">
        <v>0</v>
      </c>
      <c r="I154" t="n">
        <v>0</v>
      </c>
      <c r="J154" t="n">
        <v>0</v>
      </c>
      <c r="K154" t="n">
        <v>1</v>
      </c>
      <c r="L154" t="n">
        <v>0</v>
      </c>
      <c r="M154" t="n">
        <v>0</v>
      </c>
      <c r="N154" t="n">
        <v>0</v>
      </c>
      <c r="O154" t="n">
        <v>1</v>
      </c>
      <c r="P154" t="n">
        <v>1</v>
      </c>
      <c r="Q154" t="n">
        <v>1</v>
      </c>
      <c r="R154" s="2" t="inlineStr">
        <is>
          <t>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37514-2024</t>
        </is>
      </c>
      <c r="B155" s="1" t="n">
        <v>45541</v>
      </c>
      <c r="C155" s="1" t="n">
        <v>46193</v>
      </c>
      <c r="D155" t="inlineStr">
        <is>
          <t>VÄSTERBOTTENS LÄN</t>
        </is>
      </c>
      <c r="E155" t="inlineStr">
        <is>
          <t>VILHELMINA</t>
        </is>
      </c>
      <c r="F155" t="inlineStr">
        <is>
          <t>SCA</t>
        </is>
      </c>
      <c r="G155" t="n">
        <v>1.4</v>
      </c>
      <c r="H155" t="n">
        <v>0</v>
      </c>
      <c r="I155" t="n">
        <v>0</v>
      </c>
      <c r="J155" t="n">
        <v>1</v>
      </c>
      <c r="K155" t="n">
        <v>0</v>
      </c>
      <c r="L155" t="n">
        <v>0</v>
      </c>
      <c r="M155" t="n">
        <v>0</v>
      </c>
      <c r="N155" t="n">
        <v>0</v>
      </c>
      <c r="O155" t="n">
        <v>1</v>
      </c>
      <c r="P155" t="n">
        <v>0</v>
      </c>
      <c r="Q155" t="n">
        <v>1</v>
      </c>
      <c r="R155" s="2" t="inlineStr">
        <is>
          <t>Rosenticka</t>
        </is>
      </c>
      <c r="S155">
        <f>HYPERLINK("https://klasma.github.io/Logging_2462/artfynd/A 37514-2024 artfynd.xlsx", "A 37514-2024")</f>
        <v/>
      </c>
      <c r="T155">
        <f>HYPERLINK("https://klasma.github.io/Logging_2462/kartor/A 37514-2024 karta.png", "A 37514-2024")</f>
        <v/>
      </c>
      <c r="V155">
        <f>HYPERLINK("https://klasma.github.io/Logging_2462/klagomål/A 37514-2024 FSC-klagomål.docx", "A 37514-2024")</f>
        <v/>
      </c>
      <c r="W155">
        <f>HYPERLINK("https://klasma.github.io/Logging_2462/klagomålsmail/A 37514-2024 FSC-klagomål mail.docx", "A 37514-2024")</f>
        <v/>
      </c>
      <c r="X155">
        <f>HYPERLINK("https://klasma.github.io/Logging_2462/tillsyn/A 37514-2024 tillsynsbegäran.docx", "A 37514-2024")</f>
        <v/>
      </c>
      <c r="Y155">
        <f>HYPERLINK("https://klasma.github.io/Logging_2462/tillsynsmail/A 37514-2024 tillsynsbegäran mail.docx", "A 37514-2024")</f>
        <v/>
      </c>
    </row>
    <row r="156" ht="15" customHeight="1">
      <c r="A156" t="inlineStr">
        <is>
          <t>A 60369-2021</t>
        </is>
      </c>
      <c r="B156" s="1" t="n">
        <v>44494</v>
      </c>
      <c r="C156" s="1" t="n">
        <v>46193</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33349-2023</t>
        </is>
      </c>
      <c r="B157" s="1" t="n">
        <v>45117</v>
      </c>
      <c r="C157" s="1" t="n">
        <v>46193</v>
      </c>
      <c r="D157" t="inlineStr">
        <is>
          <t>VÄSTERBOTTENS LÄN</t>
        </is>
      </c>
      <c r="E157" t="inlineStr">
        <is>
          <t>VILHELMINA</t>
        </is>
      </c>
      <c r="G157" t="n">
        <v>1.3</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33349-2023 artfynd.xlsx", "A 33349-2023")</f>
        <v/>
      </c>
      <c r="T157">
        <f>HYPERLINK("https://klasma.github.io/Logging_2462/kartor/A 33349-2023 karta.png", "A 33349-2023")</f>
        <v/>
      </c>
      <c r="V157">
        <f>HYPERLINK("https://klasma.github.io/Logging_2462/klagomål/A 33349-2023 FSC-klagomål.docx", "A 33349-2023")</f>
        <v/>
      </c>
      <c r="W157">
        <f>HYPERLINK("https://klasma.github.io/Logging_2462/klagomålsmail/A 33349-2023 FSC-klagomål mail.docx", "A 33349-2023")</f>
        <v/>
      </c>
      <c r="X157">
        <f>HYPERLINK("https://klasma.github.io/Logging_2462/tillsyn/A 33349-2023 tillsynsbegäran.docx", "A 33349-2023")</f>
        <v/>
      </c>
      <c r="Y157">
        <f>HYPERLINK("https://klasma.github.io/Logging_2462/tillsynsmail/A 33349-2023 tillsynsbegäran mail.docx", "A 33349-2023")</f>
        <v/>
      </c>
      <c r="Z157">
        <f>HYPERLINK("https://klasma.github.io/Logging_2462/fåglar/A 33349-2023 prioriterade fågelarter.docx", "A 33349-2023")</f>
        <v/>
      </c>
    </row>
    <row r="158" ht="15" customHeight="1">
      <c r="A158" t="inlineStr">
        <is>
          <t>A 15050-2024</t>
        </is>
      </c>
      <c r="B158" s="1" t="n">
        <v>45399</v>
      </c>
      <c r="C158" s="1" t="n">
        <v>46193</v>
      </c>
      <c r="D158" t="inlineStr">
        <is>
          <t>VÄSTERBOTTENS LÄN</t>
        </is>
      </c>
      <c r="E158" t="inlineStr">
        <is>
          <t>VILHELMINA</t>
        </is>
      </c>
      <c r="F158" t="inlineStr">
        <is>
          <t>SCA</t>
        </is>
      </c>
      <c r="G158" t="n">
        <v>0.5</v>
      </c>
      <c r="H158" t="n">
        <v>0</v>
      </c>
      <c r="I158" t="n">
        <v>0</v>
      </c>
      <c r="J158" t="n">
        <v>0</v>
      </c>
      <c r="K158" t="n">
        <v>1</v>
      </c>
      <c r="L158" t="n">
        <v>0</v>
      </c>
      <c r="M158" t="n">
        <v>0</v>
      </c>
      <c r="N158" t="n">
        <v>0</v>
      </c>
      <c r="O158" t="n">
        <v>1</v>
      </c>
      <c r="P158" t="n">
        <v>1</v>
      </c>
      <c r="Q158" t="n">
        <v>1</v>
      </c>
      <c r="R158" s="2" t="inlineStr">
        <is>
          <t>Garnlav</t>
        </is>
      </c>
      <c r="S158">
        <f>HYPERLINK("https://klasma.github.io/Logging_2462/artfynd/A 15050-2024 artfynd.xlsx", "A 15050-2024")</f>
        <v/>
      </c>
      <c r="T158">
        <f>HYPERLINK("https://klasma.github.io/Logging_2462/kartor/A 15050-2024 karta.png", "A 15050-2024")</f>
        <v/>
      </c>
      <c r="V158">
        <f>HYPERLINK("https://klasma.github.io/Logging_2462/klagomål/A 15050-2024 FSC-klagomål.docx", "A 15050-2024")</f>
        <v/>
      </c>
      <c r="W158">
        <f>HYPERLINK("https://klasma.github.io/Logging_2462/klagomålsmail/A 15050-2024 FSC-klagomål mail.docx", "A 15050-2024")</f>
        <v/>
      </c>
      <c r="X158">
        <f>HYPERLINK("https://klasma.github.io/Logging_2462/tillsyn/A 15050-2024 tillsynsbegäran.docx", "A 15050-2024")</f>
        <v/>
      </c>
      <c r="Y158">
        <f>HYPERLINK("https://klasma.github.io/Logging_2462/tillsynsmail/A 15050-2024 tillsynsbegäran mail.docx", "A 15050-2024")</f>
        <v/>
      </c>
    </row>
    <row r="159" ht="15" customHeight="1">
      <c r="A159" t="inlineStr">
        <is>
          <t>A 33913-2024</t>
        </is>
      </c>
      <c r="B159" s="1" t="n">
        <v>45523</v>
      </c>
      <c r="C159" s="1" t="n">
        <v>46193</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29954-2023</t>
        </is>
      </c>
      <c r="B160" s="1" t="n">
        <v>45107</v>
      </c>
      <c r="C160" s="1" t="n">
        <v>46193</v>
      </c>
      <c r="D160" t="inlineStr">
        <is>
          <t>VÄSTERBOTTENS LÄN</t>
        </is>
      </c>
      <c r="E160" t="inlineStr">
        <is>
          <t>VILHELMINA</t>
        </is>
      </c>
      <c r="F160" t="inlineStr">
        <is>
          <t>SCA</t>
        </is>
      </c>
      <c r="G160" t="n">
        <v>2.7</v>
      </c>
      <c r="H160" t="n">
        <v>1</v>
      </c>
      <c r="I160" t="n">
        <v>0</v>
      </c>
      <c r="J160" t="n">
        <v>0</v>
      </c>
      <c r="K160" t="n">
        <v>0</v>
      </c>
      <c r="L160" t="n">
        <v>0</v>
      </c>
      <c r="M160" t="n">
        <v>0</v>
      </c>
      <c r="N160" t="n">
        <v>0</v>
      </c>
      <c r="O160" t="n">
        <v>0</v>
      </c>
      <c r="P160" t="n">
        <v>0</v>
      </c>
      <c r="Q160" t="n">
        <v>1</v>
      </c>
      <c r="R160" s="2" t="inlineStr">
        <is>
          <t>Trana</t>
        </is>
      </c>
      <c r="S160">
        <f>HYPERLINK("https://klasma.github.io/Logging_2462/artfynd/A 29954-2023 artfynd.xlsx", "A 29954-2023")</f>
        <v/>
      </c>
      <c r="T160">
        <f>HYPERLINK("https://klasma.github.io/Logging_2462/kartor/A 29954-2023 karta.png", "A 29954-2023")</f>
        <v/>
      </c>
      <c r="V160">
        <f>HYPERLINK("https://klasma.github.io/Logging_2462/klagomål/A 29954-2023 FSC-klagomål.docx", "A 29954-2023")</f>
        <v/>
      </c>
      <c r="W160">
        <f>HYPERLINK("https://klasma.github.io/Logging_2462/klagomålsmail/A 29954-2023 FSC-klagomål mail.docx", "A 29954-2023")</f>
        <v/>
      </c>
      <c r="X160">
        <f>HYPERLINK("https://klasma.github.io/Logging_2462/tillsyn/A 29954-2023 tillsynsbegäran.docx", "A 29954-2023")</f>
        <v/>
      </c>
      <c r="Y160">
        <f>HYPERLINK("https://klasma.github.io/Logging_2462/tillsynsmail/A 29954-2023 tillsynsbegäran mail.docx", "A 29954-2023")</f>
        <v/>
      </c>
      <c r="Z160">
        <f>HYPERLINK("https://klasma.github.io/Logging_2462/fåglar/A 29954-2023 prioriterade fågelarter.docx", "A 29954-2023")</f>
        <v/>
      </c>
    </row>
    <row r="161" ht="15" customHeight="1">
      <c r="A161" t="inlineStr">
        <is>
          <t>A 44286-2024</t>
        </is>
      </c>
      <c r="B161" s="1" t="n">
        <v>45573</v>
      </c>
      <c r="C161" s="1" t="n">
        <v>46193</v>
      </c>
      <c r="D161" t="inlineStr">
        <is>
          <t>VÄSTERBOTTENS LÄN</t>
        </is>
      </c>
      <c r="E161" t="inlineStr">
        <is>
          <t>VILHELMINA</t>
        </is>
      </c>
      <c r="G161" t="n">
        <v>29.2</v>
      </c>
      <c r="H161" t="n">
        <v>1</v>
      </c>
      <c r="I161" t="n">
        <v>0</v>
      </c>
      <c r="J161" t="n">
        <v>0</v>
      </c>
      <c r="K161" t="n">
        <v>0</v>
      </c>
      <c r="L161" t="n">
        <v>0</v>
      </c>
      <c r="M161" t="n">
        <v>0</v>
      </c>
      <c r="N161" t="n">
        <v>0</v>
      </c>
      <c r="O161" t="n">
        <v>0</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48424-2023</t>
        </is>
      </c>
      <c r="B162" s="1" t="n">
        <v>45205</v>
      </c>
      <c r="C162" s="1" t="n">
        <v>46193</v>
      </c>
      <c r="D162" t="inlineStr">
        <is>
          <t>VÄSTERBOTTENS LÄN</t>
        </is>
      </c>
      <c r="E162" t="inlineStr">
        <is>
          <t>VILHELMINA</t>
        </is>
      </c>
      <c r="F162" t="inlineStr">
        <is>
          <t>SCA</t>
        </is>
      </c>
      <c r="G162" t="n">
        <v>3.5</v>
      </c>
      <c r="H162" t="n">
        <v>0</v>
      </c>
      <c r="I162" t="n">
        <v>0</v>
      </c>
      <c r="J162" t="n">
        <v>1</v>
      </c>
      <c r="K162" t="n">
        <v>0</v>
      </c>
      <c r="L162" t="n">
        <v>0</v>
      </c>
      <c r="M162" t="n">
        <v>0</v>
      </c>
      <c r="N162" t="n">
        <v>0</v>
      </c>
      <c r="O162" t="n">
        <v>1</v>
      </c>
      <c r="P162" t="n">
        <v>0</v>
      </c>
      <c r="Q162" t="n">
        <v>1</v>
      </c>
      <c r="R162" s="2" t="inlineStr">
        <is>
          <t>Gammelgransskål</t>
        </is>
      </c>
      <c r="S162">
        <f>HYPERLINK("https://klasma.github.io/Logging_2462/artfynd/A 48424-2023 artfynd.xlsx", "A 48424-2023")</f>
        <v/>
      </c>
      <c r="T162">
        <f>HYPERLINK("https://klasma.github.io/Logging_2462/kartor/A 48424-2023 karta.png", "A 48424-2023")</f>
        <v/>
      </c>
      <c r="V162">
        <f>HYPERLINK("https://klasma.github.io/Logging_2462/klagomål/A 48424-2023 FSC-klagomål.docx", "A 48424-2023")</f>
        <v/>
      </c>
      <c r="W162">
        <f>HYPERLINK("https://klasma.github.io/Logging_2462/klagomålsmail/A 48424-2023 FSC-klagomål mail.docx", "A 48424-2023")</f>
        <v/>
      </c>
      <c r="X162">
        <f>HYPERLINK("https://klasma.github.io/Logging_2462/tillsyn/A 48424-2023 tillsynsbegäran.docx", "A 48424-2023")</f>
        <v/>
      </c>
      <c r="Y162">
        <f>HYPERLINK("https://klasma.github.io/Logging_2462/tillsynsmail/A 48424-2023 tillsynsbegäran mail.docx", "A 48424-2023")</f>
        <v/>
      </c>
    </row>
    <row r="163" ht="15" customHeight="1">
      <c r="A163" t="inlineStr">
        <is>
          <t>A 25971-2026</t>
        </is>
      </c>
      <c r="B163" s="1" t="n">
        <v>46181</v>
      </c>
      <c r="C163" s="1" t="n">
        <v>46193</v>
      </c>
      <c r="D163" t="inlineStr">
        <is>
          <t>VÄSTERBOTTENS LÄN</t>
        </is>
      </c>
      <c r="E163" t="inlineStr">
        <is>
          <t>VILHELMINA</t>
        </is>
      </c>
      <c r="F163" t="inlineStr">
        <is>
          <t>SCA</t>
        </is>
      </c>
      <c r="G163" t="n">
        <v>1.7</v>
      </c>
      <c r="H163" t="n">
        <v>0</v>
      </c>
      <c r="I163" t="n">
        <v>0</v>
      </c>
      <c r="J163" t="n">
        <v>1</v>
      </c>
      <c r="K163" t="n">
        <v>0</v>
      </c>
      <c r="L163" t="n">
        <v>0</v>
      </c>
      <c r="M163" t="n">
        <v>0</v>
      </c>
      <c r="N163" t="n">
        <v>0</v>
      </c>
      <c r="O163" t="n">
        <v>1</v>
      </c>
      <c r="P163" t="n">
        <v>0</v>
      </c>
      <c r="Q163" t="n">
        <v>1</v>
      </c>
      <c r="R163" s="2" t="inlineStr">
        <is>
          <t>Rosenticka</t>
        </is>
      </c>
      <c r="S163">
        <f>HYPERLINK("https://klasma.github.io/Logging_2462/artfynd/A 25971-2026 artfynd.xlsx", "A 25971-2026")</f>
        <v/>
      </c>
      <c r="T163">
        <f>HYPERLINK("https://klasma.github.io/Logging_2462/kartor/A 25971-2026 karta.png", "A 25971-2026")</f>
        <v/>
      </c>
      <c r="V163">
        <f>HYPERLINK("https://klasma.github.io/Logging_2462/klagomål/A 25971-2026 FSC-klagomål.docx", "A 25971-2026")</f>
        <v/>
      </c>
      <c r="W163">
        <f>HYPERLINK("https://klasma.github.io/Logging_2462/klagomålsmail/A 25971-2026 FSC-klagomål mail.docx", "A 25971-2026")</f>
        <v/>
      </c>
      <c r="X163">
        <f>HYPERLINK("https://klasma.github.io/Logging_2462/tillsyn/A 25971-2026 tillsynsbegäran.docx", "A 25971-2026")</f>
        <v/>
      </c>
      <c r="Y163">
        <f>HYPERLINK("https://klasma.github.io/Logging_2462/tillsynsmail/A 25971-2026 tillsynsbegäran mail.docx", "A 25971-2026")</f>
        <v/>
      </c>
    </row>
    <row r="164" ht="15" customHeight="1">
      <c r="A164" t="inlineStr">
        <is>
          <t>A 60549-2022</t>
        </is>
      </c>
      <c r="B164" s="1" t="n">
        <v>44911</v>
      </c>
      <c r="C164" s="1" t="n">
        <v>46193</v>
      </c>
      <c r="D164" t="inlineStr">
        <is>
          <t>VÄSTERBOTTENS LÄN</t>
        </is>
      </c>
      <c r="E164" t="inlineStr">
        <is>
          <t>VILHELMINA</t>
        </is>
      </c>
      <c r="G164" t="n">
        <v>3.8</v>
      </c>
      <c r="H164" t="n">
        <v>1</v>
      </c>
      <c r="I164" t="n">
        <v>0</v>
      </c>
      <c r="J164" t="n">
        <v>0</v>
      </c>
      <c r="K164" t="n">
        <v>0</v>
      </c>
      <c r="L164" t="n">
        <v>0</v>
      </c>
      <c r="M164" t="n">
        <v>0</v>
      </c>
      <c r="N164" t="n">
        <v>0</v>
      </c>
      <c r="O164" t="n">
        <v>0</v>
      </c>
      <c r="P164" t="n">
        <v>0</v>
      </c>
      <c r="Q164" t="n">
        <v>1</v>
      </c>
      <c r="R164" s="2" t="inlineStr">
        <is>
          <t>Orre</t>
        </is>
      </c>
      <c r="S164">
        <f>HYPERLINK("https://klasma.github.io/Logging_2462/artfynd/A 60549-2022 artfynd.xlsx", "A 60549-2022")</f>
        <v/>
      </c>
      <c r="T164">
        <f>HYPERLINK("https://klasma.github.io/Logging_2462/kartor/A 60549-2022 karta.png", "A 60549-2022")</f>
        <v/>
      </c>
      <c r="V164">
        <f>HYPERLINK("https://klasma.github.io/Logging_2462/klagomål/A 60549-2022 FSC-klagomål.docx", "A 60549-2022")</f>
        <v/>
      </c>
      <c r="W164">
        <f>HYPERLINK("https://klasma.github.io/Logging_2462/klagomålsmail/A 60549-2022 FSC-klagomål mail.docx", "A 60549-2022")</f>
        <v/>
      </c>
      <c r="X164">
        <f>HYPERLINK("https://klasma.github.io/Logging_2462/tillsyn/A 60549-2022 tillsynsbegäran.docx", "A 60549-2022")</f>
        <v/>
      </c>
      <c r="Y164">
        <f>HYPERLINK("https://klasma.github.io/Logging_2462/tillsynsmail/A 60549-2022 tillsynsbegäran mail.docx", "A 60549-2022")</f>
        <v/>
      </c>
      <c r="Z164">
        <f>HYPERLINK("https://klasma.github.io/Logging_2462/fåglar/A 60549-2022 prioriterade fågelarter.docx", "A 60549-2022")</f>
        <v/>
      </c>
    </row>
    <row r="165" ht="15" customHeight="1">
      <c r="A165" t="inlineStr">
        <is>
          <t>A 48651-2025</t>
        </is>
      </c>
      <c r="B165" s="1" t="n">
        <v>45936</v>
      </c>
      <c r="C165" s="1" t="n">
        <v>46193</v>
      </c>
      <c r="D165" t="inlineStr">
        <is>
          <t>VÄSTERBOTTENS LÄN</t>
        </is>
      </c>
      <c r="E165" t="inlineStr">
        <is>
          <t>VILHELMINA</t>
        </is>
      </c>
      <c r="F165" t="inlineStr">
        <is>
          <t>SCA</t>
        </is>
      </c>
      <c r="G165" t="n">
        <v>2.2</v>
      </c>
      <c r="H165" t="n">
        <v>1</v>
      </c>
      <c r="I165" t="n">
        <v>0</v>
      </c>
      <c r="J165" t="n">
        <v>0</v>
      </c>
      <c r="K165" t="n">
        <v>0</v>
      </c>
      <c r="L165" t="n">
        <v>0</v>
      </c>
      <c r="M165" t="n">
        <v>0</v>
      </c>
      <c r="N165" t="n">
        <v>0</v>
      </c>
      <c r="O165" t="n">
        <v>0</v>
      </c>
      <c r="P165" t="n">
        <v>0</v>
      </c>
      <c r="Q165" t="n">
        <v>1</v>
      </c>
      <c r="R165" s="2" t="inlineStr">
        <is>
          <t>Orre</t>
        </is>
      </c>
      <c r="S165">
        <f>HYPERLINK("https://klasma.github.io/Logging_2462/artfynd/A 48651-2025 artfynd.xlsx", "A 48651-2025")</f>
        <v/>
      </c>
      <c r="T165">
        <f>HYPERLINK("https://klasma.github.io/Logging_2462/kartor/A 48651-2025 karta.png", "A 48651-2025")</f>
        <v/>
      </c>
      <c r="V165">
        <f>HYPERLINK("https://klasma.github.io/Logging_2462/klagomål/A 48651-2025 FSC-klagomål.docx", "A 48651-2025")</f>
        <v/>
      </c>
      <c r="W165">
        <f>HYPERLINK("https://klasma.github.io/Logging_2462/klagomålsmail/A 48651-2025 FSC-klagomål mail.docx", "A 48651-2025")</f>
        <v/>
      </c>
      <c r="X165">
        <f>HYPERLINK("https://klasma.github.io/Logging_2462/tillsyn/A 48651-2025 tillsynsbegäran.docx", "A 48651-2025")</f>
        <v/>
      </c>
      <c r="Y165">
        <f>HYPERLINK("https://klasma.github.io/Logging_2462/tillsynsmail/A 48651-2025 tillsynsbegäran mail.docx", "A 48651-2025")</f>
        <v/>
      </c>
      <c r="Z165">
        <f>HYPERLINK("https://klasma.github.io/Logging_2462/fåglar/A 48651-2025 prioriterade fågelarter.docx", "A 48651-2025")</f>
        <v/>
      </c>
    </row>
    <row r="166" ht="15" customHeight="1">
      <c r="A166" t="inlineStr">
        <is>
          <t>A 48088-2024</t>
        </is>
      </c>
      <c r="B166" s="1" t="n">
        <v>45589</v>
      </c>
      <c r="C166" s="1" t="n">
        <v>46193</v>
      </c>
      <c r="D166" t="inlineStr">
        <is>
          <t>VÄSTERBOTTENS LÄN</t>
        </is>
      </c>
      <c r="E166" t="inlineStr">
        <is>
          <t>VILHELMINA</t>
        </is>
      </c>
      <c r="F166" t="inlineStr">
        <is>
          <t>SCA</t>
        </is>
      </c>
      <c r="G166" t="n">
        <v>6.9</v>
      </c>
      <c r="H166" t="n">
        <v>0</v>
      </c>
      <c r="I166" t="n">
        <v>0</v>
      </c>
      <c r="J166" t="n">
        <v>0</v>
      </c>
      <c r="K166" t="n">
        <v>1</v>
      </c>
      <c r="L166" t="n">
        <v>0</v>
      </c>
      <c r="M166" t="n">
        <v>0</v>
      </c>
      <c r="N166" t="n">
        <v>0</v>
      </c>
      <c r="O166" t="n">
        <v>1</v>
      </c>
      <c r="P166" t="n">
        <v>1</v>
      </c>
      <c r="Q166" t="n">
        <v>1</v>
      </c>
      <c r="R166" s="2" t="inlineStr">
        <is>
          <t>Ostticka</t>
        </is>
      </c>
      <c r="S166">
        <f>HYPERLINK("https://klasma.github.io/Logging_2462/artfynd/A 48088-2024 artfynd.xlsx", "A 48088-2024")</f>
        <v/>
      </c>
      <c r="T166">
        <f>HYPERLINK("https://klasma.github.io/Logging_2462/kartor/A 48088-2024 karta.png", "A 48088-2024")</f>
        <v/>
      </c>
      <c r="V166">
        <f>HYPERLINK("https://klasma.github.io/Logging_2462/klagomål/A 48088-2024 FSC-klagomål.docx", "A 48088-2024")</f>
        <v/>
      </c>
      <c r="W166">
        <f>HYPERLINK("https://klasma.github.io/Logging_2462/klagomålsmail/A 48088-2024 FSC-klagomål mail.docx", "A 48088-2024")</f>
        <v/>
      </c>
      <c r="X166">
        <f>HYPERLINK("https://klasma.github.io/Logging_2462/tillsyn/A 48088-2024 tillsynsbegäran.docx", "A 48088-2024")</f>
        <v/>
      </c>
      <c r="Y166">
        <f>HYPERLINK("https://klasma.github.io/Logging_2462/tillsynsmail/A 48088-2024 tillsynsbegäran mail.docx", "A 48088-2024")</f>
        <v/>
      </c>
    </row>
    <row r="167" ht="15" customHeight="1">
      <c r="A167" t="inlineStr">
        <is>
          <t>A 23487-2026</t>
        </is>
      </c>
      <c r="B167" s="1" t="n">
        <v>46163</v>
      </c>
      <c r="C167" s="1" t="n">
        <v>46193</v>
      </c>
      <c r="D167" t="inlineStr">
        <is>
          <t>VÄSTERBOTTENS LÄN</t>
        </is>
      </c>
      <c r="E167" t="inlineStr">
        <is>
          <t>VILHELMINA</t>
        </is>
      </c>
      <c r="G167" t="n">
        <v>9.300000000000001</v>
      </c>
      <c r="H167" t="n">
        <v>0</v>
      </c>
      <c r="I167" t="n">
        <v>0</v>
      </c>
      <c r="J167" t="n">
        <v>1</v>
      </c>
      <c r="K167" t="n">
        <v>0</v>
      </c>
      <c r="L167" t="n">
        <v>0</v>
      </c>
      <c r="M167" t="n">
        <v>0</v>
      </c>
      <c r="N167" t="n">
        <v>0</v>
      </c>
      <c r="O167" t="n">
        <v>1</v>
      </c>
      <c r="P167" t="n">
        <v>0</v>
      </c>
      <c r="Q167" t="n">
        <v>1</v>
      </c>
      <c r="R167" s="2" t="inlineStr">
        <is>
          <t>Ladlav</t>
        </is>
      </c>
      <c r="S167">
        <f>HYPERLINK("https://klasma.github.io/Logging_2462/artfynd/A 23487-2026 artfynd.xlsx", "A 23487-2026")</f>
        <v/>
      </c>
      <c r="T167">
        <f>HYPERLINK("https://klasma.github.io/Logging_2462/kartor/A 23487-2026 karta.png", "A 23487-2026")</f>
        <v/>
      </c>
      <c r="V167">
        <f>HYPERLINK("https://klasma.github.io/Logging_2462/klagomål/A 23487-2026 FSC-klagomål.docx", "A 23487-2026")</f>
        <v/>
      </c>
      <c r="W167">
        <f>HYPERLINK("https://klasma.github.io/Logging_2462/klagomålsmail/A 23487-2026 FSC-klagomål mail.docx", "A 23487-2026")</f>
        <v/>
      </c>
      <c r="X167">
        <f>HYPERLINK("https://klasma.github.io/Logging_2462/tillsyn/A 23487-2026 tillsynsbegäran.docx", "A 23487-2026")</f>
        <v/>
      </c>
      <c r="Y167">
        <f>HYPERLINK("https://klasma.github.io/Logging_2462/tillsynsmail/A 23487-2026 tillsynsbegäran mail.docx", "A 23487-2026")</f>
        <v/>
      </c>
    </row>
    <row r="168" ht="15" customHeight="1">
      <c r="A168" t="inlineStr">
        <is>
          <t>A 25977-2025</t>
        </is>
      </c>
      <c r="B168" s="1" t="n">
        <v>45804</v>
      </c>
      <c r="C168" s="1" t="n">
        <v>46193</v>
      </c>
      <c r="D168" t="inlineStr">
        <is>
          <t>VÄSTERBOTTENS LÄN</t>
        </is>
      </c>
      <c r="E168" t="inlineStr">
        <is>
          <t>VILHELMINA</t>
        </is>
      </c>
      <c r="F168" t="inlineStr">
        <is>
          <t>SCA</t>
        </is>
      </c>
      <c r="G168" t="n">
        <v>6.2</v>
      </c>
      <c r="H168" t="n">
        <v>0</v>
      </c>
      <c r="I168" t="n">
        <v>0</v>
      </c>
      <c r="J168" t="n">
        <v>1</v>
      </c>
      <c r="K168" t="n">
        <v>0</v>
      </c>
      <c r="L168" t="n">
        <v>0</v>
      </c>
      <c r="M168" t="n">
        <v>0</v>
      </c>
      <c r="N168" t="n">
        <v>0</v>
      </c>
      <c r="O168" t="n">
        <v>1</v>
      </c>
      <c r="P168" t="n">
        <v>0</v>
      </c>
      <c r="Q168" t="n">
        <v>1</v>
      </c>
      <c r="R168" s="2" t="inlineStr">
        <is>
          <t>Rosenticka</t>
        </is>
      </c>
      <c r="S168">
        <f>HYPERLINK("https://klasma.github.io/Logging_2462/artfynd/A 25977-2025 artfynd.xlsx", "A 25977-2025")</f>
        <v/>
      </c>
      <c r="T168">
        <f>HYPERLINK("https://klasma.github.io/Logging_2462/kartor/A 25977-2025 karta.png", "A 25977-2025")</f>
        <v/>
      </c>
      <c r="V168">
        <f>HYPERLINK("https://klasma.github.io/Logging_2462/klagomål/A 25977-2025 FSC-klagomål.docx", "A 25977-2025")</f>
        <v/>
      </c>
      <c r="W168">
        <f>HYPERLINK("https://klasma.github.io/Logging_2462/klagomålsmail/A 25977-2025 FSC-klagomål mail.docx", "A 25977-2025")</f>
        <v/>
      </c>
      <c r="X168">
        <f>HYPERLINK("https://klasma.github.io/Logging_2462/tillsyn/A 25977-2025 tillsynsbegäran.docx", "A 25977-2025")</f>
        <v/>
      </c>
      <c r="Y168">
        <f>HYPERLINK("https://klasma.github.io/Logging_2462/tillsynsmail/A 25977-2025 tillsynsbegäran mail.docx", "A 25977-2025")</f>
        <v/>
      </c>
    </row>
    <row r="169" ht="15" customHeight="1">
      <c r="A169" t="inlineStr">
        <is>
          <t>A 56247-2023</t>
        </is>
      </c>
      <c r="B169" s="1" t="n">
        <v>45240</v>
      </c>
      <c r="C169" s="1" t="n">
        <v>46193</v>
      </c>
      <c r="D169" t="inlineStr">
        <is>
          <t>VÄSTERBOTTENS LÄN</t>
        </is>
      </c>
      <c r="E169" t="inlineStr">
        <is>
          <t>VILHELMINA</t>
        </is>
      </c>
      <c r="F169" t="inlineStr">
        <is>
          <t>SCA</t>
        </is>
      </c>
      <c r="G169" t="n">
        <v>1.3</v>
      </c>
      <c r="H169" t="n">
        <v>0</v>
      </c>
      <c r="I169" t="n">
        <v>0</v>
      </c>
      <c r="J169" t="n">
        <v>1</v>
      </c>
      <c r="K169" t="n">
        <v>0</v>
      </c>
      <c r="L169" t="n">
        <v>0</v>
      </c>
      <c r="M169" t="n">
        <v>0</v>
      </c>
      <c r="N169" t="n">
        <v>0</v>
      </c>
      <c r="O169" t="n">
        <v>1</v>
      </c>
      <c r="P169" t="n">
        <v>0</v>
      </c>
      <c r="Q169" t="n">
        <v>1</v>
      </c>
      <c r="R169" s="2" t="inlineStr">
        <is>
          <t>Harticka</t>
        </is>
      </c>
      <c r="S169">
        <f>HYPERLINK("https://klasma.github.io/Logging_2462/artfynd/A 56247-2023 artfynd.xlsx", "A 56247-2023")</f>
        <v/>
      </c>
      <c r="T169">
        <f>HYPERLINK("https://klasma.github.io/Logging_2462/kartor/A 56247-2023 karta.png", "A 56247-2023")</f>
        <v/>
      </c>
      <c r="V169">
        <f>HYPERLINK("https://klasma.github.io/Logging_2462/klagomål/A 56247-2023 FSC-klagomål.docx", "A 56247-2023")</f>
        <v/>
      </c>
      <c r="W169">
        <f>HYPERLINK("https://klasma.github.io/Logging_2462/klagomålsmail/A 56247-2023 FSC-klagomål mail.docx", "A 56247-2023")</f>
        <v/>
      </c>
      <c r="X169">
        <f>HYPERLINK("https://klasma.github.io/Logging_2462/tillsyn/A 56247-2023 tillsynsbegäran.docx", "A 56247-2023")</f>
        <v/>
      </c>
      <c r="Y169">
        <f>HYPERLINK("https://klasma.github.io/Logging_2462/tillsynsmail/A 56247-2023 tillsynsbegäran mail.docx", "A 56247-2023")</f>
        <v/>
      </c>
    </row>
    <row r="170" ht="15" customHeight="1">
      <c r="A170" t="inlineStr">
        <is>
          <t>A 32683-2024</t>
        </is>
      </c>
      <c r="B170" s="1" t="n">
        <v>45515</v>
      </c>
      <c r="C170" s="1" t="n">
        <v>46193</v>
      </c>
      <c r="D170" t="inlineStr">
        <is>
          <t>VÄSTERBOTTENS LÄN</t>
        </is>
      </c>
      <c r="E170" t="inlineStr">
        <is>
          <t>VILHELMINA</t>
        </is>
      </c>
      <c r="G170" t="n">
        <v>6.1</v>
      </c>
      <c r="H170" t="n">
        <v>1</v>
      </c>
      <c r="I170" t="n">
        <v>0</v>
      </c>
      <c r="J170" t="n">
        <v>0</v>
      </c>
      <c r="K170" t="n">
        <v>0</v>
      </c>
      <c r="L170" t="n">
        <v>0</v>
      </c>
      <c r="M170" t="n">
        <v>0</v>
      </c>
      <c r="N170" t="n">
        <v>0</v>
      </c>
      <c r="O170" t="n">
        <v>0</v>
      </c>
      <c r="P170" t="n">
        <v>0</v>
      </c>
      <c r="Q170" t="n">
        <v>1</v>
      </c>
      <c r="R170" s="2" t="inlineStr">
        <is>
          <t>Spillkråka</t>
        </is>
      </c>
      <c r="S170">
        <f>HYPERLINK("https://klasma.github.io/Logging_2462/artfynd/A 32683-2024 artfynd.xlsx", "A 32683-2024")</f>
        <v/>
      </c>
      <c r="T170">
        <f>HYPERLINK("https://klasma.github.io/Logging_2462/kartor/A 32683-2024 karta.png", "A 32683-2024")</f>
        <v/>
      </c>
      <c r="V170">
        <f>HYPERLINK("https://klasma.github.io/Logging_2462/klagomål/A 32683-2024 FSC-klagomål.docx", "A 32683-2024")</f>
        <v/>
      </c>
      <c r="W170">
        <f>HYPERLINK("https://klasma.github.io/Logging_2462/klagomålsmail/A 32683-2024 FSC-klagomål mail.docx", "A 32683-2024")</f>
        <v/>
      </c>
      <c r="X170">
        <f>HYPERLINK("https://klasma.github.io/Logging_2462/tillsyn/A 32683-2024 tillsynsbegäran.docx", "A 32683-2024")</f>
        <v/>
      </c>
      <c r="Y170">
        <f>HYPERLINK("https://klasma.github.io/Logging_2462/tillsynsmail/A 32683-2024 tillsynsbegäran mail.docx", "A 32683-2024")</f>
        <v/>
      </c>
      <c r="Z170">
        <f>HYPERLINK("https://klasma.github.io/Logging_2462/fåglar/A 32683-2024 prioriterade fågelarter.docx", "A 32683-2024")</f>
        <v/>
      </c>
    </row>
    <row r="171" ht="15" customHeight="1">
      <c r="A171" t="inlineStr">
        <is>
          <t>A 34730-2024</t>
        </is>
      </c>
      <c r="B171" s="1" t="n">
        <v>45526</v>
      </c>
      <c r="C171" s="1" t="n">
        <v>46193</v>
      </c>
      <c r="D171" t="inlineStr">
        <is>
          <t>VÄSTERBOTTENS LÄN</t>
        </is>
      </c>
      <c r="E171" t="inlineStr">
        <is>
          <t>VILHELMINA</t>
        </is>
      </c>
      <c r="G171" t="n">
        <v>19.2</v>
      </c>
      <c r="H171" t="n">
        <v>0</v>
      </c>
      <c r="I171" t="n">
        <v>0</v>
      </c>
      <c r="J171" t="n">
        <v>1</v>
      </c>
      <c r="K171" t="n">
        <v>0</v>
      </c>
      <c r="L171" t="n">
        <v>0</v>
      </c>
      <c r="M171" t="n">
        <v>0</v>
      </c>
      <c r="N171" t="n">
        <v>0</v>
      </c>
      <c r="O171" t="n">
        <v>1</v>
      </c>
      <c r="P171" t="n">
        <v>0</v>
      </c>
      <c r="Q171" t="n">
        <v>1</v>
      </c>
      <c r="R171" s="2" t="inlineStr">
        <is>
          <t>Ullticka</t>
        </is>
      </c>
      <c r="S171">
        <f>HYPERLINK("https://klasma.github.io/Logging_2462/artfynd/A 34730-2024 artfynd.xlsx", "A 34730-2024")</f>
        <v/>
      </c>
      <c r="T171">
        <f>HYPERLINK("https://klasma.github.io/Logging_2462/kartor/A 34730-2024 karta.png", "A 34730-2024")</f>
        <v/>
      </c>
      <c r="V171">
        <f>HYPERLINK("https://klasma.github.io/Logging_2462/klagomål/A 34730-2024 FSC-klagomål.docx", "A 34730-2024")</f>
        <v/>
      </c>
      <c r="W171">
        <f>HYPERLINK("https://klasma.github.io/Logging_2462/klagomålsmail/A 34730-2024 FSC-klagomål mail.docx", "A 34730-2024")</f>
        <v/>
      </c>
      <c r="X171">
        <f>HYPERLINK("https://klasma.github.io/Logging_2462/tillsyn/A 34730-2024 tillsynsbegäran.docx", "A 34730-2024")</f>
        <v/>
      </c>
      <c r="Y171">
        <f>HYPERLINK("https://klasma.github.io/Logging_2462/tillsynsmail/A 34730-2024 tillsynsbegäran mail.docx", "A 34730-2024")</f>
        <v/>
      </c>
    </row>
    <row r="172" ht="15" customHeight="1">
      <c r="A172" t="inlineStr">
        <is>
          <t>A 55095-2025</t>
        </is>
      </c>
      <c r="B172" s="1" t="n">
        <v>45968</v>
      </c>
      <c r="C172" s="1" t="n">
        <v>46193</v>
      </c>
      <c r="D172" t="inlineStr">
        <is>
          <t>VÄSTERBOTTENS LÄN</t>
        </is>
      </c>
      <c r="E172" t="inlineStr">
        <is>
          <t>VILHELMINA</t>
        </is>
      </c>
      <c r="F172" t="inlineStr">
        <is>
          <t>SCA</t>
        </is>
      </c>
      <c r="G172" t="n">
        <v>8</v>
      </c>
      <c r="H172" t="n">
        <v>1</v>
      </c>
      <c r="I172" t="n">
        <v>0</v>
      </c>
      <c r="J172" t="n">
        <v>1</v>
      </c>
      <c r="K172" t="n">
        <v>0</v>
      </c>
      <c r="L172" t="n">
        <v>0</v>
      </c>
      <c r="M172" t="n">
        <v>0</v>
      </c>
      <c r="N172" t="n">
        <v>0</v>
      </c>
      <c r="O172" t="n">
        <v>1</v>
      </c>
      <c r="P172" t="n">
        <v>0</v>
      </c>
      <c r="Q172" t="n">
        <v>1</v>
      </c>
      <c r="R172" s="2" t="inlineStr">
        <is>
          <t>Lavskrika</t>
        </is>
      </c>
      <c r="S172">
        <f>HYPERLINK("https://klasma.github.io/Logging_2462/artfynd/A 55095-2025 artfynd.xlsx", "A 55095-2025")</f>
        <v/>
      </c>
      <c r="T172">
        <f>HYPERLINK("https://klasma.github.io/Logging_2462/kartor/A 55095-2025 karta.png", "A 55095-2025")</f>
        <v/>
      </c>
      <c r="V172">
        <f>HYPERLINK("https://klasma.github.io/Logging_2462/klagomål/A 55095-2025 FSC-klagomål.docx", "A 55095-2025")</f>
        <v/>
      </c>
      <c r="W172">
        <f>HYPERLINK("https://klasma.github.io/Logging_2462/klagomålsmail/A 55095-2025 FSC-klagomål mail.docx", "A 55095-2025")</f>
        <v/>
      </c>
      <c r="X172">
        <f>HYPERLINK("https://klasma.github.io/Logging_2462/tillsyn/A 55095-2025 tillsynsbegäran.docx", "A 55095-2025")</f>
        <v/>
      </c>
      <c r="Y172">
        <f>HYPERLINK("https://klasma.github.io/Logging_2462/tillsynsmail/A 55095-2025 tillsynsbegäran mail.docx", "A 55095-2025")</f>
        <v/>
      </c>
      <c r="Z172">
        <f>HYPERLINK("https://klasma.github.io/Logging_2462/fåglar/A 55095-2025 prioriterade fågelarter.docx", "A 55095-2025")</f>
        <v/>
      </c>
    </row>
    <row r="173" ht="15" customHeight="1">
      <c r="A173" t="inlineStr">
        <is>
          <t>A 13523-2025</t>
        </is>
      </c>
      <c r="B173" s="1" t="n">
        <v>45736</v>
      </c>
      <c r="C173" s="1" t="n">
        <v>46193</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HYPERLINK("https://klasma.github.io/Logging_2462/artfynd/A 13523-2025 artfynd.xlsx", "A 13523-2025")</f>
        <v/>
      </c>
      <c r="T173">
        <f>HYPERLINK("https://klasma.github.io/Logging_2462/kartor/A 13523-2025 karta.png", "A 13523-2025")</f>
        <v/>
      </c>
      <c r="V173">
        <f>HYPERLINK("https://klasma.github.io/Logging_2462/klagomål/A 13523-2025 FSC-klagomål.docx", "A 13523-2025")</f>
        <v/>
      </c>
      <c r="W173">
        <f>HYPERLINK("https://klasma.github.io/Logging_2462/klagomålsmail/A 13523-2025 FSC-klagomål mail.docx", "A 13523-2025")</f>
        <v/>
      </c>
      <c r="X173">
        <f>HYPERLINK("https://klasma.github.io/Logging_2462/tillsyn/A 13523-2025 tillsynsbegäran.docx", "A 13523-2025")</f>
        <v/>
      </c>
      <c r="Y173">
        <f>HYPERLINK("https://klasma.github.io/Logging_2462/tillsynsmail/A 13523-2025 tillsynsbegäran mail.docx", "A 13523-2025")</f>
        <v/>
      </c>
    </row>
    <row r="174" ht="15" customHeight="1">
      <c r="A174" t="inlineStr">
        <is>
          <t>A 29121-2025</t>
        </is>
      </c>
      <c r="B174" s="1" t="n">
        <v>45821</v>
      </c>
      <c r="C174" s="1" t="n">
        <v>46193</v>
      </c>
      <c r="D174" t="inlineStr">
        <is>
          <t>VÄSTERBOTTENS LÄN</t>
        </is>
      </c>
      <c r="E174" t="inlineStr">
        <is>
          <t>VILHELMINA</t>
        </is>
      </c>
      <c r="F174" t="inlineStr">
        <is>
          <t>SCA</t>
        </is>
      </c>
      <c r="G174" t="n">
        <v>4.4</v>
      </c>
      <c r="H174" t="n">
        <v>0</v>
      </c>
      <c r="I174" t="n">
        <v>0</v>
      </c>
      <c r="J174" t="n">
        <v>1</v>
      </c>
      <c r="K174" t="n">
        <v>0</v>
      </c>
      <c r="L174" t="n">
        <v>0</v>
      </c>
      <c r="M174" t="n">
        <v>0</v>
      </c>
      <c r="N174" t="n">
        <v>0</v>
      </c>
      <c r="O174" t="n">
        <v>1</v>
      </c>
      <c r="P174" t="n">
        <v>0</v>
      </c>
      <c r="Q174" t="n">
        <v>1</v>
      </c>
      <c r="R174" s="2" t="inlineStr">
        <is>
          <t>Ullticka</t>
        </is>
      </c>
      <c r="S174">
        <f>HYPERLINK("https://klasma.github.io/Logging_2462/artfynd/A 29121-2025 artfynd.xlsx", "A 29121-2025")</f>
        <v/>
      </c>
      <c r="T174">
        <f>HYPERLINK("https://klasma.github.io/Logging_2462/kartor/A 29121-2025 karta.png", "A 29121-2025")</f>
        <v/>
      </c>
      <c r="V174">
        <f>HYPERLINK("https://klasma.github.io/Logging_2462/klagomål/A 29121-2025 FSC-klagomål.docx", "A 29121-2025")</f>
        <v/>
      </c>
      <c r="W174">
        <f>HYPERLINK("https://klasma.github.io/Logging_2462/klagomålsmail/A 29121-2025 FSC-klagomål mail.docx", "A 29121-2025")</f>
        <v/>
      </c>
      <c r="X174">
        <f>HYPERLINK("https://klasma.github.io/Logging_2462/tillsyn/A 29121-2025 tillsynsbegäran.docx", "A 29121-2025")</f>
        <v/>
      </c>
      <c r="Y174">
        <f>HYPERLINK("https://klasma.github.io/Logging_2462/tillsynsmail/A 29121-2025 tillsynsbegäran mail.docx", "A 29121-2025")</f>
        <v/>
      </c>
    </row>
    <row r="175" ht="15" customHeight="1">
      <c r="A175" t="inlineStr">
        <is>
          <t>A 37346-2024</t>
        </is>
      </c>
      <c r="B175" s="1" t="n">
        <v>45540</v>
      </c>
      <c r="C175" s="1" t="n">
        <v>46193</v>
      </c>
      <c r="D175" t="inlineStr">
        <is>
          <t>VÄSTERBOTTENS LÄN</t>
        </is>
      </c>
      <c r="E175" t="inlineStr">
        <is>
          <t>VILHELMINA</t>
        </is>
      </c>
      <c r="G175" t="n">
        <v>96.3</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37346-2024 artfynd.xlsx", "A 37346-2024")</f>
        <v/>
      </c>
      <c r="T175">
        <f>HYPERLINK("https://klasma.github.io/Logging_2462/kartor/A 37346-2024 karta.png", "A 37346-2024")</f>
        <v/>
      </c>
      <c r="V175">
        <f>HYPERLINK("https://klasma.github.io/Logging_2462/klagomål/A 37346-2024 FSC-klagomål.docx", "A 37346-2024")</f>
        <v/>
      </c>
      <c r="W175">
        <f>HYPERLINK("https://klasma.github.io/Logging_2462/klagomålsmail/A 37346-2024 FSC-klagomål mail.docx", "A 37346-2024")</f>
        <v/>
      </c>
      <c r="X175">
        <f>HYPERLINK("https://klasma.github.io/Logging_2462/tillsyn/A 37346-2024 tillsynsbegäran.docx", "A 37346-2024")</f>
        <v/>
      </c>
      <c r="Y175">
        <f>HYPERLINK("https://klasma.github.io/Logging_2462/tillsynsmail/A 37346-2024 tillsynsbegäran mail.docx", "A 37346-2024")</f>
        <v/>
      </c>
      <c r="Z175">
        <f>HYPERLINK("https://klasma.github.io/Logging_2462/fåglar/A 37346-2024 prioriterade fågelarter.docx", "A 37346-2024")</f>
        <v/>
      </c>
    </row>
    <row r="176" ht="15" customHeight="1">
      <c r="A176" t="inlineStr">
        <is>
          <t>A 47010-2024</t>
        </is>
      </c>
      <c r="B176" s="1" t="n">
        <v>45586</v>
      </c>
      <c r="C176" s="1" t="n">
        <v>46193</v>
      </c>
      <c r="D176" t="inlineStr">
        <is>
          <t>VÄSTERBOTTENS LÄN</t>
        </is>
      </c>
      <c r="E176" t="inlineStr">
        <is>
          <t>VILHELMINA</t>
        </is>
      </c>
      <c r="F176" t="inlineStr">
        <is>
          <t>SCA</t>
        </is>
      </c>
      <c r="G176" t="n">
        <v>0.7</v>
      </c>
      <c r="H176" t="n">
        <v>1</v>
      </c>
      <c r="I176" t="n">
        <v>0</v>
      </c>
      <c r="J176" t="n">
        <v>1</v>
      </c>
      <c r="K176" t="n">
        <v>0</v>
      </c>
      <c r="L176" t="n">
        <v>0</v>
      </c>
      <c r="M176" t="n">
        <v>0</v>
      </c>
      <c r="N176" t="n">
        <v>0</v>
      </c>
      <c r="O176" t="n">
        <v>1</v>
      </c>
      <c r="P176" t="n">
        <v>0</v>
      </c>
      <c r="Q176" t="n">
        <v>1</v>
      </c>
      <c r="R176" s="2" t="inlineStr">
        <is>
          <t>Lavskrika</t>
        </is>
      </c>
      <c r="S176">
        <f>HYPERLINK("https://klasma.github.io/Logging_2462/artfynd/A 47010-2024 artfynd.xlsx", "A 47010-2024")</f>
        <v/>
      </c>
      <c r="T176">
        <f>HYPERLINK("https://klasma.github.io/Logging_2462/kartor/A 47010-2024 karta.png", "A 47010-2024")</f>
        <v/>
      </c>
      <c r="V176">
        <f>HYPERLINK("https://klasma.github.io/Logging_2462/klagomål/A 47010-2024 FSC-klagomål.docx", "A 47010-2024")</f>
        <v/>
      </c>
      <c r="W176">
        <f>HYPERLINK("https://klasma.github.io/Logging_2462/klagomålsmail/A 47010-2024 FSC-klagomål mail.docx", "A 47010-2024")</f>
        <v/>
      </c>
      <c r="X176">
        <f>HYPERLINK("https://klasma.github.io/Logging_2462/tillsyn/A 47010-2024 tillsynsbegäran.docx", "A 47010-2024")</f>
        <v/>
      </c>
      <c r="Y176">
        <f>HYPERLINK("https://klasma.github.io/Logging_2462/tillsynsmail/A 47010-2024 tillsynsbegäran mail.docx", "A 47010-2024")</f>
        <v/>
      </c>
      <c r="Z176">
        <f>HYPERLINK("https://klasma.github.io/Logging_2462/fåglar/A 47010-2024 prioriterade fågelarter.docx", "A 47010-2024")</f>
        <v/>
      </c>
    </row>
    <row r="177" ht="15" customHeight="1">
      <c r="A177" t="inlineStr">
        <is>
          <t>A 57470-2024</t>
        </is>
      </c>
      <c r="B177" s="1" t="n">
        <v>45630</v>
      </c>
      <c r="C177" s="1" t="n">
        <v>46193</v>
      </c>
      <c r="D177" t="inlineStr">
        <is>
          <t>VÄSTERBOTTENS LÄN</t>
        </is>
      </c>
      <c r="E177" t="inlineStr">
        <is>
          <t>VILHELMINA</t>
        </is>
      </c>
      <c r="F177" t="inlineStr">
        <is>
          <t>SCA</t>
        </is>
      </c>
      <c r="G177" t="n">
        <v>1.9</v>
      </c>
      <c r="H177" t="n">
        <v>1</v>
      </c>
      <c r="I177" t="n">
        <v>0</v>
      </c>
      <c r="J177" t="n">
        <v>1</v>
      </c>
      <c r="K177" t="n">
        <v>0</v>
      </c>
      <c r="L177" t="n">
        <v>0</v>
      </c>
      <c r="M177" t="n">
        <v>0</v>
      </c>
      <c r="N177" t="n">
        <v>0</v>
      </c>
      <c r="O177" t="n">
        <v>1</v>
      </c>
      <c r="P177" t="n">
        <v>0</v>
      </c>
      <c r="Q177" t="n">
        <v>1</v>
      </c>
      <c r="R177" s="2" t="inlineStr">
        <is>
          <t>Kungsörn</t>
        </is>
      </c>
      <c r="S177">
        <f>HYPERLINK("https://klasma.github.io/Logging_2462/artfynd/A 57470-2024 artfynd.xlsx", "A 57470-2024")</f>
        <v/>
      </c>
      <c r="T177">
        <f>HYPERLINK("https://klasma.github.io/Logging_2462/kartor/A 57470-2024 karta.png", "A 57470-2024")</f>
        <v/>
      </c>
      <c r="V177">
        <f>HYPERLINK("https://klasma.github.io/Logging_2462/klagomål/A 57470-2024 FSC-klagomål.docx", "A 57470-2024")</f>
        <v/>
      </c>
      <c r="W177">
        <f>HYPERLINK("https://klasma.github.io/Logging_2462/klagomålsmail/A 57470-2024 FSC-klagomål mail.docx", "A 57470-2024")</f>
        <v/>
      </c>
      <c r="X177">
        <f>HYPERLINK("https://klasma.github.io/Logging_2462/tillsyn/A 57470-2024 tillsynsbegäran.docx", "A 57470-2024")</f>
        <v/>
      </c>
      <c r="Y177">
        <f>HYPERLINK("https://klasma.github.io/Logging_2462/tillsynsmail/A 57470-2024 tillsynsbegäran mail.docx", "A 57470-2024")</f>
        <v/>
      </c>
      <c r="Z177">
        <f>HYPERLINK("https://klasma.github.io/Logging_2462/fåglar/A 57470-2024 prioriterade fågelarter.docx", "A 57470-2024")</f>
        <v/>
      </c>
    </row>
    <row r="178" ht="15" customHeight="1">
      <c r="A178" t="inlineStr">
        <is>
          <t>A 36998-2025</t>
        </is>
      </c>
      <c r="B178" s="1" t="n">
        <v>45874</v>
      </c>
      <c r="C178" s="1" t="n">
        <v>46193</v>
      </c>
      <c r="D178" t="inlineStr">
        <is>
          <t>VÄSTERBOTTENS LÄN</t>
        </is>
      </c>
      <c r="E178" t="inlineStr">
        <is>
          <t>VILHELMINA</t>
        </is>
      </c>
      <c r="F178" t="inlineStr">
        <is>
          <t>SCA</t>
        </is>
      </c>
      <c r="G178" t="n">
        <v>16.9</v>
      </c>
      <c r="H178" t="n">
        <v>1</v>
      </c>
      <c r="I178" t="n">
        <v>1</v>
      </c>
      <c r="J178" t="n">
        <v>0</v>
      </c>
      <c r="K178" t="n">
        <v>0</v>
      </c>
      <c r="L178" t="n">
        <v>0</v>
      </c>
      <c r="M178" t="n">
        <v>0</v>
      </c>
      <c r="N178" t="n">
        <v>0</v>
      </c>
      <c r="O178" t="n">
        <v>0</v>
      </c>
      <c r="P178" t="n">
        <v>0</v>
      </c>
      <c r="Q178" t="n">
        <v>1</v>
      </c>
      <c r="R178" s="2" t="inlineStr">
        <is>
          <t>Lappranunkel</t>
        </is>
      </c>
      <c r="S178">
        <f>HYPERLINK("https://klasma.github.io/Logging_2462/artfynd/A 36998-2025 artfynd.xlsx", "A 36998-2025")</f>
        <v/>
      </c>
      <c r="T178">
        <f>HYPERLINK("https://klasma.github.io/Logging_2462/kartor/A 36998-2025 karta.png", "A 36998-2025")</f>
        <v/>
      </c>
      <c r="V178">
        <f>HYPERLINK("https://klasma.github.io/Logging_2462/klagomål/A 36998-2025 FSC-klagomål.docx", "A 36998-2025")</f>
        <v/>
      </c>
      <c r="W178">
        <f>HYPERLINK("https://klasma.github.io/Logging_2462/klagomålsmail/A 36998-2025 FSC-klagomål mail.docx", "A 36998-2025")</f>
        <v/>
      </c>
      <c r="X178">
        <f>HYPERLINK("https://klasma.github.io/Logging_2462/tillsyn/A 36998-2025 tillsynsbegäran.docx", "A 36998-2025")</f>
        <v/>
      </c>
      <c r="Y178">
        <f>HYPERLINK("https://klasma.github.io/Logging_2462/tillsynsmail/A 36998-2025 tillsynsbegäran mail.docx", "A 36998-2025")</f>
        <v/>
      </c>
    </row>
    <row r="179" ht="15" customHeight="1">
      <c r="A179" t="inlineStr">
        <is>
          <t>A 38282-2024</t>
        </is>
      </c>
      <c r="B179" s="1" t="n">
        <v>45545</v>
      </c>
      <c r="C179" s="1" t="n">
        <v>46193</v>
      </c>
      <c r="D179" t="inlineStr">
        <is>
          <t>VÄSTERBOTTENS LÄN</t>
        </is>
      </c>
      <c r="E179" t="inlineStr">
        <is>
          <t>VILHELMINA</t>
        </is>
      </c>
      <c r="F179" t="inlineStr">
        <is>
          <t>SCA</t>
        </is>
      </c>
      <c r="G179" t="n">
        <v>3.4</v>
      </c>
      <c r="H179" t="n">
        <v>0</v>
      </c>
      <c r="I179" t="n">
        <v>0</v>
      </c>
      <c r="J179" t="n">
        <v>0</v>
      </c>
      <c r="K179" t="n">
        <v>1</v>
      </c>
      <c r="L179" t="n">
        <v>0</v>
      </c>
      <c r="M179" t="n">
        <v>0</v>
      </c>
      <c r="N179" t="n">
        <v>0</v>
      </c>
      <c r="O179" t="n">
        <v>1</v>
      </c>
      <c r="P179" t="n">
        <v>1</v>
      </c>
      <c r="Q179" t="n">
        <v>1</v>
      </c>
      <c r="R179" s="2" t="inlineStr">
        <is>
          <t>Gränsticka</t>
        </is>
      </c>
      <c r="S179">
        <f>HYPERLINK("https://klasma.github.io/Logging_2462/artfynd/A 38282-2024 artfynd.xlsx", "A 38282-2024")</f>
        <v/>
      </c>
      <c r="T179">
        <f>HYPERLINK("https://klasma.github.io/Logging_2462/kartor/A 38282-2024 karta.png", "A 38282-2024")</f>
        <v/>
      </c>
      <c r="V179">
        <f>HYPERLINK("https://klasma.github.io/Logging_2462/klagomål/A 38282-2024 FSC-klagomål.docx", "A 38282-2024")</f>
        <v/>
      </c>
      <c r="W179">
        <f>HYPERLINK("https://klasma.github.io/Logging_2462/klagomålsmail/A 38282-2024 FSC-klagomål mail.docx", "A 38282-2024")</f>
        <v/>
      </c>
      <c r="X179">
        <f>HYPERLINK("https://klasma.github.io/Logging_2462/tillsyn/A 38282-2024 tillsynsbegäran.docx", "A 38282-2024")</f>
        <v/>
      </c>
      <c r="Y179">
        <f>HYPERLINK("https://klasma.github.io/Logging_2462/tillsynsmail/A 38282-2024 tillsynsbegäran mail.docx", "A 38282-2024")</f>
        <v/>
      </c>
    </row>
    <row r="180" ht="15" customHeight="1">
      <c r="A180" t="inlineStr">
        <is>
          <t>A 48470-2023</t>
        </is>
      </c>
      <c r="B180" s="1" t="n">
        <v>45206</v>
      </c>
      <c r="C180" s="1" t="n">
        <v>46193</v>
      </c>
      <c r="D180" t="inlineStr">
        <is>
          <t>VÄSTERBOTTENS LÄN</t>
        </is>
      </c>
      <c r="E180" t="inlineStr">
        <is>
          <t>VILHELMINA</t>
        </is>
      </c>
      <c r="F180" t="inlineStr">
        <is>
          <t>SCA</t>
        </is>
      </c>
      <c r="G180" t="n">
        <v>3.5</v>
      </c>
      <c r="H180" t="n">
        <v>0</v>
      </c>
      <c r="I180" t="n">
        <v>0</v>
      </c>
      <c r="J180" t="n">
        <v>1</v>
      </c>
      <c r="K180" t="n">
        <v>0</v>
      </c>
      <c r="L180" t="n">
        <v>0</v>
      </c>
      <c r="M180" t="n">
        <v>0</v>
      </c>
      <c r="N180" t="n">
        <v>0</v>
      </c>
      <c r="O180" t="n">
        <v>1</v>
      </c>
      <c r="P180" t="n">
        <v>0</v>
      </c>
      <c r="Q180" t="n">
        <v>1</v>
      </c>
      <c r="R180" s="2" t="inlineStr">
        <is>
          <t>Gammelgransskål</t>
        </is>
      </c>
      <c r="S180">
        <f>HYPERLINK("https://klasma.github.io/Logging_2462/artfynd/A 48470-2023 artfynd.xlsx", "A 48470-2023")</f>
        <v/>
      </c>
      <c r="T180">
        <f>HYPERLINK("https://klasma.github.io/Logging_2462/kartor/A 48470-2023 karta.png", "A 48470-2023")</f>
        <v/>
      </c>
      <c r="V180">
        <f>HYPERLINK("https://klasma.github.io/Logging_2462/klagomål/A 48470-2023 FSC-klagomål.docx", "A 48470-2023")</f>
        <v/>
      </c>
      <c r="W180">
        <f>HYPERLINK("https://klasma.github.io/Logging_2462/klagomålsmail/A 48470-2023 FSC-klagomål mail.docx", "A 48470-2023")</f>
        <v/>
      </c>
      <c r="X180">
        <f>HYPERLINK("https://klasma.github.io/Logging_2462/tillsyn/A 48470-2023 tillsynsbegäran.docx", "A 48470-2023")</f>
        <v/>
      </c>
      <c r="Y180">
        <f>HYPERLINK("https://klasma.github.io/Logging_2462/tillsynsmail/A 48470-2023 tillsynsbegäran mail.docx", "A 48470-2023")</f>
        <v/>
      </c>
    </row>
    <row r="181" ht="15" customHeight="1">
      <c r="A181" t="inlineStr">
        <is>
          <t>A 13829-2025</t>
        </is>
      </c>
      <c r="B181" s="1" t="n">
        <v>45737</v>
      </c>
      <c r="C181" s="1" t="n">
        <v>46193</v>
      </c>
      <c r="D181" t="inlineStr">
        <is>
          <t>VÄSTERBOTTENS LÄN</t>
        </is>
      </c>
      <c r="E181" t="inlineStr">
        <is>
          <t>VILHELMINA</t>
        </is>
      </c>
      <c r="F181" t="inlineStr">
        <is>
          <t>Övriga statliga verk och myndigheter</t>
        </is>
      </c>
      <c r="G181" t="n">
        <v>39.7</v>
      </c>
      <c r="H181" t="n">
        <v>1</v>
      </c>
      <c r="I181" t="n">
        <v>0</v>
      </c>
      <c r="J181" t="n">
        <v>0</v>
      </c>
      <c r="K181" t="n">
        <v>0</v>
      </c>
      <c r="L181" t="n">
        <v>0</v>
      </c>
      <c r="M181" t="n">
        <v>0</v>
      </c>
      <c r="N181" t="n">
        <v>0</v>
      </c>
      <c r="O181" t="n">
        <v>0</v>
      </c>
      <c r="P181" t="n">
        <v>0</v>
      </c>
      <c r="Q181" t="n">
        <v>1</v>
      </c>
      <c r="R181" s="2" t="inlineStr">
        <is>
          <t>Tjäder</t>
        </is>
      </c>
      <c r="S181">
        <f>HYPERLINK("https://klasma.github.io/Logging_2462/artfynd/A 13829-2025 artfynd.xlsx", "A 13829-2025")</f>
        <v/>
      </c>
      <c r="T181">
        <f>HYPERLINK("https://klasma.github.io/Logging_2462/kartor/A 13829-2025 karta.png", "A 13829-2025")</f>
        <v/>
      </c>
      <c r="V181">
        <f>HYPERLINK("https://klasma.github.io/Logging_2462/klagomål/A 13829-2025 FSC-klagomål.docx", "A 13829-2025")</f>
        <v/>
      </c>
      <c r="W181">
        <f>HYPERLINK("https://klasma.github.io/Logging_2462/klagomålsmail/A 13829-2025 FSC-klagomål mail.docx", "A 13829-2025")</f>
        <v/>
      </c>
      <c r="X181">
        <f>HYPERLINK("https://klasma.github.io/Logging_2462/tillsyn/A 13829-2025 tillsynsbegäran.docx", "A 13829-2025")</f>
        <v/>
      </c>
      <c r="Y181">
        <f>HYPERLINK("https://klasma.github.io/Logging_2462/tillsynsmail/A 13829-2025 tillsynsbegäran mail.docx", "A 13829-2025")</f>
        <v/>
      </c>
      <c r="Z181">
        <f>HYPERLINK("https://klasma.github.io/Logging_2462/fåglar/A 13829-2025 prioriterade fågelarter.docx", "A 13829-2025")</f>
        <v/>
      </c>
    </row>
    <row r="182" ht="15" customHeight="1">
      <c r="A182" t="inlineStr">
        <is>
          <t>A 34769-2024</t>
        </is>
      </c>
      <c r="B182" s="1" t="n">
        <v>45526</v>
      </c>
      <c r="C182" s="1" t="n">
        <v>46193</v>
      </c>
      <c r="D182" t="inlineStr">
        <is>
          <t>VÄSTERBOTTENS LÄN</t>
        </is>
      </c>
      <c r="E182" t="inlineStr">
        <is>
          <t>VILHELMINA</t>
        </is>
      </c>
      <c r="F182" t="inlineStr">
        <is>
          <t>SCA</t>
        </is>
      </c>
      <c r="G182" t="n">
        <v>6.7</v>
      </c>
      <c r="H182" t="n">
        <v>0</v>
      </c>
      <c r="I182" t="n">
        <v>0</v>
      </c>
      <c r="J182" t="n">
        <v>1</v>
      </c>
      <c r="K182" t="n">
        <v>0</v>
      </c>
      <c r="L182" t="n">
        <v>0</v>
      </c>
      <c r="M182" t="n">
        <v>0</v>
      </c>
      <c r="N182" t="n">
        <v>0</v>
      </c>
      <c r="O182" t="n">
        <v>1</v>
      </c>
      <c r="P182" t="n">
        <v>0</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29317-2023</t>
        </is>
      </c>
      <c r="B183" s="1" t="n">
        <v>45105</v>
      </c>
      <c r="C183" s="1" t="n">
        <v>46193</v>
      </c>
      <c r="D183" t="inlineStr">
        <is>
          <t>VÄSTERBOTTENS LÄN</t>
        </is>
      </c>
      <c r="E183" t="inlineStr">
        <is>
          <t>VILHELMINA</t>
        </is>
      </c>
      <c r="F183" t="inlineStr">
        <is>
          <t>SCA</t>
        </is>
      </c>
      <c r="G183" t="n">
        <v>18.8</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29317-2023 artfynd.xlsx", "A 29317-2023")</f>
        <v/>
      </c>
      <c r="T183">
        <f>HYPERLINK("https://klasma.github.io/Logging_2462/kartor/A 29317-2023 karta.png", "A 29317-2023")</f>
        <v/>
      </c>
      <c r="V183">
        <f>HYPERLINK("https://klasma.github.io/Logging_2462/klagomål/A 29317-2023 FSC-klagomål.docx", "A 29317-2023")</f>
        <v/>
      </c>
      <c r="W183">
        <f>HYPERLINK("https://klasma.github.io/Logging_2462/klagomålsmail/A 29317-2023 FSC-klagomål mail.docx", "A 29317-2023")</f>
        <v/>
      </c>
      <c r="X183">
        <f>HYPERLINK("https://klasma.github.io/Logging_2462/tillsyn/A 29317-2023 tillsynsbegäran.docx", "A 29317-2023")</f>
        <v/>
      </c>
      <c r="Y183">
        <f>HYPERLINK("https://klasma.github.io/Logging_2462/tillsynsmail/A 29317-2023 tillsynsbegäran mail.docx", "A 29317-2023")</f>
        <v/>
      </c>
      <c r="Z183">
        <f>HYPERLINK("https://klasma.github.io/Logging_2462/fåglar/A 29317-2023 prioriterade fågelarter.docx", "A 29317-2023")</f>
        <v/>
      </c>
    </row>
    <row r="184" ht="15" customHeight="1">
      <c r="A184" t="inlineStr">
        <is>
          <t>A 48741-2025</t>
        </is>
      </c>
      <c r="B184" s="1" t="n">
        <v>45936</v>
      </c>
      <c r="C184" s="1" t="n">
        <v>46193</v>
      </c>
      <c r="D184" t="inlineStr">
        <is>
          <t>VÄSTERBOTTENS LÄN</t>
        </is>
      </c>
      <c r="E184" t="inlineStr">
        <is>
          <t>VILHELMINA</t>
        </is>
      </c>
      <c r="F184" t="inlineStr">
        <is>
          <t>SCA</t>
        </is>
      </c>
      <c r="G184" t="n">
        <v>4.6</v>
      </c>
      <c r="H184" t="n">
        <v>0</v>
      </c>
      <c r="I184" t="n">
        <v>0</v>
      </c>
      <c r="J184" t="n">
        <v>1</v>
      </c>
      <c r="K184" t="n">
        <v>0</v>
      </c>
      <c r="L184" t="n">
        <v>0</v>
      </c>
      <c r="M184" t="n">
        <v>0</v>
      </c>
      <c r="N184" t="n">
        <v>0</v>
      </c>
      <c r="O184" t="n">
        <v>1</v>
      </c>
      <c r="P184" t="n">
        <v>0</v>
      </c>
      <c r="Q184" t="n">
        <v>1</v>
      </c>
      <c r="R184" s="2" t="inlineStr">
        <is>
          <t>Ullticka</t>
        </is>
      </c>
      <c r="S184">
        <f>HYPERLINK("https://klasma.github.io/Logging_2462/artfynd/A 48741-2025 artfynd.xlsx", "A 48741-2025")</f>
        <v/>
      </c>
      <c r="T184">
        <f>HYPERLINK("https://klasma.github.io/Logging_2462/kartor/A 48741-2025 karta.png", "A 48741-2025")</f>
        <v/>
      </c>
      <c r="V184">
        <f>HYPERLINK("https://klasma.github.io/Logging_2462/klagomål/A 48741-2025 FSC-klagomål.docx", "A 48741-2025")</f>
        <v/>
      </c>
      <c r="W184">
        <f>HYPERLINK("https://klasma.github.io/Logging_2462/klagomålsmail/A 48741-2025 FSC-klagomål mail.docx", "A 48741-2025")</f>
        <v/>
      </c>
      <c r="X184">
        <f>HYPERLINK("https://klasma.github.io/Logging_2462/tillsyn/A 48741-2025 tillsynsbegäran.docx", "A 48741-2025")</f>
        <v/>
      </c>
      <c r="Y184">
        <f>HYPERLINK("https://klasma.github.io/Logging_2462/tillsynsmail/A 48741-2025 tillsynsbegäran mail.docx", "A 48741-2025")</f>
        <v/>
      </c>
    </row>
    <row r="185" ht="15" customHeight="1">
      <c r="A185" t="inlineStr">
        <is>
          <t>A 25374-2024</t>
        </is>
      </c>
      <c r="B185" s="1" t="n">
        <v>45462</v>
      </c>
      <c r="C185" s="1" t="n">
        <v>46193</v>
      </c>
      <c r="D185" t="inlineStr">
        <is>
          <t>VÄSTERBOTTENS LÄN</t>
        </is>
      </c>
      <c r="E185" t="inlineStr">
        <is>
          <t>VILHELMINA</t>
        </is>
      </c>
      <c r="F185" t="inlineStr">
        <is>
          <t>SCA</t>
        </is>
      </c>
      <c r="G185" t="n">
        <v>7.7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25374-2024 artfynd.xlsx", "A 25374-2024")</f>
        <v/>
      </c>
      <c r="T185">
        <f>HYPERLINK("https://klasma.github.io/Logging_2462/kartor/A 25374-2024 karta.png", "A 25374-2024")</f>
        <v/>
      </c>
      <c r="V185">
        <f>HYPERLINK("https://klasma.github.io/Logging_2462/klagomål/A 25374-2024 FSC-klagomål.docx", "A 25374-2024")</f>
        <v/>
      </c>
      <c r="W185">
        <f>HYPERLINK("https://klasma.github.io/Logging_2462/klagomålsmail/A 25374-2024 FSC-klagomål mail.docx", "A 25374-2024")</f>
        <v/>
      </c>
      <c r="X185">
        <f>HYPERLINK("https://klasma.github.io/Logging_2462/tillsyn/A 25374-2024 tillsynsbegäran.docx", "A 25374-2024")</f>
        <v/>
      </c>
      <c r="Y185">
        <f>HYPERLINK("https://klasma.github.io/Logging_2462/tillsynsmail/A 25374-2024 tillsynsbegäran mail.docx", "A 25374-2024")</f>
        <v/>
      </c>
      <c r="Z185">
        <f>HYPERLINK("https://klasma.github.io/Logging_2462/fåglar/A 25374-2024 prioriterade fågelarter.docx", "A 25374-2024")</f>
        <v/>
      </c>
    </row>
    <row r="186" ht="15" customHeight="1">
      <c r="A186" t="inlineStr">
        <is>
          <t>A 13708-2026</t>
        </is>
      </c>
      <c r="B186" s="1" t="n">
        <v>46097</v>
      </c>
      <c r="C186" s="1" t="n">
        <v>46193</v>
      </c>
      <c r="D186" t="inlineStr">
        <is>
          <t>VÄSTERBOTTENS LÄN</t>
        </is>
      </c>
      <c r="E186" t="inlineStr">
        <is>
          <t>VILHELMINA</t>
        </is>
      </c>
      <c r="G186" t="n">
        <v>8.1</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13708-2026 artfynd.xlsx", "A 13708-2026")</f>
        <v/>
      </c>
      <c r="T186">
        <f>HYPERLINK("https://klasma.github.io/Logging_2462/kartor/A 13708-2026 karta.png", "A 13708-2026")</f>
        <v/>
      </c>
      <c r="V186">
        <f>HYPERLINK("https://klasma.github.io/Logging_2462/klagomål/A 13708-2026 FSC-klagomål.docx", "A 13708-2026")</f>
        <v/>
      </c>
      <c r="W186">
        <f>HYPERLINK("https://klasma.github.io/Logging_2462/klagomålsmail/A 13708-2026 FSC-klagomål mail.docx", "A 13708-2026")</f>
        <v/>
      </c>
      <c r="X186">
        <f>HYPERLINK("https://klasma.github.io/Logging_2462/tillsyn/A 13708-2026 tillsynsbegäran.docx", "A 13708-2026")</f>
        <v/>
      </c>
      <c r="Y186">
        <f>HYPERLINK("https://klasma.github.io/Logging_2462/tillsynsmail/A 13708-2026 tillsynsbegäran mail.docx", "A 13708-2026")</f>
        <v/>
      </c>
      <c r="Z186">
        <f>HYPERLINK("https://klasma.github.io/Logging_2462/fåglar/A 13708-2026 prioriterade fågelarter.docx", "A 13708-2026")</f>
        <v/>
      </c>
    </row>
    <row r="187" ht="15" customHeight="1">
      <c r="A187" t="inlineStr">
        <is>
          <t>A 59664-2023</t>
        </is>
      </c>
      <c r="B187" s="1" t="n">
        <v>45254</v>
      </c>
      <c r="C187" s="1" t="n">
        <v>46193</v>
      </c>
      <c r="D187" t="inlineStr">
        <is>
          <t>VÄSTERBOTTENS LÄN</t>
        </is>
      </c>
      <c r="E187" t="inlineStr">
        <is>
          <t>VILHELMINA</t>
        </is>
      </c>
      <c r="F187" t="inlineStr">
        <is>
          <t>SCA</t>
        </is>
      </c>
      <c r="G187" t="n">
        <v>3.3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59664-2023 artfynd.xlsx", "A 59664-2023")</f>
        <v/>
      </c>
      <c r="T187">
        <f>HYPERLINK("https://klasma.github.io/Logging_2462/kartor/A 59664-2023 karta.png", "A 59664-2023")</f>
        <v/>
      </c>
      <c r="V187">
        <f>HYPERLINK("https://klasma.github.io/Logging_2462/klagomål/A 59664-2023 FSC-klagomål.docx", "A 59664-2023")</f>
        <v/>
      </c>
      <c r="W187">
        <f>HYPERLINK("https://klasma.github.io/Logging_2462/klagomålsmail/A 59664-2023 FSC-klagomål mail.docx", "A 59664-2023")</f>
        <v/>
      </c>
      <c r="X187">
        <f>HYPERLINK("https://klasma.github.io/Logging_2462/tillsyn/A 59664-2023 tillsynsbegäran.docx", "A 59664-2023")</f>
        <v/>
      </c>
      <c r="Y187">
        <f>HYPERLINK("https://klasma.github.io/Logging_2462/tillsynsmail/A 59664-2023 tillsynsbegäran mail.docx", "A 59664-2023")</f>
        <v/>
      </c>
      <c r="Z187">
        <f>HYPERLINK("https://klasma.github.io/Logging_2462/fåglar/A 59664-2023 prioriterade fågelarter.docx", "A 59664-2023")</f>
        <v/>
      </c>
    </row>
    <row r="188" ht="15" customHeight="1">
      <c r="A188" t="inlineStr">
        <is>
          <t>A 55697-2024</t>
        </is>
      </c>
      <c r="B188" s="1" t="n">
        <v>45622</v>
      </c>
      <c r="C188" s="1" t="n">
        <v>46193</v>
      </c>
      <c r="D188" t="inlineStr">
        <is>
          <t>VÄSTERBOTTENS LÄN</t>
        </is>
      </c>
      <c r="E188" t="inlineStr">
        <is>
          <t>VILHELMINA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55697-2024 artfynd.xlsx", "A 55697-2024")</f>
        <v/>
      </c>
      <c r="T188">
        <f>HYPERLINK("https://klasma.github.io/Logging_2462/kartor/A 55697-2024 karta.png", "A 55697-2024")</f>
        <v/>
      </c>
      <c r="V188">
        <f>HYPERLINK("https://klasma.github.io/Logging_2462/klagomål/A 55697-2024 FSC-klagomål.docx", "A 55697-2024")</f>
        <v/>
      </c>
      <c r="W188">
        <f>HYPERLINK("https://klasma.github.io/Logging_2462/klagomålsmail/A 55697-2024 FSC-klagomål mail.docx", "A 55697-2024")</f>
        <v/>
      </c>
      <c r="X188">
        <f>HYPERLINK("https://klasma.github.io/Logging_2462/tillsyn/A 55697-2024 tillsynsbegäran.docx", "A 55697-2024")</f>
        <v/>
      </c>
      <c r="Y188">
        <f>HYPERLINK("https://klasma.github.io/Logging_2462/tillsynsmail/A 55697-2024 tillsynsbegäran mail.docx", "A 55697-2024")</f>
        <v/>
      </c>
      <c r="Z188">
        <f>HYPERLINK("https://klasma.github.io/Logging_2462/fåglar/A 55697-2024 prioriterade fågelarter.docx", "A 55697-2024")</f>
        <v/>
      </c>
    </row>
    <row r="189" ht="15" customHeight="1">
      <c r="A189" t="inlineStr">
        <is>
          <t>A 47253-2022</t>
        </is>
      </c>
      <c r="B189" s="1" t="n">
        <v>44852</v>
      </c>
      <c r="C189" s="1" t="n">
        <v>46193</v>
      </c>
      <c r="D189" t="inlineStr">
        <is>
          <t>VÄSTERBOTTENS LÄN</t>
        </is>
      </c>
      <c r="E189" t="inlineStr">
        <is>
          <t>VILHELMINA</t>
        </is>
      </c>
      <c r="F189" t="inlineStr">
        <is>
          <t>SCA</t>
        </is>
      </c>
      <c r="G189" t="n">
        <v>0.3</v>
      </c>
      <c r="H189" t="n">
        <v>1</v>
      </c>
      <c r="I189" t="n">
        <v>1</v>
      </c>
      <c r="J189" t="n">
        <v>0</v>
      </c>
      <c r="K189" t="n">
        <v>0</v>
      </c>
      <c r="L189" t="n">
        <v>0</v>
      </c>
      <c r="M189" t="n">
        <v>0</v>
      </c>
      <c r="N189" t="n">
        <v>0</v>
      </c>
      <c r="O189" t="n">
        <v>0</v>
      </c>
      <c r="P189" t="n">
        <v>0</v>
      </c>
      <c r="Q189" t="n">
        <v>1</v>
      </c>
      <c r="R189" s="2" t="inlineStr">
        <is>
          <t>Lappranunkel</t>
        </is>
      </c>
      <c r="S189">
        <f>HYPERLINK("https://klasma.github.io/Logging_2462/artfynd/A 47253-2022 artfynd.xlsx", "A 47253-2022")</f>
        <v/>
      </c>
      <c r="T189">
        <f>HYPERLINK("https://klasma.github.io/Logging_2462/kartor/A 47253-2022 karta.png", "A 47253-2022")</f>
        <v/>
      </c>
      <c r="V189">
        <f>HYPERLINK("https://klasma.github.io/Logging_2462/klagomål/A 47253-2022 FSC-klagomål.docx", "A 47253-2022")</f>
        <v/>
      </c>
      <c r="W189">
        <f>HYPERLINK("https://klasma.github.io/Logging_2462/klagomålsmail/A 47253-2022 FSC-klagomål mail.docx", "A 47253-2022")</f>
        <v/>
      </c>
      <c r="X189">
        <f>HYPERLINK("https://klasma.github.io/Logging_2462/tillsyn/A 47253-2022 tillsynsbegäran.docx", "A 47253-2022")</f>
        <v/>
      </c>
      <c r="Y189">
        <f>HYPERLINK("https://klasma.github.io/Logging_2462/tillsynsmail/A 47253-2022 tillsynsbegäran mail.docx", "A 47253-2022")</f>
        <v/>
      </c>
    </row>
    <row r="190" ht="15" customHeight="1">
      <c r="A190" t="inlineStr">
        <is>
          <t>A 74395-2021</t>
        </is>
      </c>
      <c r="B190" s="1" t="n">
        <v>44560</v>
      </c>
      <c r="C190" s="1" t="n">
        <v>46193</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32677-2021</t>
        </is>
      </c>
      <c r="B191" s="1" t="n">
        <v>44371</v>
      </c>
      <c r="C191" s="1" t="n">
        <v>46193</v>
      </c>
      <c r="D191" t="inlineStr">
        <is>
          <t>VÄSTERBOTTENS LÄN</t>
        </is>
      </c>
      <c r="E191" t="inlineStr">
        <is>
          <t>VILHELMINA</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32677-2021 artfynd.xlsx", "A 32677-2021")</f>
        <v/>
      </c>
      <c r="T191">
        <f>HYPERLINK("https://klasma.github.io/Logging_2462/kartor/A 32677-2021 karta.png", "A 32677-2021")</f>
        <v/>
      </c>
      <c r="V191">
        <f>HYPERLINK("https://klasma.github.io/Logging_2462/klagomål/A 32677-2021 FSC-klagomål.docx", "A 32677-2021")</f>
        <v/>
      </c>
      <c r="W191">
        <f>HYPERLINK("https://klasma.github.io/Logging_2462/klagomålsmail/A 32677-2021 FSC-klagomål mail.docx", "A 32677-2021")</f>
        <v/>
      </c>
      <c r="X191">
        <f>HYPERLINK("https://klasma.github.io/Logging_2462/tillsyn/A 32677-2021 tillsynsbegäran.docx", "A 32677-2021")</f>
        <v/>
      </c>
      <c r="Y191">
        <f>HYPERLINK("https://klasma.github.io/Logging_2462/tillsynsmail/A 32677-2021 tillsynsbegäran mail.docx", "A 32677-2021")</f>
        <v/>
      </c>
      <c r="Z191">
        <f>HYPERLINK("https://klasma.github.io/Logging_2462/fåglar/A 32677-2021 prioriterade fågelarter.docx", "A 32677-2021")</f>
        <v/>
      </c>
    </row>
    <row r="192" ht="15" customHeight="1">
      <c r="A192" t="inlineStr">
        <is>
          <t>A 23509-2026</t>
        </is>
      </c>
      <c r="B192" s="1" t="n">
        <v>46163</v>
      </c>
      <c r="C192" s="1" t="n">
        <v>46193</v>
      </c>
      <c r="D192" t="inlineStr">
        <is>
          <t>VÄSTERBOTTENS LÄN</t>
        </is>
      </c>
      <c r="E192" t="inlineStr">
        <is>
          <t>VILHELMINA</t>
        </is>
      </c>
      <c r="F192" t="inlineStr">
        <is>
          <t>SCA</t>
        </is>
      </c>
      <c r="G192" t="n">
        <v>2</v>
      </c>
      <c r="H192" t="n">
        <v>0</v>
      </c>
      <c r="I192" t="n">
        <v>0</v>
      </c>
      <c r="J192" t="n">
        <v>1</v>
      </c>
      <c r="K192" t="n">
        <v>0</v>
      </c>
      <c r="L192" t="n">
        <v>0</v>
      </c>
      <c r="M192" t="n">
        <v>0</v>
      </c>
      <c r="N192" t="n">
        <v>0</v>
      </c>
      <c r="O192" t="n">
        <v>1</v>
      </c>
      <c r="P192" t="n">
        <v>0</v>
      </c>
      <c r="Q192" t="n">
        <v>1</v>
      </c>
      <c r="R192" s="2" t="inlineStr">
        <is>
          <t>Skrovellav</t>
        </is>
      </c>
      <c r="S192">
        <f>HYPERLINK("https://klasma.github.io/Logging_2462/artfynd/A 23509-2026 artfynd.xlsx", "A 23509-2026")</f>
        <v/>
      </c>
      <c r="T192">
        <f>HYPERLINK("https://klasma.github.io/Logging_2462/kartor/A 23509-2026 karta.png", "A 23509-2026")</f>
        <v/>
      </c>
      <c r="V192">
        <f>HYPERLINK("https://klasma.github.io/Logging_2462/klagomål/A 23509-2026 FSC-klagomål.docx", "A 23509-2026")</f>
        <v/>
      </c>
      <c r="W192">
        <f>HYPERLINK("https://klasma.github.io/Logging_2462/klagomålsmail/A 23509-2026 FSC-klagomål mail.docx", "A 23509-2026")</f>
        <v/>
      </c>
      <c r="X192">
        <f>HYPERLINK("https://klasma.github.io/Logging_2462/tillsyn/A 23509-2026 tillsynsbegäran.docx", "A 23509-2026")</f>
        <v/>
      </c>
      <c r="Y192">
        <f>HYPERLINK("https://klasma.github.io/Logging_2462/tillsynsmail/A 23509-2026 tillsynsbegäran mail.docx", "A 23509-2026")</f>
        <v/>
      </c>
    </row>
    <row r="193" ht="15" customHeight="1">
      <c r="A193" t="inlineStr">
        <is>
          <t>A 38416-2022</t>
        </is>
      </c>
      <c r="B193" s="1" t="n">
        <v>44812</v>
      </c>
      <c r="C193" s="1" t="n">
        <v>46193</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46193</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46193</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46193</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46193</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51017-2022</t>
        </is>
      </c>
      <c r="B198" s="1" t="n">
        <v>44867</v>
      </c>
      <c r="C198" s="1" t="n">
        <v>46193</v>
      </c>
      <c r="D198" t="inlineStr">
        <is>
          <t>VÄSTERBOTTENS LÄN</t>
        </is>
      </c>
      <c r="E198" t="inlineStr">
        <is>
          <t>VILHELMINA</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48768-2022</t>
        </is>
      </c>
      <c r="B199" s="1" t="n">
        <v>44859</v>
      </c>
      <c r="C199" s="1" t="n">
        <v>46193</v>
      </c>
      <c r="D199" t="inlineStr">
        <is>
          <t>VÄSTERBOTTENS LÄN</t>
        </is>
      </c>
      <c r="E199" t="inlineStr">
        <is>
          <t>VILHELMINA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11076-2022</t>
        </is>
      </c>
      <c r="B200" s="1" t="n">
        <v>44628</v>
      </c>
      <c r="C200" s="1" t="n">
        <v>46193</v>
      </c>
      <c r="D200" t="inlineStr">
        <is>
          <t>VÄSTERBOTTENS LÄN</t>
        </is>
      </c>
      <c r="E200" t="inlineStr">
        <is>
          <t>VILHELMINA</t>
        </is>
      </c>
      <c r="G200" t="n">
        <v>7.4</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46193</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46193</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46193</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46193</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46193</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47285-2022</t>
        </is>
      </c>
      <c r="B206" s="1" t="n">
        <v>44852</v>
      </c>
      <c r="C206" s="1" t="n">
        <v>46193</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22325-2022</t>
        </is>
      </c>
      <c r="B207" s="1" t="n">
        <v>44712</v>
      </c>
      <c r="C207" s="1" t="n">
        <v>46193</v>
      </c>
      <c r="D207" t="inlineStr">
        <is>
          <t>VÄSTERBOTTENS LÄN</t>
        </is>
      </c>
      <c r="E207" t="inlineStr">
        <is>
          <t>VILHELMINA</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46193</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46193</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46193</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46193</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46193</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18996-2022</t>
        </is>
      </c>
      <c r="B213" s="1" t="n">
        <v>44690</v>
      </c>
      <c r="C213" s="1" t="n">
        <v>46193</v>
      </c>
      <c r="D213" t="inlineStr">
        <is>
          <t>VÄSTERBOTTENS LÄN</t>
        </is>
      </c>
      <c r="E213" t="inlineStr">
        <is>
          <t>VILHELMINA</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32665-2021</t>
        </is>
      </c>
      <c r="B214" s="1" t="n">
        <v>44371</v>
      </c>
      <c r="C214" s="1" t="n">
        <v>46193</v>
      </c>
      <c r="D214" t="inlineStr">
        <is>
          <t>VÄSTERBOTTENS LÄN</t>
        </is>
      </c>
      <c r="E214" t="inlineStr">
        <is>
          <t>VILHELMINA</t>
        </is>
      </c>
      <c r="G214" t="n">
        <v>2.9</v>
      </c>
      <c r="H214" t="n">
        <v>0</v>
      </c>
      <c r="I214" t="n">
        <v>0</v>
      </c>
      <c r="J214" t="n">
        <v>0</v>
      </c>
      <c r="K214" t="n">
        <v>0</v>
      </c>
      <c r="L214" t="n">
        <v>0</v>
      </c>
      <c r="M214" t="n">
        <v>0</v>
      </c>
      <c r="N214" t="n">
        <v>0</v>
      </c>
      <c r="O214" t="n">
        <v>0</v>
      </c>
      <c r="P214" t="n">
        <v>0</v>
      </c>
      <c r="Q214" t="n">
        <v>0</v>
      </c>
      <c r="R214" s="2" t="inlineStr"/>
    </row>
    <row r="215" ht="15" customHeight="1">
      <c r="A215" t="inlineStr">
        <is>
          <t>A 48527-2022</t>
        </is>
      </c>
      <c r="B215" s="1" t="n">
        <v>44858</v>
      </c>
      <c r="C215" s="1" t="n">
        <v>46193</v>
      </c>
      <c r="D215" t="inlineStr">
        <is>
          <t>VÄSTERBOTTENS LÄN</t>
        </is>
      </c>
      <c r="E215" t="inlineStr">
        <is>
          <t>VILHELMINA</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36139-2021</t>
        </is>
      </c>
      <c r="B216" s="1" t="n">
        <v>44389</v>
      </c>
      <c r="C216" s="1" t="n">
        <v>46193</v>
      </c>
      <c r="D216" t="inlineStr">
        <is>
          <t>VÄSTERBOTTENS LÄN</t>
        </is>
      </c>
      <c r="E216" t="inlineStr">
        <is>
          <t>VILHELMINA</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46193</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v>
      </c>
      <c r="C218" s="1" t="n">
        <v>46193</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v>
      </c>
      <c r="C219" s="1" t="n">
        <v>46193</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46193</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46193</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46193</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46193</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46375-2021</t>
        </is>
      </c>
      <c r="B224" s="1" t="n">
        <v>44442</v>
      </c>
      <c r="C224" s="1" t="n">
        <v>46193</v>
      </c>
      <c r="D224" t="inlineStr">
        <is>
          <t>VÄSTERBOTTENS LÄN</t>
        </is>
      </c>
      <c r="E224" t="inlineStr">
        <is>
          <t>VILHELMINA</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29555-2022</t>
        </is>
      </c>
      <c r="B225" s="1" t="n">
        <v>44754</v>
      </c>
      <c r="C225" s="1" t="n">
        <v>46193</v>
      </c>
      <c r="D225" t="inlineStr">
        <is>
          <t>VÄSTERBOTTENS LÄN</t>
        </is>
      </c>
      <c r="E225" t="inlineStr">
        <is>
          <t>VILHELMINA</t>
        </is>
      </c>
      <c r="F225" t="inlineStr">
        <is>
          <t>Övriga Aktiebolag</t>
        </is>
      </c>
      <c r="G225" t="n">
        <v>3.1</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46193</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v>
      </c>
      <c r="C227" s="1" t="n">
        <v>46193</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46193</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v>
      </c>
      <c r="C229" s="1" t="n">
        <v>46193</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46193</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27874-2022</t>
        </is>
      </c>
      <c r="B231" s="1" t="n">
        <v>44743</v>
      </c>
      <c r="C231" s="1" t="n">
        <v>46193</v>
      </c>
      <c r="D231" t="inlineStr">
        <is>
          <t>VÄSTERBOTTENS LÄN</t>
        </is>
      </c>
      <c r="E231" t="inlineStr">
        <is>
          <t>VILHELMINA</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27880-2022</t>
        </is>
      </c>
      <c r="B232" s="1" t="n">
        <v>44743</v>
      </c>
      <c r="C232" s="1" t="n">
        <v>46193</v>
      </c>
      <c r="D232" t="inlineStr">
        <is>
          <t>VÄSTERBOTTENS LÄN</t>
        </is>
      </c>
      <c r="E232" t="inlineStr">
        <is>
          <t>VILHELMINA</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46193</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v>
      </c>
      <c r="C234" s="1" t="n">
        <v>46193</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51935-2021</t>
        </is>
      </c>
      <c r="B235" s="1" t="n">
        <v>44462</v>
      </c>
      <c r="C235" s="1" t="n">
        <v>46193</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39186-2021</t>
        </is>
      </c>
      <c r="B236" s="1" t="n">
        <v>44412</v>
      </c>
      <c r="C236" s="1" t="n">
        <v>46193</v>
      </c>
      <c r="D236" t="inlineStr">
        <is>
          <t>VÄSTERBOTTENS LÄN</t>
        </is>
      </c>
      <c r="E236" t="inlineStr">
        <is>
          <t>VILHELMINA</t>
        </is>
      </c>
      <c r="G236" t="n">
        <v>0.3</v>
      </c>
      <c r="H236" t="n">
        <v>0</v>
      </c>
      <c r="I236" t="n">
        <v>0</v>
      </c>
      <c r="J236" t="n">
        <v>0</v>
      </c>
      <c r="K236" t="n">
        <v>0</v>
      </c>
      <c r="L236" t="n">
        <v>0</v>
      </c>
      <c r="M236" t="n">
        <v>0</v>
      </c>
      <c r="N236" t="n">
        <v>0</v>
      </c>
      <c r="O236" t="n">
        <v>0</v>
      </c>
      <c r="P236" t="n">
        <v>0</v>
      </c>
      <c r="Q236" t="n">
        <v>0</v>
      </c>
      <c r="R236" s="2" t="inlineStr"/>
    </row>
    <row r="237" ht="15" customHeight="1">
      <c r="A237" t="inlineStr">
        <is>
          <t>A 31722-2021</t>
        </is>
      </c>
      <c r="B237" s="1" t="n">
        <v>44369</v>
      </c>
      <c r="C237" s="1" t="n">
        <v>46193</v>
      </c>
      <c r="D237" t="inlineStr">
        <is>
          <t>VÄSTERBOTTENS LÄN</t>
        </is>
      </c>
      <c r="E237" t="inlineStr">
        <is>
          <t>VILHELMINA</t>
        </is>
      </c>
      <c r="G237" t="n">
        <v>2.8</v>
      </c>
      <c r="H237" t="n">
        <v>0</v>
      </c>
      <c r="I237" t="n">
        <v>0</v>
      </c>
      <c r="J237" t="n">
        <v>0</v>
      </c>
      <c r="K237" t="n">
        <v>0</v>
      </c>
      <c r="L237" t="n">
        <v>0</v>
      </c>
      <c r="M237" t="n">
        <v>0</v>
      </c>
      <c r="N237" t="n">
        <v>0</v>
      </c>
      <c r="O237" t="n">
        <v>0</v>
      </c>
      <c r="P237" t="n">
        <v>0</v>
      </c>
      <c r="Q237" t="n">
        <v>0</v>
      </c>
      <c r="R237" s="2" t="inlineStr"/>
    </row>
    <row r="238" ht="15" customHeight="1">
      <c r="A238" t="inlineStr">
        <is>
          <t>A 21814-2022</t>
        </is>
      </c>
      <c r="B238" s="1" t="n">
        <v>44708</v>
      </c>
      <c r="C238" s="1" t="n">
        <v>46193</v>
      </c>
      <c r="D238" t="inlineStr">
        <is>
          <t>VÄSTERBOTTENS LÄN</t>
        </is>
      </c>
      <c r="E238" t="inlineStr">
        <is>
          <t>VILHELMINA</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46193</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36931-2022</t>
        </is>
      </c>
      <c r="B240" s="1" t="n">
        <v>44805</v>
      </c>
      <c r="C240" s="1" t="n">
        <v>46193</v>
      </c>
      <c r="D240" t="inlineStr">
        <is>
          <t>VÄSTERBOTTENS LÄN</t>
        </is>
      </c>
      <c r="E240" t="inlineStr">
        <is>
          <t>VILHELMINA</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8726-2023</t>
        </is>
      </c>
      <c r="B241" s="1" t="n">
        <v>44972</v>
      </c>
      <c r="C241" s="1" t="n">
        <v>46193</v>
      </c>
      <c r="D241" t="inlineStr">
        <is>
          <t>VÄSTERBOTTENS LÄN</t>
        </is>
      </c>
      <c r="E241" t="inlineStr">
        <is>
          <t>VILHELMINA</t>
        </is>
      </c>
      <c r="F241" t="inlineStr">
        <is>
          <t>Allmännings- och besparingsskogar</t>
        </is>
      </c>
      <c r="G241" t="n">
        <v>50</v>
      </c>
      <c r="H241" t="n">
        <v>0</v>
      </c>
      <c r="I241" t="n">
        <v>0</v>
      </c>
      <c r="J241" t="n">
        <v>0</v>
      </c>
      <c r="K241" t="n">
        <v>0</v>
      </c>
      <c r="L241" t="n">
        <v>0</v>
      </c>
      <c r="M241" t="n">
        <v>0</v>
      </c>
      <c r="N241" t="n">
        <v>0</v>
      </c>
      <c r="O241" t="n">
        <v>0</v>
      </c>
      <c r="P241" t="n">
        <v>0</v>
      </c>
      <c r="Q241" t="n">
        <v>0</v>
      </c>
      <c r="R241" s="2" t="inlineStr"/>
    </row>
    <row r="242" ht="15" customHeight="1">
      <c r="A242" t="inlineStr">
        <is>
          <t>A 53658-2022</t>
        </is>
      </c>
      <c r="B242" s="1" t="n">
        <v>44879</v>
      </c>
      <c r="C242" s="1" t="n">
        <v>46193</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29463-2024</t>
        </is>
      </c>
      <c r="B243" s="1" t="n">
        <v>45483</v>
      </c>
      <c r="C243" s="1" t="n">
        <v>46193</v>
      </c>
      <c r="D243" t="inlineStr">
        <is>
          <t>VÄSTERBOTTENS LÄN</t>
        </is>
      </c>
      <c r="E243" t="inlineStr">
        <is>
          <t>VILHELMINA</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12043-2023</t>
        </is>
      </c>
      <c r="B244" s="1" t="n">
        <v>44995</v>
      </c>
      <c r="C244" s="1" t="n">
        <v>46193</v>
      </c>
      <c r="D244" t="inlineStr">
        <is>
          <t>VÄSTERBOTTENS LÄN</t>
        </is>
      </c>
      <c r="E244" t="inlineStr">
        <is>
          <t>VILHELMINA</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36348-2024</t>
        </is>
      </c>
      <c r="B245" s="1" t="n">
        <v>45534</v>
      </c>
      <c r="C245" s="1" t="n">
        <v>46193</v>
      </c>
      <c r="D245" t="inlineStr">
        <is>
          <t>VÄSTERBOTTENS LÄN</t>
        </is>
      </c>
      <c r="E245" t="inlineStr">
        <is>
          <t>VILHELMINA</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32253-2024</t>
        </is>
      </c>
      <c r="B246" s="1" t="n">
        <v>45511</v>
      </c>
      <c r="C246" s="1" t="n">
        <v>46193</v>
      </c>
      <c r="D246" t="inlineStr">
        <is>
          <t>VÄSTERBOTTENS LÄN</t>
        </is>
      </c>
      <c r="E246" t="inlineStr">
        <is>
          <t>VILHELMINA</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48574-2021</t>
        </is>
      </c>
      <c r="B247" s="1" t="n">
        <v>44452</v>
      </c>
      <c r="C247" s="1" t="n">
        <v>46193</v>
      </c>
      <c r="D247" t="inlineStr">
        <is>
          <t>VÄSTERBOTTENS LÄN</t>
        </is>
      </c>
      <c r="E247" t="inlineStr">
        <is>
          <t>VILHELMINA</t>
        </is>
      </c>
      <c r="F247" t="inlineStr">
        <is>
          <t>Allmännings- och besparingsskogar</t>
        </is>
      </c>
      <c r="G247" t="n">
        <v>85.09999999999999</v>
      </c>
      <c r="H247" t="n">
        <v>0</v>
      </c>
      <c r="I247" t="n">
        <v>0</v>
      </c>
      <c r="J247" t="n">
        <v>0</v>
      </c>
      <c r="K247" t="n">
        <v>0</v>
      </c>
      <c r="L247" t="n">
        <v>0</v>
      </c>
      <c r="M247" t="n">
        <v>0</v>
      </c>
      <c r="N247" t="n">
        <v>0</v>
      </c>
      <c r="O247" t="n">
        <v>0</v>
      </c>
      <c r="P247" t="n">
        <v>0</v>
      </c>
      <c r="Q247" t="n">
        <v>0</v>
      </c>
      <c r="R247" s="2" t="inlineStr"/>
    </row>
    <row r="248" ht="15" customHeight="1">
      <c r="A248" t="inlineStr">
        <is>
          <t>A 48117-2022</t>
        </is>
      </c>
      <c r="B248" s="1" t="n">
        <v>44857</v>
      </c>
      <c r="C248" s="1" t="n">
        <v>46193</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57795-2023</t>
        </is>
      </c>
      <c r="B249" s="1" t="n">
        <v>45246</v>
      </c>
      <c r="C249" s="1" t="n">
        <v>46193</v>
      </c>
      <c r="D249" t="inlineStr">
        <is>
          <t>VÄSTERBOTTENS LÄN</t>
        </is>
      </c>
      <c r="E249" t="inlineStr">
        <is>
          <t>VILHELMINA</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28380-2023</t>
        </is>
      </c>
      <c r="B250" s="1" t="n">
        <v>45099</v>
      </c>
      <c r="C250" s="1" t="n">
        <v>46193</v>
      </c>
      <c r="D250" t="inlineStr">
        <is>
          <t>VÄSTERBOTTENS LÄN</t>
        </is>
      </c>
      <c r="E250" t="inlineStr">
        <is>
          <t>VILHELMINA</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72487-2021</t>
        </is>
      </c>
      <c r="B251" s="1" t="n">
        <v>44545</v>
      </c>
      <c r="C251" s="1" t="n">
        <v>46193</v>
      </c>
      <c r="D251" t="inlineStr">
        <is>
          <t>VÄSTERBOTTENS LÄN</t>
        </is>
      </c>
      <c r="E251" t="inlineStr">
        <is>
          <t>VILHELMINA</t>
        </is>
      </c>
      <c r="G251" t="n">
        <v>1.2</v>
      </c>
      <c r="H251" t="n">
        <v>0</v>
      </c>
      <c r="I251" t="n">
        <v>0</v>
      </c>
      <c r="J251" t="n">
        <v>0</v>
      </c>
      <c r="K251" t="n">
        <v>0</v>
      </c>
      <c r="L251" t="n">
        <v>0</v>
      </c>
      <c r="M251" t="n">
        <v>0</v>
      </c>
      <c r="N251" t="n">
        <v>0</v>
      </c>
      <c r="O251" t="n">
        <v>0</v>
      </c>
      <c r="P251" t="n">
        <v>0</v>
      </c>
      <c r="Q251" t="n">
        <v>0</v>
      </c>
      <c r="R251" s="2" t="inlineStr"/>
    </row>
    <row r="252" ht="15" customHeight="1">
      <c r="A252" t="inlineStr">
        <is>
          <t>A 34799-2023</t>
        </is>
      </c>
      <c r="B252" s="1" t="n">
        <v>45140</v>
      </c>
      <c r="C252" s="1" t="n">
        <v>46193</v>
      </c>
      <c r="D252" t="inlineStr">
        <is>
          <t>VÄSTERBOTTENS LÄN</t>
        </is>
      </c>
      <c r="E252" t="inlineStr">
        <is>
          <t>VILHELMINA</t>
        </is>
      </c>
      <c r="G252" t="n">
        <v>17.4</v>
      </c>
      <c r="H252" t="n">
        <v>0</v>
      </c>
      <c r="I252" t="n">
        <v>0</v>
      </c>
      <c r="J252" t="n">
        <v>0</v>
      </c>
      <c r="K252" t="n">
        <v>0</v>
      </c>
      <c r="L252" t="n">
        <v>0</v>
      </c>
      <c r="M252" t="n">
        <v>0</v>
      </c>
      <c r="N252" t="n">
        <v>0</v>
      </c>
      <c r="O252" t="n">
        <v>0</v>
      </c>
      <c r="P252" t="n">
        <v>0</v>
      </c>
      <c r="Q252" t="n">
        <v>0</v>
      </c>
      <c r="R252" s="2" t="inlineStr"/>
    </row>
    <row r="253" ht="15" customHeight="1">
      <c r="A253" t="inlineStr">
        <is>
          <t>A 30572-2024</t>
        </is>
      </c>
      <c r="B253" s="1" t="n">
        <v>45492</v>
      </c>
      <c r="C253" s="1" t="n">
        <v>46193</v>
      </c>
      <c r="D253" t="inlineStr">
        <is>
          <t>VÄSTERBOTTENS LÄN</t>
        </is>
      </c>
      <c r="E253" t="inlineStr">
        <is>
          <t>VILHELMINA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30582-2024</t>
        </is>
      </c>
      <c r="B254" s="1" t="n">
        <v>45492</v>
      </c>
      <c r="C254" s="1" t="n">
        <v>46193</v>
      </c>
      <c r="D254" t="inlineStr">
        <is>
          <t>VÄSTERBOTTENS LÄN</t>
        </is>
      </c>
      <c r="E254" t="inlineStr">
        <is>
          <t>VILHELMINA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55620-2024</t>
        </is>
      </c>
      <c r="B255" s="1" t="n">
        <v>45622</v>
      </c>
      <c r="C255" s="1" t="n">
        <v>46193</v>
      </c>
      <c r="D255" t="inlineStr">
        <is>
          <t>VÄSTERBOTTENS LÄN</t>
        </is>
      </c>
      <c r="E255" t="inlineStr">
        <is>
          <t>VILHELMINA</t>
        </is>
      </c>
      <c r="F255" t="inlineStr">
        <is>
          <t>SCA</t>
        </is>
      </c>
      <c r="G255" t="n">
        <v>21.4</v>
      </c>
      <c r="H255" t="n">
        <v>0</v>
      </c>
      <c r="I255" t="n">
        <v>0</v>
      </c>
      <c r="J255" t="n">
        <v>0</v>
      </c>
      <c r="K255" t="n">
        <v>0</v>
      </c>
      <c r="L255" t="n">
        <v>0</v>
      </c>
      <c r="M255" t="n">
        <v>0</v>
      </c>
      <c r="N255" t="n">
        <v>0</v>
      </c>
      <c r="O255" t="n">
        <v>0</v>
      </c>
      <c r="P255" t="n">
        <v>0</v>
      </c>
      <c r="Q255" t="n">
        <v>0</v>
      </c>
      <c r="R255" s="2" t="inlineStr"/>
    </row>
    <row r="256" ht="15" customHeight="1">
      <c r="A256" t="inlineStr">
        <is>
          <t>A 65151-2021</t>
        </is>
      </c>
      <c r="B256" s="1" t="n">
        <v>44515</v>
      </c>
      <c r="C256" s="1" t="n">
        <v>46193</v>
      </c>
      <c r="D256" t="inlineStr">
        <is>
          <t>VÄSTERBOTTENS LÄN</t>
        </is>
      </c>
      <c r="E256" t="inlineStr">
        <is>
          <t>VILHELMINA</t>
        </is>
      </c>
      <c r="G256" t="n">
        <v>11.8</v>
      </c>
      <c r="H256" t="n">
        <v>0</v>
      </c>
      <c r="I256" t="n">
        <v>0</v>
      </c>
      <c r="J256" t="n">
        <v>0</v>
      </c>
      <c r="K256" t="n">
        <v>0</v>
      </c>
      <c r="L256" t="n">
        <v>0</v>
      </c>
      <c r="M256" t="n">
        <v>0</v>
      </c>
      <c r="N256" t="n">
        <v>0</v>
      </c>
      <c r="O256" t="n">
        <v>0</v>
      </c>
      <c r="P256" t="n">
        <v>0</v>
      </c>
      <c r="Q256" t="n">
        <v>0</v>
      </c>
      <c r="R256" s="2" t="inlineStr"/>
    </row>
    <row r="257" ht="15" customHeight="1">
      <c r="A257" t="inlineStr">
        <is>
          <t>A 65159-2021</t>
        </is>
      </c>
      <c r="B257" s="1" t="n">
        <v>44515</v>
      </c>
      <c r="C257" s="1" t="n">
        <v>46193</v>
      </c>
      <c r="D257" t="inlineStr">
        <is>
          <t>VÄSTERBOTTENS LÄN</t>
        </is>
      </c>
      <c r="E257" t="inlineStr">
        <is>
          <t>VILHELMINA</t>
        </is>
      </c>
      <c r="G257" t="n">
        <v>5</v>
      </c>
      <c r="H257" t="n">
        <v>0</v>
      </c>
      <c r="I257" t="n">
        <v>0</v>
      </c>
      <c r="J257" t="n">
        <v>0</v>
      </c>
      <c r="K257" t="n">
        <v>0</v>
      </c>
      <c r="L257" t="n">
        <v>0</v>
      </c>
      <c r="M257" t="n">
        <v>0</v>
      </c>
      <c r="N257" t="n">
        <v>0</v>
      </c>
      <c r="O257" t="n">
        <v>0</v>
      </c>
      <c r="P257" t="n">
        <v>0</v>
      </c>
      <c r="Q257" t="n">
        <v>0</v>
      </c>
      <c r="R257" s="2" t="inlineStr"/>
    </row>
    <row r="258" ht="15" customHeight="1">
      <c r="A258" t="inlineStr">
        <is>
          <t>A 35686-2022</t>
        </is>
      </c>
      <c r="B258" s="1" t="n">
        <v>44799</v>
      </c>
      <c r="C258" s="1" t="n">
        <v>46193</v>
      </c>
      <c r="D258" t="inlineStr">
        <is>
          <t>VÄSTERBOTTENS LÄN</t>
        </is>
      </c>
      <c r="E258" t="inlineStr">
        <is>
          <t>VILHELMINA</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37320-2021</t>
        </is>
      </c>
      <c r="B259" s="1" t="n">
        <v>44397</v>
      </c>
      <c r="C259" s="1" t="n">
        <v>46193</v>
      </c>
      <c r="D259" t="inlineStr">
        <is>
          <t>VÄSTERBOTTENS LÄN</t>
        </is>
      </c>
      <c r="E259" t="inlineStr">
        <is>
          <t>VILHELMINA</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8555-2023</t>
        </is>
      </c>
      <c r="B260" s="1" t="n">
        <v>44972</v>
      </c>
      <c r="C260" s="1" t="n">
        <v>46193</v>
      </c>
      <c r="D260" t="inlineStr">
        <is>
          <t>VÄSTERBOTTENS LÄN</t>
        </is>
      </c>
      <c r="E260" t="inlineStr">
        <is>
          <t>VILHELMINA</t>
        </is>
      </c>
      <c r="F260" t="inlineStr">
        <is>
          <t>Allmännings- och besparingsskogar</t>
        </is>
      </c>
      <c r="G260" t="n">
        <v>39</v>
      </c>
      <c r="H260" t="n">
        <v>0</v>
      </c>
      <c r="I260" t="n">
        <v>0</v>
      </c>
      <c r="J260" t="n">
        <v>0</v>
      </c>
      <c r="K260" t="n">
        <v>0</v>
      </c>
      <c r="L260" t="n">
        <v>0</v>
      </c>
      <c r="M260" t="n">
        <v>0</v>
      </c>
      <c r="N260" t="n">
        <v>0</v>
      </c>
      <c r="O260" t="n">
        <v>0</v>
      </c>
      <c r="P260" t="n">
        <v>0</v>
      </c>
      <c r="Q260" t="n">
        <v>0</v>
      </c>
      <c r="R260" s="2" t="inlineStr"/>
    </row>
    <row r="261" ht="15" customHeight="1">
      <c r="A261" t="inlineStr">
        <is>
          <t>A 12362-2025</t>
        </is>
      </c>
      <c r="B261" s="1" t="n">
        <v>45730</v>
      </c>
      <c r="C261" s="1" t="n">
        <v>46193</v>
      </c>
      <c r="D261" t="inlineStr">
        <is>
          <t>VÄSTERBOTTENS LÄN</t>
        </is>
      </c>
      <c r="E261" t="inlineStr">
        <is>
          <t>VILHELMINA</t>
        </is>
      </c>
      <c r="F261" t="inlineStr">
        <is>
          <t>Övriga statliga verk och myndigheter</t>
        </is>
      </c>
      <c r="G261" t="n">
        <v>6.1</v>
      </c>
      <c r="H261" t="n">
        <v>0</v>
      </c>
      <c r="I261" t="n">
        <v>0</v>
      </c>
      <c r="J261" t="n">
        <v>0</v>
      </c>
      <c r="K261" t="n">
        <v>0</v>
      </c>
      <c r="L261" t="n">
        <v>0</v>
      </c>
      <c r="M261" t="n">
        <v>0</v>
      </c>
      <c r="N261" t="n">
        <v>0</v>
      </c>
      <c r="O261" t="n">
        <v>0</v>
      </c>
      <c r="P261" t="n">
        <v>0</v>
      </c>
      <c r="Q261" t="n">
        <v>0</v>
      </c>
      <c r="R261" s="2" t="inlineStr"/>
    </row>
    <row r="262" ht="15" customHeight="1">
      <c r="A262" t="inlineStr">
        <is>
          <t>A 52740-2023</t>
        </is>
      </c>
      <c r="B262" s="1" t="n">
        <v>45225</v>
      </c>
      <c r="C262" s="1" t="n">
        <v>46193</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12763-2025</t>
        </is>
      </c>
      <c r="B263" s="1" t="n">
        <v>45733</v>
      </c>
      <c r="C263" s="1" t="n">
        <v>46193</v>
      </c>
      <c r="D263" t="inlineStr">
        <is>
          <t>VÄSTERBOTTENS LÄN</t>
        </is>
      </c>
      <c r="E263" t="inlineStr">
        <is>
          <t>VILHELMINA</t>
        </is>
      </c>
      <c r="F263" t="inlineStr">
        <is>
          <t>SCA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14959-2022</t>
        </is>
      </c>
      <c r="B264" s="1" t="n">
        <v>44657</v>
      </c>
      <c r="C264" s="1" t="n">
        <v>46193</v>
      </c>
      <c r="D264" t="inlineStr">
        <is>
          <t>VÄSTERBOTTENS LÄN</t>
        </is>
      </c>
      <c r="E264" t="inlineStr">
        <is>
          <t>VILHELMINA</t>
        </is>
      </c>
      <c r="G264" t="n">
        <v>71.8</v>
      </c>
      <c r="H264" t="n">
        <v>0</v>
      </c>
      <c r="I264" t="n">
        <v>0</v>
      </c>
      <c r="J264" t="n">
        <v>0</v>
      </c>
      <c r="K264" t="n">
        <v>0</v>
      </c>
      <c r="L264" t="n">
        <v>0</v>
      </c>
      <c r="M264" t="n">
        <v>0</v>
      </c>
      <c r="N264" t="n">
        <v>0</v>
      </c>
      <c r="O264" t="n">
        <v>0</v>
      </c>
      <c r="P264" t="n">
        <v>0</v>
      </c>
      <c r="Q264" t="n">
        <v>0</v>
      </c>
      <c r="R264" s="2" t="inlineStr"/>
    </row>
    <row r="265" ht="15" customHeight="1">
      <c r="A265" t="inlineStr">
        <is>
          <t>A 60682-2022</t>
        </is>
      </c>
      <c r="B265" s="1" t="n">
        <v>44911</v>
      </c>
      <c r="C265" s="1" t="n">
        <v>46193</v>
      </c>
      <c r="D265" t="inlineStr">
        <is>
          <t>VÄSTERBOTTENS LÄN</t>
        </is>
      </c>
      <c r="E265" t="inlineStr">
        <is>
          <t>VILHELMINA</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12825-2023</t>
        </is>
      </c>
      <c r="B266" s="1" t="n">
        <v>45000</v>
      </c>
      <c r="C266" s="1" t="n">
        <v>46193</v>
      </c>
      <c r="D266" t="inlineStr">
        <is>
          <t>VÄSTERBOTTENS LÄN</t>
        </is>
      </c>
      <c r="E266" t="inlineStr">
        <is>
          <t>VILHELMINA</t>
        </is>
      </c>
      <c r="G266" t="n">
        <v>22.4</v>
      </c>
      <c r="H266" t="n">
        <v>0</v>
      </c>
      <c r="I266" t="n">
        <v>0</v>
      </c>
      <c r="J266" t="n">
        <v>0</v>
      </c>
      <c r="K266" t="n">
        <v>0</v>
      </c>
      <c r="L266" t="n">
        <v>0</v>
      </c>
      <c r="M266" t="n">
        <v>0</v>
      </c>
      <c r="N266" t="n">
        <v>0</v>
      </c>
      <c r="O266" t="n">
        <v>0</v>
      </c>
      <c r="P266" t="n">
        <v>0</v>
      </c>
      <c r="Q266" t="n">
        <v>0</v>
      </c>
      <c r="R266" s="2" t="inlineStr"/>
    </row>
    <row r="267" ht="15" customHeight="1">
      <c r="A267" t="inlineStr">
        <is>
          <t>A 37716-2024</t>
        </is>
      </c>
      <c r="B267" s="1" t="n">
        <v>45541</v>
      </c>
      <c r="C267" s="1" t="n">
        <v>46193</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37717-2024</t>
        </is>
      </c>
      <c r="B268" s="1" t="n">
        <v>45541</v>
      </c>
      <c r="C268" s="1" t="n">
        <v>46193</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19349-2024</t>
        </is>
      </c>
      <c r="B269" s="1" t="n">
        <v>45428</v>
      </c>
      <c r="C269" s="1" t="n">
        <v>46193</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38222-2024</t>
        </is>
      </c>
      <c r="B270" s="1" t="n">
        <v>45545</v>
      </c>
      <c r="C270" s="1" t="n">
        <v>46193</v>
      </c>
      <c r="D270" t="inlineStr">
        <is>
          <t>VÄSTERBOTTENS LÄN</t>
        </is>
      </c>
      <c r="E270" t="inlineStr">
        <is>
          <t>VILHELMINA</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3237-2024</t>
        </is>
      </c>
      <c r="B271" s="1" t="n">
        <v>45316</v>
      </c>
      <c r="C271" s="1" t="n">
        <v>46193</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36909-2024</t>
        </is>
      </c>
      <c r="B272" s="1" t="n">
        <v>45538</v>
      </c>
      <c r="C272" s="1" t="n">
        <v>46193</v>
      </c>
      <c r="D272" t="inlineStr">
        <is>
          <t>VÄSTERBOTTENS LÄN</t>
        </is>
      </c>
      <c r="E272" t="inlineStr">
        <is>
          <t>VILHELMINA</t>
        </is>
      </c>
      <c r="F272" t="inlineStr">
        <is>
          <t>SCA</t>
        </is>
      </c>
      <c r="G272" t="n">
        <v>16.8</v>
      </c>
      <c r="H272" t="n">
        <v>0</v>
      </c>
      <c r="I272" t="n">
        <v>0</v>
      </c>
      <c r="J272" t="n">
        <v>0</v>
      </c>
      <c r="K272" t="n">
        <v>0</v>
      </c>
      <c r="L272" t="n">
        <v>0</v>
      </c>
      <c r="M272" t="n">
        <v>0</v>
      </c>
      <c r="N272" t="n">
        <v>0</v>
      </c>
      <c r="O272" t="n">
        <v>0</v>
      </c>
      <c r="P272" t="n">
        <v>0</v>
      </c>
      <c r="Q272" t="n">
        <v>0</v>
      </c>
      <c r="R272" s="2" t="inlineStr"/>
    </row>
    <row r="273" ht="15" customHeight="1">
      <c r="A273" t="inlineStr">
        <is>
          <t>A 18692-2023</t>
        </is>
      </c>
      <c r="B273" s="1" t="n">
        <v>45042</v>
      </c>
      <c r="C273" s="1" t="n">
        <v>46193</v>
      </c>
      <c r="D273" t="inlineStr">
        <is>
          <t>VÄSTERBOTTENS LÄN</t>
        </is>
      </c>
      <c r="E273" t="inlineStr">
        <is>
          <t>VILHELMINA</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58363-2021</t>
        </is>
      </c>
      <c r="B274" s="1" t="n">
        <v>44488</v>
      </c>
      <c r="C274" s="1" t="n">
        <v>46193</v>
      </c>
      <c r="D274" t="inlineStr">
        <is>
          <t>VÄSTERBOTTENS LÄN</t>
        </is>
      </c>
      <c r="E274" t="inlineStr">
        <is>
          <t>VILHELMINA</t>
        </is>
      </c>
      <c r="G274" t="n">
        <v>7.3</v>
      </c>
      <c r="H274" t="n">
        <v>0</v>
      </c>
      <c r="I274" t="n">
        <v>0</v>
      </c>
      <c r="J274" t="n">
        <v>0</v>
      </c>
      <c r="K274" t="n">
        <v>0</v>
      </c>
      <c r="L274" t="n">
        <v>0</v>
      </c>
      <c r="M274" t="n">
        <v>0</v>
      </c>
      <c r="N274" t="n">
        <v>0</v>
      </c>
      <c r="O274" t="n">
        <v>0</v>
      </c>
      <c r="P274" t="n">
        <v>0</v>
      </c>
      <c r="Q274" t="n">
        <v>0</v>
      </c>
      <c r="R274" s="2" t="inlineStr"/>
    </row>
    <row r="275" ht="15" customHeight="1">
      <c r="A275" t="inlineStr">
        <is>
          <t>A 41644-2024</t>
        </is>
      </c>
      <c r="B275" s="1" t="n">
        <v>45560</v>
      </c>
      <c r="C275" s="1" t="n">
        <v>46193</v>
      </c>
      <c r="D275" t="inlineStr">
        <is>
          <t>VÄSTERBOTTENS LÄN</t>
        </is>
      </c>
      <c r="E275" t="inlineStr">
        <is>
          <t>VILHELMINA</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48422-2023</t>
        </is>
      </c>
      <c r="B276" s="1" t="n">
        <v>45205</v>
      </c>
      <c r="C276" s="1" t="n">
        <v>46193</v>
      </c>
      <c r="D276" t="inlineStr">
        <is>
          <t>VÄSTERBOTTENS LÄN</t>
        </is>
      </c>
      <c r="E276" t="inlineStr">
        <is>
          <t>VILHELMINA</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48483-2023</t>
        </is>
      </c>
      <c r="B277" s="1" t="n">
        <v>45206</v>
      </c>
      <c r="C277" s="1" t="n">
        <v>46193</v>
      </c>
      <c r="D277" t="inlineStr">
        <is>
          <t>VÄSTERBOTTENS LÄN</t>
        </is>
      </c>
      <c r="E277" t="inlineStr">
        <is>
          <t>VILHELMINA</t>
        </is>
      </c>
      <c r="F277" t="inlineStr">
        <is>
          <t>SCA</t>
        </is>
      </c>
      <c r="G277" t="n">
        <v>7.6</v>
      </c>
      <c r="H277" t="n">
        <v>0</v>
      </c>
      <c r="I277" t="n">
        <v>0</v>
      </c>
      <c r="J277" t="n">
        <v>0</v>
      </c>
      <c r="K277" t="n">
        <v>0</v>
      </c>
      <c r="L277" t="n">
        <v>0</v>
      </c>
      <c r="M277" t="n">
        <v>0</v>
      </c>
      <c r="N277" t="n">
        <v>0</v>
      </c>
      <c r="O277" t="n">
        <v>0</v>
      </c>
      <c r="P277" t="n">
        <v>0</v>
      </c>
      <c r="Q277" t="n">
        <v>0</v>
      </c>
      <c r="R277" s="2" t="inlineStr"/>
    </row>
    <row r="278" ht="15" customHeight="1">
      <c r="A278" t="inlineStr">
        <is>
          <t>A 48505-2023</t>
        </is>
      </c>
      <c r="B278" s="1" t="n">
        <v>45207</v>
      </c>
      <c r="C278" s="1" t="n">
        <v>46193</v>
      </c>
      <c r="D278" t="inlineStr">
        <is>
          <t>VÄSTERBOTTENS LÄN</t>
        </is>
      </c>
      <c r="E278" t="inlineStr">
        <is>
          <t>VILHELMINA</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50489-2023</t>
        </is>
      </c>
      <c r="B279" s="1" t="n">
        <v>45216</v>
      </c>
      <c r="C279" s="1" t="n">
        <v>46193</v>
      </c>
      <c r="D279" t="inlineStr">
        <is>
          <t>VÄSTERBOTTENS LÄN</t>
        </is>
      </c>
      <c r="E279" t="inlineStr">
        <is>
          <t>VILHELMINA</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50506-2023</t>
        </is>
      </c>
      <c r="B280" s="1" t="n">
        <v>45216</v>
      </c>
      <c r="C280" s="1" t="n">
        <v>46193</v>
      </c>
      <c r="D280" t="inlineStr">
        <is>
          <t>VÄSTERBOTTENS LÄN</t>
        </is>
      </c>
      <c r="E280" t="inlineStr">
        <is>
          <t>VILHELMINA</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43741-2022</t>
        </is>
      </c>
      <c r="B281" s="1" t="n">
        <v>44837</v>
      </c>
      <c r="C281" s="1" t="n">
        <v>46193</v>
      </c>
      <c r="D281" t="inlineStr">
        <is>
          <t>VÄSTERBOTTENS LÄN</t>
        </is>
      </c>
      <c r="E281" t="inlineStr">
        <is>
          <t>VILHELMINA</t>
        </is>
      </c>
      <c r="G281" t="n">
        <v>54.2</v>
      </c>
      <c r="H281" t="n">
        <v>0</v>
      </c>
      <c r="I281" t="n">
        <v>0</v>
      </c>
      <c r="J281" t="n">
        <v>0</v>
      </c>
      <c r="K281" t="n">
        <v>0</v>
      </c>
      <c r="L281" t="n">
        <v>0</v>
      </c>
      <c r="M281" t="n">
        <v>0</v>
      </c>
      <c r="N281" t="n">
        <v>0</v>
      </c>
      <c r="O281" t="n">
        <v>0</v>
      </c>
      <c r="P281" t="n">
        <v>0</v>
      </c>
      <c r="Q281" t="n">
        <v>0</v>
      </c>
      <c r="R281" s="2" t="inlineStr"/>
    </row>
    <row r="282" ht="15" customHeight="1">
      <c r="A282" t="inlineStr">
        <is>
          <t>A 27920-2022</t>
        </is>
      </c>
      <c r="B282" s="1" t="n">
        <v>44743</v>
      </c>
      <c r="C282" s="1" t="n">
        <v>46193</v>
      </c>
      <c r="D282" t="inlineStr">
        <is>
          <t>VÄSTERBOTTENS LÄN</t>
        </is>
      </c>
      <c r="E282" t="inlineStr">
        <is>
          <t>VILHELMINA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53606-2024</t>
        </is>
      </c>
      <c r="B283" s="1" t="n">
        <v>45614</v>
      </c>
      <c r="C283" s="1" t="n">
        <v>46193</v>
      </c>
      <c r="D283" t="inlineStr">
        <is>
          <t>VÄSTERBOTTENS LÄN</t>
        </is>
      </c>
      <c r="E283" t="inlineStr">
        <is>
          <t>VILHELMINA</t>
        </is>
      </c>
      <c r="F283" t="inlineStr">
        <is>
          <t>SCA</t>
        </is>
      </c>
      <c r="G283" t="n">
        <v>10.1</v>
      </c>
      <c r="H283" t="n">
        <v>0</v>
      </c>
      <c r="I283" t="n">
        <v>0</v>
      </c>
      <c r="J283" t="n">
        <v>0</v>
      </c>
      <c r="K283" t="n">
        <v>0</v>
      </c>
      <c r="L283" t="n">
        <v>0</v>
      </c>
      <c r="M283" t="n">
        <v>0</v>
      </c>
      <c r="N283" t="n">
        <v>0</v>
      </c>
      <c r="O283" t="n">
        <v>0</v>
      </c>
      <c r="P283" t="n">
        <v>0</v>
      </c>
      <c r="Q283" t="n">
        <v>0</v>
      </c>
      <c r="R283" s="2" t="inlineStr"/>
    </row>
    <row r="284" ht="15" customHeight="1">
      <c r="A284" t="inlineStr">
        <is>
          <t>A 59030-2022</t>
        </is>
      </c>
      <c r="B284" s="1" t="n">
        <v>44903</v>
      </c>
      <c r="C284" s="1" t="n">
        <v>46193</v>
      </c>
      <c r="D284" t="inlineStr">
        <is>
          <t>VÄSTERBOTTENS LÄN</t>
        </is>
      </c>
      <c r="E284" t="inlineStr">
        <is>
          <t>VILHELMINA</t>
        </is>
      </c>
      <c r="G284" t="n">
        <v>17.8</v>
      </c>
      <c r="H284" t="n">
        <v>0</v>
      </c>
      <c r="I284" t="n">
        <v>0</v>
      </c>
      <c r="J284" t="n">
        <v>0</v>
      </c>
      <c r="K284" t="n">
        <v>0</v>
      </c>
      <c r="L284" t="n">
        <v>0</v>
      </c>
      <c r="M284" t="n">
        <v>0</v>
      </c>
      <c r="N284" t="n">
        <v>0</v>
      </c>
      <c r="O284" t="n">
        <v>0</v>
      </c>
      <c r="P284" t="n">
        <v>0</v>
      </c>
      <c r="Q284" t="n">
        <v>0</v>
      </c>
      <c r="R284" s="2" t="inlineStr"/>
    </row>
    <row r="285" ht="15" customHeight="1">
      <c r="A285" t="inlineStr">
        <is>
          <t>A 33786-2024</t>
        </is>
      </c>
      <c r="B285" s="1" t="n">
        <v>45520</v>
      </c>
      <c r="C285" s="1" t="n">
        <v>46193</v>
      </c>
      <c r="D285" t="inlineStr">
        <is>
          <t>VÄSTERBOTTENS LÄN</t>
        </is>
      </c>
      <c r="E285" t="inlineStr">
        <is>
          <t>VILHELMINA</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28869-2024</t>
        </is>
      </c>
      <c r="B286" s="1" t="n">
        <v>45478</v>
      </c>
      <c r="C286" s="1" t="n">
        <v>46193</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33318-2024</t>
        </is>
      </c>
      <c r="B287" s="1" t="n">
        <v>45518</v>
      </c>
      <c r="C287" s="1" t="n">
        <v>46193</v>
      </c>
      <c r="D287" t="inlineStr">
        <is>
          <t>VÄSTERBOTTENS LÄN</t>
        </is>
      </c>
      <c r="E287" t="inlineStr">
        <is>
          <t>VILHELMINA</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33321-2024</t>
        </is>
      </c>
      <c r="B288" s="1" t="n">
        <v>45518</v>
      </c>
      <c r="C288" s="1" t="n">
        <v>46193</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62630-2022</t>
        </is>
      </c>
      <c r="B289" s="1" t="n">
        <v>44917</v>
      </c>
      <c r="C289" s="1" t="n">
        <v>46193</v>
      </c>
      <c r="D289" t="inlineStr">
        <is>
          <t>VÄSTERBOTTENS LÄN</t>
        </is>
      </c>
      <c r="E289" t="inlineStr">
        <is>
          <t>VILHELMINA</t>
        </is>
      </c>
      <c r="G289" t="n">
        <v>0.9</v>
      </c>
      <c r="H289" t="n">
        <v>0</v>
      </c>
      <c r="I289" t="n">
        <v>0</v>
      </c>
      <c r="J289" t="n">
        <v>0</v>
      </c>
      <c r="K289" t="n">
        <v>0</v>
      </c>
      <c r="L289" t="n">
        <v>0</v>
      </c>
      <c r="M289" t="n">
        <v>0</v>
      </c>
      <c r="N289" t="n">
        <v>0</v>
      </c>
      <c r="O289" t="n">
        <v>0</v>
      </c>
      <c r="P289" t="n">
        <v>0</v>
      </c>
      <c r="Q289" t="n">
        <v>0</v>
      </c>
      <c r="R289" s="2" t="inlineStr"/>
    </row>
    <row r="290" ht="15" customHeight="1">
      <c r="A290" t="inlineStr">
        <is>
          <t>A 31656-2021</t>
        </is>
      </c>
      <c r="B290" s="1" t="n">
        <v>44377</v>
      </c>
      <c r="C290" s="1" t="n">
        <v>46193</v>
      </c>
      <c r="D290" t="inlineStr">
        <is>
          <t>VÄSTERBOTTENS LÄN</t>
        </is>
      </c>
      <c r="E290" t="inlineStr">
        <is>
          <t>VILHELMINA</t>
        </is>
      </c>
      <c r="G290" t="n">
        <v>0.9</v>
      </c>
      <c r="H290" t="n">
        <v>0</v>
      </c>
      <c r="I290" t="n">
        <v>0</v>
      </c>
      <c r="J290" t="n">
        <v>0</v>
      </c>
      <c r="K290" t="n">
        <v>0</v>
      </c>
      <c r="L290" t="n">
        <v>0</v>
      </c>
      <c r="M290" t="n">
        <v>0</v>
      </c>
      <c r="N290" t="n">
        <v>0</v>
      </c>
      <c r="O290" t="n">
        <v>0</v>
      </c>
      <c r="P290" t="n">
        <v>0</v>
      </c>
      <c r="Q290" t="n">
        <v>0</v>
      </c>
      <c r="R290" s="2" t="inlineStr"/>
    </row>
    <row r="291" ht="15" customHeight="1">
      <c r="A291" t="inlineStr">
        <is>
          <t>A 27194-2024</t>
        </is>
      </c>
      <c r="B291" s="1" t="n">
        <v>45471</v>
      </c>
      <c r="C291" s="1" t="n">
        <v>46193</v>
      </c>
      <c r="D291" t="inlineStr">
        <is>
          <t>VÄSTERBOTTENS LÄN</t>
        </is>
      </c>
      <c r="E291" t="inlineStr">
        <is>
          <t>VILHELMINA</t>
        </is>
      </c>
      <c r="G291" t="n">
        <v>8.5</v>
      </c>
      <c r="H291" t="n">
        <v>0</v>
      </c>
      <c r="I291" t="n">
        <v>0</v>
      </c>
      <c r="J291" t="n">
        <v>0</v>
      </c>
      <c r="K291" t="n">
        <v>0</v>
      </c>
      <c r="L291" t="n">
        <v>0</v>
      </c>
      <c r="M291" t="n">
        <v>0</v>
      </c>
      <c r="N291" t="n">
        <v>0</v>
      </c>
      <c r="O291" t="n">
        <v>0</v>
      </c>
      <c r="P291" t="n">
        <v>0</v>
      </c>
      <c r="Q291" t="n">
        <v>0</v>
      </c>
      <c r="R291" s="2" t="inlineStr"/>
    </row>
    <row r="292" ht="15" customHeight="1">
      <c r="A292" t="inlineStr">
        <is>
          <t>A 16626-2024</t>
        </is>
      </c>
      <c r="B292" s="1" t="n">
        <v>45408</v>
      </c>
      <c r="C292" s="1" t="n">
        <v>46193</v>
      </c>
      <c r="D292" t="inlineStr">
        <is>
          <t>VÄSTERBOTTENS LÄN</t>
        </is>
      </c>
      <c r="E292" t="inlineStr">
        <is>
          <t>VILHELMINA</t>
        </is>
      </c>
      <c r="G292" t="n">
        <v>15.5</v>
      </c>
      <c r="H292" t="n">
        <v>0</v>
      </c>
      <c r="I292" t="n">
        <v>0</v>
      </c>
      <c r="J292" t="n">
        <v>0</v>
      </c>
      <c r="K292" t="n">
        <v>0</v>
      </c>
      <c r="L292" t="n">
        <v>0</v>
      </c>
      <c r="M292" t="n">
        <v>0</v>
      </c>
      <c r="N292" t="n">
        <v>0</v>
      </c>
      <c r="O292" t="n">
        <v>0</v>
      </c>
      <c r="P292" t="n">
        <v>0</v>
      </c>
      <c r="Q292" t="n">
        <v>0</v>
      </c>
      <c r="R292" s="2" t="inlineStr"/>
    </row>
    <row r="293" ht="15" customHeight="1">
      <c r="A293" t="inlineStr">
        <is>
          <t>A 2742-2023</t>
        </is>
      </c>
      <c r="B293" s="1" t="n">
        <v>44943</v>
      </c>
      <c r="C293" s="1" t="n">
        <v>46193</v>
      </c>
      <c r="D293" t="inlineStr">
        <is>
          <t>VÄSTERBOTTENS LÄN</t>
        </is>
      </c>
      <c r="E293" t="inlineStr">
        <is>
          <t>VILHELMINA</t>
        </is>
      </c>
      <c r="G293" t="n">
        <v>34.8</v>
      </c>
      <c r="H293" t="n">
        <v>0</v>
      </c>
      <c r="I293" t="n">
        <v>0</v>
      </c>
      <c r="J293" t="n">
        <v>0</v>
      </c>
      <c r="K293" t="n">
        <v>0</v>
      </c>
      <c r="L293" t="n">
        <v>0</v>
      </c>
      <c r="M293" t="n">
        <v>0</v>
      </c>
      <c r="N293" t="n">
        <v>0</v>
      </c>
      <c r="O293" t="n">
        <v>0</v>
      </c>
      <c r="P293" t="n">
        <v>0</v>
      </c>
      <c r="Q293" t="n">
        <v>0</v>
      </c>
      <c r="R293" s="2" t="inlineStr"/>
    </row>
    <row r="294" ht="15" customHeight="1">
      <c r="A294" t="inlineStr">
        <is>
          <t>A 26947-2024</t>
        </is>
      </c>
      <c r="B294" s="1" t="n">
        <v>45470</v>
      </c>
      <c r="C294" s="1" t="n">
        <v>46193</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13200-2025</t>
        </is>
      </c>
      <c r="B295" s="1" t="n">
        <v>45735</v>
      </c>
      <c r="C295" s="1" t="n">
        <v>46193</v>
      </c>
      <c r="D295" t="inlineStr">
        <is>
          <t>VÄSTERBOTTENS LÄN</t>
        </is>
      </c>
      <c r="E295" t="inlineStr">
        <is>
          <t>VILHELMINA</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26557-2023</t>
        </is>
      </c>
      <c r="B296" s="1" t="n">
        <v>45089</v>
      </c>
      <c r="C296" s="1" t="n">
        <v>46193</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41330-2022</t>
        </is>
      </c>
      <c r="B297" s="1" t="n">
        <v>44826</v>
      </c>
      <c r="C297" s="1" t="n">
        <v>46193</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48600-2021</t>
        </is>
      </c>
      <c r="B298" s="1" t="n">
        <v>44452</v>
      </c>
      <c r="C298" s="1" t="n">
        <v>46193</v>
      </c>
      <c r="D298" t="inlineStr">
        <is>
          <t>VÄSTERBOTTENS LÄN</t>
        </is>
      </c>
      <c r="E298" t="inlineStr">
        <is>
          <t>VILHELMINA</t>
        </is>
      </c>
      <c r="F298" t="inlineStr">
        <is>
          <t>Allmännings- och besparingsskogar</t>
        </is>
      </c>
      <c r="G298" t="n">
        <v>48.6</v>
      </c>
      <c r="H298" t="n">
        <v>0</v>
      </c>
      <c r="I298" t="n">
        <v>0</v>
      </c>
      <c r="J298" t="n">
        <v>0</v>
      </c>
      <c r="K298" t="n">
        <v>0</v>
      </c>
      <c r="L298" t="n">
        <v>0</v>
      </c>
      <c r="M298" t="n">
        <v>0</v>
      </c>
      <c r="N298" t="n">
        <v>0</v>
      </c>
      <c r="O298" t="n">
        <v>0</v>
      </c>
      <c r="P298" t="n">
        <v>0</v>
      </c>
      <c r="Q298" t="n">
        <v>0</v>
      </c>
      <c r="R298" s="2" t="inlineStr"/>
    </row>
    <row r="299" ht="15" customHeight="1">
      <c r="A299" t="inlineStr">
        <is>
          <t>A 9497-2025</t>
        </is>
      </c>
      <c r="B299" s="1" t="n">
        <v>45715</v>
      </c>
      <c r="C299" s="1" t="n">
        <v>46193</v>
      </c>
      <c r="D299" t="inlineStr">
        <is>
          <t>VÄSTERBOTTENS LÄN</t>
        </is>
      </c>
      <c r="E299" t="inlineStr">
        <is>
          <t>VILHELMINA</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36957-2023</t>
        </is>
      </c>
      <c r="B300" s="1" t="n">
        <v>45154</v>
      </c>
      <c r="C300" s="1" t="n">
        <v>46193</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664-2022</t>
        </is>
      </c>
      <c r="B301" s="1" t="n">
        <v>44568</v>
      </c>
      <c r="C301" s="1" t="n">
        <v>46193</v>
      </c>
      <c r="D301" t="inlineStr">
        <is>
          <t>VÄSTERBOTTENS LÄN</t>
        </is>
      </c>
      <c r="E301" t="inlineStr">
        <is>
          <t>VILHELMINA</t>
        </is>
      </c>
      <c r="G301" t="n">
        <v>1.8</v>
      </c>
      <c r="H301" t="n">
        <v>0</v>
      </c>
      <c r="I301" t="n">
        <v>0</v>
      </c>
      <c r="J301" t="n">
        <v>0</v>
      </c>
      <c r="K301" t="n">
        <v>0</v>
      </c>
      <c r="L301" t="n">
        <v>0</v>
      </c>
      <c r="M301" t="n">
        <v>0</v>
      </c>
      <c r="N301" t="n">
        <v>0</v>
      </c>
      <c r="O301" t="n">
        <v>0</v>
      </c>
      <c r="P301" t="n">
        <v>0</v>
      </c>
      <c r="Q301" t="n">
        <v>0</v>
      </c>
      <c r="R301" s="2" t="inlineStr"/>
    </row>
    <row r="302" ht="15" customHeight="1">
      <c r="A302" t="inlineStr">
        <is>
          <t>A 11538-2024</t>
        </is>
      </c>
      <c r="B302" s="1" t="n">
        <v>45372</v>
      </c>
      <c r="C302" s="1" t="n">
        <v>46193</v>
      </c>
      <c r="D302" t="inlineStr">
        <is>
          <t>VÄSTERBOTTENS LÄN</t>
        </is>
      </c>
      <c r="E302" t="inlineStr">
        <is>
          <t>VILHELMINA</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45965-2023</t>
        </is>
      </c>
      <c r="B303" s="1" t="n">
        <v>45195</v>
      </c>
      <c r="C303" s="1" t="n">
        <v>46193</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12784-2023</t>
        </is>
      </c>
      <c r="B304" s="1" t="n">
        <v>45000</v>
      </c>
      <c r="C304" s="1" t="n">
        <v>46193</v>
      </c>
      <c r="D304" t="inlineStr">
        <is>
          <t>VÄSTERBOTTENS LÄN</t>
        </is>
      </c>
      <c r="E304" t="inlineStr">
        <is>
          <t>VILHELMINA</t>
        </is>
      </c>
      <c r="G304" t="n">
        <v>18.6</v>
      </c>
      <c r="H304" t="n">
        <v>0</v>
      </c>
      <c r="I304" t="n">
        <v>0</v>
      </c>
      <c r="J304" t="n">
        <v>0</v>
      </c>
      <c r="K304" t="n">
        <v>0</v>
      </c>
      <c r="L304" t="n">
        <v>0</v>
      </c>
      <c r="M304" t="n">
        <v>0</v>
      </c>
      <c r="N304" t="n">
        <v>0</v>
      </c>
      <c r="O304" t="n">
        <v>0</v>
      </c>
      <c r="P304" t="n">
        <v>0</v>
      </c>
      <c r="Q304" t="n">
        <v>0</v>
      </c>
      <c r="R304" s="2" t="inlineStr"/>
    </row>
    <row r="305" ht="15" customHeight="1">
      <c r="A305" t="inlineStr">
        <is>
          <t>A 38125-2024</t>
        </is>
      </c>
      <c r="B305" s="1" t="n">
        <v>45545</v>
      </c>
      <c r="C305" s="1" t="n">
        <v>46193</v>
      </c>
      <c r="D305" t="inlineStr">
        <is>
          <t>VÄSTERBOTTENS LÄN</t>
        </is>
      </c>
      <c r="E305" t="inlineStr">
        <is>
          <t>VILHELMINA</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38126-2024</t>
        </is>
      </c>
      <c r="B306" s="1" t="n">
        <v>45545</v>
      </c>
      <c r="C306" s="1" t="n">
        <v>46193</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38130-2024</t>
        </is>
      </c>
      <c r="B307" s="1" t="n">
        <v>45545</v>
      </c>
      <c r="C307" s="1" t="n">
        <v>46193</v>
      </c>
      <c r="D307" t="inlineStr">
        <is>
          <t>VÄSTERBOTTENS LÄN</t>
        </is>
      </c>
      <c r="E307" t="inlineStr">
        <is>
          <t>VILHELMINA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5947-2023</t>
        </is>
      </c>
      <c r="B308" s="1" t="n">
        <v>44963</v>
      </c>
      <c r="C308" s="1" t="n">
        <v>46193</v>
      </c>
      <c r="D308" t="inlineStr">
        <is>
          <t>VÄSTERBOTTENS LÄN</t>
        </is>
      </c>
      <c r="E308" t="inlineStr">
        <is>
          <t>VILHELMINA</t>
        </is>
      </c>
      <c r="G308" t="n">
        <v>4.3</v>
      </c>
      <c r="H308" t="n">
        <v>0</v>
      </c>
      <c r="I308" t="n">
        <v>0</v>
      </c>
      <c r="J308" t="n">
        <v>0</v>
      </c>
      <c r="K308" t="n">
        <v>0</v>
      </c>
      <c r="L308" t="n">
        <v>0</v>
      </c>
      <c r="M308" t="n">
        <v>0</v>
      </c>
      <c r="N308" t="n">
        <v>0</v>
      </c>
      <c r="O308" t="n">
        <v>0</v>
      </c>
      <c r="P308" t="n">
        <v>0</v>
      </c>
      <c r="Q308" t="n">
        <v>0</v>
      </c>
      <c r="R308" s="2" t="inlineStr"/>
    </row>
    <row r="309" ht="15" customHeight="1">
      <c r="A309" t="inlineStr">
        <is>
          <t>A 65179-2021</t>
        </is>
      </c>
      <c r="B309" s="1" t="n">
        <v>44515</v>
      </c>
      <c r="C309" s="1" t="n">
        <v>46193</v>
      </c>
      <c r="D309" t="inlineStr">
        <is>
          <t>VÄSTERBOTTENS LÄN</t>
        </is>
      </c>
      <c r="E309" t="inlineStr">
        <is>
          <t>VILHELMINA</t>
        </is>
      </c>
      <c r="G309" t="n">
        <v>8</v>
      </c>
      <c r="H309" t="n">
        <v>0</v>
      </c>
      <c r="I309" t="n">
        <v>0</v>
      </c>
      <c r="J309" t="n">
        <v>0</v>
      </c>
      <c r="K309" t="n">
        <v>0</v>
      </c>
      <c r="L309" t="n">
        <v>0</v>
      </c>
      <c r="M309" t="n">
        <v>0</v>
      </c>
      <c r="N309" t="n">
        <v>0</v>
      </c>
      <c r="O309" t="n">
        <v>0</v>
      </c>
      <c r="P309" t="n">
        <v>0</v>
      </c>
      <c r="Q309" t="n">
        <v>0</v>
      </c>
      <c r="R309" s="2" t="inlineStr"/>
    </row>
    <row r="310" ht="15" customHeight="1">
      <c r="A310" t="inlineStr">
        <is>
          <t>A 31896-2024</t>
        </is>
      </c>
      <c r="B310" s="1" t="n">
        <v>45509</v>
      </c>
      <c r="C310" s="1" t="n">
        <v>46193</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9732-2022</t>
        </is>
      </c>
      <c r="B311" s="1" t="n">
        <v>44617</v>
      </c>
      <c r="C311" s="1" t="n">
        <v>46193</v>
      </c>
      <c r="D311" t="inlineStr">
        <is>
          <t>VÄSTERBOTTENS LÄN</t>
        </is>
      </c>
      <c r="E311" t="inlineStr">
        <is>
          <t>VILHELMINA</t>
        </is>
      </c>
      <c r="F311" t="inlineStr">
        <is>
          <t>SCA</t>
        </is>
      </c>
      <c r="G311" t="n">
        <v>6.9</v>
      </c>
      <c r="H311" t="n">
        <v>0</v>
      </c>
      <c r="I311" t="n">
        <v>0</v>
      </c>
      <c r="J311" t="n">
        <v>0</v>
      </c>
      <c r="K311" t="n">
        <v>0</v>
      </c>
      <c r="L311" t="n">
        <v>0</v>
      </c>
      <c r="M311" t="n">
        <v>0</v>
      </c>
      <c r="N311" t="n">
        <v>0</v>
      </c>
      <c r="O311" t="n">
        <v>0</v>
      </c>
      <c r="P311" t="n">
        <v>0</v>
      </c>
      <c r="Q311" t="n">
        <v>0</v>
      </c>
      <c r="R311" s="2" t="inlineStr"/>
    </row>
    <row r="312" ht="15" customHeight="1">
      <c r="A312" t="inlineStr">
        <is>
          <t>A 39914-2023</t>
        </is>
      </c>
      <c r="B312" s="1" t="n">
        <v>45166</v>
      </c>
      <c r="C312" s="1" t="n">
        <v>46193</v>
      </c>
      <c r="D312" t="inlineStr">
        <is>
          <t>VÄSTERBOTTENS LÄN</t>
        </is>
      </c>
      <c r="E312" t="inlineStr">
        <is>
          <t>VILHELMINA</t>
        </is>
      </c>
      <c r="G312" t="n">
        <v>27.5</v>
      </c>
      <c r="H312" t="n">
        <v>0</v>
      </c>
      <c r="I312" t="n">
        <v>0</v>
      </c>
      <c r="J312" t="n">
        <v>0</v>
      </c>
      <c r="K312" t="n">
        <v>0</v>
      </c>
      <c r="L312" t="n">
        <v>0</v>
      </c>
      <c r="M312" t="n">
        <v>0</v>
      </c>
      <c r="N312" t="n">
        <v>0</v>
      </c>
      <c r="O312" t="n">
        <v>0</v>
      </c>
      <c r="P312" t="n">
        <v>0</v>
      </c>
      <c r="Q312" t="n">
        <v>0</v>
      </c>
      <c r="R312" s="2" t="inlineStr"/>
    </row>
    <row r="313" ht="15" customHeight="1">
      <c r="A313" t="inlineStr">
        <is>
          <t>A 26499-2024</t>
        </is>
      </c>
      <c r="B313" s="1" t="n">
        <v>45469</v>
      </c>
      <c r="C313" s="1" t="n">
        <v>46193</v>
      </c>
      <c r="D313" t="inlineStr">
        <is>
          <t>VÄSTERBOTTENS LÄN</t>
        </is>
      </c>
      <c r="E313" t="inlineStr">
        <is>
          <t>VILHELMINA</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8745-2023</t>
        </is>
      </c>
      <c r="B314" s="1" t="n">
        <v>44972</v>
      </c>
      <c r="C314" s="1" t="n">
        <v>46193</v>
      </c>
      <c r="D314" t="inlineStr">
        <is>
          <t>VÄSTERBOTTENS LÄN</t>
        </is>
      </c>
      <c r="E314" t="inlineStr">
        <is>
          <t>VILHELMINA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19423-2022</t>
        </is>
      </c>
      <c r="B315" s="1" t="n">
        <v>44693</v>
      </c>
      <c r="C315" s="1" t="n">
        <v>46193</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16719-2025</t>
        </is>
      </c>
      <c r="B316" s="1" t="n">
        <v>45754</v>
      </c>
      <c r="C316" s="1" t="n">
        <v>46193</v>
      </c>
      <c r="D316" t="inlineStr">
        <is>
          <t>VÄSTERBOTTENS LÄN</t>
        </is>
      </c>
      <c r="E316" t="inlineStr">
        <is>
          <t>VILHELMINA</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20324-2025</t>
        </is>
      </c>
      <c r="B317" s="1" t="n">
        <v>45775</v>
      </c>
      <c r="C317" s="1" t="n">
        <v>46193</v>
      </c>
      <c r="D317" t="inlineStr">
        <is>
          <t>VÄSTERBOTTENS LÄN</t>
        </is>
      </c>
      <c r="E317" t="inlineStr">
        <is>
          <t>VILHELMINA</t>
        </is>
      </c>
      <c r="G317" t="n">
        <v>3.5</v>
      </c>
      <c r="H317" t="n">
        <v>0</v>
      </c>
      <c r="I317" t="n">
        <v>0</v>
      </c>
      <c r="J317" t="n">
        <v>0</v>
      </c>
      <c r="K317" t="n">
        <v>0</v>
      </c>
      <c r="L317" t="n">
        <v>0</v>
      </c>
      <c r="M317" t="n">
        <v>0</v>
      </c>
      <c r="N317" t="n">
        <v>0</v>
      </c>
      <c r="O317" t="n">
        <v>0</v>
      </c>
      <c r="P317" t="n">
        <v>0</v>
      </c>
      <c r="Q317" t="n">
        <v>0</v>
      </c>
      <c r="R317" s="2" t="inlineStr"/>
    </row>
    <row r="318" ht="15" customHeight="1">
      <c r="A318" t="inlineStr">
        <is>
          <t>A 34630-2024</t>
        </is>
      </c>
      <c r="B318" s="1" t="n">
        <v>45526</v>
      </c>
      <c r="C318" s="1" t="n">
        <v>46193</v>
      </c>
      <c r="D318" t="inlineStr">
        <is>
          <t>VÄSTERBOTTENS LÄN</t>
        </is>
      </c>
      <c r="E318" t="inlineStr">
        <is>
          <t>VILHELMINA</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54727-2022</t>
        </is>
      </c>
      <c r="B319" s="1" t="n">
        <v>44881</v>
      </c>
      <c r="C319" s="1" t="n">
        <v>46193</v>
      </c>
      <c r="D319" t="inlineStr">
        <is>
          <t>VÄSTERBOTTENS LÄN</t>
        </is>
      </c>
      <c r="E319" t="inlineStr">
        <is>
          <t>VILHELMINA</t>
        </is>
      </c>
      <c r="G319" t="n">
        <v>4.3</v>
      </c>
      <c r="H319" t="n">
        <v>0</v>
      </c>
      <c r="I319" t="n">
        <v>0</v>
      </c>
      <c r="J319" t="n">
        <v>0</v>
      </c>
      <c r="K319" t="n">
        <v>0</v>
      </c>
      <c r="L319" t="n">
        <v>0</v>
      </c>
      <c r="M319" t="n">
        <v>0</v>
      </c>
      <c r="N319" t="n">
        <v>0</v>
      </c>
      <c r="O319" t="n">
        <v>0</v>
      </c>
      <c r="P319" t="n">
        <v>0</v>
      </c>
      <c r="Q319" t="n">
        <v>0</v>
      </c>
      <c r="R319" s="2" t="inlineStr"/>
    </row>
    <row r="320" ht="15" customHeight="1">
      <c r="A320" t="inlineStr">
        <is>
          <t>A 72488-2021</t>
        </is>
      </c>
      <c r="B320" s="1" t="n">
        <v>44545</v>
      </c>
      <c r="C320" s="1" t="n">
        <v>46193</v>
      </c>
      <c r="D320" t="inlineStr">
        <is>
          <t>VÄSTERBOTTENS LÄN</t>
        </is>
      </c>
      <c r="E320" t="inlineStr">
        <is>
          <t>VILHELMINA</t>
        </is>
      </c>
      <c r="G320" t="n">
        <v>2</v>
      </c>
      <c r="H320" t="n">
        <v>0</v>
      </c>
      <c r="I320" t="n">
        <v>0</v>
      </c>
      <c r="J320" t="n">
        <v>0</v>
      </c>
      <c r="K320" t="n">
        <v>0</v>
      </c>
      <c r="L320" t="n">
        <v>0</v>
      </c>
      <c r="M320" t="n">
        <v>0</v>
      </c>
      <c r="N320" t="n">
        <v>0</v>
      </c>
      <c r="O320" t="n">
        <v>0</v>
      </c>
      <c r="P320" t="n">
        <v>0</v>
      </c>
      <c r="Q320" t="n">
        <v>0</v>
      </c>
      <c r="R320" s="2" t="inlineStr"/>
    </row>
    <row r="321" ht="15" customHeight="1">
      <c r="A321" t="inlineStr">
        <is>
          <t>A 72493-2021</t>
        </is>
      </c>
      <c r="B321" s="1" t="n">
        <v>44545</v>
      </c>
      <c r="C321" s="1" t="n">
        <v>46193</v>
      </c>
      <c r="D321" t="inlineStr">
        <is>
          <t>VÄSTERBOTTENS LÄN</t>
        </is>
      </c>
      <c r="E321" t="inlineStr">
        <is>
          <t>VILHELMINA</t>
        </is>
      </c>
      <c r="G321" t="n">
        <v>4.2</v>
      </c>
      <c r="H321" t="n">
        <v>0</v>
      </c>
      <c r="I321" t="n">
        <v>0</v>
      </c>
      <c r="J321" t="n">
        <v>0</v>
      </c>
      <c r="K321" t="n">
        <v>0</v>
      </c>
      <c r="L321" t="n">
        <v>0</v>
      </c>
      <c r="M321" t="n">
        <v>0</v>
      </c>
      <c r="N321" t="n">
        <v>0</v>
      </c>
      <c r="O321" t="n">
        <v>0</v>
      </c>
      <c r="P321" t="n">
        <v>0</v>
      </c>
      <c r="Q321" t="n">
        <v>0</v>
      </c>
      <c r="R321" s="2" t="inlineStr"/>
    </row>
    <row r="322" ht="15" customHeight="1">
      <c r="A322" t="inlineStr">
        <is>
          <t>A 8733-2023</t>
        </is>
      </c>
      <c r="B322" s="1" t="n">
        <v>44972</v>
      </c>
      <c r="C322" s="1" t="n">
        <v>46193</v>
      </c>
      <c r="D322" t="inlineStr">
        <is>
          <t>VÄSTERBOTTENS LÄN</t>
        </is>
      </c>
      <c r="E322" t="inlineStr">
        <is>
          <t>VILHELMINA</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8759-2023</t>
        </is>
      </c>
      <c r="B323" s="1" t="n">
        <v>44972</v>
      </c>
      <c r="C323" s="1" t="n">
        <v>46193</v>
      </c>
      <c r="D323" t="inlineStr">
        <is>
          <t>VÄSTERBOTTENS LÄN</t>
        </is>
      </c>
      <c r="E323" t="inlineStr">
        <is>
          <t>VILHELMINA</t>
        </is>
      </c>
      <c r="F323" t="inlineStr">
        <is>
          <t>Allmännings- och besparingsskogar</t>
        </is>
      </c>
      <c r="G323" t="n">
        <v>23.4</v>
      </c>
      <c r="H323" t="n">
        <v>0</v>
      </c>
      <c r="I323" t="n">
        <v>0</v>
      </c>
      <c r="J323" t="n">
        <v>0</v>
      </c>
      <c r="K323" t="n">
        <v>0</v>
      </c>
      <c r="L323" t="n">
        <v>0</v>
      </c>
      <c r="M323" t="n">
        <v>0</v>
      </c>
      <c r="N323" t="n">
        <v>0</v>
      </c>
      <c r="O323" t="n">
        <v>0</v>
      </c>
      <c r="P323" t="n">
        <v>0</v>
      </c>
      <c r="Q323" t="n">
        <v>0</v>
      </c>
      <c r="R323" s="2" t="inlineStr"/>
    </row>
    <row r="324" ht="15" customHeight="1">
      <c r="A324" t="inlineStr">
        <is>
          <t>A 36972-2023</t>
        </is>
      </c>
      <c r="B324" s="1" t="n">
        <v>45154</v>
      </c>
      <c r="C324" s="1" t="n">
        <v>46193</v>
      </c>
      <c r="D324" t="inlineStr">
        <is>
          <t>VÄSTERBOTTENS LÄN</t>
        </is>
      </c>
      <c r="E324" t="inlineStr">
        <is>
          <t>VILHELMINA</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7102-2024</t>
        </is>
      </c>
      <c r="B325" s="1" t="n">
        <v>45343</v>
      </c>
      <c r="C325" s="1" t="n">
        <v>46193</v>
      </c>
      <c r="D325" t="inlineStr">
        <is>
          <t>VÄSTERBOTTENS LÄN</t>
        </is>
      </c>
      <c r="E325" t="inlineStr">
        <is>
          <t>VILHELMINA</t>
        </is>
      </c>
      <c r="G325" t="n">
        <v>3.2</v>
      </c>
      <c r="H325" t="n">
        <v>0</v>
      </c>
      <c r="I325" t="n">
        <v>0</v>
      </c>
      <c r="J325" t="n">
        <v>0</v>
      </c>
      <c r="K325" t="n">
        <v>0</v>
      </c>
      <c r="L325" t="n">
        <v>0</v>
      </c>
      <c r="M325" t="n">
        <v>0</v>
      </c>
      <c r="N325" t="n">
        <v>0</v>
      </c>
      <c r="O325" t="n">
        <v>0</v>
      </c>
      <c r="P325" t="n">
        <v>0</v>
      </c>
      <c r="Q325" t="n">
        <v>0</v>
      </c>
      <c r="R325" s="2" t="inlineStr"/>
    </row>
    <row r="326" ht="15" customHeight="1">
      <c r="A326" t="inlineStr">
        <is>
          <t>A 12065-2022</t>
        </is>
      </c>
      <c r="B326" s="1" t="n">
        <v>44637</v>
      </c>
      <c r="C326" s="1" t="n">
        <v>46193</v>
      </c>
      <c r="D326" t="inlineStr">
        <is>
          <t>VÄSTERBOTTENS LÄN</t>
        </is>
      </c>
      <c r="E326" t="inlineStr">
        <is>
          <t>VILHELMINA</t>
        </is>
      </c>
      <c r="G326" t="n">
        <v>27.7</v>
      </c>
      <c r="H326" t="n">
        <v>0</v>
      </c>
      <c r="I326" t="n">
        <v>0</v>
      </c>
      <c r="J326" t="n">
        <v>0</v>
      </c>
      <c r="K326" t="n">
        <v>0</v>
      </c>
      <c r="L326" t="n">
        <v>0</v>
      </c>
      <c r="M326" t="n">
        <v>0</v>
      </c>
      <c r="N326" t="n">
        <v>0</v>
      </c>
      <c r="O326" t="n">
        <v>0</v>
      </c>
      <c r="P326" t="n">
        <v>0</v>
      </c>
      <c r="Q326" t="n">
        <v>0</v>
      </c>
      <c r="R326" s="2" t="inlineStr"/>
    </row>
    <row r="327" ht="15" customHeight="1">
      <c r="A327" t="inlineStr">
        <is>
          <t>A 2488-2023</t>
        </is>
      </c>
      <c r="B327" s="1" t="n">
        <v>44943</v>
      </c>
      <c r="C327" s="1" t="n">
        <v>46193</v>
      </c>
      <c r="D327" t="inlineStr">
        <is>
          <t>VÄSTERBOTTENS LÄN</t>
        </is>
      </c>
      <c r="E327" t="inlineStr">
        <is>
          <t>VILHELMINA</t>
        </is>
      </c>
      <c r="G327" t="n">
        <v>69.3</v>
      </c>
      <c r="H327" t="n">
        <v>0</v>
      </c>
      <c r="I327" t="n">
        <v>0</v>
      </c>
      <c r="J327" t="n">
        <v>0</v>
      </c>
      <c r="K327" t="n">
        <v>0</v>
      </c>
      <c r="L327" t="n">
        <v>0</v>
      </c>
      <c r="M327" t="n">
        <v>0</v>
      </c>
      <c r="N327" t="n">
        <v>0</v>
      </c>
      <c r="O327" t="n">
        <v>0</v>
      </c>
      <c r="P327" t="n">
        <v>0</v>
      </c>
      <c r="Q327" t="n">
        <v>0</v>
      </c>
      <c r="R327" s="2" t="inlineStr"/>
    </row>
    <row r="328" ht="15" customHeight="1">
      <c r="A328" t="inlineStr">
        <is>
          <t>A 17432-2025</t>
        </is>
      </c>
      <c r="B328" s="1" t="n">
        <v>45757</v>
      </c>
      <c r="C328" s="1" t="n">
        <v>46193</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26401-2022</t>
        </is>
      </c>
      <c r="B329" s="1" t="n">
        <v>44735</v>
      </c>
      <c r="C329" s="1" t="n">
        <v>46193</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56891-2023</t>
        </is>
      </c>
      <c r="B330" s="1" t="n">
        <v>45239</v>
      </c>
      <c r="C330" s="1" t="n">
        <v>46193</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60317-2021</t>
        </is>
      </c>
      <c r="B331" s="1" t="n">
        <v>44495</v>
      </c>
      <c r="C331" s="1" t="n">
        <v>46193</v>
      </c>
      <c r="D331" t="inlineStr">
        <is>
          <t>VÄSTERBOTTENS LÄN</t>
        </is>
      </c>
      <c r="E331" t="inlineStr">
        <is>
          <t>VILHELMINA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9534-2023</t>
        </is>
      </c>
      <c r="B332" s="1" t="n">
        <v>44981</v>
      </c>
      <c r="C332" s="1" t="n">
        <v>46193</v>
      </c>
      <c r="D332" t="inlineStr">
        <is>
          <t>VÄSTERBOTTENS LÄN</t>
        </is>
      </c>
      <c r="E332" t="inlineStr">
        <is>
          <t>VILHELMINA</t>
        </is>
      </c>
      <c r="G332" t="n">
        <v>1.7</v>
      </c>
      <c r="H332" t="n">
        <v>0</v>
      </c>
      <c r="I332" t="n">
        <v>0</v>
      </c>
      <c r="J332" t="n">
        <v>0</v>
      </c>
      <c r="K332" t="n">
        <v>0</v>
      </c>
      <c r="L332" t="n">
        <v>0</v>
      </c>
      <c r="M332" t="n">
        <v>0</v>
      </c>
      <c r="N332" t="n">
        <v>0</v>
      </c>
      <c r="O332" t="n">
        <v>0</v>
      </c>
      <c r="P332" t="n">
        <v>0</v>
      </c>
      <c r="Q332" t="n">
        <v>0</v>
      </c>
      <c r="R332" s="2" t="inlineStr"/>
    </row>
    <row r="333" ht="15" customHeight="1">
      <c r="A333" t="inlineStr">
        <is>
          <t>A 38409-2025</t>
        </is>
      </c>
      <c r="B333" s="1" t="n">
        <v>45883</v>
      </c>
      <c r="C333" s="1" t="n">
        <v>46193</v>
      </c>
      <c r="D333" t="inlineStr">
        <is>
          <t>VÄSTERBOTTENS LÄN</t>
        </is>
      </c>
      <c r="E333" t="inlineStr">
        <is>
          <t>VILHELMINA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56747-2023</t>
        </is>
      </c>
      <c r="B334" s="1" t="n">
        <v>45238</v>
      </c>
      <c r="C334" s="1" t="n">
        <v>46193</v>
      </c>
      <c r="D334" t="inlineStr">
        <is>
          <t>VÄSTERBOTTENS LÄN</t>
        </is>
      </c>
      <c r="E334" t="inlineStr">
        <is>
          <t>VILHELMINA</t>
        </is>
      </c>
      <c r="F334" t="inlineStr">
        <is>
          <t>Allmännings- och besparingsskogar</t>
        </is>
      </c>
      <c r="G334" t="n">
        <v>16.2</v>
      </c>
      <c r="H334" t="n">
        <v>0</v>
      </c>
      <c r="I334" t="n">
        <v>0</v>
      </c>
      <c r="J334" t="n">
        <v>0</v>
      </c>
      <c r="K334" t="n">
        <v>0</v>
      </c>
      <c r="L334" t="n">
        <v>0</v>
      </c>
      <c r="M334" t="n">
        <v>0</v>
      </c>
      <c r="N334" t="n">
        <v>0</v>
      </c>
      <c r="O334" t="n">
        <v>0</v>
      </c>
      <c r="P334" t="n">
        <v>0</v>
      </c>
      <c r="Q334" t="n">
        <v>0</v>
      </c>
      <c r="R334" s="2" t="inlineStr"/>
    </row>
    <row r="335" ht="15" customHeight="1">
      <c r="A335" t="inlineStr">
        <is>
          <t>A 56758-2023</t>
        </is>
      </c>
      <c r="B335" s="1" t="n">
        <v>45238</v>
      </c>
      <c r="C335" s="1" t="n">
        <v>46193</v>
      </c>
      <c r="D335" t="inlineStr">
        <is>
          <t>VÄSTERBOTTENS LÄN</t>
        </is>
      </c>
      <c r="E335" t="inlineStr">
        <is>
          <t>VILHELMINA</t>
        </is>
      </c>
      <c r="F335" t="inlineStr">
        <is>
          <t>Allmännings- och besparingsskogar</t>
        </is>
      </c>
      <c r="G335" t="n">
        <v>371.4</v>
      </c>
      <c r="H335" t="n">
        <v>0</v>
      </c>
      <c r="I335" t="n">
        <v>0</v>
      </c>
      <c r="J335" t="n">
        <v>0</v>
      </c>
      <c r="K335" t="n">
        <v>0</v>
      </c>
      <c r="L335" t="n">
        <v>0</v>
      </c>
      <c r="M335" t="n">
        <v>0</v>
      </c>
      <c r="N335" t="n">
        <v>0</v>
      </c>
      <c r="O335" t="n">
        <v>0</v>
      </c>
      <c r="P335" t="n">
        <v>0</v>
      </c>
      <c r="Q335" t="n">
        <v>0</v>
      </c>
      <c r="R335" s="2" t="inlineStr"/>
    </row>
    <row r="336" ht="15" customHeight="1">
      <c r="A336" t="inlineStr">
        <is>
          <t>A 38356-2025</t>
        </is>
      </c>
      <c r="B336" s="1" t="n">
        <v>45883</v>
      </c>
      <c r="C336" s="1" t="n">
        <v>46193</v>
      </c>
      <c r="D336" t="inlineStr">
        <is>
          <t>VÄSTERBOTTENS LÄN</t>
        </is>
      </c>
      <c r="E336" t="inlineStr">
        <is>
          <t>VILHELMINA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38212-2025</t>
        </is>
      </c>
      <c r="B337" s="1" t="n">
        <v>45882</v>
      </c>
      <c r="C337" s="1" t="n">
        <v>46193</v>
      </c>
      <c r="D337" t="inlineStr">
        <is>
          <t>VÄSTERBOTTENS LÄN</t>
        </is>
      </c>
      <c r="E337" t="inlineStr">
        <is>
          <t>VILHELMINA</t>
        </is>
      </c>
      <c r="G337" t="n">
        <v>11.7</v>
      </c>
      <c r="H337" t="n">
        <v>0</v>
      </c>
      <c r="I337" t="n">
        <v>0</v>
      </c>
      <c r="J337" t="n">
        <v>0</v>
      </c>
      <c r="K337" t="n">
        <v>0</v>
      </c>
      <c r="L337" t="n">
        <v>0</v>
      </c>
      <c r="M337" t="n">
        <v>0</v>
      </c>
      <c r="N337" t="n">
        <v>0</v>
      </c>
      <c r="O337" t="n">
        <v>0</v>
      </c>
      <c r="P337" t="n">
        <v>0</v>
      </c>
      <c r="Q337" t="n">
        <v>0</v>
      </c>
      <c r="R337" s="2" t="inlineStr"/>
    </row>
    <row r="338" ht="15" customHeight="1">
      <c r="A338" t="inlineStr">
        <is>
          <t>A 38243-2025</t>
        </is>
      </c>
      <c r="B338" s="1" t="n">
        <v>45883</v>
      </c>
      <c r="C338" s="1" t="n">
        <v>46193</v>
      </c>
      <c r="D338" t="inlineStr">
        <is>
          <t>VÄSTERBOTTENS LÄN</t>
        </is>
      </c>
      <c r="E338" t="inlineStr">
        <is>
          <t>VILHELMINA</t>
        </is>
      </c>
      <c r="G338" t="n">
        <v>4.7</v>
      </c>
      <c r="H338" t="n">
        <v>0</v>
      </c>
      <c r="I338" t="n">
        <v>0</v>
      </c>
      <c r="J338" t="n">
        <v>0</v>
      </c>
      <c r="K338" t="n">
        <v>0</v>
      </c>
      <c r="L338" t="n">
        <v>0</v>
      </c>
      <c r="M338" t="n">
        <v>0</v>
      </c>
      <c r="N338" t="n">
        <v>0</v>
      </c>
      <c r="O338" t="n">
        <v>0</v>
      </c>
      <c r="P338" t="n">
        <v>0</v>
      </c>
      <c r="Q338" t="n">
        <v>0</v>
      </c>
      <c r="R338" s="2" t="inlineStr"/>
    </row>
    <row r="339" ht="15" customHeight="1">
      <c r="A339" t="inlineStr">
        <is>
          <t>A 44371-2023</t>
        </is>
      </c>
      <c r="B339" s="1" t="n">
        <v>45188</v>
      </c>
      <c r="C339" s="1" t="n">
        <v>46193</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38242-2025</t>
        </is>
      </c>
      <c r="B340" s="1" t="n">
        <v>45883</v>
      </c>
      <c r="C340" s="1" t="n">
        <v>46193</v>
      </c>
      <c r="D340" t="inlineStr">
        <is>
          <t>VÄSTERBOTTENS LÄN</t>
        </is>
      </c>
      <c r="E340" t="inlineStr">
        <is>
          <t>VILHELMINA</t>
        </is>
      </c>
      <c r="G340" t="n">
        <v>1.4</v>
      </c>
      <c r="H340" t="n">
        <v>0</v>
      </c>
      <c r="I340" t="n">
        <v>0</v>
      </c>
      <c r="J340" t="n">
        <v>0</v>
      </c>
      <c r="K340" t="n">
        <v>0</v>
      </c>
      <c r="L340" t="n">
        <v>0</v>
      </c>
      <c r="M340" t="n">
        <v>0</v>
      </c>
      <c r="N340" t="n">
        <v>0</v>
      </c>
      <c r="O340" t="n">
        <v>0</v>
      </c>
      <c r="P340" t="n">
        <v>0</v>
      </c>
      <c r="Q340" t="n">
        <v>0</v>
      </c>
      <c r="R340" s="2" t="inlineStr"/>
    </row>
    <row r="341" ht="15" customHeight="1">
      <c r="A341" t="inlineStr">
        <is>
          <t>A 54985-2023</t>
        </is>
      </c>
      <c r="B341" s="1" t="n">
        <v>45236</v>
      </c>
      <c r="C341" s="1" t="n">
        <v>46193</v>
      </c>
      <c r="D341" t="inlineStr">
        <is>
          <t>VÄSTERBOTTENS LÄN</t>
        </is>
      </c>
      <c r="E341" t="inlineStr">
        <is>
          <t>VILHELMINA</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38360-2025</t>
        </is>
      </c>
      <c r="B342" s="1" t="n">
        <v>45883</v>
      </c>
      <c r="C342" s="1" t="n">
        <v>46193</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46119-2022</t>
        </is>
      </c>
      <c r="B343" s="1" t="n">
        <v>44847</v>
      </c>
      <c r="C343" s="1" t="n">
        <v>46193</v>
      </c>
      <c r="D343" t="inlineStr">
        <is>
          <t>VÄSTERBOTTENS LÄN</t>
        </is>
      </c>
      <c r="E343" t="inlineStr">
        <is>
          <t>VILHELMINA</t>
        </is>
      </c>
      <c r="G343" t="n">
        <v>12.1</v>
      </c>
      <c r="H343" t="n">
        <v>0</v>
      </c>
      <c r="I343" t="n">
        <v>0</v>
      </c>
      <c r="J343" t="n">
        <v>0</v>
      </c>
      <c r="K343" t="n">
        <v>0</v>
      </c>
      <c r="L343" t="n">
        <v>0</v>
      </c>
      <c r="M343" t="n">
        <v>0</v>
      </c>
      <c r="N343" t="n">
        <v>0</v>
      </c>
      <c r="O343" t="n">
        <v>0</v>
      </c>
      <c r="P343" t="n">
        <v>0</v>
      </c>
      <c r="Q343" t="n">
        <v>0</v>
      </c>
      <c r="R343" s="2" t="inlineStr"/>
    </row>
    <row r="344" ht="15" customHeight="1">
      <c r="A344" t="inlineStr">
        <is>
          <t>A 46121-2022</t>
        </is>
      </c>
      <c r="B344" s="1" t="n">
        <v>44847</v>
      </c>
      <c r="C344" s="1" t="n">
        <v>46193</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38384-2025</t>
        </is>
      </c>
      <c r="B345" s="1" t="n">
        <v>45883</v>
      </c>
      <c r="C345" s="1" t="n">
        <v>46193</v>
      </c>
      <c r="D345" t="inlineStr">
        <is>
          <t>VÄSTERBOTTENS LÄN</t>
        </is>
      </c>
      <c r="E345" t="inlineStr">
        <is>
          <t>VILHELMINA</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38387-2025</t>
        </is>
      </c>
      <c r="B346" s="1" t="n">
        <v>45883</v>
      </c>
      <c r="C346" s="1" t="n">
        <v>46193</v>
      </c>
      <c r="D346" t="inlineStr">
        <is>
          <t>VÄSTERBOTTENS LÄN</t>
        </is>
      </c>
      <c r="E346" t="inlineStr">
        <is>
          <t>VILHELMINA</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20769-2024</t>
        </is>
      </c>
      <c r="B347" s="1" t="n">
        <v>45436</v>
      </c>
      <c r="C347" s="1" t="n">
        <v>46193</v>
      </c>
      <c r="D347" t="inlineStr">
        <is>
          <t>VÄSTERBOTTENS LÄN</t>
        </is>
      </c>
      <c r="E347" t="inlineStr">
        <is>
          <t>VILHELMINA</t>
        </is>
      </c>
      <c r="F347" t="inlineStr">
        <is>
          <t>SCA</t>
        </is>
      </c>
      <c r="G347" t="n">
        <v>7</v>
      </c>
      <c r="H347" t="n">
        <v>0</v>
      </c>
      <c r="I347" t="n">
        <v>0</v>
      </c>
      <c r="J347" t="n">
        <v>0</v>
      </c>
      <c r="K347" t="n">
        <v>0</v>
      </c>
      <c r="L347" t="n">
        <v>0</v>
      </c>
      <c r="M347" t="n">
        <v>0</v>
      </c>
      <c r="N347" t="n">
        <v>0</v>
      </c>
      <c r="O347" t="n">
        <v>0</v>
      </c>
      <c r="P347" t="n">
        <v>0</v>
      </c>
      <c r="Q347" t="n">
        <v>0</v>
      </c>
      <c r="R347" s="2" t="inlineStr"/>
    </row>
    <row r="348" ht="15" customHeight="1">
      <c r="A348" t="inlineStr">
        <is>
          <t>A 49599-2022</t>
        </is>
      </c>
      <c r="B348" s="1" t="n">
        <v>44859</v>
      </c>
      <c r="C348" s="1" t="n">
        <v>46193</v>
      </c>
      <c r="D348" t="inlineStr">
        <is>
          <t>VÄSTERBOTTENS LÄN</t>
        </is>
      </c>
      <c r="E348" t="inlineStr">
        <is>
          <t>VILHELMINA</t>
        </is>
      </c>
      <c r="G348" t="n">
        <v>3.6</v>
      </c>
      <c r="H348" t="n">
        <v>0</v>
      </c>
      <c r="I348" t="n">
        <v>0</v>
      </c>
      <c r="J348" t="n">
        <v>0</v>
      </c>
      <c r="K348" t="n">
        <v>0</v>
      </c>
      <c r="L348" t="n">
        <v>0</v>
      </c>
      <c r="M348" t="n">
        <v>0</v>
      </c>
      <c r="N348" t="n">
        <v>0</v>
      </c>
      <c r="O348" t="n">
        <v>0</v>
      </c>
      <c r="P348" t="n">
        <v>0</v>
      </c>
      <c r="Q348" t="n">
        <v>0</v>
      </c>
      <c r="R348" s="2" t="inlineStr"/>
    </row>
    <row r="349" ht="15" customHeight="1">
      <c r="A349" t="inlineStr">
        <is>
          <t>A 15059-2024</t>
        </is>
      </c>
      <c r="B349" s="1" t="n">
        <v>45399</v>
      </c>
      <c r="C349" s="1" t="n">
        <v>46193</v>
      </c>
      <c r="D349" t="inlineStr">
        <is>
          <t>VÄSTERBOTTENS LÄN</t>
        </is>
      </c>
      <c r="E349" t="inlineStr">
        <is>
          <t>VILHELMINA</t>
        </is>
      </c>
      <c r="G349" t="n">
        <v>0.8</v>
      </c>
      <c r="H349" t="n">
        <v>0</v>
      </c>
      <c r="I349" t="n">
        <v>0</v>
      </c>
      <c r="J349" t="n">
        <v>0</v>
      </c>
      <c r="K349" t="n">
        <v>0</v>
      </c>
      <c r="L349" t="n">
        <v>0</v>
      </c>
      <c r="M349" t="n">
        <v>0</v>
      </c>
      <c r="N349" t="n">
        <v>0</v>
      </c>
      <c r="O349" t="n">
        <v>0</v>
      </c>
      <c r="P349" t="n">
        <v>0</v>
      </c>
      <c r="Q349" t="n">
        <v>0</v>
      </c>
      <c r="R349" s="2" t="inlineStr"/>
    </row>
    <row r="350" ht="15" customHeight="1">
      <c r="A350" t="inlineStr">
        <is>
          <t>A 36082-2022</t>
        </is>
      </c>
      <c r="B350" s="1" t="n">
        <v>44802</v>
      </c>
      <c r="C350" s="1" t="n">
        <v>46193</v>
      </c>
      <c r="D350" t="inlineStr">
        <is>
          <t>VÄSTERBOTTENS LÄN</t>
        </is>
      </c>
      <c r="E350" t="inlineStr">
        <is>
          <t>VILHELMINA</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46071-2022</t>
        </is>
      </c>
      <c r="B351" s="1" t="n">
        <v>44847</v>
      </c>
      <c r="C351" s="1" t="n">
        <v>46193</v>
      </c>
      <c r="D351" t="inlineStr">
        <is>
          <t>VÄSTERBOTTENS LÄN</t>
        </is>
      </c>
      <c r="E351" t="inlineStr">
        <is>
          <t>VILHELMINA</t>
        </is>
      </c>
      <c r="G351" t="n">
        <v>10.6</v>
      </c>
      <c r="H351" t="n">
        <v>0</v>
      </c>
      <c r="I351" t="n">
        <v>0</v>
      </c>
      <c r="J351" t="n">
        <v>0</v>
      </c>
      <c r="K351" t="n">
        <v>0</v>
      </c>
      <c r="L351" t="n">
        <v>0</v>
      </c>
      <c r="M351" t="n">
        <v>0</v>
      </c>
      <c r="N351" t="n">
        <v>0</v>
      </c>
      <c r="O351" t="n">
        <v>0</v>
      </c>
      <c r="P351" t="n">
        <v>0</v>
      </c>
      <c r="Q351" t="n">
        <v>0</v>
      </c>
      <c r="R351" s="2" t="inlineStr"/>
    </row>
    <row r="352" ht="15" customHeight="1">
      <c r="A352" t="inlineStr">
        <is>
          <t>A 55327-2023</t>
        </is>
      </c>
      <c r="B352" s="1" t="n">
        <v>45237</v>
      </c>
      <c r="C352" s="1" t="n">
        <v>46193</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34763-2024</t>
        </is>
      </c>
      <c r="B353" s="1" t="n">
        <v>45526</v>
      </c>
      <c r="C353" s="1" t="n">
        <v>46193</v>
      </c>
      <c r="D353" t="inlineStr">
        <is>
          <t>VÄSTERBOTTENS LÄN</t>
        </is>
      </c>
      <c r="E353" t="inlineStr">
        <is>
          <t>VILHELMINA</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34764-2024</t>
        </is>
      </c>
      <c r="B354" s="1" t="n">
        <v>45526</v>
      </c>
      <c r="C354" s="1" t="n">
        <v>46193</v>
      </c>
      <c r="D354" t="inlineStr">
        <is>
          <t>VÄSTERBOTTENS LÄN</t>
        </is>
      </c>
      <c r="E354" t="inlineStr">
        <is>
          <t>VILHELMINA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17996-2024</t>
        </is>
      </c>
      <c r="B355" s="1" t="n">
        <v>45419</v>
      </c>
      <c r="C355" s="1" t="n">
        <v>46193</v>
      </c>
      <c r="D355" t="inlineStr">
        <is>
          <t>VÄSTERBOTTENS LÄN</t>
        </is>
      </c>
      <c r="E355" t="inlineStr">
        <is>
          <t>VILHELMINA</t>
        </is>
      </c>
      <c r="G355" t="n">
        <v>5.3</v>
      </c>
      <c r="H355" t="n">
        <v>0</v>
      </c>
      <c r="I355" t="n">
        <v>0</v>
      </c>
      <c r="J355" t="n">
        <v>0</v>
      </c>
      <c r="K355" t="n">
        <v>0</v>
      </c>
      <c r="L355" t="n">
        <v>0</v>
      </c>
      <c r="M355" t="n">
        <v>0</v>
      </c>
      <c r="N355" t="n">
        <v>0</v>
      </c>
      <c r="O355" t="n">
        <v>0</v>
      </c>
      <c r="P355" t="n">
        <v>0</v>
      </c>
      <c r="Q355" t="n">
        <v>0</v>
      </c>
      <c r="R355" s="2" t="inlineStr"/>
    </row>
    <row r="356" ht="15" customHeight="1">
      <c r="A356" t="inlineStr">
        <is>
          <t>A 23180-2024</t>
        </is>
      </c>
      <c r="B356" s="1" t="n">
        <v>45450</v>
      </c>
      <c r="C356" s="1" t="n">
        <v>46193</v>
      </c>
      <c r="D356" t="inlineStr">
        <is>
          <t>VÄSTERBOTTENS LÄN</t>
        </is>
      </c>
      <c r="E356" t="inlineStr">
        <is>
          <t>VILHELMINA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10418-2023</t>
        </is>
      </c>
      <c r="B357" s="1" t="n">
        <v>44987</v>
      </c>
      <c r="C357" s="1" t="n">
        <v>46193</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38430-2025</t>
        </is>
      </c>
      <c r="B358" s="1" t="n">
        <v>45883</v>
      </c>
      <c r="C358" s="1" t="n">
        <v>46193</v>
      </c>
      <c r="D358" t="inlineStr">
        <is>
          <t>VÄSTERBOTTENS LÄN</t>
        </is>
      </c>
      <c r="E358" t="inlineStr">
        <is>
          <t>VILHELMINA</t>
        </is>
      </c>
      <c r="G358" t="n">
        <v>36.7</v>
      </c>
      <c r="H358" t="n">
        <v>0</v>
      </c>
      <c r="I358" t="n">
        <v>0</v>
      </c>
      <c r="J358" t="n">
        <v>0</v>
      </c>
      <c r="K358" t="n">
        <v>0</v>
      </c>
      <c r="L358" t="n">
        <v>0</v>
      </c>
      <c r="M358" t="n">
        <v>0</v>
      </c>
      <c r="N358" t="n">
        <v>0</v>
      </c>
      <c r="O358" t="n">
        <v>0</v>
      </c>
      <c r="P358" t="n">
        <v>0</v>
      </c>
      <c r="Q358" t="n">
        <v>0</v>
      </c>
      <c r="R358" s="2" t="inlineStr"/>
    </row>
    <row r="359" ht="15" customHeight="1">
      <c r="A359" t="inlineStr">
        <is>
          <t>A 48229-2024</t>
        </is>
      </c>
      <c r="B359" s="1" t="n">
        <v>45590</v>
      </c>
      <c r="C359" s="1" t="n">
        <v>46193</v>
      </c>
      <c r="D359" t="inlineStr">
        <is>
          <t>VÄSTERBOTTENS LÄN</t>
        </is>
      </c>
      <c r="E359" t="inlineStr">
        <is>
          <t>VILHELMINA</t>
        </is>
      </c>
      <c r="G359" t="n">
        <v>11.6</v>
      </c>
      <c r="H359" t="n">
        <v>0</v>
      </c>
      <c r="I359" t="n">
        <v>0</v>
      </c>
      <c r="J359" t="n">
        <v>0</v>
      </c>
      <c r="K359" t="n">
        <v>0</v>
      </c>
      <c r="L359" t="n">
        <v>0</v>
      </c>
      <c r="M359" t="n">
        <v>0</v>
      </c>
      <c r="N359" t="n">
        <v>0</v>
      </c>
      <c r="O359" t="n">
        <v>0</v>
      </c>
      <c r="P359" t="n">
        <v>0</v>
      </c>
      <c r="Q359" t="n">
        <v>0</v>
      </c>
      <c r="R359" s="2" t="inlineStr"/>
    </row>
    <row r="360" ht="15" customHeight="1">
      <c r="A360" t="inlineStr">
        <is>
          <t>A 48068-2022</t>
        </is>
      </c>
      <c r="B360" s="1" t="n">
        <v>44855</v>
      </c>
      <c r="C360" s="1" t="n">
        <v>46193</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34087-2023</t>
        </is>
      </c>
      <c r="B361" s="1" t="n">
        <v>45125</v>
      </c>
      <c r="C361" s="1" t="n">
        <v>46193</v>
      </c>
      <c r="D361" t="inlineStr">
        <is>
          <t>VÄSTERBOTTENS LÄN</t>
        </is>
      </c>
      <c r="E361" t="inlineStr">
        <is>
          <t>VILHELMINA</t>
        </is>
      </c>
      <c r="G361" t="n">
        <v>13.2</v>
      </c>
      <c r="H361" t="n">
        <v>0</v>
      </c>
      <c r="I361" t="n">
        <v>0</v>
      </c>
      <c r="J361" t="n">
        <v>0</v>
      </c>
      <c r="K361" t="n">
        <v>0</v>
      </c>
      <c r="L361" t="n">
        <v>0</v>
      </c>
      <c r="M361" t="n">
        <v>0</v>
      </c>
      <c r="N361" t="n">
        <v>0</v>
      </c>
      <c r="O361" t="n">
        <v>0</v>
      </c>
      <c r="P361" t="n">
        <v>0</v>
      </c>
      <c r="Q361" t="n">
        <v>0</v>
      </c>
      <c r="R361" s="2" t="inlineStr"/>
    </row>
    <row r="362" ht="15" customHeight="1">
      <c r="A362" t="inlineStr">
        <is>
          <t>A 36288-2021</t>
        </is>
      </c>
      <c r="B362" s="1" t="n">
        <v>44389</v>
      </c>
      <c r="C362" s="1" t="n">
        <v>46193</v>
      </c>
      <c r="D362" t="inlineStr">
        <is>
          <t>VÄSTERBOTTENS LÄN</t>
        </is>
      </c>
      <c r="E362" t="inlineStr">
        <is>
          <t>VILHELMINA</t>
        </is>
      </c>
      <c r="G362" t="n">
        <v>20.5</v>
      </c>
      <c r="H362" t="n">
        <v>0</v>
      </c>
      <c r="I362" t="n">
        <v>0</v>
      </c>
      <c r="J362" t="n">
        <v>0</v>
      </c>
      <c r="K362" t="n">
        <v>0</v>
      </c>
      <c r="L362" t="n">
        <v>0</v>
      </c>
      <c r="M362" t="n">
        <v>0</v>
      </c>
      <c r="N362" t="n">
        <v>0</v>
      </c>
      <c r="O362" t="n">
        <v>0</v>
      </c>
      <c r="P362" t="n">
        <v>0</v>
      </c>
      <c r="Q362" t="n">
        <v>0</v>
      </c>
      <c r="R362" s="2" t="inlineStr"/>
    </row>
    <row r="363" ht="15" customHeight="1">
      <c r="A363" t="inlineStr">
        <is>
          <t>A 38580-2025</t>
        </is>
      </c>
      <c r="B363" s="1" t="n">
        <v>45884</v>
      </c>
      <c r="C363" s="1" t="n">
        <v>46193</v>
      </c>
      <c r="D363" t="inlineStr">
        <is>
          <t>VÄSTERBOTTENS LÄN</t>
        </is>
      </c>
      <c r="E363" t="inlineStr">
        <is>
          <t>VILHELMINA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19464-2025</t>
        </is>
      </c>
      <c r="B364" s="1" t="n">
        <v>45770</v>
      </c>
      <c r="C364" s="1" t="n">
        <v>46193</v>
      </c>
      <c r="D364" t="inlineStr">
        <is>
          <t>VÄSTERBOTTENS LÄN</t>
        </is>
      </c>
      <c r="E364" t="inlineStr">
        <is>
          <t>VILHELMINA</t>
        </is>
      </c>
      <c r="F364" t="inlineStr">
        <is>
          <t>SCA</t>
        </is>
      </c>
      <c r="G364" t="n">
        <v>7.3</v>
      </c>
      <c r="H364" t="n">
        <v>0</v>
      </c>
      <c r="I364" t="n">
        <v>0</v>
      </c>
      <c r="J364" t="n">
        <v>0</v>
      </c>
      <c r="K364" t="n">
        <v>0</v>
      </c>
      <c r="L364" t="n">
        <v>0</v>
      </c>
      <c r="M364" t="n">
        <v>0</v>
      </c>
      <c r="N364" t="n">
        <v>0</v>
      </c>
      <c r="O364" t="n">
        <v>0</v>
      </c>
      <c r="P364" t="n">
        <v>0</v>
      </c>
      <c r="Q364" t="n">
        <v>0</v>
      </c>
      <c r="R364" s="2" t="inlineStr"/>
    </row>
    <row r="365" ht="15" customHeight="1">
      <c r="A365" t="inlineStr">
        <is>
          <t>A 55722-2023</t>
        </is>
      </c>
      <c r="B365" s="1" t="n">
        <v>45232</v>
      </c>
      <c r="C365" s="1" t="n">
        <v>46193</v>
      </c>
      <c r="D365" t="inlineStr">
        <is>
          <t>VÄSTERBOTTENS LÄN</t>
        </is>
      </c>
      <c r="E365" t="inlineStr">
        <is>
          <t>VILHELMINA</t>
        </is>
      </c>
      <c r="G365" t="n">
        <v>5.8</v>
      </c>
      <c r="H365" t="n">
        <v>0</v>
      </c>
      <c r="I365" t="n">
        <v>0</v>
      </c>
      <c r="J365" t="n">
        <v>0</v>
      </c>
      <c r="K365" t="n">
        <v>0</v>
      </c>
      <c r="L365" t="n">
        <v>0</v>
      </c>
      <c r="M365" t="n">
        <v>0</v>
      </c>
      <c r="N365" t="n">
        <v>0</v>
      </c>
      <c r="O365" t="n">
        <v>0</v>
      </c>
      <c r="P365" t="n">
        <v>0</v>
      </c>
      <c r="Q365" t="n">
        <v>0</v>
      </c>
      <c r="R365" s="2" t="inlineStr"/>
    </row>
    <row r="366" ht="15" customHeight="1">
      <c r="A366" t="inlineStr">
        <is>
          <t>A 12189-2024</t>
        </is>
      </c>
      <c r="B366" s="1" t="n">
        <v>45377</v>
      </c>
      <c r="C366" s="1" t="n">
        <v>46193</v>
      </c>
      <c r="D366" t="inlineStr">
        <is>
          <t>VÄSTERBOTTENS LÄN</t>
        </is>
      </c>
      <c r="E366" t="inlineStr">
        <is>
          <t>VILHELMINA</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49236-2024</t>
        </is>
      </c>
      <c r="B367" s="1" t="n">
        <v>45595</v>
      </c>
      <c r="C367" s="1" t="n">
        <v>46193</v>
      </c>
      <c r="D367" t="inlineStr">
        <is>
          <t>VÄSTERBOTTENS LÄN</t>
        </is>
      </c>
      <c r="E367" t="inlineStr">
        <is>
          <t>VILHELMINA</t>
        </is>
      </c>
      <c r="G367" t="n">
        <v>4.1</v>
      </c>
      <c r="H367" t="n">
        <v>0</v>
      </c>
      <c r="I367" t="n">
        <v>0</v>
      </c>
      <c r="J367" t="n">
        <v>0</v>
      </c>
      <c r="K367" t="n">
        <v>0</v>
      </c>
      <c r="L367" t="n">
        <v>0</v>
      </c>
      <c r="M367" t="n">
        <v>0</v>
      </c>
      <c r="N367" t="n">
        <v>0</v>
      </c>
      <c r="O367" t="n">
        <v>0</v>
      </c>
      <c r="P367" t="n">
        <v>0</v>
      </c>
      <c r="Q367" t="n">
        <v>0</v>
      </c>
      <c r="R367" s="2" t="inlineStr"/>
    </row>
    <row r="368" ht="15" customHeight="1">
      <c r="A368" t="inlineStr">
        <is>
          <t>A 22107-2024</t>
        </is>
      </c>
      <c r="B368" s="1" t="n">
        <v>45443</v>
      </c>
      <c r="C368" s="1" t="n">
        <v>46193</v>
      </c>
      <c r="D368" t="inlineStr">
        <is>
          <t>VÄSTERBOTTENS LÄN</t>
        </is>
      </c>
      <c r="E368" t="inlineStr">
        <is>
          <t>VILHELMINA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38540-2025</t>
        </is>
      </c>
      <c r="B369" s="1" t="n">
        <v>45884</v>
      </c>
      <c r="C369" s="1" t="n">
        <v>46193</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38543-2025</t>
        </is>
      </c>
      <c r="B370" s="1" t="n">
        <v>45884</v>
      </c>
      <c r="C370" s="1" t="n">
        <v>46193</v>
      </c>
      <c r="D370" t="inlineStr">
        <is>
          <t>VÄSTERBOTTENS LÄN</t>
        </is>
      </c>
      <c r="E370" t="inlineStr">
        <is>
          <t>VILHELMINA</t>
        </is>
      </c>
      <c r="G370" t="n">
        <v>2.4</v>
      </c>
      <c r="H370" t="n">
        <v>0</v>
      </c>
      <c r="I370" t="n">
        <v>0</v>
      </c>
      <c r="J370" t="n">
        <v>0</v>
      </c>
      <c r="K370" t="n">
        <v>0</v>
      </c>
      <c r="L370" t="n">
        <v>0</v>
      </c>
      <c r="M370" t="n">
        <v>0</v>
      </c>
      <c r="N370" t="n">
        <v>0</v>
      </c>
      <c r="O370" t="n">
        <v>0</v>
      </c>
      <c r="P370" t="n">
        <v>0</v>
      </c>
      <c r="Q370" t="n">
        <v>0</v>
      </c>
      <c r="R370" s="2" t="inlineStr"/>
    </row>
    <row r="371" ht="15" customHeight="1">
      <c r="A371" t="inlineStr">
        <is>
          <t>A 23544-2024</t>
        </is>
      </c>
      <c r="B371" s="1" t="n">
        <v>45453</v>
      </c>
      <c r="C371" s="1" t="n">
        <v>46193</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23545-2024</t>
        </is>
      </c>
      <c r="B372" s="1" t="n">
        <v>45453</v>
      </c>
      <c r="C372" s="1" t="n">
        <v>46193</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25551-2024</t>
        </is>
      </c>
      <c r="B373" s="1" t="n">
        <v>45463</v>
      </c>
      <c r="C373" s="1" t="n">
        <v>46193</v>
      </c>
      <c r="D373" t="inlineStr">
        <is>
          <t>VÄSTERBOTTENS LÄN</t>
        </is>
      </c>
      <c r="E373" t="inlineStr">
        <is>
          <t>VILHELMINA</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475-2024</t>
        </is>
      </c>
      <c r="B374" s="1" t="n">
        <v>45297</v>
      </c>
      <c r="C374" s="1" t="n">
        <v>46193</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61801-2024</t>
        </is>
      </c>
      <c r="B375" s="1" t="n">
        <v>45649</v>
      </c>
      <c r="C375" s="1" t="n">
        <v>46193</v>
      </c>
      <c r="D375" t="inlineStr">
        <is>
          <t>VÄSTERBOTTENS LÄN</t>
        </is>
      </c>
      <c r="E375" t="inlineStr">
        <is>
          <t>VILHELMINA</t>
        </is>
      </c>
      <c r="G375" t="n">
        <v>2.5</v>
      </c>
      <c r="H375" t="n">
        <v>0</v>
      </c>
      <c r="I375" t="n">
        <v>0</v>
      </c>
      <c r="J375" t="n">
        <v>0</v>
      </c>
      <c r="K375" t="n">
        <v>0</v>
      </c>
      <c r="L375" t="n">
        <v>0</v>
      </c>
      <c r="M375" t="n">
        <v>0</v>
      </c>
      <c r="N375" t="n">
        <v>0</v>
      </c>
      <c r="O375" t="n">
        <v>0</v>
      </c>
      <c r="P375" t="n">
        <v>0</v>
      </c>
      <c r="Q375" t="n">
        <v>0</v>
      </c>
      <c r="R375" s="2" t="inlineStr"/>
    </row>
    <row r="376" ht="15" customHeight="1">
      <c r="A376" t="inlineStr">
        <is>
          <t>A 11832-2023</t>
        </is>
      </c>
      <c r="B376" s="1" t="n">
        <v>44994</v>
      </c>
      <c r="C376" s="1" t="n">
        <v>46193</v>
      </c>
      <c r="D376" t="inlineStr">
        <is>
          <t>VÄSTERBOTTENS LÄN</t>
        </is>
      </c>
      <c r="E376" t="inlineStr">
        <is>
          <t>VILHELMINA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37714-2024</t>
        </is>
      </c>
      <c r="B377" s="1" t="n">
        <v>45541</v>
      </c>
      <c r="C377" s="1" t="n">
        <v>46193</v>
      </c>
      <c r="D377" t="inlineStr">
        <is>
          <t>VÄSTERBOTTENS LÄN</t>
        </is>
      </c>
      <c r="E377" t="inlineStr">
        <is>
          <t>VILHELMINA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37715-2024</t>
        </is>
      </c>
      <c r="B378" s="1" t="n">
        <v>45541</v>
      </c>
      <c r="C378" s="1" t="n">
        <v>46193</v>
      </c>
      <c r="D378" t="inlineStr">
        <is>
          <t>VÄSTERBOTTENS LÄN</t>
        </is>
      </c>
      <c r="E378" t="inlineStr">
        <is>
          <t>VILHELMINA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44285-2024</t>
        </is>
      </c>
      <c r="B379" s="1" t="n">
        <v>45573</v>
      </c>
      <c r="C379" s="1" t="n">
        <v>46193</v>
      </c>
      <c r="D379" t="inlineStr">
        <is>
          <t>VÄSTERBOTTENS LÄN</t>
        </is>
      </c>
      <c r="E379" t="inlineStr">
        <is>
          <t>VILHELMINA</t>
        </is>
      </c>
      <c r="G379" t="n">
        <v>30.9</v>
      </c>
      <c r="H379" t="n">
        <v>0</v>
      </c>
      <c r="I379" t="n">
        <v>0</v>
      </c>
      <c r="J379" t="n">
        <v>0</v>
      </c>
      <c r="K379" t="n">
        <v>0</v>
      </c>
      <c r="L379" t="n">
        <v>0</v>
      </c>
      <c r="M379" t="n">
        <v>0</v>
      </c>
      <c r="N379" t="n">
        <v>0</v>
      </c>
      <c r="O379" t="n">
        <v>0</v>
      </c>
      <c r="P379" t="n">
        <v>0</v>
      </c>
      <c r="Q379" t="n">
        <v>0</v>
      </c>
      <c r="R379" s="2" t="inlineStr"/>
    </row>
    <row r="380" ht="15" customHeight="1">
      <c r="A380" t="inlineStr">
        <is>
          <t>A 64421-2023</t>
        </is>
      </c>
      <c r="B380" s="1" t="n">
        <v>45280</v>
      </c>
      <c r="C380" s="1" t="n">
        <v>46193</v>
      </c>
      <c r="D380" t="inlineStr">
        <is>
          <t>VÄSTERBOTTENS LÄN</t>
        </is>
      </c>
      <c r="E380" t="inlineStr">
        <is>
          <t>VILHELMINA</t>
        </is>
      </c>
      <c r="G380" t="n">
        <v>4.9</v>
      </c>
      <c r="H380" t="n">
        <v>0</v>
      </c>
      <c r="I380" t="n">
        <v>0</v>
      </c>
      <c r="J380" t="n">
        <v>0</v>
      </c>
      <c r="K380" t="n">
        <v>0</v>
      </c>
      <c r="L380" t="n">
        <v>0</v>
      </c>
      <c r="M380" t="n">
        <v>0</v>
      </c>
      <c r="N380" t="n">
        <v>0</v>
      </c>
      <c r="O380" t="n">
        <v>0</v>
      </c>
      <c r="P380" t="n">
        <v>0</v>
      </c>
      <c r="Q380" t="n">
        <v>0</v>
      </c>
      <c r="R380" s="2" t="inlineStr"/>
    </row>
    <row r="381" ht="15" customHeight="1">
      <c r="A381" t="inlineStr">
        <is>
          <t>A 24828-2023</t>
        </is>
      </c>
      <c r="B381" s="1" t="n">
        <v>45084</v>
      </c>
      <c r="C381" s="1" t="n">
        <v>46193</v>
      </c>
      <c r="D381" t="inlineStr">
        <is>
          <t>VÄSTERBOTTENS LÄN</t>
        </is>
      </c>
      <c r="E381" t="inlineStr">
        <is>
          <t>VILHELMINA</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61779-2023</t>
        </is>
      </c>
      <c r="B382" s="1" t="n">
        <v>45265</v>
      </c>
      <c r="C382" s="1" t="n">
        <v>46193</v>
      </c>
      <c r="D382" t="inlineStr">
        <is>
          <t>VÄSTERBOTTENS LÄN</t>
        </is>
      </c>
      <c r="E382" t="inlineStr">
        <is>
          <t>VILHELMINA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32655-2021</t>
        </is>
      </c>
      <c r="B383" s="1" t="n">
        <v>44371</v>
      </c>
      <c r="C383" s="1" t="n">
        <v>46193</v>
      </c>
      <c r="D383" t="inlineStr">
        <is>
          <t>VÄSTERBOTTENS LÄN</t>
        </is>
      </c>
      <c r="E383" t="inlineStr">
        <is>
          <t>VILHELMINA</t>
        </is>
      </c>
      <c r="G383" t="n">
        <v>0.2</v>
      </c>
      <c r="H383" t="n">
        <v>0</v>
      </c>
      <c r="I383" t="n">
        <v>0</v>
      </c>
      <c r="J383" t="n">
        <v>0</v>
      </c>
      <c r="K383" t="n">
        <v>0</v>
      </c>
      <c r="L383" t="n">
        <v>0</v>
      </c>
      <c r="M383" t="n">
        <v>0</v>
      </c>
      <c r="N383" t="n">
        <v>0</v>
      </c>
      <c r="O383" t="n">
        <v>0</v>
      </c>
      <c r="P383" t="n">
        <v>0</v>
      </c>
      <c r="Q383" t="n">
        <v>0</v>
      </c>
      <c r="R383" s="2" t="inlineStr"/>
    </row>
    <row r="384" ht="15" customHeight="1">
      <c r="A384" t="inlineStr">
        <is>
          <t>A 12364-2025</t>
        </is>
      </c>
      <c r="B384" s="1" t="n">
        <v>45730</v>
      </c>
      <c r="C384" s="1" t="n">
        <v>46193</v>
      </c>
      <c r="D384" t="inlineStr">
        <is>
          <t>VÄSTERBOTTENS LÄN</t>
        </is>
      </c>
      <c r="E384" t="inlineStr">
        <is>
          <t>VILHELMINA</t>
        </is>
      </c>
      <c r="F384" t="inlineStr">
        <is>
          <t>Övriga statliga verk och myndigheter</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12765-2025</t>
        </is>
      </c>
      <c r="B385" s="1" t="n">
        <v>45733</v>
      </c>
      <c r="C385" s="1" t="n">
        <v>46193</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59671-2023</t>
        </is>
      </c>
      <c r="B386" s="1" t="n">
        <v>45254</v>
      </c>
      <c r="C386" s="1" t="n">
        <v>46193</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44368-2024</t>
        </is>
      </c>
      <c r="B387" s="1" t="n">
        <v>45573</v>
      </c>
      <c r="C387" s="1" t="n">
        <v>46193</v>
      </c>
      <c r="D387" t="inlineStr">
        <is>
          <t>VÄSTERBOTTENS LÄN</t>
        </is>
      </c>
      <c r="E387" t="inlineStr">
        <is>
          <t>VILHELMINA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32921-2024</t>
        </is>
      </c>
      <c r="B388" s="1" t="n">
        <v>45516</v>
      </c>
      <c r="C388" s="1" t="n">
        <v>46193</v>
      </c>
      <c r="D388" t="inlineStr">
        <is>
          <t>VÄSTERBOTTENS LÄN</t>
        </is>
      </c>
      <c r="E388" t="inlineStr">
        <is>
          <t>VILHELMINA</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54984-2023</t>
        </is>
      </c>
      <c r="B389" s="1" t="n">
        <v>45236</v>
      </c>
      <c r="C389" s="1" t="n">
        <v>46193</v>
      </c>
      <c r="D389" t="inlineStr">
        <is>
          <t>VÄSTERBOTTENS LÄN</t>
        </is>
      </c>
      <c r="E389" t="inlineStr">
        <is>
          <t>VILHELMINA</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25701-2024</t>
        </is>
      </c>
      <c r="B390" s="1" t="n">
        <v>45463</v>
      </c>
      <c r="C390" s="1" t="n">
        <v>46193</v>
      </c>
      <c r="D390" t="inlineStr">
        <is>
          <t>VÄSTERBOTTENS LÄN</t>
        </is>
      </c>
      <c r="E390" t="inlineStr">
        <is>
          <t>VILHELMINA</t>
        </is>
      </c>
      <c r="F390" t="inlineStr">
        <is>
          <t>SCA</t>
        </is>
      </c>
      <c r="G390" t="n">
        <v>8.6</v>
      </c>
      <c r="H390" t="n">
        <v>0</v>
      </c>
      <c r="I390" t="n">
        <v>0</v>
      </c>
      <c r="J390" t="n">
        <v>0</v>
      </c>
      <c r="K390" t="n">
        <v>0</v>
      </c>
      <c r="L390" t="n">
        <v>0</v>
      </c>
      <c r="M390" t="n">
        <v>0</v>
      </c>
      <c r="N390" t="n">
        <v>0</v>
      </c>
      <c r="O390" t="n">
        <v>0</v>
      </c>
      <c r="P390" t="n">
        <v>0</v>
      </c>
      <c r="Q390" t="n">
        <v>0</v>
      </c>
      <c r="R390" s="2" t="inlineStr"/>
    </row>
    <row r="391" ht="15" customHeight="1">
      <c r="A391" t="inlineStr">
        <is>
          <t>A 27917-2024</t>
        </is>
      </c>
      <c r="B391" s="1" t="n">
        <v>45475</v>
      </c>
      <c r="C391" s="1" t="n">
        <v>46193</v>
      </c>
      <c r="D391" t="inlineStr">
        <is>
          <t>VÄSTERBOTTENS LÄN</t>
        </is>
      </c>
      <c r="E391" t="inlineStr">
        <is>
          <t>VILHELMINA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62405-2022</t>
        </is>
      </c>
      <c r="B392" s="1" t="n">
        <v>44923</v>
      </c>
      <c r="C392" s="1" t="n">
        <v>46193</v>
      </c>
      <c r="D392" t="inlineStr">
        <is>
          <t>VÄSTERBOTTENS LÄN</t>
        </is>
      </c>
      <c r="E392" t="inlineStr">
        <is>
          <t>VILHELMINA</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49886-2024</t>
        </is>
      </c>
      <c r="B393" s="1" t="n">
        <v>45597</v>
      </c>
      <c r="C393" s="1" t="n">
        <v>46193</v>
      </c>
      <c r="D393" t="inlineStr">
        <is>
          <t>VÄSTERBOTTENS LÄN</t>
        </is>
      </c>
      <c r="E393" t="inlineStr">
        <is>
          <t>VILHELMINA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34762-2024</t>
        </is>
      </c>
      <c r="B394" s="1" t="n">
        <v>45526</v>
      </c>
      <c r="C394" s="1" t="n">
        <v>46193</v>
      </c>
      <c r="D394" t="inlineStr">
        <is>
          <t>VÄSTERBOTTENS LÄN</t>
        </is>
      </c>
      <c r="E394" t="inlineStr">
        <is>
          <t>VILHELMINA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45972-2023</t>
        </is>
      </c>
      <c r="B395" s="1" t="n">
        <v>45195</v>
      </c>
      <c r="C395" s="1" t="n">
        <v>46193</v>
      </c>
      <c r="D395" t="inlineStr">
        <is>
          <t>VÄSTERBOTTENS LÄN</t>
        </is>
      </c>
      <c r="E395" t="inlineStr">
        <is>
          <t>VILHELMINA</t>
        </is>
      </c>
      <c r="F395" t="inlineStr">
        <is>
          <t>SCA</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46193</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50635-2021</t>
        </is>
      </c>
      <c r="B397" s="1" t="n">
        <v>44459</v>
      </c>
      <c r="C397" s="1" t="n">
        <v>46193</v>
      </c>
      <c r="D397" t="inlineStr">
        <is>
          <t>VÄSTERBOTTENS LÄN</t>
        </is>
      </c>
      <c r="E397" t="inlineStr">
        <is>
          <t>VILHELMINA</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28870-2024</t>
        </is>
      </c>
      <c r="B398" s="1" t="n">
        <v>45478</v>
      </c>
      <c r="C398" s="1" t="n">
        <v>46193</v>
      </c>
      <c r="D398" t="inlineStr">
        <is>
          <t>VÄSTERBOTTENS LÄN</t>
        </is>
      </c>
      <c r="E398" t="inlineStr">
        <is>
          <t>VILHELMINA</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21844-2024</t>
        </is>
      </c>
      <c r="B399" s="1" t="n">
        <v>45442</v>
      </c>
      <c r="C399" s="1" t="n">
        <v>46193</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12371-2025</t>
        </is>
      </c>
      <c r="B400" s="1" t="n">
        <v>45730</v>
      </c>
      <c r="C400" s="1" t="n">
        <v>46193</v>
      </c>
      <c r="D400" t="inlineStr">
        <is>
          <t>VÄSTERBOTTENS LÄN</t>
        </is>
      </c>
      <c r="E400" t="inlineStr">
        <is>
          <t>VILHELMINA</t>
        </is>
      </c>
      <c r="F400" t="inlineStr">
        <is>
          <t>Övriga statliga verk och myndigheter</t>
        </is>
      </c>
      <c r="G400" t="n">
        <v>37.1</v>
      </c>
      <c r="H400" t="n">
        <v>0</v>
      </c>
      <c r="I400" t="n">
        <v>0</v>
      </c>
      <c r="J400" t="n">
        <v>0</v>
      </c>
      <c r="K400" t="n">
        <v>0</v>
      </c>
      <c r="L400" t="n">
        <v>0</v>
      </c>
      <c r="M400" t="n">
        <v>0</v>
      </c>
      <c r="N400" t="n">
        <v>0</v>
      </c>
      <c r="O400" t="n">
        <v>0</v>
      </c>
      <c r="P400" t="n">
        <v>0</v>
      </c>
      <c r="Q400" t="n">
        <v>0</v>
      </c>
      <c r="R400" s="2" t="inlineStr"/>
    </row>
    <row r="401" ht="15" customHeight="1">
      <c r="A401" t="inlineStr">
        <is>
          <t>A 14993-2025</t>
        </is>
      </c>
      <c r="B401" s="1" t="n">
        <v>45743</v>
      </c>
      <c r="C401" s="1" t="n">
        <v>46193</v>
      </c>
      <c r="D401" t="inlineStr">
        <is>
          <t>VÄSTERBOTTENS LÄN</t>
        </is>
      </c>
      <c r="E401" t="inlineStr">
        <is>
          <t>VILHELMINA</t>
        </is>
      </c>
      <c r="G401" t="n">
        <v>2.1</v>
      </c>
      <c r="H401" t="n">
        <v>0</v>
      </c>
      <c r="I401" t="n">
        <v>0</v>
      </c>
      <c r="J401" t="n">
        <v>0</v>
      </c>
      <c r="K401" t="n">
        <v>0</v>
      </c>
      <c r="L401" t="n">
        <v>0</v>
      </c>
      <c r="M401" t="n">
        <v>0</v>
      </c>
      <c r="N401" t="n">
        <v>0</v>
      </c>
      <c r="O401" t="n">
        <v>0</v>
      </c>
      <c r="P401" t="n">
        <v>0</v>
      </c>
      <c r="Q401" t="n">
        <v>0</v>
      </c>
      <c r="R401" s="2" t="inlineStr"/>
    </row>
    <row r="402" ht="15" customHeight="1">
      <c r="A402" t="inlineStr">
        <is>
          <t>A 54729-2022</t>
        </is>
      </c>
      <c r="B402" s="1" t="n">
        <v>44881</v>
      </c>
      <c r="C402" s="1" t="n">
        <v>46193</v>
      </c>
      <c r="D402" t="inlineStr">
        <is>
          <t>VÄSTERBOTTENS LÄN</t>
        </is>
      </c>
      <c r="E402" t="inlineStr">
        <is>
          <t>VILHELMINA</t>
        </is>
      </c>
      <c r="G402" t="n">
        <v>19.2</v>
      </c>
      <c r="H402" t="n">
        <v>0</v>
      </c>
      <c r="I402" t="n">
        <v>0</v>
      </c>
      <c r="J402" t="n">
        <v>0</v>
      </c>
      <c r="K402" t="n">
        <v>0</v>
      </c>
      <c r="L402" t="n">
        <v>0</v>
      </c>
      <c r="M402" t="n">
        <v>0</v>
      </c>
      <c r="N402" t="n">
        <v>0</v>
      </c>
      <c r="O402" t="n">
        <v>0</v>
      </c>
      <c r="P402" t="n">
        <v>0</v>
      </c>
      <c r="Q402" t="n">
        <v>0</v>
      </c>
      <c r="R402" s="2" t="inlineStr"/>
    </row>
    <row r="403" ht="15" customHeight="1">
      <c r="A403" t="inlineStr">
        <is>
          <t>A 34807-2023</t>
        </is>
      </c>
      <c r="B403" s="1" t="n">
        <v>45140</v>
      </c>
      <c r="C403" s="1" t="n">
        <v>46193</v>
      </c>
      <c r="D403" t="inlineStr">
        <is>
          <t>VÄSTERBOTTENS LÄN</t>
        </is>
      </c>
      <c r="E403" t="inlineStr">
        <is>
          <t>VILHELMINA</t>
        </is>
      </c>
      <c r="G403" t="n">
        <v>8.1</v>
      </c>
      <c r="H403" t="n">
        <v>0</v>
      </c>
      <c r="I403" t="n">
        <v>0</v>
      </c>
      <c r="J403" t="n">
        <v>0</v>
      </c>
      <c r="K403" t="n">
        <v>0</v>
      </c>
      <c r="L403" t="n">
        <v>0</v>
      </c>
      <c r="M403" t="n">
        <v>0</v>
      </c>
      <c r="N403" t="n">
        <v>0</v>
      </c>
      <c r="O403" t="n">
        <v>0</v>
      </c>
      <c r="P403" t="n">
        <v>0</v>
      </c>
      <c r="Q403" t="n">
        <v>0</v>
      </c>
      <c r="R403" s="2" t="inlineStr"/>
    </row>
    <row r="404" ht="15" customHeight="1">
      <c r="A404" t="inlineStr">
        <is>
          <t>A 54804-2024</t>
        </is>
      </c>
      <c r="B404" s="1" t="n">
        <v>45618</v>
      </c>
      <c r="C404" s="1" t="n">
        <v>46193</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64028-2023</t>
        </is>
      </c>
      <c r="B405" s="1" t="n">
        <v>45278</v>
      </c>
      <c r="C405" s="1" t="n">
        <v>46193</v>
      </c>
      <c r="D405" t="inlineStr">
        <is>
          <t>VÄSTERBOTTENS LÄN</t>
        </is>
      </c>
      <c r="E405" t="inlineStr">
        <is>
          <t>VILHELMINA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39533-2025</t>
        </is>
      </c>
      <c r="B406" s="1" t="n">
        <v>45890</v>
      </c>
      <c r="C406" s="1" t="n">
        <v>46193</v>
      </c>
      <c r="D406" t="inlineStr">
        <is>
          <t>VÄSTERBOTTENS LÄN</t>
        </is>
      </c>
      <c r="E406" t="inlineStr">
        <is>
          <t>VILHELMINA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39571-2025</t>
        </is>
      </c>
      <c r="B407" s="1" t="n">
        <v>45890</v>
      </c>
      <c r="C407" s="1" t="n">
        <v>46193</v>
      </c>
      <c r="D407" t="inlineStr">
        <is>
          <t>VÄSTERBOTTENS LÄN</t>
        </is>
      </c>
      <c r="E407" t="inlineStr">
        <is>
          <t>VILHELMINA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28656-2024</t>
        </is>
      </c>
      <c r="B408" s="1" t="n">
        <v>45478</v>
      </c>
      <c r="C408" s="1" t="n">
        <v>46193</v>
      </c>
      <c r="D408" t="inlineStr">
        <is>
          <t>VÄSTERBOTTENS LÄN</t>
        </is>
      </c>
      <c r="E408" t="inlineStr">
        <is>
          <t>VILHELMINA</t>
        </is>
      </c>
      <c r="F408" t="inlineStr">
        <is>
          <t>Allmännings- och besparingsskogar</t>
        </is>
      </c>
      <c r="G408" t="n">
        <v>1.6</v>
      </c>
      <c r="H408" t="n">
        <v>0</v>
      </c>
      <c r="I408" t="n">
        <v>0</v>
      </c>
      <c r="J408" t="n">
        <v>0</v>
      </c>
      <c r="K408" t="n">
        <v>0</v>
      </c>
      <c r="L408" t="n">
        <v>0</v>
      </c>
      <c r="M408" t="n">
        <v>0</v>
      </c>
      <c r="N408" t="n">
        <v>0</v>
      </c>
      <c r="O408" t="n">
        <v>0</v>
      </c>
      <c r="P408" t="n">
        <v>0</v>
      </c>
      <c r="Q408" t="n">
        <v>0</v>
      </c>
      <c r="R408" s="2" t="inlineStr"/>
    </row>
    <row r="409" ht="15" customHeight="1">
      <c r="A409" t="inlineStr">
        <is>
          <t>A 47254-2022</t>
        </is>
      </c>
      <c r="B409" s="1" t="n">
        <v>44852</v>
      </c>
      <c r="C409" s="1" t="n">
        <v>46193</v>
      </c>
      <c r="D409" t="inlineStr">
        <is>
          <t>VÄSTERBOTTENS LÄN</t>
        </is>
      </c>
      <c r="E409" t="inlineStr">
        <is>
          <t>VILHELMINA</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11114-2022</t>
        </is>
      </c>
      <c r="B410" s="1" t="n">
        <v>44628</v>
      </c>
      <c r="C410" s="1" t="n">
        <v>46193</v>
      </c>
      <c r="D410" t="inlineStr">
        <is>
          <t>VÄSTERBOTTENS LÄN</t>
        </is>
      </c>
      <c r="E410" t="inlineStr">
        <is>
          <t>VILHELMINA</t>
        </is>
      </c>
      <c r="G410" t="n">
        <v>8.6</v>
      </c>
      <c r="H410" t="n">
        <v>0</v>
      </c>
      <c r="I410" t="n">
        <v>0</v>
      </c>
      <c r="J410" t="n">
        <v>0</v>
      </c>
      <c r="K410" t="n">
        <v>0</v>
      </c>
      <c r="L410" t="n">
        <v>0</v>
      </c>
      <c r="M410" t="n">
        <v>0</v>
      </c>
      <c r="N410" t="n">
        <v>0</v>
      </c>
      <c r="O410" t="n">
        <v>0</v>
      </c>
      <c r="P410" t="n">
        <v>0</v>
      </c>
      <c r="Q410" t="n">
        <v>0</v>
      </c>
      <c r="R410" s="2" t="inlineStr"/>
    </row>
    <row r="411" ht="15" customHeight="1">
      <c r="A411" t="inlineStr">
        <is>
          <t>A 54931-2023</t>
        </is>
      </c>
      <c r="B411" s="1" t="n">
        <v>45229</v>
      </c>
      <c r="C411" s="1" t="n">
        <v>46193</v>
      </c>
      <c r="D411" t="inlineStr">
        <is>
          <t>VÄSTERBOTTENS LÄN</t>
        </is>
      </c>
      <c r="E411" t="inlineStr">
        <is>
          <t>VILHELMINA</t>
        </is>
      </c>
      <c r="G411" t="n">
        <v>14.5</v>
      </c>
      <c r="H411" t="n">
        <v>0</v>
      </c>
      <c r="I411" t="n">
        <v>0</v>
      </c>
      <c r="J411" t="n">
        <v>0</v>
      </c>
      <c r="K411" t="n">
        <v>0</v>
      </c>
      <c r="L411" t="n">
        <v>0</v>
      </c>
      <c r="M411" t="n">
        <v>0</v>
      </c>
      <c r="N411" t="n">
        <v>0</v>
      </c>
      <c r="O411" t="n">
        <v>0</v>
      </c>
      <c r="P411" t="n">
        <v>0</v>
      </c>
      <c r="Q411" t="n">
        <v>0</v>
      </c>
      <c r="R411" s="2" t="inlineStr"/>
    </row>
    <row r="412" ht="15" customHeight="1">
      <c r="A412" t="inlineStr">
        <is>
          <t>A 56763-2023</t>
        </is>
      </c>
      <c r="B412" s="1" t="n">
        <v>45238</v>
      </c>
      <c r="C412" s="1" t="n">
        <v>46193</v>
      </c>
      <c r="D412" t="inlineStr">
        <is>
          <t>VÄSTERBOTTENS LÄN</t>
        </is>
      </c>
      <c r="E412" t="inlineStr">
        <is>
          <t>VILHELMINA</t>
        </is>
      </c>
      <c r="F412" t="inlineStr">
        <is>
          <t>Allmännings- och besparingsskogar</t>
        </is>
      </c>
      <c r="G412" t="n">
        <v>77</v>
      </c>
      <c r="H412" t="n">
        <v>0</v>
      </c>
      <c r="I412" t="n">
        <v>0</v>
      </c>
      <c r="J412" t="n">
        <v>0</v>
      </c>
      <c r="K412" t="n">
        <v>0</v>
      </c>
      <c r="L412" t="n">
        <v>0</v>
      </c>
      <c r="M412" t="n">
        <v>0</v>
      </c>
      <c r="N412" t="n">
        <v>0</v>
      </c>
      <c r="O412" t="n">
        <v>0</v>
      </c>
      <c r="P412" t="n">
        <v>0</v>
      </c>
      <c r="Q412" t="n">
        <v>0</v>
      </c>
      <c r="R412" s="2" t="inlineStr"/>
    </row>
    <row r="413" ht="15" customHeight="1">
      <c r="A413" t="inlineStr">
        <is>
          <t>A 42976-2024</t>
        </is>
      </c>
      <c r="B413" s="1" t="n">
        <v>45567</v>
      </c>
      <c r="C413" s="1" t="n">
        <v>46193</v>
      </c>
      <c r="D413" t="inlineStr">
        <is>
          <t>VÄSTERBOTTENS LÄN</t>
        </is>
      </c>
      <c r="E413" t="inlineStr">
        <is>
          <t>VILHELMINA</t>
        </is>
      </c>
      <c r="F413" t="inlineStr">
        <is>
          <t>SCA</t>
        </is>
      </c>
      <c r="G413" t="n">
        <v>20.6</v>
      </c>
      <c r="H413" t="n">
        <v>0</v>
      </c>
      <c r="I413" t="n">
        <v>0</v>
      </c>
      <c r="J413" t="n">
        <v>0</v>
      </c>
      <c r="K413" t="n">
        <v>0</v>
      </c>
      <c r="L413" t="n">
        <v>0</v>
      </c>
      <c r="M413" t="n">
        <v>0</v>
      </c>
      <c r="N413" t="n">
        <v>0</v>
      </c>
      <c r="O413" t="n">
        <v>0</v>
      </c>
      <c r="P413" t="n">
        <v>0</v>
      </c>
      <c r="Q413" t="n">
        <v>0</v>
      </c>
      <c r="R413" s="2" t="inlineStr"/>
    </row>
    <row r="414" ht="15" customHeight="1">
      <c r="A414" t="inlineStr">
        <is>
          <t>A 38187-2024</t>
        </is>
      </c>
      <c r="B414" s="1" t="n">
        <v>45545</v>
      </c>
      <c r="C414" s="1" t="n">
        <v>46193</v>
      </c>
      <c r="D414" t="inlineStr">
        <is>
          <t>VÄSTERBOTTENS LÄN</t>
        </is>
      </c>
      <c r="E414" t="inlineStr">
        <is>
          <t>VILHELMINA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9181-2023</t>
        </is>
      </c>
      <c r="B415" s="1" t="n">
        <v>44972</v>
      </c>
      <c r="C415" s="1" t="n">
        <v>46193</v>
      </c>
      <c r="D415" t="inlineStr">
        <is>
          <t>VÄSTERBOTTENS LÄN</t>
        </is>
      </c>
      <c r="E415" t="inlineStr">
        <is>
          <t>VILHELMINA</t>
        </is>
      </c>
      <c r="F415" t="inlineStr">
        <is>
          <t>Allmännings- och besparingsskogar</t>
        </is>
      </c>
      <c r="G415" t="n">
        <v>220.1</v>
      </c>
      <c r="H415" t="n">
        <v>0</v>
      </c>
      <c r="I415" t="n">
        <v>0</v>
      </c>
      <c r="J415" t="n">
        <v>0</v>
      </c>
      <c r="K415" t="n">
        <v>0</v>
      </c>
      <c r="L415" t="n">
        <v>0</v>
      </c>
      <c r="M415" t="n">
        <v>0</v>
      </c>
      <c r="N415" t="n">
        <v>0</v>
      </c>
      <c r="O415" t="n">
        <v>0</v>
      </c>
      <c r="P415" t="n">
        <v>0</v>
      </c>
      <c r="Q415" t="n">
        <v>0</v>
      </c>
      <c r="R415" s="2" t="inlineStr"/>
    </row>
    <row r="416" ht="15" customHeight="1">
      <c r="A416" t="inlineStr">
        <is>
          <t>A 9197-2023</t>
        </is>
      </c>
      <c r="B416" s="1" t="n">
        <v>44977</v>
      </c>
      <c r="C416" s="1" t="n">
        <v>46193</v>
      </c>
      <c r="D416" t="inlineStr">
        <is>
          <t>VÄSTERBOTTENS LÄN</t>
        </is>
      </c>
      <c r="E416" t="inlineStr">
        <is>
          <t>VILHELMINA</t>
        </is>
      </c>
      <c r="G416" t="n">
        <v>8.9</v>
      </c>
      <c r="H416" t="n">
        <v>0</v>
      </c>
      <c r="I416" t="n">
        <v>0</v>
      </c>
      <c r="J416" t="n">
        <v>0</v>
      </c>
      <c r="K416" t="n">
        <v>0</v>
      </c>
      <c r="L416" t="n">
        <v>0</v>
      </c>
      <c r="M416" t="n">
        <v>0</v>
      </c>
      <c r="N416" t="n">
        <v>0</v>
      </c>
      <c r="O416" t="n">
        <v>0</v>
      </c>
      <c r="P416" t="n">
        <v>0</v>
      </c>
      <c r="Q416" t="n">
        <v>0</v>
      </c>
      <c r="R416" s="2" t="inlineStr"/>
    </row>
    <row r="417" ht="15" customHeight="1">
      <c r="A417" t="inlineStr">
        <is>
          <t>A 15176-2022</t>
        </is>
      </c>
      <c r="B417" s="1" t="n">
        <v>44658</v>
      </c>
      <c r="C417" s="1" t="n">
        <v>46193</v>
      </c>
      <c r="D417" t="inlineStr">
        <is>
          <t>VÄSTERBOTTENS LÄN</t>
        </is>
      </c>
      <c r="E417" t="inlineStr">
        <is>
          <t>VILHELMINA</t>
        </is>
      </c>
      <c r="G417" t="n">
        <v>1.6</v>
      </c>
      <c r="H417" t="n">
        <v>0</v>
      </c>
      <c r="I417" t="n">
        <v>0</v>
      </c>
      <c r="J417" t="n">
        <v>0</v>
      </c>
      <c r="K417" t="n">
        <v>0</v>
      </c>
      <c r="L417" t="n">
        <v>0</v>
      </c>
      <c r="M417" t="n">
        <v>0</v>
      </c>
      <c r="N417" t="n">
        <v>0</v>
      </c>
      <c r="O417" t="n">
        <v>0</v>
      </c>
      <c r="P417" t="n">
        <v>0</v>
      </c>
      <c r="Q417" t="n">
        <v>0</v>
      </c>
      <c r="R417" s="2" t="inlineStr"/>
    </row>
    <row r="418" ht="15" customHeight="1">
      <c r="A418" t="inlineStr">
        <is>
          <t>A 35755-2023</t>
        </is>
      </c>
      <c r="B418" s="1" t="n">
        <v>45147</v>
      </c>
      <c r="C418" s="1" t="n">
        <v>46193</v>
      </c>
      <c r="D418" t="inlineStr">
        <is>
          <t>VÄSTERBOTTENS LÄN</t>
        </is>
      </c>
      <c r="E418" t="inlineStr">
        <is>
          <t>VILHELMINA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706-2024</t>
        </is>
      </c>
      <c r="B419" s="1" t="n">
        <v>45300</v>
      </c>
      <c r="C419" s="1" t="n">
        <v>46193</v>
      </c>
      <c r="D419" t="inlineStr">
        <is>
          <t>VÄSTERBOTTENS LÄN</t>
        </is>
      </c>
      <c r="E419" t="inlineStr">
        <is>
          <t>VILHELMINA</t>
        </is>
      </c>
      <c r="G419" t="n">
        <v>2.8</v>
      </c>
      <c r="H419" t="n">
        <v>0</v>
      </c>
      <c r="I419" t="n">
        <v>0</v>
      </c>
      <c r="J419" t="n">
        <v>0</v>
      </c>
      <c r="K419" t="n">
        <v>0</v>
      </c>
      <c r="L419" t="n">
        <v>0</v>
      </c>
      <c r="M419" t="n">
        <v>0</v>
      </c>
      <c r="N419" t="n">
        <v>0</v>
      </c>
      <c r="O419" t="n">
        <v>0</v>
      </c>
      <c r="P419" t="n">
        <v>0</v>
      </c>
      <c r="Q419" t="n">
        <v>0</v>
      </c>
      <c r="R419" s="2" t="inlineStr"/>
    </row>
    <row r="420" ht="15" customHeight="1">
      <c r="A420" t="inlineStr">
        <is>
          <t>A 39534-2025</t>
        </is>
      </c>
      <c r="B420" s="1" t="n">
        <v>45890</v>
      </c>
      <c r="C420" s="1" t="n">
        <v>46193</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35758-2023</t>
        </is>
      </c>
      <c r="B421" s="1" t="n">
        <v>45147</v>
      </c>
      <c r="C421" s="1" t="n">
        <v>46193</v>
      </c>
      <c r="D421" t="inlineStr">
        <is>
          <t>VÄSTERBOTTENS LÄN</t>
        </is>
      </c>
      <c r="E421" t="inlineStr">
        <is>
          <t>VILHELMINA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56754-2023</t>
        </is>
      </c>
      <c r="B422" s="1" t="n">
        <v>45238</v>
      </c>
      <c r="C422" s="1" t="n">
        <v>46193</v>
      </c>
      <c r="D422" t="inlineStr">
        <is>
          <t>VÄSTERBOTTENS LÄN</t>
        </is>
      </c>
      <c r="E422" t="inlineStr">
        <is>
          <t>VILHELMINA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58943-2024</t>
        </is>
      </c>
      <c r="B423" s="1" t="n">
        <v>45636</v>
      </c>
      <c r="C423" s="1" t="n">
        <v>46193</v>
      </c>
      <c r="D423" t="inlineStr">
        <is>
          <t>VÄSTERBOTTENS LÄN</t>
        </is>
      </c>
      <c r="E423" t="inlineStr">
        <is>
          <t>VILHELMINA</t>
        </is>
      </c>
      <c r="F423" t="inlineStr">
        <is>
          <t>Kommuner</t>
        </is>
      </c>
      <c r="G423" t="n">
        <v>4.1</v>
      </c>
      <c r="H423" t="n">
        <v>0</v>
      </c>
      <c r="I423" t="n">
        <v>0</v>
      </c>
      <c r="J423" t="n">
        <v>0</v>
      </c>
      <c r="K423" t="n">
        <v>0</v>
      </c>
      <c r="L423" t="n">
        <v>0</v>
      </c>
      <c r="M423" t="n">
        <v>0</v>
      </c>
      <c r="N423" t="n">
        <v>0</v>
      </c>
      <c r="O423" t="n">
        <v>0</v>
      </c>
      <c r="P423" t="n">
        <v>0</v>
      </c>
      <c r="Q423" t="n">
        <v>0</v>
      </c>
      <c r="R423" s="2" t="inlineStr"/>
    </row>
    <row r="424" ht="15" customHeight="1">
      <c r="A424" t="inlineStr">
        <is>
          <t>A 55720-2023</t>
        </is>
      </c>
      <c r="B424" s="1" t="n">
        <v>45232</v>
      </c>
      <c r="C424" s="1" t="n">
        <v>46193</v>
      </c>
      <c r="D424" t="inlineStr">
        <is>
          <t>VÄSTERBOTTENS LÄN</t>
        </is>
      </c>
      <c r="E424" t="inlineStr">
        <is>
          <t>VILHELMINA</t>
        </is>
      </c>
      <c r="G424" t="n">
        <v>0.8</v>
      </c>
      <c r="H424" t="n">
        <v>0</v>
      </c>
      <c r="I424" t="n">
        <v>0</v>
      </c>
      <c r="J424" t="n">
        <v>0</v>
      </c>
      <c r="K424" t="n">
        <v>0</v>
      </c>
      <c r="L424" t="n">
        <v>0</v>
      </c>
      <c r="M424" t="n">
        <v>0</v>
      </c>
      <c r="N424" t="n">
        <v>0</v>
      </c>
      <c r="O424" t="n">
        <v>0</v>
      </c>
      <c r="P424" t="n">
        <v>0</v>
      </c>
      <c r="Q424" t="n">
        <v>0</v>
      </c>
      <c r="R424" s="2" t="inlineStr"/>
    </row>
    <row r="425" ht="15" customHeight="1">
      <c r="A425" t="inlineStr">
        <is>
          <t>A 39558-2025</t>
        </is>
      </c>
      <c r="B425" s="1" t="n">
        <v>45890</v>
      </c>
      <c r="C425" s="1" t="n">
        <v>46193</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38363-2023</t>
        </is>
      </c>
      <c r="B426" s="1" t="n">
        <v>45161</v>
      </c>
      <c r="C426" s="1" t="n">
        <v>46193</v>
      </c>
      <c r="D426" t="inlineStr">
        <is>
          <t>VÄSTERBOTTENS LÄN</t>
        </is>
      </c>
      <c r="E426" t="inlineStr">
        <is>
          <t>VILHELMINA</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54387-2024</t>
        </is>
      </c>
      <c r="B427" s="1" t="n">
        <v>45617</v>
      </c>
      <c r="C427" s="1" t="n">
        <v>46193</v>
      </c>
      <c r="D427" t="inlineStr">
        <is>
          <t>VÄSTERBOTTENS LÄN</t>
        </is>
      </c>
      <c r="E427" t="inlineStr">
        <is>
          <t>VILHELMINA</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12368-2025</t>
        </is>
      </c>
      <c r="B428" s="1" t="n">
        <v>45730</v>
      </c>
      <c r="C428" s="1" t="n">
        <v>46193</v>
      </c>
      <c r="D428" t="inlineStr">
        <is>
          <t>VÄSTERBOTTENS LÄN</t>
        </is>
      </c>
      <c r="E428" t="inlineStr">
        <is>
          <t>VILHELMINA</t>
        </is>
      </c>
      <c r="F428" t="inlineStr">
        <is>
          <t>Övriga statliga verk och myndigheter</t>
        </is>
      </c>
      <c r="G428" t="n">
        <v>14.8</v>
      </c>
      <c r="H428" t="n">
        <v>0</v>
      </c>
      <c r="I428" t="n">
        <v>0</v>
      </c>
      <c r="J428" t="n">
        <v>0</v>
      </c>
      <c r="K428" t="n">
        <v>0</v>
      </c>
      <c r="L428" t="n">
        <v>0</v>
      </c>
      <c r="M428" t="n">
        <v>0</v>
      </c>
      <c r="N428" t="n">
        <v>0</v>
      </c>
      <c r="O428" t="n">
        <v>0</v>
      </c>
      <c r="P428" t="n">
        <v>0</v>
      </c>
      <c r="Q428" t="n">
        <v>0</v>
      </c>
      <c r="R428" s="2" t="inlineStr"/>
    </row>
    <row r="429" ht="15" customHeight="1">
      <c r="A429" t="inlineStr">
        <is>
          <t>A 12373-2025</t>
        </is>
      </c>
      <c r="B429" s="1" t="n">
        <v>45730</v>
      </c>
      <c r="C429" s="1" t="n">
        <v>46193</v>
      </c>
      <c r="D429" t="inlineStr">
        <is>
          <t>VÄSTERBOTTENS LÄN</t>
        </is>
      </c>
      <c r="E429" t="inlineStr">
        <is>
          <t>VILHELMINA</t>
        </is>
      </c>
      <c r="F429" t="inlineStr">
        <is>
          <t>Övriga statliga verk och myndigheter</t>
        </is>
      </c>
      <c r="G429" t="n">
        <v>25.5</v>
      </c>
      <c r="H429" t="n">
        <v>0</v>
      </c>
      <c r="I429" t="n">
        <v>0</v>
      </c>
      <c r="J429" t="n">
        <v>0</v>
      </c>
      <c r="K429" t="n">
        <v>0</v>
      </c>
      <c r="L429" t="n">
        <v>0</v>
      </c>
      <c r="M429" t="n">
        <v>0</v>
      </c>
      <c r="N429" t="n">
        <v>0</v>
      </c>
      <c r="O429" t="n">
        <v>0</v>
      </c>
      <c r="P429" t="n">
        <v>0</v>
      </c>
      <c r="Q429" t="n">
        <v>0</v>
      </c>
      <c r="R429" s="2" t="inlineStr"/>
    </row>
    <row r="430" ht="15" customHeight="1">
      <c r="A430" t="inlineStr">
        <is>
          <t>A 60782-2023</t>
        </is>
      </c>
      <c r="B430" s="1" t="n">
        <v>45259</v>
      </c>
      <c r="C430" s="1" t="n">
        <v>46193</v>
      </c>
      <c r="D430" t="inlineStr">
        <is>
          <t>VÄSTERBOTTENS LÄN</t>
        </is>
      </c>
      <c r="E430" t="inlineStr">
        <is>
          <t>VILHELMINA</t>
        </is>
      </c>
      <c r="G430" t="n">
        <v>12.7</v>
      </c>
      <c r="H430" t="n">
        <v>0</v>
      </c>
      <c r="I430" t="n">
        <v>0</v>
      </c>
      <c r="J430" t="n">
        <v>0</v>
      </c>
      <c r="K430" t="n">
        <v>0</v>
      </c>
      <c r="L430" t="n">
        <v>0</v>
      </c>
      <c r="M430" t="n">
        <v>0</v>
      </c>
      <c r="N430" t="n">
        <v>0</v>
      </c>
      <c r="O430" t="n">
        <v>0</v>
      </c>
      <c r="P430" t="n">
        <v>0</v>
      </c>
      <c r="Q430" t="n">
        <v>0</v>
      </c>
      <c r="R430" s="2" t="inlineStr"/>
    </row>
    <row r="431" ht="15" customHeight="1">
      <c r="A431" t="inlineStr">
        <is>
          <t>A 9815-2024</t>
        </is>
      </c>
      <c r="B431" s="1" t="n">
        <v>45362</v>
      </c>
      <c r="C431" s="1" t="n">
        <v>46193</v>
      </c>
      <c r="D431" t="inlineStr">
        <is>
          <t>VÄSTERBOTTENS LÄN</t>
        </is>
      </c>
      <c r="E431" t="inlineStr">
        <is>
          <t>VILHELMINA</t>
        </is>
      </c>
      <c r="G431" t="n">
        <v>1.3</v>
      </c>
      <c r="H431" t="n">
        <v>0</v>
      </c>
      <c r="I431" t="n">
        <v>0</v>
      </c>
      <c r="J431" t="n">
        <v>0</v>
      </c>
      <c r="K431" t="n">
        <v>0</v>
      </c>
      <c r="L431" t="n">
        <v>0</v>
      </c>
      <c r="M431" t="n">
        <v>0</v>
      </c>
      <c r="N431" t="n">
        <v>0</v>
      </c>
      <c r="O431" t="n">
        <v>0</v>
      </c>
      <c r="P431" t="n">
        <v>0</v>
      </c>
      <c r="Q431" t="n">
        <v>0</v>
      </c>
      <c r="R431" s="2" t="inlineStr"/>
    </row>
    <row r="432" ht="15" customHeight="1">
      <c r="A432" t="inlineStr">
        <is>
          <t>A 60151-2024</t>
        </is>
      </c>
      <c r="B432" s="1" t="n">
        <v>45642</v>
      </c>
      <c r="C432" s="1" t="n">
        <v>46193</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8908-2023</t>
        </is>
      </c>
      <c r="B433" s="1" t="n">
        <v>44972</v>
      </c>
      <c r="C433" s="1" t="n">
        <v>46193</v>
      </c>
      <c r="D433" t="inlineStr">
        <is>
          <t>VÄSTERBOTTENS LÄN</t>
        </is>
      </c>
      <c r="E433" t="inlineStr">
        <is>
          <t>VILHELMINA</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37505-2023</t>
        </is>
      </c>
      <c r="B434" s="1" t="n">
        <v>45158</v>
      </c>
      <c r="C434" s="1" t="n">
        <v>46193</v>
      </c>
      <c r="D434" t="inlineStr">
        <is>
          <t>VÄSTERBOTTENS LÄN</t>
        </is>
      </c>
      <c r="E434" t="inlineStr">
        <is>
          <t>VILHELMINA</t>
        </is>
      </c>
      <c r="G434" t="n">
        <v>10.5</v>
      </c>
      <c r="H434" t="n">
        <v>0</v>
      </c>
      <c r="I434" t="n">
        <v>0</v>
      </c>
      <c r="J434" t="n">
        <v>0</v>
      </c>
      <c r="K434" t="n">
        <v>0</v>
      </c>
      <c r="L434" t="n">
        <v>0</v>
      </c>
      <c r="M434" t="n">
        <v>0</v>
      </c>
      <c r="N434" t="n">
        <v>0</v>
      </c>
      <c r="O434" t="n">
        <v>0</v>
      </c>
      <c r="P434" t="n">
        <v>0</v>
      </c>
      <c r="Q434" t="n">
        <v>0</v>
      </c>
      <c r="R434" s="2" t="inlineStr"/>
    </row>
    <row r="435" ht="15" customHeight="1">
      <c r="A435" t="inlineStr">
        <is>
          <t>A 40196-2025</t>
        </is>
      </c>
      <c r="B435" s="1" t="n">
        <v>45894</v>
      </c>
      <c r="C435" s="1" t="n">
        <v>46193</v>
      </c>
      <c r="D435" t="inlineStr">
        <is>
          <t>VÄSTERBOTTENS LÄN</t>
        </is>
      </c>
      <c r="E435" t="inlineStr">
        <is>
          <t>VILHELMINA</t>
        </is>
      </c>
      <c r="G435" t="n">
        <v>23.3</v>
      </c>
      <c r="H435" t="n">
        <v>0</v>
      </c>
      <c r="I435" t="n">
        <v>0</v>
      </c>
      <c r="J435" t="n">
        <v>0</v>
      </c>
      <c r="K435" t="n">
        <v>0</v>
      </c>
      <c r="L435" t="n">
        <v>0</v>
      </c>
      <c r="M435" t="n">
        <v>0</v>
      </c>
      <c r="N435" t="n">
        <v>0</v>
      </c>
      <c r="O435" t="n">
        <v>0</v>
      </c>
      <c r="P435" t="n">
        <v>0</v>
      </c>
      <c r="Q435" t="n">
        <v>0</v>
      </c>
      <c r="R435" s="2" t="inlineStr"/>
    </row>
    <row r="436" ht="15" customHeight="1">
      <c r="A436" t="inlineStr">
        <is>
          <t>A 27881-2022</t>
        </is>
      </c>
      <c r="B436" s="1" t="n">
        <v>44743</v>
      </c>
      <c r="C436" s="1" t="n">
        <v>46193</v>
      </c>
      <c r="D436" t="inlineStr">
        <is>
          <t>VÄSTERBOTTENS LÄN</t>
        </is>
      </c>
      <c r="E436" t="inlineStr">
        <is>
          <t>VILHELMINA</t>
        </is>
      </c>
      <c r="F436" t="inlineStr">
        <is>
          <t>Sveaskog</t>
        </is>
      </c>
      <c r="G436" t="n">
        <v>14.3</v>
      </c>
      <c r="H436" t="n">
        <v>0</v>
      </c>
      <c r="I436" t="n">
        <v>0</v>
      </c>
      <c r="J436" t="n">
        <v>0</v>
      </c>
      <c r="K436" t="n">
        <v>0</v>
      </c>
      <c r="L436" t="n">
        <v>0</v>
      </c>
      <c r="M436" t="n">
        <v>0</v>
      </c>
      <c r="N436" t="n">
        <v>0</v>
      </c>
      <c r="O436" t="n">
        <v>0</v>
      </c>
      <c r="P436" t="n">
        <v>0</v>
      </c>
      <c r="Q436" t="n">
        <v>0</v>
      </c>
      <c r="R436" s="2" t="inlineStr"/>
    </row>
    <row r="437" ht="15" customHeight="1">
      <c r="A437" t="inlineStr">
        <is>
          <t>A 40144-2025</t>
        </is>
      </c>
      <c r="B437" s="1" t="n">
        <v>45894</v>
      </c>
      <c r="C437" s="1" t="n">
        <v>46193</v>
      </c>
      <c r="D437" t="inlineStr">
        <is>
          <t>VÄSTERBOTTENS LÄN</t>
        </is>
      </c>
      <c r="E437" t="inlineStr">
        <is>
          <t>VILHELMINA</t>
        </is>
      </c>
      <c r="G437" t="n">
        <v>6.3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46193</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56396-2022</t>
        </is>
      </c>
      <c r="B439" s="1" t="n">
        <v>44890</v>
      </c>
      <c r="C439" s="1" t="n">
        <v>46193</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41704-2025</t>
        </is>
      </c>
      <c r="B440" s="1" t="n">
        <v>45902</v>
      </c>
      <c r="C440" s="1" t="n">
        <v>46193</v>
      </c>
      <c r="D440" t="inlineStr">
        <is>
          <t>VÄSTERBOTTENS LÄN</t>
        </is>
      </c>
      <c r="E440" t="inlineStr">
        <is>
          <t>VILHELMINA</t>
        </is>
      </c>
      <c r="G440" t="n">
        <v>3.3</v>
      </c>
      <c r="H440" t="n">
        <v>0</v>
      </c>
      <c r="I440" t="n">
        <v>0</v>
      </c>
      <c r="J440" t="n">
        <v>0</v>
      </c>
      <c r="K440" t="n">
        <v>0</v>
      </c>
      <c r="L440" t="n">
        <v>0</v>
      </c>
      <c r="M440" t="n">
        <v>0</v>
      </c>
      <c r="N440" t="n">
        <v>0</v>
      </c>
      <c r="O440" t="n">
        <v>0</v>
      </c>
      <c r="P440" t="n">
        <v>0</v>
      </c>
      <c r="Q440" t="n">
        <v>0</v>
      </c>
      <c r="R440" s="2" t="inlineStr"/>
    </row>
    <row r="441" ht="15" customHeight="1">
      <c r="A441" t="inlineStr">
        <is>
          <t>A 5575-2025</t>
        </is>
      </c>
      <c r="B441" s="1" t="n">
        <v>45693</v>
      </c>
      <c r="C441" s="1" t="n">
        <v>46193</v>
      </c>
      <c r="D441" t="inlineStr">
        <is>
          <t>VÄSTERBOTTENS LÄN</t>
        </is>
      </c>
      <c r="E441" t="inlineStr">
        <is>
          <t>VILHELMINA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42382-2025</t>
        </is>
      </c>
      <c r="B442" s="1" t="n">
        <v>45904</v>
      </c>
      <c r="C442" s="1" t="n">
        <v>46193</v>
      </c>
      <c r="D442" t="inlineStr">
        <is>
          <t>VÄSTERBOTTENS LÄN</t>
        </is>
      </c>
      <c r="E442" t="inlineStr">
        <is>
          <t>VILHELMINA</t>
        </is>
      </c>
      <c r="F442" t="inlineStr">
        <is>
          <t>Övriga Aktiebolag</t>
        </is>
      </c>
      <c r="G442" t="n">
        <v>6.2</v>
      </c>
      <c r="H442" t="n">
        <v>0</v>
      </c>
      <c r="I442" t="n">
        <v>0</v>
      </c>
      <c r="J442" t="n">
        <v>0</v>
      </c>
      <c r="K442" t="n">
        <v>0</v>
      </c>
      <c r="L442" t="n">
        <v>0</v>
      </c>
      <c r="M442" t="n">
        <v>0</v>
      </c>
      <c r="N442" t="n">
        <v>0</v>
      </c>
      <c r="O442" t="n">
        <v>0</v>
      </c>
      <c r="P442" t="n">
        <v>0</v>
      </c>
      <c r="Q442" t="n">
        <v>0</v>
      </c>
      <c r="R442" s="2" t="inlineStr"/>
    </row>
    <row r="443" ht="15" customHeight="1">
      <c r="A443" t="inlineStr">
        <is>
          <t>A 8578-2025</t>
        </is>
      </c>
      <c r="B443" s="1" t="n">
        <v>45709</v>
      </c>
      <c r="C443" s="1" t="n">
        <v>46193</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22617-2025</t>
        </is>
      </c>
      <c r="B444" s="1" t="n">
        <v>45789</v>
      </c>
      <c r="C444" s="1" t="n">
        <v>46193</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24457-2024</t>
        </is>
      </c>
      <c r="B445" s="1" t="n">
        <v>45457</v>
      </c>
      <c r="C445" s="1" t="n">
        <v>46193</v>
      </c>
      <c r="D445" t="inlineStr">
        <is>
          <t>VÄSTERBOTTENS LÄN</t>
        </is>
      </c>
      <c r="E445" t="inlineStr">
        <is>
          <t>VILHELMINA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19221-2025</t>
        </is>
      </c>
      <c r="B446" s="1" t="n">
        <v>45769</v>
      </c>
      <c r="C446" s="1" t="n">
        <v>46193</v>
      </c>
      <c r="D446" t="inlineStr">
        <is>
          <t>VÄSTERBOTTENS LÄN</t>
        </is>
      </c>
      <c r="E446" t="inlineStr">
        <is>
          <t>VILHELMINA</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57324-2022</t>
        </is>
      </c>
      <c r="B447" s="1" t="n">
        <v>44889</v>
      </c>
      <c r="C447" s="1" t="n">
        <v>46193</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36214-2023</t>
        </is>
      </c>
      <c r="B448" s="1" t="n">
        <v>45149</v>
      </c>
      <c r="C448" s="1" t="n">
        <v>46193</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14254-2025</t>
        </is>
      </c>
      <c r="B449" s="1" t="n">
        <v>45740</v>
      </c>
      <c r="C449" s="1" t="n">
        <v>46193</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17307-2025</t>
        </is>
      </c>
      <c r="B450" s="1" t="n">
        <v>45756</v>
      </c>
      <c r="C450" s="1" t="n">
        <v>46193</v>
      </c>
      <c r="D450" t="inlineStr">
        <is>
          <t>VÄSTERBOTTENS LÄN</t>
        </is>
      </c>
      <c r="E450" t="inlineStr">
        <is>
          <t>VILHELMINA</t>
        </is>
      </c>
      <c r="G450" t="n">
        <v>11.2</v>
      </c>
      <c r="H450" t="n">
        <v>0</v>
      </c>
      <c r="I450" t="n">
        <v>0</v>
      </c>
      <c r="J450" t="n">
        <v>0</v>
      </c>
      <c r="K450" t="n">
        <v>0</v>
      </c>
      <c r="L450" t="n">
        <v>0</v>
      </c>
      <c r="M450" t="n">
        <v>0</v>
      </c>
      <c r="N450" t="n">
        <v>0</v>
      </c>
      <c r="O450" t="n">
        <v>0</v>
      </c>
      <c r="P450" t="n">
        <v>0</v>
      </c>
      <c r="Q450" t="n">
        <v>0</v>
      </c>
      <c r="R450" s="2" t="inlineStr"/>
    </row>
    <row r="451" ht="15" customHeight="1">
      <c r="A451" t="inlineStr">
        <is>
          <t>A 4869-2023</t>
        </is>
      </c>
      <c r="B451" s="1" t="n">
        <v>44957</v>
      </c>
      <c r="C451" s="1" t="n">
        <v>46193</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15639-2024</t>
        </is>
      </c>
      <c r="B452" s="1" t="n">
        <v>45403</v>
      </c>
      <c r="C452" s="1" t="n">
        <v>46193</v>
      </c>
      <c r="D452" t="inlineStr">
        <is>
          <t>VÄSTERBOTTENS LÄN</t>
        </is>
      </c>
      <c r="E452" t="inlineStr">
        <is>
          <t>VILHELMINA</t>
        </is>
      </c>
      <c r="G452" t="n">
        <v>81.90000000000001</v>
      </c>
      <c r="H452" t="n">
        <v>0</v>
      </c>
      <c r="I452" t="n">
        <v>0</v>
      </c>
      <c r="J452" t="n">
        <v>0</v>
      </c>
      <c r="K452" t="n">
        <v>0</v>
      </c>
      <c r="L452" t="n">
        <v>0</v>
      </c>
      <c r="M452" t="n">
        <v>0</v>
      </c>
      <c r="N452" t="n">
        <v>0</v>
      </c>
      <c r="O452" t="n">
        <v>0</v>
      </c>
      <c r="P452" t="n">
        <v>0</v>
      </c>
      <c r="Q452" t="n">
        <v>0</v>
      </c>
      <c r="R452" s="2" t="inlineStr"/>
    </row>
    <row r="453" ht="15" customHeight="1">
      <c r="A453" t="inlineStr">
        <is>
          <t>A 59629-2025</t>
        </is>
      </c>
      <c r="B453" s="1" t="n">
        <v>45992</v>
      </c>
      <c r="C453" s="1" t="n">
        <v>46193</v>
      </c>
      <c r="D453" t="inlineStr">
        <is>
          <t>VÄSTERBOTTENS LÄN</t>
        </is>
      </c>
      <c r="E453" t="inlineStr">
        <is>
          <t>VILHELMINA</t>
        </is>
      </c>
      <c r="G453" t="n">
        <v>12.6</v>
      </c>
      <c r="H453" t="n">
        <v>0</v>
      </c>
      <c r="I453" t="n">
        <v>0</v>
      </c>
      <c r="J453" t="n">
        <v>0</v>
      </c>
      <c r="K453" t="n">
        <v>0</v>
      </c>
      <c r="L453" t="n">
        <v>0</v>
      </c>
      <c r="M453" t="n">
        <v>0</v>
      </c>
      <c r="N453" t="n">
        <v>0</v>
      </c>
      <c r="O453" t="n">
        <v>0</v>
      </c>
      <c r="P453" t="n">
        <v>0</v>
      </c>
      <c r="Q453" t="n">
        <v>0</v>
      </c>
      <c r="R453" s="2" t="inlineStr"/>
    </row>
    <row r="454" ht="15" customHeight="1">
      <c r="A454" t="inlineStr">
        <is>
          <t>A 35006-2023</t>
        </is>
      </c>
      <c r="B454" s="1" t="n">
        <v>45142</v>
      </c>
      <c r="C454" s="1" t="n">
        <v>46193</v>
      </c>
      <c r="D454" t="inlineStr">
        <is>
          <t>VÄSTERBOTTENS LÄN</t>
        </is>
      </c>
      <c r="E454" t="inlineStr">
        <is>
          <t>VILHELMINA</t>
        </is>
      </c>
      <c r="F454" t="inlineStr">
        <is>
          <t>SCA</t>
        </is>
      </c>
      <c r="G454" t="n">
        <v>11.6</v>
      </c>
      <c r="H454" t="n">
        <v>0</v>
      </c>
      <c r="I454" t="n">
        <v>0</v>
      </c>
      <c r="J454" t="n">
        <v>0</v>
      </c>
      <c r="K454" t="n">
        <v>0</v>
      </c>
      <c r="L454" t="n">
        <v>0</v>
      </c>
      <c r="M454" t="n">
        <v>0</v>
      </c>
      <c r="N454" t="n">
        <v>0</v>
      </c>
      <c r="O454" t="n">
        <v>0</v>
      </c>
      <c r="P454" t="n">
        <v>0</v>
      </c>
      <c r="Q454" t="n">
        <v>0</v>
      </c>
      <c r="R454" s="2" t="inlineStr"/>
    </row>
    <row r="455" ht="15" customHeight="1">
      <c r="A455" t="inlineStr">
        <is>
          <t>A 2008-2025</t>
        </is>
      </c>
      <c r="B455" s="1" t="n">
        <v>45672</v>
      </c>
      <c r="C455" s="1" t="n">
        <v>46193</v>
      </c>
      <c r="D455" t="inlineStr">
        <is>
          <t>VÄSTERBOTTENS LÄN</t>
        </is>
      </c>
      <c r="E455" t="inlineStr">
        <is>
          <t>VILHELMINA</t>
        </is>
      </c>
      <c r="G455" t="n">
        <v>0.7</v>
      </c>
      <c r="H455" t="n">
        <v>0</v>
      </c>
      <c r="I455" t="n">
        <v>0</v>
      </c>
      <c r="J455" t="n">
        <v>0</v>
      </c>
      <c r="K455" t="n">
        <v>0</v>
      </c>
      <c r="L455" t="n">
        <v>0</v>
      </c>
      <c r="M455" t="n">
        <v>0</v>
      </c>
      <c r="N455" t="n">
        <v>0</v>
      </c>
      <c r="O455" t="n">
        <v>0</v>
      </c>
      <c r="P455" t="n">
        <v>0</v>
      </c>
      <c r="Q455" t="n">
        <v>0</v>
      </c>
      <c r="R455" s="2" t="inlineStr"/>
    </row>
    <row r="456" ht="15" customHeight="1">
      <c r="A456" t="inlineStr">
        <is>
          <t>A 18398-2025</t>
        </is>
      </c>
      <c r="B456" s="1" t="n">
        <v>45762</v>
      </c>
      <c r="C456" s="1" t="n">
        <v>46193</v>
      </c>
      <c r="D456" t="inlineStr">
        <is>
          <t>VÄSTERBOTTENS LÄN</t>
        </is>
      </c>
      <c r="E456" t="inlineStr">
        <is>
          <t>VILHELMINA</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46193</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42489-2024</t>
        </is>
      </c>
      <c r="B458" s="1" t="n">
        <v>45565</v>
      </c>
      <c r="C458" s="1" t="n">
        <v>46193</v>
      </c>
      <c r="D458" t="inlineStr">
        <is>
          <t>VÄSTERBOTTENS LÄN</t>
        </is>
      </c>
      <c r="E458" t="inlineStr">
        <is>
          <t>VILHELMINA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40732-2024</t>
        </is>
      </c>
      <c r="B459" s="1" t="n">
        <v>45558</v>
      </c>
      <c r="C459" s="1" t="n">
        <v>46193</v>
      </c>
      <c r="D459" t="inlineStr">
        <is>
          <t>VÄSTERBOTTENS LÄN</t>
        </is>
      </c>
      <c r="E459" t="inlineStr">
        <is>
          <t>VILHELMINA</t>
        </is>
      </c>
      <c r="F459" t="inlineStr">
        <is>
          <t>Allmännings- och besparingsskogar</t>
        </is>
      </c>
      <c r="G459" t="n">
        <v>90</v>
      </c>
      <c r="H459" t="n">
        <v>0</v>
      </c>
      <c r="I459" t="n">
        <v>0</v>
      </c>
      <c r="J459" t="n">
        <v>0</v>
      </c>
      <c r="K459" t="n">
        <v>0</v>
      </c>
      <c r="L459" t="n">
        <v>0</v>
      </c>
      <c r="M459" t="n">
        <v>0</v>
      </c>
      <c r="N459" t="n">
        <v>0</v>
      </c>
      <c r="O459" t="n">
        <v>0</v>
      </c>
      <c r="P459" t="n">
        <v>0</v>
      </c>
      <c r="Q459" t="n">
        <v>0</v>
      </c>
      <c r="R459" s="2" t="inlineStr"/>
    </row>
    <row r="460" ht="15" customHeight="1">
      <c r="A460" t="inlineStr">
        <is>
          <t>A 44015-2025</t>
        </is>
      </c>
      <c r="B460" s="1" t="n">
        <v>45915</v>
      </c>
      <c r="C460" s="1" t="n">
        <v>46193</v>
      </c>
      <c r="D460" t="inlineStr">
        <is>
          <t>VÄSTERBOTTENS LÄN</t>
        </is>
      </c>
      <c r="E460" t="inlineStr">
        <is>
          <t>VILHELMINA</t>
        </is>
      </c>
      <c r="G460" t="n">
        <v>1</v>
      </c>
      <c r="H460" t="n">
        <v>0</v>
      </c>
      <c r="I460" t="n">
        <v>0</v>
      </c>
      <c r="J460" t="n">
        <v>0</v>
      </c>
      <c r="K460" t="n">
        <v>0</v>
      </c>
      <c r="L460" t="n">
        <v>0</v>
      </c>
      <c r="M460" t="n">
        <v>0</v>
      </c>
      <c r="N460" t="n">
        <v>0</v>
      </c>
      <c r="O460" t="n">
        <v>0</v>
      </c>
      <c r="P460" t="n">
        <v>0</v>
      </c>
      <c r="Q460" t="n">
        <v>0</v>
      </c>
      <c r="R460" s="2" t="inlineStr"/>
    </row>
    <row r="461" ht="15" customHeight="1">
      <c r="A461" t="inlineStr">
        <is>
          <t>A 28695-2024</t>
        </is>
      </c>
      <c r="B461" s="1" t="n">
        <v>45478</v>
      </c>
      <c r="C461" s="1" t="n">
        <v>46193</v>
      </c>
      <c r="D461" t="inlineStr">
        <is>
          <t>VÄSTERBOTTENS LÄN</t>
        </is>
      </c>
      <c r="E461" t="inlineStr">
        <is>
          <t>VILHELMINA</t>
        </is>
      </c>
      <c r="F461" t="inlineStr">
        <is>
          <t>Allmännings- och besparingsskogar</t>
        </is>
      </c>
      <c r="G461" t="n">
        <v>3.1</v>
      </c>
      <c r="H461" t="n">
        <v>0</v>
      </c>
      <c r="I461" t="n">
        <v>0</v>
      </c>
      <c r="J461" t="n">
        <v>0</v>
      </c>
      <c r="K461" t="n">
        <v>0</v>
      </c>
      <c r="L461" t="n">
        <v>0</v>
      </c>
      <c r="M461" t="n">
        <v>0</v>
      </c>
      <c r="N461" t="n">
        <v>0</v>
      </c>
      <c r="O461" t="n">
        <v>0</v>
      </c>
      <c r="P461" t="n">
        <v>0</v>
      </c>
      <c r="Q461" t="n">
        <v>0</v>
      </c>
      <c r="R461" s="2" t="inlineStr"/>
    </row>
    <row r="462" ht="15" customHeight="1">
      <c r="A462" t="inlineStr">
        <is>
          <t>A 59031-2024</t>
        </is>
      </c>
      <c r="B462" s="1" t="n">
        <v>45636</v>
      </c>
      <c r="C462" s="1" t="n">
        <v>46193</v>
      </c>
      <c r="D462" t="inlineStr">
        <is>
          <t>VÄSTERBOTTENS LÄN</t>
        </is>
      </c>
      <c r="E462" t="inlineStr">
        <is>
          <t>VILHELMINA</t>
        </is>
      </c>
      <c r="G462" t="n">
        <v>40</v>
      </c>
      <c r="H462" t="n">
        <v>0</v>
      </c>
      <c r="I462" t="n">
        <v>0</v>
      </c>
      <c r="J462" t="n">
        <v>0</v>
      </c>
      <c r="K462" t="n">
        <v>0</v>
      </c>
      <c r="L462" t="n">
        <v>0</v>
      </c>
      <c r="M462" t="n">
        <v>0</v>
      </c>
      <c r="N462" t="n">
        <v>0</v>
      </c>
      <c r="O462" t="n">
        <v>0</v>
      </c>
      <c r="P462" t="n">
        <v>0</v>
      </c>
      <c r="Q462" t="n">
        <v>0</v>
      </c>
      <c r="R462" s="2" t="inlineStr"/>
    </row>
    <row r="463" ht="15" customHeight="1">
      <c r="A463" t="inlineStr">
        <is>
          <t>A 44017-2025</t>
        </is>
      </c>
      <c r="B463" s="1" t="n">
        <v>45915</v>
      </c>
      <c r="C463" s="1" t="n">
        <v>46193</v>
      </c>
      <c r="D463" t="inlineStr">
        <is>
          <t>VÄSTERBOTTENS LÄN</t>
        </is>
      </c>
      <c r="E463" t="inlineStr">
        <is>
          <t>VILHELMINA</t>
        </is>
      </c>
      <c r="G463" t="n">
        <v>1.5</v>
      </c>
      <c r="H463" t="n">
        <v>0</v>
      </c>
      <c r="I463" t="n">
        <v>0</v>
      </c>
      <c r="J463" t="n">
        <v>0</v>
      </c>
      <c r="K463" t="n">
        <v>0</v>
      </c>
      <c r="L463" t="n">
        <v>0</v>
      </c>
      <c r="M463" t="n">
        <v>0</v>
      </c>
      <c r="N463" t="n">
        <v>0</v>
      </c>
      <c r="O463" t="n">
        <v>0</v>
      </c>
      <c r="P463" t="n">
        <v>0</v>
      </c>
      <c r="Q463" t="n">
        <v>0</v>
      </c>
      <c r="R463" s="2" t="inlineStr"/>
    </row>
    <row r="464" ht="15" customHeight="1">
      <c r="A464" t="inlineStr">
        <is>
          <t>A 16721-2025</t>
        </is>
      </c>
      <c r="B464" s="1" t="n">
        <v>45754</v>
      </c>
      <c r="C464" s="1" t="n">
        <v>46193</v>
      </c>
      <c r="D464" t="inlineStr">
        <is>
          <t>VÄSTERBOTTENS LÄN</t>
        </is>
      </c>
      <c r="E464" t="inlineStr">
        <is>
          <t>VILHELMINA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60376-2024</t>
        </is>
      </c>
      <c r="B465" s="1" t="n">
        <v>45643</v>
      </c>
      <c r="C465" s="1" t="n">
        <v>46193</v>
      </c>
      <c r="D465" t="inlineStr">
        <is>
          <t>VÄSTERBOTTENS LÄN</t>
        </is>
      </c>
      <c r="E465" t="inlineStr">
        <is>
          <t>VILHELMINA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19465-2025</t>
        </is>
      </c>
      <c r="B466" s="1" t="n">
        <v>45770</v>
      </c>
      <c r="C466" s="1" t="n">
        <v>46193</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15782-2025</t>
        </is>
      </c>
      <c r="B467" s="1" t="n">
        <v>45748</v>
      </c>
      <c r="C467" s="1" t="n">
        <v>46193</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23543-2024</t>
        </is>
      </c>
      <c r="B468" s="1" t="n">
        <v>45453</v>
      </c>
      <c r="C468" s="1" t="n">
        <v>46193</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40781-2023</t>
        </is>
      </c>
      <c r="B469" s="1" t="n">
        <v>45170</v>
      </c>
      <c r="C469" s="1" t="n">
        <v>46193</v>
      </c>
      <c r="D469" t="inlineStr">
        <is>
          <t>VÄSTERBOTTENS LÄN</t>
        </is>
      </c>
      <c r="E469" t="inlineStr">
        <is>
          <t>VILHELMINA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52749-2023</t>
        </is>
      </c>
      <c r="B470" s="1" t="n">
        <v>45225</v>
      </c>
      <c r="C470" s="1" t="n">
        <v>46193</v>
      </c>
      <c r="D470" t="inlineStr">
        <is>
          <t>VÄSTERBOTTENS LÄN</t>
        </is>
      </c>
      <c r="E470" t="inlineStr">
        <is>
          <t>VILHELMINA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62101-2024</t>
        </is>
      </c>
      <c r="B471" s="1" t="n">
        <v>45656</v>
      </c>
      <c r="C471" s="1" t="n">
        <v>46193</v>
      </c>
      <c r="D471" t="inlineStr">
        <is>
          <t>VÄSTERBOTTENS LÄN</t>
        </is>
      </c>
      <c r="E471" t="inlineStr">
        <is>
          <t>VILHELMINA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66924-2021</t>
        </is>
      </c>
      <c r="B472" s="1" t="n">
        <v>44522</v>
      </c>
      <c r="C472" s="1" t="n">
        <v>46193</v>
      </c>
      <c r="D472" t="inlineStr">
        <is>
          <t>VÄSTERBOTTENS LÄN</t>
        </is>
      </c>
      <c r="E472" t="inlineStr">
        <is>
          <t>VILHELMINA</t>
        </is>
      </c>
      <c r="F472" t="inlineStr">
        <is>
          <t>Allmännings- och besparingsskogar</t>
        </is>
      </c>
      <c r="G472" t="n">
        <v>335.4</v>
      </c>
      <c r="H472" t="n">
        <v>0</v>
      </c>
      <c r="I472" t="n">
        <v>0</v>
      </c>
      <c r="J472" t="n">
        <v>0</v>
      </c>
      <c r="K472" t="n">
        <v>0</v>
      </c>
      <c r="L472" t="n">
        <v>0</v>
      </c>
      <c r="M472" t="n">
        <v>0</v>
      </c>
      <c r="N472" t="n">
        <v>0</v>
      </c>
      <c r="O472" t="n">
        <v>0</v>
      </c>
      <c r="P472" t="n">
        <v>0</v>
      </c>
      <c r="Q472" t="n">
        <v>0</v>
      </c>
      <c r="R472" s="2" t="inlineStr"/>
    </row>
    <row r="473" ht="15" customHeight="1">
      <c r="A473" t="inlineStr">
        <is>
          <t>A 237-2025</t>
        </is>
      </c>
      <c r="B473" s="1" t="n">
        <v>45660</v>
      </c>
      <c r="C473" s="1" t="n">
        <v>46193</v>
      </c>
      <c r="D473" t="inlineStr">
        <is>
          <t>VÄSTERBOTTENS LÄN</t>
        </is>
      </c>
      <c r="E473" t="inlineStr">
        <is>
          <t>VILHELMINA</t>
        </is>
      </c>
      <c r="G473" t="n">
        <v>4.6</v>
      </c>
      <c r="H473" t="n">
        <v>0</v>
      </c>
      <c r="I473" t="n">
        <v>0</v>
      </c>
      <c r="J473" t="n">
        <v>0</v>
      </c>
      <c r="K473" t="n">
        <v>0</v>
      </c>
      <c r="L473" t="n">
        <v>0</v>
      </c>
      <c r="M473" t="n">
        <v>0</v>
      </c>
      <c r="N473" t="n">
        <v>0</v>
      </c>
      <c r="O473" t="n">
        <v>0</v>
      </c>
      <c r="P473" t="n">
        <v>0</v>
      </c>
      <c r="Q473" t="n">
        <v>0</v>
      </c>
      <c r="R473" s="2" t="inlineStr"/>
    </row>
    <row r="474" ht="15" customHeight="1">
      <c r="A474" t="inlineStr">
        <is>
          <t>A 242-2025</t>
        </is>
      </c>
      <c r="B474" s="1" t="n">
        <v>45660</v>
      </c>
      <c r="C474" s="1" t="n">
        <v>46193</v>
      </c>
      <c r="D474" t="inlineStr">
        <is>
          <t>VÄSTERBOTTENS LÄN</t>
        </is>
      </c>
      <c r="E474" t="inlineStr">
        <is>
          <t>VILHELMINA</t>
        </is>
      </c>
      <c r="G474" t="n">
        <v>2.7</v>
      </c>
      <c r="H474" t="n">
        <v>0</v>
      </c>
      <c r="I474" t="n">
        <v>0</v>
      </c>
      <c r="J474" t="n">
        <v>0</v>
      </c>
      <c r="K474" t="n">
        <v>0</v>
      </c>
      <c r="L474" t="n">
        <v>0</v>
      </c>
      <c r="M474" t="n">
        <v>0</v>
      </c>
      <c r="N474" t="n">
        <v>0</v>
      </c>
      <c r="O474" t="n">
        <v>0</v>
      </c>
      <c r="P474" t="n">
        <v>0</v>
      </c>
      <c r="Q474" t="n">
        <v>0</v>
      </c>
      <c r="R474" s="2" t="inlineStr"/>
    </row>
    <row r="475" ht="15" customHeight="1">
      <c r="A475" t="inlineStr">
        <is>
          <t>A 296-2025</t>
        </is>
      </c>
      <c r="B475" s="1" t="n">
        <v>45660</v>
      </c>
      <c r="C475" s="1" t="n">
        <v>46193</v>
      </c>
      <c r="D475" t="inlineStr">
        <is>
          <t>VÄSTERBOTTENS LÄN</t>
        </is>
      </c>
      <c r="E475" t="inlineStr">
        <is>
          <t>VILHELMINA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v>
      </c>
      <c r="C476" s="1" t="n">
        <v>46193</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21035-2025</t>
        </is>
      </c>
      <c r="B477" s="1" t="n">
        <v>45777</v>
      </c>
      <c r="C477" s="1" t="n">
        <v>46193</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468-2024</t>
        </is>
      </c>
      <c r="B478" s="1" t="n">
        <v>45297</v>
      </c>
      <c r="C478" s="1" t="n">
        <v>46193</v>
      </c>
      <c r="D478" t="inlineStr">
        <is>
          <t>VÄSTERBOTTENS LÄN</t>
        </is>
      </c>
      <c r="E478" t="inlineStr">
        <is>
          <t>VILHELMINA</t>
        </is>
      </c>
      <c r="G478" t="n">
        <v>6.7</v>
      </c>
      <c r="H478" t="n">
        <v>0</v>
      </c>
      <c r="I478" t="n">
        <v>0</v>
      </c>
      <c r="J478" t="n">
        <v>0</v>
      </c>
      <c r="K478" t="n">
        <v>0</v>
      </c>
      <c r="L478" t="n">
        <v>0</v>
      </c>
      <c r="M478" t="n">
        <v>0</v>
      </c>
      <c r="N478" t="n">
        <v>0</v>
      </c>
      <c r="O478" t="n">
        <v>0</v>
      </c>
      <c r="P478" t="n">
        <v>0</v>
      </c>
      <c r="Q478" t="n">
        <v>0</v>
      </c>
      <c r="R478" s="2" t="inlineStr"/>
    </row>
    <row r="479" ht="15" customHeight="1">
      <c r="A479" t="inlineStr">
        <is>
          <t>A 21410-2025</t>
        </is>
      </c>
      <c r="B479" s="1" t="n">
        <v>45782</v>
      </c>
      <c r="C479" s="1" t="n">
        <v>46193</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3745-2023</t>
        </is>
      </c>
      <c r="B480" s="1" t="n">
        <v>44949</v>
      </c>
      <c r="C480" s="1" t="n">
        <v>46193</v>
      </c>
      <c r="D480" t="inlineStr">
        <is>
          <t>VÄSTERBOTTENS LÄN</t>
        </is>
      </c>
      <c r="E480" t="inlineStr">
        <is>
          <t>VILHELMINA</t>
        </is>
      </c>
      <c r="G480" t="n">
        <v>36.6</v>
      </c>
      <c r="H480" t="n">
        <v>0</v>
      </c>
      <c r="I480" t="n">
        <v>0</v>
      </c>
      <c r="J480" t="n">
        <v>0</v>
      </c>
      <c r="K480" t="n">
        <v>0</v>
      </c>
      <c r="L480" t="n">
        <v>0</v>
      </c>
      <c r="M480" t="n">
        <v>0</v>
      </c>
      <c r="N480" t="n">
        <v>0</v>
      </c>
      <c r="O480" t="n">
        <v>0</v>
      </c>
      <c r="P480" t="n">
        <v>0</v>
      </c>
      <c r="Q480" t="n">
        <v>0</v>
      </c>
      <c r="R480" s="2" t="inlineStr"/>
    </row>
    <row r="481" ht="15" customHeight="1">
      <c r="A481" t="inlineStr">
        <is>
          <t>A 21448-2025</t>
        </is>
      </c>
      <c r="B481" s="1" t="n">
        <v>45782</v>
      </c>
      <c r="C481" s="1" t="n">
        <v>46193</v>
      </c>
      <c r="D481" t="inlineStr">
        <is>
          <t>VÄSTERBOTTENS LÄN</t>
        </is>
      </c>
      <c r="E481" t="inlineStr">
        <is>
          <t>VILHELMINA</t>
        </is>
      </c>
      <c r="F481" t="inlineStr">
        <is>
          <t>SCA</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21204-2025</t>
        </is>
      </c>
      <c r="B482" s="1" t="n">
        <v>45779</v>
      </c>
      <c r="C482" s="1" t="n">
        <v>46193</v>
      </c>
      <c r="D482" t="inlineStr">
        <is>
          <t>VÄSTERBOTTENS LÄN</t>
        </is>
      </c>
      <c r="E482" t="inlineStr">
        <is>
          <t>VILHELMINA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21924-2025</t>
        </is>
      </c>
      <c r="B483" s="1" t="n">
        <v>45784</v>
      </c>
      <c r="C483" s="1" t="n">
        <v>46193</v>
      </c>
      <c r="D483" t="inlineStr">
        <is>
          <t>VÄSTERBOTTENS LÄN</t>
        </is>
      </c>
      <c r="E483" t="inlineStr">
        <is>
          <t>VILHELMINA</t>
        </is>
      </c>
      <c r="G483" t="n">
        <v>10.2</v>
      </c>
      <c r="H483" t="n">
        <v>0</v>
      </c>
      <c r="I483" t="n">
        <v>0</v>
      </c>
      <c r="J483" t="n">
        <v>0</v>
      </c>
      <c r="K483" t="n">
        <v>0</v>
      </c>
      <c r="L483" t="n">
        <v>0</v>
      </c>
      <c r="M483" t="n">
        <v>0</v>
      </c>
      <c r="N483" t="n">
        <v>0</v>
      </c>
      <c r="O483" t="n">
        <v>0</v>
      </c>
      <c r="P483" t="n">
        <v>0</v>
      </c>
      <c r="Q483" t="n">
        <v>0</v>
      </c>
      <c r="R483" s="2" t="inlineStr"/>
    </row>
    <row r="484" ht="15" customHeight="1">
      <c r="A484" t="inlineStr">
        <is>
          <t>A 56830-2023</t>
        </is>
      </c>
      <c r="B484" s="1" t="n">
        <v>45238</v>
      </c>
      <c r="C484" s="1" t="n">
        <v>46193</v>
      </c>
      <c r="D484" t="inlineStr">
        <is>
          <t>VÄSTERBOTTENS LÄN</t>
        </is>
      </c>
      <c r="E484" t="inlineStr">
        <is>
          <t>VILHELMINA</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56847-2023</t>
        </is>
      </c>
      <c r="B485" s="1" t="n">
        <v>45238</v>
      </c>
      <c r="C485" s="1" t="n">
        <v>46193</v>
      </c>
      <c r="D485" t="inlineStr">
        <is>
          <t>VÄSTERBOTTENS LÄN</t>
        </is>
      </c>
      <c r="E485" t="inlineStr">
        <is>
          <t>VILHELMINA</t>
        </is>
      </c>
      <c r="F485" t="inlineStr">
        <is>
          <t>Allmännings- och besparingsskogar</t>
        </is>
      </c>
      <c r="G485" t="n">
        <v>41</v>
      </c>
      <c r="H485" t="n">
        <v>0</v>
      </c>
      <c r="I485" t="n">
        <v>0</v>
      </c>
      <c r="J485" t="n">
        <v>0</v>
      </c>
      <c r="K485" t="n">
        <v>0</v>
      </c>
      <c r="L485" t="n">
        <v>0</v>
      </c>
      <c r="M485" t="n">
        <v>0</v>
      </c>
      <c r="N485" t="n">
        <v>0</v>
      </c>
      <c r="O485" t="n">
        <v>0</v>
      </c>
      <c r="P485" t="n">
        <v>0</v>
      </c>
      <c r="Q485" t="n">
        <v>0</v>
      </c>
      <c r="R485" s="2" t="inlineStr"/>
    </row>
    <row r="486" ht="15" customHeight="1">
      <c r="A486" t="inlineStr">
        <is>
          <t>A 50482-2023</t>
        </is>
      </c>
      <c r="B486" s="1" t="n">
        <v>45216</v>
      </c>
      <c r="C486" s="1" t="n">
        <v>46193</v>
      </c>
      <c r="D486" t="inlineStr">
        <is>
          <t>VÄSTERBOTTENS LÄN</t>
        </is>
      </c>
      <c r="E486" t="inlineStr">
        <is>
          <t>VILHELMINA</t>
        </is>
      </c>
      <c r="G486" t="n">
        <v>3.5</v>
      </c>
      <c r="H486" t="n">
        <v>0</v>
      </c>
      <c r="I486" t="n">
        <v>0</v>
      </c>
      <c r="J486" t="n">
        <v>0</v>
      </c>
      <c r="K486" t="n">
        <v>0</v>
      </c>
      <c r="L486" t="n">
        <v>0</v>
      </c>
      <c r="M486" t="n">
        <v>0</v>
      </c>
      <c r="N486" t="n">
        <v>0</v>
      </c>
      <c r="O486" t="n">
        <v>0</v>
      </c>
      <c r="P486" t="n">
        <v>0</v>
      </c>
      <c r="Q486" t="n">
        <v>0</v>
      </c>
      <c r="R486" s="2" t="inlineStr"/>
    </row>
    <row r="487" ht="15" customHeight="1">
      <c r="A487" t="inlineStr">
        <is>
          <t>A 21999-2025</t>
        </is>
      </c>
      <c r="B487" s="1" t="n">
        <v>45784</v>
      </c>
      <c r="C487" s="1" t="n">
        <v>46193</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21950-2025</t>
        </is>
      </c>
      <c r="B488" s="1" t="n">
        <v>45784</v>
      </c>
      <c r="C488" s="1" t="n">
        <v>46193</v>
      </c>
      <c r="D488" t="inlineStr">
        <is>
          <t>VÄSTERBOTTENS LÄN</t>
        </is>
      </c>
      <c r="E488" t="inlineStr">
        <is>
          <t>VILHELMINA</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21623-2025</t>
        </is>
      </c>
      <c r="B489" s="1" t="n">
        <v>45783</v>
      </c>
      <c r="C489" s="1" t="n">
        <v>46193</v>
      </c>
      <c r="D489" t="inlineStr">
        <is>
          <t>VÄSTERBOTTENS LÄN</t>
        </is>
      </c>
      <c r="E489" t="inlineStr">
        <is>
          <t>VILHELMINA</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21670-2025</t>
        </is>
      </c>
      <c r="B490" s="1" t="n">
        <v>45783</v>
      </c>
      <c r="C490" s="1" t="n">
        <v>46193</v>
      </c>
      <c r="D490" t="inlineStr">
        <is>
          <t>VÄSTERBOTTENS LÄN</t>
        </is>
      </c>
      <c r="E490" t="inlineStr">
        <is>
          <t>VILHELMINA</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56823-2023</t>
        </is>
      </c>
      <c r="B491" s="1" t="n">
        <v>45238</v>
      </c>
      <c r="C491" s="1" t="n">
        <v>46193</v>
      </c>
      <c r="D491" t="inlineStr">
        <is>
          <t>VÄSTERBOTTENS LÄN</t>
        </is>
      </c>
      <c r="E491" t="inlineStr">
        <is>
          <t>VILHELMINA</t>
        </is>
      </c>
      <c r="F491" t="inlineStr">
        <is>
          <t>Allmännings- och besparingsskogar</t>
        </is>
      </c>
      <c r="G491" t="n">
        <v>82</v>
      </c>
      <c r="H491" t="n">
        <v>0</v>
      </c>
      <c r="I491" t="n">
        <v>0</v>
      </c>
      <c r="J491" t="n">
        <v>0</v>
      </c>
      <c r="K491" t="n">
        <v>0</v>
      </c>
      <c r="L491" t="n">
        <v>0</v>
      </c>
      <c r="M491" t="n">
        <v>0</v>
      </c>
      <c r="N491" t="n">
        <v>0</v>
      </c>
      <c r="O491" t="n">
        <v>0</v>
      </c>
      <c r="P491" t="n">
        <v>0</v>
      </c>
      <c r="Q491" t="n">
        <v>0</v>
      </c>
      <c r="R491" s="2" t="inlineStr"/>
    </row>
    <row r="492" ht="15" customHeight="1">
      <c r="A492" t="inlineStr">
        <is>
          <t>A 34809-2023</t>
        </is>
      </c>
      <c r="B492" s="1" t="n">
        <v>45140</v>
      </c>
      <c r="C492" s="1" t="n">
        <v>46193</v>
      </c>
      <c r="D492" t="inlineStr">
        <is>
          <t>VÄSTERBOTTENS LÄN</t>
        </is>
      </c>
      <c r="E492" t="inlineStr">
        <is>
          <t>VILHELMINA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5435-2024</t>
        </is>
      </c>
      <c r="B493" s="1" t="n">
        <v>45331</v>
      </c>
      <c r="C493" s="1" t="n">
        <v>46193</v>
      </c>
      <c r="D493" t="inlineStr">
        <is>
          <t>VÄSTERBOTTENS LÄN</t>
        </is>
      </c>
      <c r="E493" t="inlineStr">
        <is>
          <t>VILHELMINA</t>
        </is>
      </c>
      <c r="G493" t="n">
        <v>6</v>
      </c>
      <c r="H493" t="n">
        <v>0</v>
      </c>
      <c r="I493" t="n">
        <v>0</v>
      </c>
      <c r="J493" t="n">
        <v>0</v>
      </c>
      <c r="K493" t="n">
        <v>0</v>
      </c>
      <c r="L493" t="n">
        <v>0</v>
      </c>
      <c r="M493" t="n">
        <v>0</v>
      </c>
      <c r="N493" t="n">
        <v>0</v>
      </c>
      <c r="O493" t="n">
        <v>0</v>
      </c>
      <c r="P493" t="n">
        <v>0</v>
      </c>
      <c r="Q493" t="n">
        <v>0</v>
      </c>
      <c r="R493" s="2" t="inlineStr"/>
    </row>
    <row r="494" ht="15" customHeight="1">
      <c r="A494" t="inlineStr">
        <is>
          <t>A 47035-2025</t>
        </is>
      </c>
      <c r="B494" s="1" t="n">
        <v>45929</v>
      </c>
      <c r="C494" s="1" t="n">
        <v>46193</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60842-2023</t>
        </is>
      </c>
      <c r="B495" s="1" t="n">
        <v>45260</v>
      </c>
      <c r="C495" s="1" t="n">
        <v>46193</v>
      </c>
      <c r="D495" t="inlineStr">
        <is>
          <t>VÄSTERBOTTENS LÄN</t>
        </is>
      </c>
      <c r="E495" t="inlineStr">
        <is>
          <t>VILHELMINA</t>
        </is>
      </c>
      <c r="G495" t="n">
        <v>2.9</v>
      </c>
      <c r="H495" t="n">
        <v>0</v>
      </c>
      <c r="I495" t="n">
        <v>0</v>
      </c>
      <c r="J495" t="n">
        <v>0</v>
      </c>
      <c r="K495" t="n">
        <v>0</v>
      </c>
      <c r="L495" t="n">
        <v>0</v>
      </c>
      <c r="M495" t="n">
        <v>0</v>
      </c>
      <c r="N495" t="n">
        <v>0</v>
      </c>
      <c r="O495" t="n">
        <v>0</v>
      </c>
      <c r="P495" t="n">
        <v>0</v>
      </c>
      <c r="Q495" t="n">
        <v>0</v>
      </c>
      <c r="R495" s="2" t="inlineStr"/>
    </row>
    <row r="496" ht="15" customHeight="1">
      <c r="A496" t="inlineStr">
        <is>
          <t>A 12374-2025</t>
        </is>
      </c>
      <c r="B496" s="1" t="n">
        <v>45730</v>
      </c>
      <c r="C496" s="1" t="n">
        <v>46193</v>
      </c>
      <c r="D496" t="inlineStr">
        <is>
          <t>VÄSTERBOTTENS LÄN</t>
        </is>
      </c>
      <c r="E496" t="inlineStr">
        <is>
          <t>VILHELMINA</t>
        </is>
      </c>
      <c r="F496" t="inlineStr">
        <is>
          <t>Övriga statliga verk och myndigheter</t>
        </is>
      </c>
      <c r="G496" t="n">
        <v>18.7</v>
      </c>
      <c r="H496" t="n">
        <v>0</v>
      </c>
      <c r="I496" t="n">
        <v>0</v>
      </c>
      <c r="J496" t="n">
        <v>0</v>
      </c>
      <c r="K496" t="n">
        <v>0</v>
      </c>
      <c r="L496" t="n">
        <v>0</v>
      </c>
      <c r="M496" t="n">
        <v>0</v>
      </c>
      <c r="N496" t="n">
        <v>0</v>
      </c>
      <c r="O496" t="n">
        <v>0</v>
      </c>
      <c r="P496" t="n">
        <v>0</v>
      </c>
      <c r="Q496" t="n">
        <v>0</v>
      </c>
      <c r="R496" s="2" t="inlineStr"/>
    </row>
    <row r="497" ht="15" customHeight="1">
      <c r="A497" t="inlineStr">
        <is>
          <t>A 12375-2025</t>
        </is>
      </c>
      <c r="B497" s="1" t="n">
        <v>45730</v>
      </c>
      <c r="C497" s="1" t="n">
        <v>46193</v>
      </c>
      <c r="D497" t="inlineStr">
        <is>
          <t>VÄSTERBOTTENS LÄN</t>
        </is>
      </c>
      <c r="E497" t="inlineStr">
        <is>
          <t>VILHELMINA</t>
        </is>
      </c>
      <c r="F497" t="inlineStr">
        <is>
          <t>Övriga statliga verk och myndigheter</t>
        </is>
      </c>
      <c r="G497" t="n">
        <v>22.3</v>
      </c>
      <c r="H497" t="n">
        <v>0</v>
      </c>
      <c r="I497" t="n">
        <v>0</v>
      </c>
      <c r="J497" t="n">
        <v>0</v>
      </c>
      <c r="K497" t="n">
        <v>0</v>
      </c>
      <c r="L497" t="n">
        <v>0</v>
      </c>
      <c r="M497" t="n">
        <v>0</v>
      </c>
      <c r="N497" t="n">
        <v>0</v>
      </c>
      <c r="O497" t="n">
        <v>0</v>
      </c>
      <c r="P497" t="n">
        <v>0</v>
      </c>
      <c r="Q497" t="n">
        <v>0</v>
      </c>
      <c r="R497" s="2" t="inlineStr"/>
    </row>
    <row r="498" ht="15" customHeight="1">
      <c r="A498" t="inlineStr">
        <is>
          <t>A 55688-2023</t>
        </is>
      </c>
      <c r="B498" s="1" t="n">
        <v>45232</v>
      </c>
      <c r="C498" s="1" t="n">
        <v>46193</v>
      </c>
      <c r="D498" t="inlineStr">
        <is>
          <t>VÄSTERBOTTENS LÄN</t>
        </is>
      </c>
      <c r="E498" t="inlineStr">
        <is>
          <t>VILHELMINA</t>
        </is>
      </c>
      <c r="G498" t="n">
        <v>6.4</v>
      </c>
      <c r="H498" t="n">
        <v>0</v>
      </c>
      <c r="I498" t="n">
        <v>0</v>
      </c>
      <c r="J498" t="n">
        <v>0</v>
      </c>
      <c r="K498" t="n">
        <v>0</v>
      </c>
      <c r="L498" t="n">
        <v>0</v>
      </c>
      <c r="M498" t="n">
        <v>0</v>
      </c>
      <c r="N498" t="n">
        <v>0</v>
      </c>
      <c r="O498" t="n">
        <v>0</v>
      </c>
      <c r="P498" t="n">
        <v>0</v>
      </c>
      <c r="Q498" t="n">
        <v>0</v>
      </c>
      <c r="R498" s="2" t="inlineStr"/>
    </row>
    <row r="499" ht="15" customHeight="1">
      <c r="A499" t="inlineStr">
        <is>
          <t>A 34413-2025</t>
        </is>
      </c>
      <c r="B499" s="1" t="n">
        <v>45845</v>
      </c>
      <c r="C499" s="1" t="n">
        <v>46193</v>
      </c>
      <c r="D499" t="inlineStr">
        <is>
          <t>VÄSTERBOTTENS LÄN</t>
        </is>
      </c>
      <c r="E499" t="inlineStr">
        <is>
          <t>VILHELMINA</t>
        </is>
      </c>
      <c r="G499" t="n">
        <v>6.8</v>
      </c>
      <c r="H499" t="n">
        <v>0</v>
      </c>
      <c r="I499" t="n">
        <v>0</v>
      </c>
      <c r="J499" t="n">
        <v>0</v>
      </c>
      <c r="K499" t="n">
        <v>0</v>
      </c>
      <c r="L499" t="n">
        <v>0</v>
      </c>
      <c r="M499" t="n">
        <v>0</v>
      </c>
      <c r="N499" t="n">
        <v>0</v>
      </c>
      <c r="O499" t="n">
        <v>0</v>
      </c>
      <c r="P499" t="n">
        <v>0</v>
      </c>
      <c r="Q499" t="n">
        <v>0</v>
      </c>
      <c r="R499" s="2" t="inlineStr"/>
    </row>
    <row r="500" ht="15" customHeight="1">
      <c r="A500" t="inlineStr">
        <is>
          <t>A 10268-2025</t>
        </is>
      </c>
      <c r="B500" s="1" t="n">
        <v>45720</v>
      </c>
      <c r="C500" s="1" t="n">
        <v>46193</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61270-2022</t>
        </is>
      </c>
      <c r="B501" s="1" t="n">
        <v>44909</v>
      </c>
      <c r="C501" s="1" t="n">
        <v>46193</v>
      </c>
      <c r="D501" t="inlineStr">
        <is>
          <t>VÄSTERBOTTENS LÄN</t>
        </is>
      </c>
      <c r="E501" t="inlineStr">
        <is>
          <t>VILHELMINA</t>
        </is>
      </c>
      <c r="G501" t="n">
        <v>8.9</v>
      </c>
      <c r="H501" t="n">
        <v>0</v>
      </c>
      <c r="I501" t="n">
        <v>0</v>
      </c>
      <c r="J501" t="n">
        <v>0</v>
      </c>
      <c r="K501" t="n">
        <v>0</v>
      </c>
      <c r="L501" t="n">
        <v>0</v>
      </c>
      <c r="M501" t="n">
        <v>0</v>
      </c>
      <c r="N501" t="n">
        <v>0</v>
      </c>
      <c r="O501" t="n">
        <v>0</v>
      </c>
      <c r="P501" t="n">
        <v>0</v>
      </c>
      <c r="Q501" t="n">
        <v>0</v>
      </c>
      <c r="R501" s="2" t="inlineStr"/>
    </row>
    <row r="502" ht="15" customHeight="1">
      <c r="A502" t="inlineStr">
        <is>
          <t>A 60227-2022</t>
        </is>
      </c>
      <c r="B502" s="1" t="n">
        <v>44903</v>
      </c>
      <c r="C502" s="1" t="n">
        <v>46193</v>
      </c>
      <c r="D502" t="inlineStr">
        <is>
          <t>VÄSTERBOTTENS LÄN</t>
        </is>
      </c>
      <c r="E502" t="inlineStr">
        <is>
          <t>VILHELMINA</t>
        </is>
      </c>
      <c r="G502" t="n">
        <v>11</v>
      </c>
      <c r="H502" t="n">
        <v>0</v>
      </c>
      <c r="I502" t="n">
        <v>0</v>
      </c>
      <c r="J502" t="n">
        <v>0</v>
      </c>
      <c r="K502" t="n">
        <v>0</v>
      </c>
      <c r="L502" t="n">
        <v>0</v>
      </c>
      <c r="M502" t="n">
        <v>0</v>
      </c>
      <c r="N502" t="n">
        <v>0</v>
      </c>
      <c r="O502" t="n">
        <v>0</v>
      </c>
      <c r="P502" t="n">
        <v>0</v>
      </c>
      <c r="Q502" t="n">
        <v>0</v>
      </c>
      <c r="R502" s="2" t="inlineStr"/>
    </row>
    <row r="503" ht="15" customHeight="1">
      <c r="A503" t="inlineStr">
        <is>
          <t>A 19223-2025</t>
        </is>
      </c>
      <c r="B503" s="1" t="n">
        <v>45769</v>
      </c>
      <c r="C503" s="1" t="n">
        <v>46193</v>
      </c>
      <c r="D503" t="inlineStr">
        <is>
          <t>VÄSTERBOTTENS LÄN</t>
        </is>
      </c>
      <c r="E503" t="inlineStr">
        <is>
          <t>VILHELMINA</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39035-2024</t>
        </is>
      </c>
      <c r="B504" s="1" t="n">
        <v>45548</v>
      </c>
      <c r="C504" s="1" t="n">
        <v>46193</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23459-2025</t>
        </is>
      </c>
      <c r="B505" s="1" t="n">
        <v>45792</v>
      </c>
      <c r="C505" s="1" t="n">
        <v>46193</v>
      </c>
      <c r="D505" t="inlineStr">
        <is>
          <t>VÄSTERBOTTENS LÄN</t>
        </is>
      </c>
      <c r="E505" t="inlineStr">
        <is>
          <t>VILHELMINA</t>
        </is>
      </c>
      <c r="F505" t="inlineStr">
        <is>
          <t>SCA</t>
        </is>
      </c>
      <c r="G505" t="n">
        <v>7.4</v>
      </c>
      <c r="H505" t="n">
        <v>0</v>
      </c>
      <c r="I505" t="n">
        <v>0</v>
      </c>
      <c r="J505" t="n">
        <v>0</v>
      </c>
      <c r="K505" t="n">
        <v>0</v>
      </c>
      <c r="L505" t="n">
        <v>0</v>
      </c>
      <c r="M505" t="n">
        <v>0</v>
      </c>
      <c r="N505" t="n">
        <v>0</v>
      </c>
      <c r="O505" t="n">
        <v>0</v>
      </c>
      <c r="P505" t="n">
        <v>0</v>
      </c>
      <c r="Q505" t="n">
        <v>0</v>
      </c>
      <c r="R505" s="2" t="inlineStr"/>
    </row>
    <row r="506" ht="15" customHeight="1">
      <c r="A506" t="inlineStr">
        <is>
          <t>A 23281-2025</t>
        </is>
      </c>
      <c r="B506" s="1" t="n">
        <v>45791</v>
      </c>
      <c r="C506" s="1" t="n">
        <v>46193</v>
      </c>
      <c r="D506" t="inlineStr">
        <is>
          <t>VÄSTERBOTTENS LÄN</t>
        </is>
      </c>
      <c r="E506" t="inlineStr">
        <is>
          <t>VILHELMINA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48904-2025</t>
        </is>
      </c>
      <c r="B507" s="1" t="n">
        <v>45937</v>
      </c>
      <c r="C507" s="1" t="n">
        <v>46193</v>
      </c>
      <c r="D507" t="inlineStr">
        <is>
          <t>VÄSTERBOTTENS LÄN</t>
        </is>
      </c>
      <c r="E507" t="inlineStr">
        <is>
          <t>VILHELMINA</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23415-2025</t>
        </is>
      </c>
      <c r="B508" s="1" t="n">
        <v>45792</v>
      </c>
      <c r="C508" s="1" t="n">
        <v>46193</v>
      </c>
      <c r="D508" t="inlineStr">
        <is>
          <t>VÄSTERBOTTENS LÄN</t>
        </is>
      </c>
      <c r="E508" t="inlineStr">
        <is>
          <t>VILHELMINA</t>
        </is>
      </c>
      <c r="F508" t="inlineStr">
        <is>
          <t>SCA</t>
        </is>
      </c>
      <c r="G508" t="n">
        <v>36.9</v>
      </c>
      <c r="H508" t="n">
        <v>0</v>
      </c>
      <c r="I508" t="n">
        <v>0</v>
      </c>
      <c r="J508" t="n">
        <v>0</v>
      </c>
      <c r="K508" t="n">
        <v>0</v>
      </c>
      <c r="L508" t="n">
        <v>0</v>
      </c>
      <c r="M508" t="n">
        <v>0</v>
      </c>
      <c r="N508" t="n">
        <v>0</v>
      </c>
      <c r="O508" t="n">
        <v>0</v>
      </c>
      <c r="P508" t="n">
        <v>0</v>
      </c>
      <c r="Q508" t="n">
        <v>0</v>
      </c>
      <c r="R508" s="2" t="inlineStr"/>
    </row>
    <row r="509" ht="15" customHeight="1">
      <c r="A509" t="inlineStr">
        <is>
          <t>A 11139-2022</t>
        </is>
      </c>
      <c r="B509" s="1" t="n">
        <v>44628</v>
      </c>
      <c r="C509" s="1" t="n">
        <v>46193</v>
      </c>
      <c r="D509" t="inlineStr">
        <is>
          <t>VÄSTERBOTTENS LÄN</t>
        </is>
      </c>
      <c r="E509" t="inlineStr">
        <is>
          <t>VILHELMINA</t>
        </is>
      </c>
      <c r="G509" t="n">
        <v>13.6</v>
      </c>
      <c r="H509" t="n">
        <v>0</v>
      </c>
      <c r="I509" t="n">
        <v>0</v>
      </c>
      <c r="J509" t="n">
        <v>0</v>
      </c>
      <c r="K509" t="n">
        <v>0</v>
      </c>
      <c r="L509" t="n">
        <v>0</v>
      </c>
      <c r="M509" t="n">
        <v>0</v>
      </c>
      <c r="N509" t="n">
        <v>0</v>
      </c>
      <c r="O509" t="n">
        <v>0</v>
      </c>
      <c r="P509" t="n">
        <v>0</v>
      </c>
      <c r="Q509" t="n">
        <v>0</v>
      </c>
      <c r="R509" s="2" t="inlineStr"/>
    </row>
    <row r="510" ht="15" customHeight="1">
      <c r="A510" t="inlineStr">
        <is>
          <t>A 19873-2024</t>
        </is>
      </c>
      <c r="B510" s="1" t="n">
        <v>45433</v>
      </c>
      <c r="C510" s="1" t="n">
        <v>46193</v>
      </c>
      <c r="D510" t="inlineStr">
        <is>
          <t>VÄSTERBOTTENS LÄN</t>
        </is>
      </c>
      <c r="E510" t="inlineStr">
        <is>
          <t>VILHELMINA</t>
        </is>
      </c>
      <c r="G510" t="n">
        <v>8.6</v>
      </c>
      <c r="H510" t="n">
        <v>0</v>
      </c>
      <c r="I510" t="n">
        <v>0</v>
      </c>
      <c r="J510" t="n">
        <v>0</v>
      </c>
      <c r="K510" t="n">
        <v>0</v>
      </c>
      <c r="L510" t="n">
        <v>0</v>
      </c>
      <c r="M510" t="n">
        <v>0</v>
      </c>
      <c r="N510" t="n">
        <v>0</v>
      </c>
      <c r="O510" t="n">
        <v>0</v>
      </c>
      <c r="P510" t="n">
        <v>0</v>
      </c>
      <c r="Q510" t="n">
        <v>0</v>
      </c>
      <c r="R510" s="2" t="inlineStr"/>
    </row>
    <row r="511" ht="15" customHeight="1">
      <c r="A511" t="inlineStr">
        <is>
          <t>A 40468-2021</t>
        </is>
      </c>
      <c r="B511" s="1" t="n">
        <v>44419</v>
      </c>
      <c r="C511" s="1" t="n">
        <v>46193</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10548-2022</t>
        </is>
      </c>
      <c r="B512" s="1" t="n">
        <v>44623</v>
      </c>
      <c r="C512" s="1" t="n">
        <v>46193</v>
      </c>
      <c r="D512" t="inlineStr">
        <is>
          <t>VÄSTERBOTTENS LÄN</t>
        </is>
      </c>
      <c r="E512" t="inlineStr">
        <is>
          <t>VILHELMINA</t>
        </is>
      </c>
      <c r="F512" t="inlineStr">
        <is>
          <t>SCA</t>
        </is>
      </c>
      <c r="G512" t="n">
        <v>11.5</v>
      </c>
      <c r="H512" t="n">
        <v>0</v>
      </c>
      <c r="I512" t="n">
        <v>0</v>
      </c>
      <c r="J512" t="n">
        <v>0</v>
      </c>
      <c r="K512" t="n">
        <v>0</v>
      </c>
      <c r="L512" t="n">
        <v>0</v>
      </c>
      <c r="M512" t="n">
        <v>0</v>
      </c>
      <c r="N512" t="n">
        <v>0</v>
      </c>
      <c r="O512" t="n">
        <v>0</v>
      </c>
      <c r="P512" t="n">
        <v>0</v>
      </c>
      <c r="Q512" t="n">
        <v>0</v>
      </c>
      <c r="R512" s="2" t="inlineStr"/>
    </row>
    <row r="513" ht="15" customHeight="1">
      <c r="A513" t="inlineStr">
        <is>
          <t>A 16720-2025</t>
        </is>
      </c>
      <c r="B513" s="1" t="n">
        <v>45754</v>
      </c>
      <c r="C513" s="1" t="n">
        <v>46193</v>
      </c>
      <c r="D513" t="inlineStr">
        <is>
          <t>VÄSTERBOTTENS LÄN</t>
        </is>
      </c>
      <c r="E513" t="inlineStr">
        <is>
          <t>VILHELMINA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35760-2023</t>
        </is>
      </c>
      <c r="B514" s="1" t="n">
        <v>45147</v>
      </c>
      <c r="C514" s="1" t="n">
        <v>46193</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50282-2025</t>
        </is>
      </c>
      <c r="B515" s="1" t="n">
        <v>45944</v>
      </c>
      <c r="C515" s="1" t="n">
        <v>46193</v>
      </c>
      <c r="D515" t="inlineStr">
        <is>
          <t>VÄSTERBOTTENS LÄN</t>
        </is>
      </c>
      <c r="E515" t="inlineStr">
        <is>
          <t>VILHELMINA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v>
      </c>
      <c r="C516" s="1" t="n">
        <v>46193</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23764-2025</t>
        </is>
      </c>
      <c r="B517" s="1" t="n">
        <v>45793</v>
      </c>
      <c r="C517" s="1" t="n">
        <v>46193</v>
      </c>
      <c r="D517" t="inlineStr">
        <is>
          <t>VÄSTERBOTTENS LÄN</t>
        </is>
      </c>
      <c r="E517" t="inlineStr">
        <is>
          <t>VILHELMINA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33319-2024</t>
        </is>
      </c>
      <c r="B518" s="1" t="n">
        <v>45518</v>
      </c>
      <c r="C518" s="1" t="n">
        <v>46193</v>
      </c>
      <c r="D518" t="inlineStr">
        <is>
          <t>VÄSTERBOTTENS LÄN</t>
        </is>
      </c>
      <c r="E518" t="inlineStr">
        <is>
          <t>VILHELMINA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402-2023</t>
        </is>
      </c>
      <c r="B519" s="1" t="n">
        <v>44923</v>
      </c>
      <c r="C519" s="1" t="n">
        <v>46193</v>
      </c>
      <c r="D519" t="inlineStr">
        <is>
          <t>VÄSTERBOTTENS LÄN</t>
        </is>
      </c>
      <c r="E519" t="inlineStr">
        <is>
          <t>VILHELMINA</t>
        </is>
      </c>
      <c r="G519" t="n">
        <v>14.7</v>
      </c>
      <c r="H519" t="n">
        <v>0</v>
      </c>
      <c r="I519" t="n">
        <v>0</v>
      </c>
      <c r="J519" t="n">
        <v>0</v>
      </c>
      <c r="K519" t="n">
        <v>0</v>
      </c>
      <c r="L519" t="n">
        <v>0</v>
      </c>
      <c r="M519" t="n">
        <v>0</v>
      </c>
      <c r="N519" t="n">
        <v>0</v>
      </c>
      <c r="O519" t="n">
        <v>0</v>
      </c>
      <c r="P519" t="n">
        <v>0</v>
      </c>
      <c r="Q519" t="n">
        <v>0</v>
      </c>
      <c r="R519" s="2" t="inlineStr"/>
    </row>
    <row r="520" ht="15" customHeight="1">
      <c r="A520" t="inlineStr">
        <is>
          <t>A 59022-2024</t>
        </is>
      </c>
      <c r="B520" s="1" t="n">
        <v>45636</v>
      </c>
      <c r="C520" s="1" t="n">
        <v>46193</v>
      </c>
      <c r="D520" t="inlineStr">
        <is>
          <t>VÄSTERBOTTENS LÄN</t>
        </is>
      </c>
      <c r="E520" t="inlineStr">
        <is>
          <t>VILHELMINA</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59011-2024</t>
        </is>
      </c>
      <c r="B521" s="1" t="n">
        <v>45636</v>
      </c>
      <c r="C521" s="1" t="n">
        <v>46193</v>
      </c>
      <c r="D521" t="inlineStr">
        <is>
          <t>VÄSTERBOTTENS LÄN</t>
        </is>
      </c>
      <c r="E521" t="inlineStr">
        <is>
          <t>VILHELMINA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59003-2024</t>
        </is>
      </c>
      <c r="B522" s="1" t="n">
        <v>45636</v>
      </c>
      <c r="C522" s="1" t="n">
        <v>46193</v>
      </c>
      <c r="D522" t="inlineStr">
        <is>
          <t>VÄSTERBOTTENS LÄN</t>
        </is>
      </c>
      <c r="E522" t="inlineStr">
        <is>
          <t>VILHELMINA</t>
        </is>
      </c>
      <c r="F522" t="inlineStr">
        <is>
          <t>Allmännings- och besparingsskogar</t>
        </is>
      </c>
      <c r="G522" t="n">
        <v>22</v>
      </c>
      <c r="H522" t="n">
        <v>0</v>
      </c>
      <c r="I522" t="n">
        <v>0</v>
      </c>
      <c r="J522" t="n">
        <v>0</v>
      </c>
      <c r="K522" t="n">
        <v>0</v>
      </c>
      <c r="L522" t="n">
        <v>0</v>
      </c>
      <c r="M522" t="n">
        <v>0</v>
      </c>
      <c r="N522" t="n">
        <v>0</v>
      </c>
      <c r="O522" t="n">
        <v>0</v>
      </c>
      <c r="P522" t="n">
        <v>0</v>
      </c>
      <c r="Q522" t="n">
        <v>0</v>
      </c>
      <c r="R522" s="2" t="inlineStr"/>
    </row>
    <row r="523" ht="15" customHeight="1">
      <c r="A523" t="inlineStr">
        <is>
          <t>A 56629-2024</t>
        </is>
      </c>
      <c r="B523" s="1" t="n">
        <v>45625</v>
      </c>
      <c r="C523" s="1" t="n">
        <v>46193</v>
      </c>
      <c r="D523" t="inlineStr">
        <is>
          <t>VÄSTERBOTTENS LÄN</t>
        </is>
      </c>
      <c r="E523" t="inlineStr">
        <is>
          <t>VILHELMINA</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50305-2025</t>
        </is>
      </c>
      <c r="B524" s="1" t="n">
        <v>45944</v>
      </c>
      <c r="C524" s="1" t="n">
        <v>46193</v>
      </c>
      <c r="D524" t="inlineStr">
        <is>
          <t>VÄSTERBOTTENS LÄN</t>
        </is>
      </c>
      <c r="E524" t="inlineStr">
        <is>
          <t>VILHELMINA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6638-2025</t>
        </is>
      </c>
      <c r="B525" s="1" t="n">
        <v>45700</v>
      </c>
      <c r="C525" s="1" t="n">
        <v>46193</v>
      </c>
      <c r="D525" t="inlineStr">
        <is>
          <t>VÄSTERBOTTENS LÄN</t>
        </is>
      </c>
      <c r="E525" t="inlineStr">
        <is>
          <t>VILHELMINA</t>
        </is>
      </c>
      <c r="G525" t="n">
        <v>21.5</v>
      </c>
      <c r="H525" t="n">
        <v>0</v>
      </c>
      <c r="I525" t="n">
        <v>0</v>
      </c>
      <c r="J525" t="n">
        <v>0</v>
      </c>
      <c r="K525" t="n">
        <v>0</v>
      </c>
      <c r="L525" t="n">
        <v>0</v>
      </c>
      <c r="M525" t="n">
        <v>0</v>
      </c>
      <c r="N525" t="n">
        <v>0</v>
      </c>
      <c r="O525" t="n">
        <v>0</v>
      </c>
      <c r="P525" t="n">
        <v>0</v>
      </c>
      <c r="Q525" t="n">
        <v>0</v>
      </c>
      <c r="R525" s="2" t="inlineStr"/>
    </row>
    <row r="526" ht="15" customHeight="1">
      <c r="A526" t="inlineStr">
        <is>
          <t>A 23686-2025</t>
        </is>
      </c>
      <c r="B526" s="1" t="n">
        <v>45793</v>
      </c>
      <c r="C526" s="1" t="n">
        <v>46193</v>
      </c>
      <c r="D526" t="inlineStr">
        <is>
          <t>VÄSTERBOTTENS LÄN</t>
        </is>
      </c>
      <c r="E526" t="inlineStr">
        <is>
          <t>VILHELMINA</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210-2022</t>
        </is>
      </c>
      <c r="B527" s="1" t="n">
        <v>44564</v>
      </c>
      <c r="C527" s="1" t="n">
        <v>46193</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31485-2025</t>
        </is>
      </c>
      <c r="B528" s="1" t="n">
        <v>45833</v>
      </c>
      <c r="C528" s="1" t="n">
        <v>46193</v>
      </c>
      <c r="D528" t="inlineStr">
        <is>
          <t>VÄSTERBOTTENS LÄN</t>
        </is>
      </c>
      <c r="E528" t="inlineStr">
        <is>
          <t>VILHELMINA</t>
        </is>
      </c>
      <c r="G528" t="n">
        <v>2.8</v>
      </c>
      <c r="H528" t="n">
        <v>0</v>
      </c>
      <c r="I528" t="n">
        <v>0</v>
      </c>
      <c r="J528" t="n">
        <v>0</v>
      </c>
      <c r="K528" t="n">
        <v>0</v>
      </c>
      <c r="L528" t="n">
        <v>0</v>
      </c>
      <c r="M528" t="n">
        <v>0</v>
      </c>
      <c r="N528" t="n">
        <v>0</v>
      </c>
      <c r="O528" t="n">
        <v>0</v>
      </c>
      <c r="P528" t="n">
        <v>0</v>
      </c>
      <c r="Q528" t="n">
        <v>0</v>
      </c>
      <c r="R528" s="2" t="inlineStr"/>
    </row>
    <row r="529" ht="15" customHeight="1">
      <c r="A529" t="inlineStr">
        <is>
          <t>A 36408-2023</t>
        </is>
      </c>
      <c r="B529" s="1" t="n">
        <v>45152</v>
      </c>
      <c r="C529" s="1" t="n">
        <v>46193</v>
      </c>
      <c r="D529" t="inlineStr">
        <is>
          <t>VÄSTERBOTTENS LÄN</t>
        </is>
      </c>
      <c r="E529" t="inlineStr">
        <is>
          <t>VILHELMINA</t>
        </is>
      </c>
      <c r="G529" t="n">
        <v>4.4</v>
      </c>
      <c r="H529" t="n">
        <v>0</v>
      </c>
      <c r="I529" t="n">
        <v>0</v>
      </c>
      <c r="J529" t="n">
        <v>0</v>
      </c>
      <c r="K529" t="n">
        <v>0</v>
      </c>
      <c r="L529" t="n">
        <v>0</v>
      </c>
      <c r="M529" t="n">
        <v>0</v>
      </c>
      <c r="N529" t="n">
        <v>0</v>
      </c>
      <c r="O529" t="n">
        <v>0</v>
      </c>
      <c r="P529" t="n">
        <v>0</v>
      </c>
      <c r="Q529" t="n">
        <v>0</v>
      </c>
      <c r="R529" s="2" t="inlineStr"/>
    </row>
    <row r="530" ht="15" customHeight="1">
      <c r="A530" t="inlineStr">
        <is>
          <t>A 57108-2023</t>
        </is>
      </c>
      <c r="B530" s="1" t="n">
        <v>45239</v>
      </c>
      <c r="C530" s="1" t="n">
        <v>46193</v>
      </c>
      <c r="D530" t="inlineStr">
        <is>
          <t>VÄSTERBOTTENS LÄN</t>
        </is>
      </c>
      <c r="E530" t="inlineStr">
        <is>
          <t>VILHELMINA</t>
        </is>
      </c>
      <c r="G530" t="n">
        <v>0.6</v>
      </c>
      <c r="H530" t="n">
        <v>0</v>
      </c>
      <c r="I530" t="n">
        <v>0</v>
      </c>
      <c r="J530" t="n">
        <v>0</v>
      </c>
      <c r="K530" t="n">
        <v>0</v>
      </c>
      <c r="L530" t="n">
        <v>0</v>
      </c>
      <c r="M530" t="n">
        <v>0</v>
      </c>
      <c r="N530" t="n">
        <v>0</v>
      </c>
      <c r="O530" t="n">
        <v>0</v>
      </c>
      <c r="P530" t="n">
        <v>0</v>
      </c>
      <c r="Q530" t="n">
        <v>0</v>
      </c>
      <c r="R530" s="2" t="inlineStr"/>
    </row>
    <row r="531" ht="15" customHeight="1">
      <c r="A531" t="inlineStr">
        <is>
          <t>A 36215-2023</t>
        </is>
      </c>
      <c r="B531" s="1" t="n">
        <v>45149</v>
      </c>
      <c r="C531" s="1" t="n">
        <v>46193</v>
      </c>
      <c r="D531" t="inlineStr">
        <is>
          <t>VÄSTERBOTTENS LÄN</t>
        </is>
      </c>
      <c r="E531" t="inlineStr">
        <is>
          <t>VILHELMINA</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38555-2024</t>
        </is>
      </c>
      <c r="B532" s="1" t="n">
        <v>45546</v>
      </c>
      <c r="C532" s="1" t="n">
        <v>46193</v>
      </c>
      <c r="D532" t="inlineStr">
        <is>
          <t>VÄSTERBOTTENS LÄN</t>
        </is>
      </c>
      <c r="E532" t="inlineStr">
        <is>
          <t>VILHELMINA</t>
        </is>
      </c>
      <c r="G532" t="n">
        <v>7.8</v>
      </c>
      <c r="H532" t="n">
        <v>0</v>
      </c>
      <c r="I532" t="n">
        <v>0</v>
      </c>
      <c r="J532" t="n">
        <v>0</v>
      </c>
      <c r="K532" t="n">
        <v>0</v>
      </c>
      <c r="L532" t="n">
        <v>0</v>
      </c>
      <c r="M532" t="n">
        <v>0</v>
      </c>
      <c r="N532" t="n">
        <v>0</v>
      </c>
      <c r="O532" t="n">
        <v>0</v>
      </c>
      <c r="P532" t="n">
        <v>0</v>
      </c>
      <c r="Q532" t="n">
        <v>0</v>
      </c>
      <c r="R532" s="2" t="inlineStr"/>
    </row>
    <row r="533" ht="15" customHeight="1">
      <c r="A533" t="inlineStr">
        <is>
          <t>A 20841-2026</t>
        </is>
      </c>
      <c r="B533" s="1" t="n">
        <v>46142</v>
      </c>
      <c r="C533" s="1" t="n">
        <v>46193</v>
      </c>
      <c r="D533" t="inlineStr">
        <is>
          <t>VÄSTERBOTTENS LÄN</t>
        </is>
      </c>
      <c r="E533" t="inlineStr">
        <is>
          <t>VILHELMINA</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26545-2026</t>
        </is>
      </c>
      <c r="B534" s="1" t="n">
        <v>46183</v>
      </c>
      <c r="C534" s="1" t="n">
        <v>46193</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29104-2024</t>
        </is>
      </c>
      <c r="B535" s="1" t="n">
        <v>45481</v>
      </c>
      <c r="C535" s="1" t="n">
        <v>46193</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53034-2023</t>
        </is>
      </c>
      <c r="B536" s="1" t="n">
        <v>45226</v>
      </c>
      <c r="C536" s="1" t="n">
        <v>46193</v>
      </c>
      <c r="D536" t="inlineStr">
        <is>
          <t>VÄSTERBOTTENS LÄN</t>
        </is>
      </c>
      <c r="E536" t="inlineStr">
        <is>
          <t>VILHELMINA</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46164-2023</t>
        </is>
      </c>
      <c r="B537" s="1" t="n">
        <v>45190</v>
      </c>
      <c r="C537" s="1" t="n">
        <v>46193</v>
      </c>
      <c r="D537" t="inlineStr">
        <is>
          <t>VÄSTERBOTTENS LÄN</t>
        </is>
      </c>
      <c r="E537" t="inlineStr">
        <is>
          <t>VILHELMINA</t>
        </is>
      </c>
      <c r="G537" t="n">
        <v>6.3</v>
      </c>
      <c r="H537" t="n">
        <v>0</v>
      </c>
      <c r="I537" t="n">
        <v>0</v>
      </c>
      <c r="J537" t="n">
        <v>0</v>
      </c>
      <c r="K537" t="n">
        <v>0</v>
      </c>
      <c r="L537" t="n">
        <v>0</v>
      </c>
      <c r="M537" t="n">
        <v>0</v>
      </c>
      <c r="N537" t="n">
        <v>0</v>
      </c>
      <c r="O537" t="n">
        <v>0</v>
      </c>
      <c r="P537" t="n">
        <v>0</v>
      </c>
      <c r="Q537" t="n">
        <v>0</v>
      </c>
      <c r="R537" s="2" t="inlineStr"/>
    </row>
    <row r="538" ht="15" customHeight="1">
      <c r="A538" t="inlineStr">
        <is>
          <t>A 17587-2024</t>
        </is>
      </c>
      <c r="B538" s="1" t="n">
        <v>45415</v>
      </c>
      <c r="C538" s="1" t="n">
        <v>46193</v>
      </c>
      <c r="D538" t="inlineStr">
        <is>
          <t>VÄSTERBOTTENS LÄN</t>
        </is>
      </c>
      <c r="E538" t="inlineStr">
        <is>
          <t>VILHELMINA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24870-2025</t>
        </is>
      </c>
      <c r="B539" s="1" t="n">
        <v>45799</v>
      </c>
      <c r="C539" s="1" t="n">
        <v>46193</v>
      </c>
      <c r="D539" t="inlineStr">
        <is>
          <t>VÄSTERBOTTENS LÄN</t>
        </is>
      </c>
      <c r="E539" t="inlineStr">
        <is>
          <t>VILHELMINA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25239-2025</t>
        </is>
      </c>
      <c r="B540" s="1" t="n">
        <v>45800</v>
      </c>
      <c r="C540" s="1" t="n">
        <v>46193</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25309-2025</t>
        </is>
      </c>
      <c r="B541" s="1" t="n">
        <v>45800</v>
      </c>
      <c r="C541" s="1" t="n">
        <v>46193</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51651-2025</t>
        </is>
      </c>
      <c r="B542" s="1" t="n">
        <v>45951</v>
      </c>
      <c r="C542" s="1" t="n">
        <v>46193</v>
      </c>
      <c r="D542" t="inlineStr">
        <is>
          <t>VÄSTERBOTTENS LÄN</t>
        </is>
      </c>
      <c r="E542" t="inlineStr">
        <is>
          <t>VILHELMINA</t>
        </is>
      </c>
      <c r="G542" t="n">
        <v>6.9</v>
      </c>
      <c r="H542" t="n">
        <v>0</v>
      </c>
      <c r="I542" t="n">
        <v>0</v>
      </c>
      <c r="J542" t="n">
        <v>0</v>
      </c>
      <c r="K542" t="n">
        <v>0</v>
      </c>
      <c r="L542" t="n">
        <v>0</v>
      </c>
      <c r="M542" t="n">
        <v>0</v>
      </c>
      <c r="N542" t="n">
        <v>0</v>
      </c>
      <c r="O542" t="n">
        <v>0</v>
      </c>
      <c r="P542" t="n">
        <v>0</v>
      </c>
      <c r="Q542" t="n">
        <v>0</v>
      </c>
      <c r="R542" s="2" t="inlineStr"/>
    </row>
    <row r="543" ht="15" customHeight="1">
      <c r="A543" t="inlineStr">
        <is>
          <t>A 52034-2025</t>
        </is>
      </c>
      <c r="B543" s="1" t="n">
        <v>45952</v>
      </c>
      <c r="C543" s="1" t="n">
        <v>46193</v>
      </c>
      <c r="D543" t="inlineStr">
        <is>
          <t>VÄSTERBOTTENS LÄN</t>
        </is>
      </c>
      <c r="E543" t="inlineStr">
        <is>
          <t>VILHELMINA</t>
        </is>
      </c>
      <c r="G543" t="n">
        <v>9.6</v>
      </c>
      <c r="H543" t="n">
        <v>0</v>
      </c>
      <c r="I543" t="n">
        <v>0</v>
      </c>
      <c r="J543" t="n">
        <v>0</v>
      </c>
      <c r="K543" t="n">
        <v>0</v>
      </c>
      <c r="L543" t="n">
        <v>0</v>
      </c>
      <c r="M543" t="n">
        <v>0</v>
      </c>
      <c r="N543" t="n">
        <v>0</v>
      </c>
      <c r="O543" t="n">
        <v>0</v>
      </c>
      <c r="P543" t="n">
        <v>0</v>
      </c>
      <c r="Q543" t="n">
        <v>0</v>
      </c>
      <c r="R543" s="2" t="inlineStr"/>
    </row>
    <row r="544" ht="15" customHeight="1">
      <c r="A544" t="inlineStr">
        <is>
          <t>A 46318-2022</t>
        </is>
      </c>
      <c r="B544" s="1" t="n">
        <v>44847</v>
      </c>
      <c r="C544" s="1" t="n">
        <v>46193</v>
      </c>
      <c r="D544" t="inlineStr">
        <is>
          <t>VÄSTERBOTTENS LÄN</t>
        </is>
      </c>
      <c r="E544" t="inlineStr">
        <is>
          <t>VILHELMINA</t>
        </is>
      </c>
      <c r="G544" t="n">
        <v>11.7</v>
      </c>
      <c r="H544" t="n">
        <v>0</v>
      </c>
      <c r="I544" t="n">
        <v>0</v>
      </c>
      <c r="J544" t="n">
        <v>0</v>
      </c>
      <c r="K544" t="n">
        <v>0</v>
      </c>
      <c r="L544" t="n">
        <v>0</v>
      </c>
      <c r="M544" t="n">
        <v>0</v>
      </c>
      <c r="N544" t="n">
        <v>0</v>
      </c>
      <c r="O544" t="n">
        <v>0</v>
      </c>
      <c r="P544" t="n">
        <v>0</v>
      </c>
      <c r="Q544" t="n">
        <v>0</v>
      </c>
      <c r="R544" s="2" t="inlineStr"/>
    </row>
    <row r="545" ht="15" customHeight="1">
      <c r="A545" t="inlineStr">
        <is>
          <t>A 24871-2025</t>
        </is>
      </c>
      <c r="B545" s="1" t="n">
        <v>45799</v>
      </c>
      <c r="C545" s="1" t="n">
        <v>46193</v>
      </c>
      <c r="D545" t="inlineStr">
        <is>
          <t>VÄSTERBOTTENS LÄN</t>
        </is>
      </c>
      <c r="E545" t="inlineStr">
        <is>
          <t>VILHELMINA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25062-2025</t>
        </is>
      </c>
      <c r="B546" s="1" t="n">
        <v>45799</v>
      </c>
      <c r="C546" s="1" t="n">
        <v>46193</v>
      </c>
      <c r="D546" t="inlineStr">
        <is>
          <t>VÄSTERBOTTENS LÄN</t>
        </is>
      </c>
      <c r="E546" t="inlineStr">
        <is>
          <t>VILHELMINA</t>
        </is>
      </c>
      <c r="F546" t="inlineStr">
        <is>
          <t>SCA</t>
        </is>
      </c>
      <c r="G546" t="n">
        <v>4.7</v>
      </c>
      <c r="H546" t="n">
        <v>0</v>
      </c>
      <c r="I546" t="n">
        <v>0</v>
      </c>
      <c r="J546" t="n">
        <v>0</v>
      </c>
      <c r="K546" t="n">
        <v>0</v>
      </c>
      <c r="L546" t="n">
        <v>0</v>
      </c>
      <c r="M546" t="n">
        <v>0</v>
      </c>
      <c r="N546" t="n">
        <v>0</v>
      </c>
      <c r="O546" t="n">
        <v>0</v>
      </c>
      <c r="P546" t="n">
        <v>0</v>
      </c>
      <c r="Q546" t="n">
        <v>0</v>
      </c>
      <c r="R546" s="2" t="inlineStr"/>
    </row>
    <row r="547" ht="15" customHeight="1">
      <c r="A547" t="inlineStr">
        <is>
          <t>A 51704-2025</t>
        </is>
      </c>
      <c r="B547" s="1" t="n">
        <v>45951</v>
      </c>
      <c r="C547" s="1" t="n">
        <v>46193</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51701-2025</t>
        </is>
      </c>
      <c r="B548" s="1" t="n">
        <v>45951</v>
      </c>
      <c r="C548" s="1" t="n">
        <v>46193</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26480-2026</t>
        </is>
      </c>
      <c r="B549" s="1" t="n">
        <v>46183</v>
      </c>
      <c r="C549" s="1" t="n">
        <v>46193</v>
      </c>
      <c r="D549" t="inlineStr">
        <is>
          <t>VÄSTERBOTTENS LÄN</t>
        </is>
      </c>
      <c r="E549" t="inlineStr">
        <is>
          <t>VILHELMINA</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25524-2025</t>
        </is>
      </c>
      <c r="B550" s="1" t="n">
        <v>45803</v>
      </c>
      <c r="C550" s="1" t="n">
        <v>46193</v>
      </c>
      <c r="D550" t="inlineStr">
        <is>
          <t>VÄSTERBOTTENS LÄN</t>
        </is>
      </c>
      <c r="E550" t="inlineStr">
        <is>
          <t>VILHELMINA</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26508-2026</t>
        </is>
      </c>
      <c r="B551" s="1" t="n">
        <v>46183</v>
      </c>
      <c r="C551" s="1" t="n">
        <v>46193</v>
      </c>
      <c r="D551" t="inlineStr">
        <is>
          <t>VÄSTERBOTTENS LÄN</t>
        </is>
      </c>
      <c r="E551" t="inlineStr">
        <is>
          <t>VILHELMINA</t>
        </is>
      </c>
      <c r="G551" t="n">
        <v>7.2</v>
      </c>
      <c r="H551" t="n">
        <v>0</v>
      </c>
      <c r="I551" t="n">
        <v>0</v>
      </c>
      <c r="J551" t="n">
        <v>0</v>
      </c>
      <c r="K551" t="n">
        <v>0</v>
      </c>
      <c r="L551" t="n">
        <v>0</v>
      </c>
      <c r="M551" t="n">
        <v>0</v>
      </c>
      <c r="N551" t="n">
        <v>0</v>
      </c>
      <c r="O551" t="n">
        <v>0</v>
      </c>
      <c r="P551" t="n">
        <v>0</v>
      </c>
      <c r="Q551" t="n">
        <v>0</v>
      </c>
      <c r="R551" s="2" t="inlineStr"/>
    </row>
    <row r="552" ht="15" customHeight="1">
      <c r="A552" t="inlineStr">
        <is>
          <t>A 25770-2025</t>
        </is>
      </c>
      <c r="B552" s="1" t="n">
        <v>45804</v>
      </c>
      <c r="C552" s="1" t="n">
        <v>46193</v>
      </c>
      <c r="D552" t="inlineStr">
        <is>
          <t>VÄSTERBOTTENS LÄN</t>
        </is>
      </c>
      <c r="E552" t="inlineStr">
        <is>
          <t>VILHELMINA</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146-2025</t>
        </is>
      </c>
      <c r="B553" s="1" t="n">
        <v>45659</v>
      </c>
      <c r="C553" s="1" t="n">
        <v>46193</v>
      </c>
      <c r="D553" t="inlineStr">
        <is>
          <t>VÄSTERBOTTENS LÄN</t>
        </is>
      </c>
      <c r="E553" t="inlineStr">
        <is>
          <t>VILHELMINA</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50505-2023</t>
        </is>
      </c>
      <c r="B554" s="1" t="n">
        <v>45216</v>
      </c>
      <c r="C554" s="1" t="n">
        <v>46193</v>
      </c>
      <c r="D554" t="inlineStr">
        <is>
          <t>VÄSTERBOTTENS LÄN</t>
        </is>
      </c>
      <c r="E554" t="inlineStr">
        <is>
          <t>VILHELMINA</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6369-2024</t>
        </is>
      </c>
      <c r="B555" s="1" t="n">
        <v>45338</v>
      </c>
      <c r="C555" s="1" t="n">
        <v>46193</v>
      </c>
      <c r="D555" t="inlineStr">
        <is>
          <t>VÄSTERBOTTENS LÄN</t>
        </is>
      </c>
      <c r="E555" t="inlineStr">
        <is>
          <t>VILHELMINA</t>
        </is>
      </c>
      <c r="G555" t="n">
        <v>3.6</v>
      </c>
      <c r="H555" t="n">
        <v>0</v>
      </c>
      <c r="I555" t="n">
        <v>0</v>
      </c>
      <c r="J555" t="n">
        <v>0</v>
      </c>
      <c r="K555" t="n">
        <v>0</v>
      </c>
      <c r="L555" t="n">
        <v>0</v>
      </c>
      <c r="M555" t="n">
        <v>0</v>
      </c>
      <c r="N555" t="n">
        <v>0</v>
      </c>
      <c r="O555" t="n">
        <v>0</v>
      </c>
      <c r="P555" t="n">
        <v>0</v>
      </c>
      <c r="Q555" t="n">
        <v>0</v>
      </c>
      <c r="R555" s="2" t="inlineStr"/>
    </row>
    <row r="556" ht="15" customHeight="1">
      <c r="A556" t="inlineStr">
        <is>
          <t>A 25942-2025</t>
        </is>
      </c>
      <c r="B556" s="1" t="n">
        <v>45804</v>
      </c>
      <c r="C556" s="1" t="n">
        <v>46193</v>
      </c>
      <c r="D556" t="inlineStr">
        <is>
          <t>VÄSTERBOTTENS LÄN</t>
        </is>
      </c>
      <c r="E556" t="inlineStr">
        <is>
          <t>VILHELMINA</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26098-2025</t>
        </is>
      </c>
      <c r="B557" s="1" t="n">
        <v>45805</v>
      </c>
      <c r="C557" s="1" t="n">
        <v>46193</v>
      </c>
      <c r="D557" t="inlineStr">
        <is>
          <t>VÄSTERBOTTENS LÄN</t>
        </is>
      </c>
      <c r="E557" t="inlineStr">
        <is>
          <t>VILHELMINA</t>
        </is>
      </c>
      <c r="F557" t="inlineStr">
        <is>
          <t>Övriga statliga verk och myndigheter</t>
        </is>
      </c>
      <c r="G557" t="n">
        <v>5.4</v>
      </c>
      <c r="H557" t="n">
        <v>0</v>
      </c>
      <c r="I557" t="n">
        <v>0</v>
      </c>
      <c r="J557" t="n">
        <v>0</v>
      </c>
      <c r="K557" t="n">
        <v>0</v>
      </c>
      <c r="L557" t="n">
        <v>0</v>
      </c>
      <c r="M557" t="n">
        <v>0</v>
      </c>
      <c r="N557" t="n">
        <v>0</v>
      </c>
      <c r="O557" t="n">
        <v>0</v>
      </c>
      <c r="P557" t="n">
        <v>0</v>
      </c>
      <c r="Q557" t="n">
        <v>0</v>
      </c>
      <c r="R557" s="2" t="inlineStr"/>
    </row>
    <row r="558" ht="15" customHeight="1">
      <c r="A558" t="inlineStr">
        <is>
          <t>A 26392-2026</t>
        </is>
      </c>
      <c r="B558" s="1" t="n">
        <v>46183</v>
      </c>
      <c r="C558" s="1" t="n">
        <v>46193</v>
      </c>
      <c r="D558" t="inlineStr">
        <is>
          <t>VÄSTERBOTTENS LÄN</t>
        </is>
      </c>
      <c r="E558" t="inlineStr">
        <is>
          <t>VILHELMINA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27355-2023</t>
        </is>
      </c>
      <c r="B559" s="1" t="n">
        <v>45096</v>
      </c>
      <c r="C559" s="1" t="n">
        <v>46193</v>
      </c>
      <c r="D559" t="inlineStr">
        <is>
          <t>VÄSTERBOTTENS LÄN</t>
        </is>
      </c>
      <c r="E559" t="inlineStr">
        <is>
          <t>VILHELMINA</t>
        </is>
      </c>
      <c r="G559" t="n">
        <v>2.6</v>
      </c>
      <c r="H559" t="n">
        <v>0</v>
      </c>
      <c r="I559" t="n">
        <v>0</v>
      </c>
      <c r="J559" t="n">
        <v>0</v>
      </c>
      <c r="K559" t="n">
        <v>0</v>
      </c>
      <c r="L559" t="n">
        <v>0</v>
      </c>
      <c r="M559" t="n">
        <v>0</v>
      </c>
      <c r="N559" t="n">
        <v>0</v>
      </c>
      <c r="O559" t="n">
        <v>0</v>
      </c>
      <c r="P559" t="n">
        <v>0</v>
      </c>
      <c r="Q559" t="n">
        <v>0</v>
      </c>
      <c r="R559" s="2" t="inlineStr"/>
    </row>
    <row r="560" ht="15" customHeight="1">
      <c r="A560" t="inlineStr">
        <is>
          <t>A 58946-2024</t>
        </is>
      </c>
      <c r="B560" s="1" t="n">
        <v>45636</v>
      </c>
      <c r="C560" s="1" t="n">
        <v>46193</v>
      </c>
      <c r="D560" t="inlineStr">
        <is>
          <t>VÄSTERBOTTENS LÄN</t>
        </is>
      </c>
      <c r="E560" t="inlineStr">
        <is>
          <t>VILHELMINA</t>
        </is>
      </c>
      <c r="F560" t="inlineStr">
        <is>
          <t>Kommuner</t>
        </is>
      </c>
      <c r="G560" t="n">
        <v>4.9</v>
      </c>
      <c r="H560" t="n">
        <v>0</v>
      </c>
      <c r="I560" t="n">
        <v>0</v>
      </c>
      <c r="J560" t="n">
        <v>0</v>
      </c>
      <c r="K560" t="n">
        <v>0</v>
      </c>
      <c r="L560" t="n">
        <v>0</v>
      </c>
      <c r="M560" t="n">
        <v>0</v>
      </c>
      <c r="N560" t="n">
        <v>0</v>
      </c>
      <c r="O560" t="n">
        <v>0</v>
      </c>
      <c r="P560" t="n">
        <v>0</v>
      </c>
      <c r="Q560" t="n">
        <v>0</v>
      </c>
      <c r="R560" s="2" t="inlineStr"/>
    </row>
    <row r="561" ht="15" customHeight="1">
      <c r="A561" t="inlineStr">
        <is>
          <t>A 52334-2025</t>
        </is>
      </c>
      <c r="B561" s="1" t="n">
        <v>45953</v>
      </c>
      <c r="C561" s="1" t="n">
        <v>46193</v>
      </c>
      <c r="D561" t="inlineStr">
        <is>
          <t>VÄSTERBOTTENS LÄN</t>
        </is>
      </c>
      <c r="E561" t="inlineStr">
        <is>
          <t>VILHELMINA</t>
        </is>
      </c>
      <c r="G561" t="n">
        <v>0.9</v>
      </c>
      <c r="H561" t="n">
        <v>0</v>
      </c>
      <c r="I561" t="n">
        <v>0</v>
      </c>
      <c r="J561" t="n">
        <v>0</v>
      </c>
      <c r="K561" t="n">
        <v>0</v>
      </c>
      <c r="L561" t="n">
        <v>0</v>
      </c>
      <c r="M561" t="n">
        <v>0</v>
      </c>
      <c r="N561" t="n">
        <v>0</v>
      </c>
      <c r="O561" t="n">
        <v>0</v>
      </c>
      <c r="P561" t="n">
        <v>0</v>
      </c>
      <c r="Q561" t="n">
        <v>0</v>
      </c>
      <c r="R561" s="2" t="inlineStr"/>
    </row>
    <row r="562" ht="15" customHeight="1">
      <c r="A562" t="inlineStr">
        <is>
          <t>A 21345-2024</t>
        </is>
      </c>
      <c r="B562" s="1" t="n">
        <v>45440</v>
      </c>
      <c r="C562" s="1" t="n">
        <v>46193</v>
      </c>
      <c r="D562" t="inlineStr">
        <is>
          <t>VÄSTERBOTTENS LÄN</t>
        </is>
      </c>
      <c r="E562" t="inlineStr">
        <is>
          <t>VILHELMINA</t>
        </is>
      </c>
      <c r="G562" t="n">
        <v>3</v>
      </c>
      <c r="H562" t="n">
        <v>0</v>
      </c>
      <c r="I562" t="n">
        <v>0</v>
      </c>
      <c r="J562" t="n">
        <v>0</v>
      </c>
      <c r="K562" t="n">
        <v>0</v>
      </c>
      <c r="L562" t="n">
        <v>0</v>
      </c>
      <c r="M562" t="n">
        <v>0</v>
      </c>
      <c r="N562" t="n">
        <v>0</v>
      </c>
      <c r="O562" t="n">
        <v>0</v>
      </c>
      <c r="P562" t="n">
        <v>0</v>
      </c>
      <c r="Q562" t="n">
        <v>0</v>
      </c>
      <c r="R562" s="2" t="inlineStr"/>
    </row>
    <row r="563" ht="15" customHeight="1">
      <c r="A563" t="inlineStr">
        <is>
          <t>A 8859-2023</t>
        </is>
      </c>
      <c r="B563" s="1" t="n">
        <v>44978</v>
      </c>
      <c r="C563" s="1" t="n">
        <v>46193</v>
      </c>
      <c r="D563" t="inlineStr">
        <is>
          <t>VÄSTERBOTTENS LÄN</t>
        </is>
      </c>
      <c r="E563" t="inlineStr">
        <is>
          <t>VILHELMINA</t>
        </is>
      </c>
      <c r="G563" t="n">
        <v>6.3</v>
      </c>
      <c r="H563" t="n">
        <v>0</v>
      </c>
      <c r="I563" t="n">
        <v>0</v>
      </c>
      <c r="J563" t="n">
        <v>0</v>
      </c>
      <c r="K563" t="n">
        <v>0</v>
      </c>
      <c r="L563" t="n">
        <v>0</v>
      </c>
      <c r="M563" t="n">
        <v>0</v>
      </c>
      <c r="N563" t="n">
        <v>0</v>
      </c>
      <c r="O563" t="n">
        <v>0</v>
      </c>
      <c r="P563" t="n">
        <v>0</v>
      </c>
      <c r="Q563" t="n">
        <v>0</v>
      </c>
      <c r="R563" s="2" t="inlineStr"/>
    </row>
    <row r="564" ht="15" customHeight="1">
      <c r="A564" t="inlineStr">
        <is>
          <t>A 52789-2025</t>
        </is>
      </c>
      <c r="B564" s="1" t="n">
        <v>45957</v>
      </c>
      <c r="C564" s="1" t="n">
        <v>46193</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26744-2025</t>
        </is>
      </c>
      <c r="B565" s="1" t="n">
        <v>45810</v>
      </c>
      <c r="C565" s="1" t="n">
        <v>46193</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52565-2025</t>
        </is>
      </c>
      <c r="B566" s="1" t="n">
        <v>45954</v>
      </c>
      <c r="C566" s="1" t="n">
        <v>46193</v>
      </c>
      <c r="D566" t="inlineStr">
        <is>
          <t>VÄSTERBOTTENS LÄN</t>
        </is>
      </c>
      <c r="E566" t="inlineStr">
        <is>
          <t>VILHELMINA</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26745-2025</t>
        </is>
      </c>
      <c r="B567" s="1" t="n">
        <v>45810</v>
      </c>
      <c r="C567" s="1" t="n">
        <v>46193</v>
      </c>
      <c r="D567" t="inlineStr">
        <is>
          <t>VÄSTERBOTTENS LÄN</t>
        </is>
      </c>
      <c r="E567" t="inlineStr">
        <is>
          <t>VILHELMINA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52398-2025</t>
        </is>
      </c>
      <c r="B568" s="1" t="n">
        <v>45954</v>
      </c>
      <c r="C568" s="1" t="n">
        <v>46193</v>
      </c>
      <c r="D568" t="inlineStr">
        <is>
          <t>VÄSTERBOTTENS LÄN</t>
        </is>
      </c>
      <c r="E568" t="inlineStr">
        <is>
          <t>VILHELMINA</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52811-2025</t>
        </is>
      </c>
      <c r="B569" s="1" t="n">
        <v>45957</v>
      </c>
      <c r="C569" s="1" t="n">
        <v>46193</v>
      </c>
      <c r="D569" t="inlineStr">
        <is>
          <t>VÄSTERBOTTENS LÄN</t>
        </is>
      </c>
      <c r="E569" t="inlineStr">
        <is>
          <t>VILHELMINA</t>
        </is>
      </c>
      <c r="G569" t="n">
        <v>1.8</v>
      </c>
      <c r="H569" t="n">
        <v>0</v>
      </c>
      <c r="I569" t="n">
        <v>0</v>
      </c>
      <c r="J569" t="n">
        <v>0</v>
      </c>
      <c r="K569" t="n">
        <v>0</v>
      </c>
      <c r="L569" t="n">
        <v>0</v>
      </c>
      <c r="M569" t="n">
        <v>0</v>
      </c>
      <c r="N569" t="n">
        <v>0</v>
      </c>
      <c r="O569" t="n">
        <v>0</v>
      </c>
      <c r="P569" t="n">
        <v>0</v>
      </c>
      <c r="Q569" t="n">
        <v>0</v>
      </c>
      <c r="R569" s="2" t="inlineStr"/>
    </row>
    <row r="570" ht="15" customHeight="1">
      <c r="A570" t="inlineStr">
        <is>
          <t>A 19397-2023</t>
        </is>
      </c>
      <c r="B570" s="1" t="n">
        <v>45048</v>
      </c>
      <c r="C570" s="1" t="n">
        <v>46193</v>
      </c>
      <c r="D570" t="inlineStr">
        <is>
          <t>VÄSTERBOTTENS LÄN</t>
        </is>
      </c>
      <c r="E570" t="inlineStr">
        <is>
          <t>VILHELMINA</t>
        </is>
      </c>
      <c r="G570" t="n">
        <v>12.8</v>
      </c>
      <c r="H570" t="n">
        <v>0</v>
      </c>
      <c r="I570" t="n">
        <v>0</v>
      </c>
      <c r="J570" t="n">
        <v>0</v>
      </c>
      <c r="K570" t="n">
        <v>0</v>
      </c>
      <c r="L570" t="n">
        <v>0</v>
      </c>
      <c r="M570" t="n">
        <v>0</v>
      </c>
      <c r="N570" t="n">
        <v>0</v>
      </c>
      <c r="O570" t="n">
        <v>0</v>
      </c>
      <c r="P570" t="n">
        <v>0</v>
      </c>
      <c r="Q570" t="n">
        <v>0</v>
      </c>
      <c r="R570" s="2" t="inlineStr"/>
    </row>
    <row r="571" ht="15" customHeight="1">
      <c r="A571" t="inlineStr">
        <is>
          <t>A 33412-2023</t>
        </is>
      </c>
      <c r="B571" s="1" t="n">
        <v>45117</v>
      </c>
      <c r="C571" s="1" t="n">
        <v>46193</v>
      </c>
      <c r="D571" t="inlineStr">
        <is>
          <t>VÄSTERBOTTENS LÄN</t>
        </is>
      </c>
      <c r="E571" t="inlineStr">
        <is>
          <t>VILHELMINA</t>
        </is>
      </c>
      <c r="F571" t="inlineStr">
        <is>
          <t>Övriga Aktiebolag</t>
        </is>
      </c>
      <c r="G571" t="n">
        <v>0.3</v>
      </c>
      <c r="H571" t="n">
        <v>0</v>
      </c>
      <c r="I571" t="n">
        <v>0</v>
      </c>
      <c r="J571" t="n">
        <v>0</v>
      </c>
      <c r="K571" t="n">
        <v>0</v>
      </c>
      <c r="L571" t="n">
        <v>0</v>
      </c>
      <c r="M571" t="n">
        <v>0</v>
      </c>
      <c r="N571" t="n">
        <v>0</v>
      </c>
      <c r="O571" t="n">
        <v>0</v>
      </c>
      <c r="P571" t="n">
        <v>0</v>
      </c>
      <c r="Q571" t="n">
        <v>0</v>
      </c>
      <c r="R571" s="2" t="inlineStr"/>
    </row>
    <row r="572" ht="15" customHeight="1">
      <c r="A572" t="inlineStr">
        <is>
          <t>A 57246-2023</t>
        </is>
      </c>
      <c r="B572" s="1" t="n">
        <v>45239</v>
      </c>
      <c r="C572" s="1" t="n">
        <v>46193</v>
      </c>
      <c r="D572" t="inlineStr">
        <is>
          <t>VÄSTERBOTTENS LÄN</t>
        </is>
      </c>
      <c r="E572" t="inlineStr">
        <is>
          <t>VILHELMINA</t>
        </is>
      </c>
      <c r="G572" t="n">
        <v>15.3</v>
      </c>
      <c r="H572" t="n">
        <v>0</v>
      </c>
      <c r="I572" t="n">
        <v>0</v>
      </c>
      <c r="J572" t="n">
        <v>0</v>
      </c>
      <c r="K572" t="n">
        <v>0</v>
      </c>
      <c r="L572" t="n">
        <v>0</v>
      </c>
      <c r="M572" t="n">
        <v>0</v>
      </c>
      <c r="N572" t="n">
        <v>0</v>
      </c>
      <c r="O572" t="n">
        <v>0</v>
      </c>
      <c r="P572" t="n">
        <v>0</v>
      </c>
      <c r="Q572" t="n">
        <v>0</v>
      </c>
      <c r="R572" s="2" t="inlineStr"/>
    </row>
    <row r="573" ht="15" customHeight="1">
      <c r="A573" t="inlineStr">
        <is>
          <t>A 56246-2023</t>
        </is>
      </c>
      <c r="B573" s="1" t="n">
        <v>45240</v>
      </c>
      <c r="C573" s="1" t="n">
        <v>46193</v>
      </c>
      <c r="D573" t="inlineStr">
        <is>
          <t>VÄSTERBOTTENS LÄN</t>
        </is>
      </c>
      <c r="E573" t="inlineStr">
        <is>
          <t>VILHELMINA</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40726-2024</t>
        </is>
      </c>
      <c r="B574" s="1" t="n">
        <v>45558</v>
      </c>
      <c r="C574" s="1" t="n">
        <v>46193</v>
      </c>
      <c r="D574" t="inlineStr">
        <is>
          <t>VÄSTERBOTTENS LÄN</t>
        </is>
      </c>
      <c r="E574" t="inlineStr">
        <is>
          <t>VILHELMINA</t>
        </is>
      </c>
      <c r="F574" t="inlineStr">
        <is>
          <t>Allmännings- och besparingsskogar</t>
        </is>
      </c>
      <c r="G574" t="n">
        <v>73.59999999999999</v>
      </c>
      <c r="H574" t="n">
        <v>0</v>
      </c>
      <c r="I574" t="n">
        <v>0</v>
      </c>
      <c r="J574" t="n">
        <v>0</v>
      </c>
      <c r="K574" t="n">
        <v>0</v>
      </c>
      <c r="L574" t="n">
        <v>0</v>
      </c>
      <c r="M574" t="n">
        <v>0</v>
      </c>
      <c r="N574" t="n">
        <v>0</v>
      </c>
      <c r="O574" t="n">
        <v>0</v>
      </c>
      <c r="P574" t="n">
        <v>0</v>
      </c>
      <c r="Q574" t="n">
        <v>0</v>
      </c>
      <c r="R574" s="2" t="inlineStr"/>
    </row>
    <row r="575" ht="15" customHeight="1">
      <c r="A575" t="inlineStr">
        <is>
          <t>A 12866-2023</t>
        </is>
      </c>
      <c r="B575" s="1" t="n">
        <v>45000</v>
      </c>
      <c r="C575" s="1" t="n">
        <v>46193</v>
      </c>
      <c r="D575" t="inlineStr">
        <is>
          <t>VÄSTERBOTTENS LÄN</t>
        </is>
      </c>
      <c r="E575" t="inlineStr">
        <is>
          <t>VILHELMINA</t>
        </is>
      </c>
      <c r="G575" t="n">
        <v>2.6</v>
      </c>
      <c r="H575" t="n">
        <v>0</v>
      </c>
      <c r="I575" t="n">
        <v>0</v>
      </c>
      <c r="J575" t="n">
        <v>0</v>
      </c>
      <c r="K575" t="n">
        <v>0</v>
      </c>
      <c r="L575" t="n">
        <v>0</v>
      </c>
      <c r="M575" t="n">
        <v>0</v>
      </c>
      <c r="N575" t="n">
        <v>0</v>
      </c>
      <c r="O575" t="n">
        <v>0</v>
      </c>
      <c r="P575" t="n">
        <v>0</v>
      </c>
      <c r="Q575" t="n">
        <v>0</v>
      </c>
      <c r="R575" s="2" t="inlineStr"/>
    </row>
    <row r="576" ht="15" customHeight="1">
      <c r="A576" t="inlineStr">
        <is>
          <t>A 52815-2025</t>
        </is>
      </c>
      <c r="B576" s="1" t="n">
        <v>45957</v>
      </c>
      <c r="C576" s="1" t="n">
        <v>46193</v>
      </c>
      <c r="D576" t="inlineStr">
        <is>
          <t>VÄSTERBOTTENS LÄN</t>
        </is>
      </c>
      <c r="E576" t="inlineStr">
        <is>
          <t>VILHELMINA</t>
        </is>
      </c>
      <c r="G576" t="n">
        <v>2.3</v>
      </c>
      <c r="H576" t="n">
        <v>0</v>
      </c>
      <c r="I576" t="n">
        <v>0</v>
      </c>
      <c r="J576" t="n">
        <v>0</v>
      </c>
      <c r="K576" t="n">
        <v>0</v>
      </c>
      <c r="L576" t="n">
        <v>0</v>
      </c>
      <c r="M576" t="n">
        <v>0</v>
      </c>
      <c r="N576" t="n">
        <v>0</v>
      </c>
      <c r="O576" t="n">
        <v>0</v>
      </c>
      <c r="P576" t="n">
        <v>0</v>
      </c>
      <c r="Q576" t="n">
        <v>0</v>
      </c>
      <c r="R576" s="2" t="inlineStr"/>
    </row>
    <row r="577" ht="15" customHeight="1">
      <c r="A577" t="inlineStr">
        <is>
          <t>A 52827-2025</t>
        </is>
      </c>
      <c r="B577" s="1" t="n">
        <v>45957</v>
      </c>
      <c r="C577" s="1" t="n">
        <v>46193</v>
      </c>
      <c r="D577" t="inlineStr">
        <is>
          <t>VÄSTERBOTTENS LÄN</t>
        </is>
      </c>
      <c r="E577" t="inlineStr">
        <is>
          <t>VILHELMINA</t>
        </is>
      </c>
      <c r="G577" t="n">
        <v>6.3</v>
      </c>
      <c r="H577" t="n">
        <v>0</v>
      </c>
      <c r="I577" t="n">
        <v>0</v>
      </c>
      <c r="J577" t="n">
        <v>0</v>
      </c>
      <c r="K577" t="n">
        <v>0</v>
      </c>
      <c r="L577" t="n">
        <v>0</v>
      </c>
      <c r="M577" t="n">
        <v>0</v>
      </c>
      <c r="N577" t="n">
        <v>0</v>
      </c>
      <c r="O577" t="n">
        <v>0</v>
      </c>
      <c r="P577" t="n">
        <v>0</v>
      </c>
      <c r="Q577" t="n">
        <v>0</v>
      </c>
      <c r="R577" s="2" t="inlineStr"/>
    </row>
    <row r="578" ht="15" customHeight="1">
      <c r="A578" t="inlineStr">
        <is>
          <t>A 52830-2025</t>
        </is>
      </c>
      <c r="B578" s="1" t="n">
        <v>45957</v>
      </c>
      <c r="C578" s="1" t="n">
        <v>46193</v>
      </c>
      <c r="D578" t="inlineStr">
        <is>
          <t>VÄSTERBOTTENS LÄN</t>
        </is>
      </c>
      <c r="E578" t="inlineStr">
        <is>
          <t>VILHELMINA</t>
        </is>
      </c>
      <c r="G578" t="n">
        <v>8.6</v>
      </c>
      <c r="H578" t="n">
        <v>0</v>
      </c>
      <c r="I578" t="n">
        <v>0</v>
      </c>
      <c r="J578" t="n">
        <v>0</v>
      </c>
      <c r="K578" t="n">
        <v>0</v>
      </c>
      <c r="L578" t="n">
        <v>0</v>
      </c>
      <c r="M578" t="n">
        <v>0</v>
      </c>
      <c r="N578" t="n">
        <v>0</v>
      </c>
      <c r="O578" t="n">
        <v>0</v>
      </c>
      <c r="P578" t="n">
        <v>0</v>
      </c>
      <c r="Q578" t="n">
        <v>0</v>
      </c>
      <c r="R578" s="2" t="inlineStr"/>
    </row>
    <row r="579" ht="15" customHeight="1">
      <c r="A579" t="inlineStr">
        <is>
          <t>A 17253-2025</t>
        </is>
      </c>
      <c r="B579" s="1" t="n">
        <v>45756</v>
      </c>
      <c r="C579" s="1" t="n">
        <v>46193</v>
      </c>
      <c r="D579" t="inlineStr">
        <is>
          <t>VÄSTERBOTTENS LÄN</t>
        </is>
      </c>
      <c r="E579" t="inlineStr">
        <is>
          <t>VILHELMINA</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52812-2025</t>
        </is>
      </c>
      <c r="B580" s="1" t="n">
        <v>45957</v>
      </c>
      <c r="C580" s="1" t="n">
        <v>46193</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52818-2025</t>
        </is>
      </c>
      <c r="B581" s="1" t="n">
        <v>45957</v>
      </c>
      <c r="C581" s="1" t="n">
        <v>46193</v>
      </c>
      <c r="D581" t="inlineStr">
        <is>
          <t>VÄSTERBOTTENS LÄN</t>
        </is>
      </c>
      <c r="E581" t="inlineStr">
        <is>
          <t>VILHELMINA</t>
        </is>
      </c>
      <c r="G581" t="n">
        <v>2.2</v>
      </c>
      <c r="H581" t="n">
        <v>0</v>
      </c>
      <c r="I581" t="n">
        <v>0</v>
      </c>
      <c r="J581" t="n">
        <v>0</v>
      </c>
      <c r="K581" t="n">
        <v>0</v>
      </c>
      <c r="L581" t="n">
        <v>0</v>
      </c>
      <c r="M581" t="n">
        <v>0</v>
      </c>
      <c r="N581" t="n">
        <v>0</v>
      </c>
      <c r="O581" t="n">
        <v>0</v>
      </c>
      <c r="P581" t="n">
        <v>0</v>
      </c>
      <c r="Q581" t="n">
        <v>0</v>
      </c>
      <c r="R581" s="2" t="inlineStr"/>
    </row>
    <row r="582" ht="15" customHeight="1">
      <c r="A582" t="inlineStr">
        <is>
          <t>A 52819-2025</t>
        </is>
      </c>
      <c r="B582" s="1" t="n">
        <v>45957</v>
      </c>
      <c r="C582" s="1" t="n">
        <v>46193</v>
      </c>
      <c r="D582" t="inlineStr">
        <is>
          <t>VÄSTERBOTTENS LÄN</t>
        </is>
      </c>
      <c r="E582" t="inlineStr">
        <is>
          <t>VILHELMINA</t>
        </is>
      </c>
      <c r="G582" t="n">
        <v>1.8</v>
      </c>
      <c r="H582" t="n">
        <v>0</v>
      </c>
      <c r="I582" t="n">
        <v>0</v>
      </c>
      <c r="J582" t="n">
        <v>0</v>
      </c>
      <c r="K582" t="n">
        <v>0</v>
      </c>
      <c r="L582" t="n">
        <v>0</v>
      </c>
      <c r="M582" t="n">
        <v>0</v>
      </c>
      <c r="N582" t="n">
        <v>0</v>
      </c>
      <c r="O582" t="n">
        <v>0</v>
      </c>
      <c r="P582" t="n">
        <v>0</v>
      </c>
      <c r="Q582" t="n">
        <v>0</v>
      </c>
      <c r="R582" s="2" t="inlineStr"/>
    </row>
    <row r="583" ht="15" customHeight="1">
      <c r="A583" t="inlineStr">
        <is>
          <t>A 52816-2025</t>
        </is>
      </c>
      <c r="B583" s="1" t="n">
        <v>45957</v>
      </c>
      <c r="C583" s="1" t="n">
        <v>46193</v>
      </c>
      <c r="D583" t="inlineStr">
        <is>
          <t>VÄSTERBOTTENS LÄN</t>
        </is>
      </c>
      <c r="E583" t="inlineStr">
        <is>
          <t>VILHELMINA</t>
        </is>
      </c>
      <c r="G583" t="n">
        <v>4.9</v>
      </c>
      <c r="H583" t="n">
        <v>0</v>
      </c>
      <c r="I583" t="n">
        <v>0</v>
      </c>
      <c r="J583" t="n">
        <v>0</v>
      </c>
      <c r="K583" t="n">
        <v>0</v>
      </c>
      <c r="L583" t="n">
        <v>0</v>
      </c>
      <c r="M583" t="n">
        <v>0</v>
      </c>
      <c r="N583" t="n">
        <v>0</v>
      </c>
      <c r="O583" t="n">
        <v>0</v>
      </c>
      <c r="P583" t="n">
        <v>0</v>
      </c>
      <c r="Q583" t="n">
        <v>0</v>
      </c>
      <c r="R583" s="2" t="inlineStr"/>
    </row>
    <row r="584" ht="15" customHeight="1">
      <c r="A584" t="inlineStr">
        <is>
          <t>A 52813-2025</t>
        </is>
      </c>
      <c r="B584" s="1" t="n">
        <v>45957</v>
      </c>
      <c r="C584" s="1" t="n">
        <v>46193</v>
      </c>
      <c r="D584" t="inlineStr">
        <is>
          <t>VÄSTERBOTTENS LÄN</t>
        </is>
      </c>
      <c r="E584" t="inlineStr">
        <is>
          <t>VILHELMINA</t>
        </is>
      </c>
      <c r="G584" t="n">
        <v>3.1</v>
      </c>
      <c r="H584" t="n">
        <v>0</v>
      </c>
      <c r="I584" t="n">
        <v>0</v>
      </c>
      <c r="J584" t="n">
        <v>0</v>
      </c>
      <c r="K584" t="n">
        <v>0</v>
      </c>
      <c r="L584" t="n">
        <v>0</v>
      </c>
      <c r="M584" t="n">
        <v>0</v>
      </c>
      <c r="N584" t="n">
        <v>0</v>
      </c>
      <c r="O584" t="n">
        <v>0</v>
      </c>
      <c r="P584" t="n">
        <v>0</v>
      </c>
      <c r="Q584" t="n">
        <v>0</v>
      </c>
      <c r="R584" s="2" t="inlineStr"/>
    </row>
    <row r="585" ht="15" customHeight="1">
      <c r="A585" t="inlineStr">
        <is>
          <t>A 52814-2025</t>
        </is>
      </c>
      <c r="B585" s="1" t="n">
        <v>45957</v>
      </c>
      <c r="C585" s="1" t="n">
        <v>46193</v>
      </c>
      <c r="D585" t="inlineStr">
        <is>
          <t>VÄSTERBOTTENS LÄN</t>
        </is>
      </c>
      <c r="E585" t="inlineStr">
        <is>
          <t>VILHELMINA</t>
        </is>
      </c>
      <c r="G585" t="n">
        <v>4.1</v>
      </c>
      <c r="H585" t="n">
        <v>0</v>
      </c>
      <c r="I585" t="n">
        <v>0</v>
      </c>
      <c r="J585" t="n">
        <v>0</v>
      </c>
      <c r="K585" t="n">
        <v>0</v>
      </c>
      <c r="L585" t="n">
        <v>0</v>
      </c>
      <c r="M585" t="n">
        <v>0</v>
      </c>
      <c r="N585" t="n">
        <v>0</v>
      </c>
      <c r="O585" t="n">
        <v>0</v>
      </c>
      <c r="P585" t="n">
        <v>0</v>
      </c>
      <c r="Q585" t="n">
        <v>0</v>
      </c>
      <c r="R585" s="2" t="inlineStr"/>
    </row>
    <row r="586" ht="15" customHeight="1">
      <c r="A586" t="inlineStr">
        <is>
          <t>A 52828-2025</t>
        </is>
      </c>
      <c r="B586" s="1" t="n">
        <v>45957</v>
      </c>
      <c r="C586" s="1" t="n">
        <v>46193</v>
      </c>
      <c r="D586" t="inlineStr">
        <is>
          <t>VÄSTERBOTTENS LÄN</t>
        </is>
      </c>
      <c r="E586" t="inlineStr">
        <is>
          <t>VILHELMINA</t>
        </is>
      </c>
      <c r="G586" t="n">
        <v>1.2</v>
      </c>
      <c r="H586" t="n">
        <v>0</v>
      </c>
      <c r="I586" t="n">
        <v>0</v>
      </c>
      <c r="J586" t="n">
        <v>0</v>
      </c>
      <c r="K586" t="n">
        <v>0</v>
      </c>
      <c r="L586" t="n">
        <v>0</v>
      </c>
      <c r="M586" t="n">
        <v>0</v>
      </c>
      <c r="N586" t="n">
        <v>0</v>
      </c>
      <c r="O586" t="n">
        <v>0</v>
      </c>
      <c r="P586" t="n">
        <v>0</v>
      </c>
      <c r="Q586" t="n">
        <v>0</v>
      </c>
      <c r="R586" s="2" t="inlineStr"/>
    </row>
    <row r="587" ht="15" customHeight="1">
      <c r="A587" t="inlineStr">
        <is>
          <t>A 52829-2025</t>
        </is>
      </c>
      <c r="B587" s="1" t="n">
        <v>45957</v>
      </c>
      <c r="C587" s="1" t="n">
        <v>46193</v>
      </c>
      <c r="D587" t="inlineStr">
        <is>
          <t>VÄSTERBOTTENS LÄN</t>
        </is>
      </c>
      <c r="E587" t="inlineStr">
        <is>
          <t>VILHELMINA</t>
        </is>
      </c>
      <c r="G587" t="n">
        <v>4.3</v>
      </c>
      <c r="H587" t="n">
        <v>0</v>
      </c>
      <c r="I587" t="n">
        <v>0</v>
      </c>
      <c r="J587" t="n">
        <v>0</v>
      </c>
      <c r="K587" t="n">
        <v>0</v>
      </c>
      <c r="L587" t="n">
        <v>0</v>
      </c>
      <c r="M587" t="n">
        <v>0</v>
      </c>
      <c r="N587" t="n">
        <v>0</v>
      </c>
      <c r="O587" t="n">
        <v>0</v>
      </c>
      <c r="P587" t="n">
        <v>0</v>
      </c>
      <c r="Q587" t="n">
        <v>0</v>
      </c>
      <c r="R587" s="2" t="inlineStr"/>
    </row>
    <row r="588" ht="15" customHeight="1">
      <c r="A588" t="inlineStr">
        <is>
          <t>A 72494-2021</t>
        </is>
      </c>
      <c r="B588" s="1" t="n">
        <v>44545</v>
      </c>
      <c r="C588" s="1" t="n">
        <v>46193</v>
      </c>
      <c r="D588" t="inlineStr">
        <is>
          <t>VÄSTERBOTTENS LÄN</t>
        </is>
      </c>
      <c r="E588" t="inlineStr">
        <is>
          <t>VILHELMINA</t>
        </is>
      </c>
      <c r="G588" t="n">
        <v>4.2</v>
      </c>
      <c r="H588" t="n">
        <v>0</v>
      </c>
      <c r="I588" t="n">
        <v>0</v>
      </c>
      <c r="J588" t="n">
        <v>0</v>
      </c>
      <c r="K588" t="n">
        <v>0</v>
      </c>
      <c r="L588" t="n">
        <v>0</v>
      </c>
      <c r="M588" t="n">
        <v>0</v>
      </c>
      <c r="N588" t="n">
        <v>0</v>
      </c>
      <c r="O588" t="n">
        <v>0</v>
      </c>
      <c r="P588" t="n">
        <v>0</v>
      </c>
      <c r="Q588" t="n">
        <v>0</v>
      </c>
      <c r="R588" s="2" t="inlineStr"/>
    </row>
    <row r="589" ht="15" customHeight="1">
      <c r="A589" t="inlineStr">
        <is>
          <t>A 58207-2022</t>
        </is>
      </c>
      <c r="B589" s="1" t="n">
        <v>44901</v>
      </c>
      <c r="C589" s="1" t="n">
        <v>46193</v>
      </c>
      <c r="D589" t="inlineStr">
        <is>
          <t>VÄSTERBOTTENS LÄN</t>
        </is>
      </c>
      <c r="E589" t="inlineStr">
        <is>
          <t>VILHELMINA</t>
        </is>
      </c>
      <c r="G589" t="n">
        <v>143.2</v>
      </c>
      <c r="H589" t="n">
        <v>0</v>
      </c>
      <c r="I589" t="n">
        <v>0</v>
      </c>
      <c r="J589" t="n">
        <v>0</v>
      </c>
      <c r="K589" t="n">
        <v>0</v>
      </c>
      <c r="L589" t="n">
        <v>0</v>
      </c>
      <c r="M589" t="n">
        <v>0</v>
      </c>
      <c r="N589" t="n">
        <v>0</v>
      </c>
      <c r="O589" t="n">
        <v>0</v>
      </c>
      <c r="P589" t="n">
        <v>0</v>
      </c>
      <c r="Q589" t="n">
        <v>0</v>
      </c>
      <c r="R589" s="2" t="inlineStr"/>
    </row>
    <row r="590" ht="15" customHeight="1">
      <c r="A590" t="inlineStr">
        <is>
          <t>A 31696-2024</t>
        </is>
      </c>
      <c r="B590" s="1" t="n">
        <v>45508</v>
      </c>
      <c r="C590" s="1" t="n">
        <v>46193</v>
      </c>
      <c r="D590" t="inlineStr">
        <is>
          <t>VÄSTERBOTTENS LÄN</t>
        </is>
      </c>
      <c r="E590" t="inlineStr">
        <is>
          <t>VILHELMINA</t>
        </is>
      </c>
      <c r="G590" t="n">
        <v>12.4</v>
      </c>
      <c r="H590" t="n">
        <v>0</v>
      </c>
      <c r="I590" t="n">
        <v>0</v>
      </c>
      <c r="J590" t="n">
        <v>0</v>
      </c>
      <c r="K590" t="n">
        <v>0</v>
      </c>
      <c r="L590" t="n">
        <v>0</v>
      </c>
      <c r="M590" t="n">
        <v>0</v>
      </c>
      <c r="N590" t="n">
        <v>0</v>
      </c>
      <c r="O590" t="n">
        <v>0</v>
      </c>
      <c r="P590" t="n">
        <v>0</v>
      </c>
      <c r="Q590" t="n">
        <v>0</v>
      </c>
      <c r="R590" s="2" t="inlineStr"/>
    </row>
    <row r="591" ht="15" customHeight="1">
      <c r="A591" t="inlineStr">
        <is>
          <t>A 248-2025</t>
        </is>
      </c>
      <c r="B591" s="1" t="n">
        <v>45660</v>
      </c>
      <c r="C591" s="1" t="n">
        <v>46193</v>
      </c>
      <c r="D591" t="inlineStr">
        <is>
          <t>VÄSTERBOTTENS LÄN</t>
        </is>
      </c>
      <c r="E591" t="inlineStr">
        <is>
          <t>VILHELMINA</t>
        </is>
      </c>
      <c r="G591" t="n">
        <v>11</v>
      </c>
      <c r="H591" t="n">
        <v>0</v>
      </c>
      <c r="I591" t="n">
        <v>0</v>
      </c>
      <c r="J591" t="n">
        <v>0</v>
      </c>
      <c r="K591" t="n">
        <v>0</v>
      </c>
      <c r="L591" t="n">
        <v>0</v>
      </c>
      <c r="M591" t="n">
        <v>0</v>
      </c>
      <c r="N591" t="n">
        <v>0</v>
      </c>
      <c r="O591" t="n">
        <v>0</v>
      </c>
      <c r="P591" t="n">
        <v>0</v>
      </c>
      <c r="Q591" t="n">
        <v>0</v>
      </c>
      <c r="R591" s="2" t="inlineStr"/>
    </row>
    <row r="592" ht="15" customHeight="1">
      <c r="A592" t="inlineStr">
        <is>
          <t>A 27601-2025</t>
        </is>
      </c>
      <c r="B592" s="1" t="n">
        <v>45813</v>
      </c>
      <c r="C592" s="1" t="n">
        <v>46193</v>
      </c>
      <c r="D592" t="inlineStr">
        <is>
          <t>VÄSTERBOTTENS LÄN</t>
        </is>
      </c>
      <c r="E592" t="inlineStr">
        <is>
          <t>VILHELMINA</t>
        </is>
      </c>
      <c r="F592" t="inlineStr">
        <is>
          <t>Övriga statliga verk och myndigheter</t>
        </is>
      </c>
      <c r="G592" t="n">
        <v>36.5</v>
      </c>
      <c r="H592" t="n">
        <v>0</v>
      </c>
      <c r="I592" t="n">
        <v>0</v>
      </c>
      <c r="J592" t="n">
        <v>0</v>
      </c>
      <c r="K592" t="n">
        <v>0</v>
      </c>
      <c r="L592" t="n">
        <v>0</v>
      </c>
      <c r="M592" t="n">
        <v>0</v>
      </c>
      <c r="N592" t="n">
        <v>0</v>
      </c>
      <c r="O592" t="n">
        <v>0</v>
      </c>
      <c r="P592" t="n">
        <v>0</v>
      </c>
      <c r="Q592" t="n">
        <v>0</v>
      </c>
      <c r="R592" s="2" t="inlineStr"/>
    </row>
    <row r="593" ht="15" customHeight="1">
      <c r="A593" t="inlineStr">
        <is>
          <t>A 54738-2025</t>
        </is>
      </c>
      <c r="B593" s="1" t="n">
        <v>45966</v>
      </c>
      <c r="C593" s="1" t="n">
        <v>46193</v>
      </c>
      <c r="D593" t="inlineStr">
        <is>
          <t>VÄSTERBOTTENS LÄN</t>
        </is>
      </c>
      <c r="E593" t="inlineStr">
        <is>
          <t>VILHELMINA</t>
        </is>
      </c>
      <c r="G593" t="n">
        <v>6.6</v>
      </c>
      <c r="H593" t="n">
        <v>0</v>
      </c>
      <c r="I593" t="n">
        <v>0</v>
      </c>
      <c r="J593" t="n">
        <v>0</v>
      </c>
      <c r="K593" t="n">
        <v>0</v>
      </c>
      <c r="L593" t="n">
        <v>0</v>
      </c>
      <c r="M593" t="n">
        <v>0</v>
      </c>
      <c r="N593" t="n">
        <v>0</v>
      </c>
      <c r="O593" t="n">
        <v>0</v>
      </c>
      <c r="P593" t="n">
        <v>0</v>
      </c>
      <c r="Q593" t="n">
        <v>0</v>
      </c>
      <c r="R593" s="2" t="inlineStr"/>
    </row>
    <row r="594" ht="15" customHeight="1">
      <c r="A594" t="inlineStr">
        <is>
          <t>A 27945-2025</t>
        </is>
      </c>
      <c r="B594" s="1" t="n">
        <v>45817</v>
      </c>
      <c r="C594" s="1" t="n">
        <v>46193</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46193</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59494-2025</t>
        </is>
      </c>
      <c r="B596" s="1" t="n">
        <v>45989</v>
      </c>
      <c r="C596" s="1" t="n">
        <v>46193</v>
      </c>
      <c r="D596" t="inlineStr">
        <is>
          <t>VÄSTERBOTTENS LÄN</t>
        </is>
      </c>
      <c r="E596" t="inlineStr">
        <is>
          <t>VILHELMINA</t>
        </is>
      </c>
      <c r="F596" t="inlineStr">
        <is>
          <t>Allmännings- och besparingsskogar</t>
        </is>
      </c>
      <c r="G596" t="n">
        <v>36.7</v>
      </c>
      <c r="H596" t="n">
        <v>0</v>
      </c>
      <c r="I596" t="n">
        <v>0</v>
      </c>
      <c r="J596" t="n">
        <v>0</v>
      </c>
      <c r="K596" t="n">
        <v>0</v>
      </c>
      <c r="L596" t="n">
        <v>0</v>
      </c>
      <c r="M596" t="n">
        <v>0</v>
      </c>
      <c r="N596" t="n">
        <v>0</v>
      </c>
      <c r="O596" t="n">
        <v>0</v>
      </c>
      <c r="P596" t="n">
        <v>0</v>
      </c>
      <c r="Q596" t="n">
        <v>0</v>
      </c>
      <c r="R596" s="2" t="inlineStr"/>
    </row>
    <row r="597" ht="15" customHeight="1">
      <c r="A597" t="inlineStr">
        <is>
          <t>A 59476-2025</t>
        </is>
      </c>
      <c r="B597" s="1" t="n">
        <v>45989</v>
      </c>
      <c r="C597" s="1" t="n">
        <v>46193</v>
      </c>
      <c r="D597" t="inlineStr">
        <is>
          <t>VÄSTERBOTTENS LÄN</t>
        </is>
      </c>
      <c r="E597" t="inlineStr">
        <is>
          <t>VILHELMINA</t>
        </is>
      </c>
      <c r="F597" t="inlineStr">
        <is>
          <t>Allmännings- och besparingsskogar</t>
        </is>
      </c>
      <c r="G597" t="n">
        <v>13.8</v>
      </c>
      <c r="H597" t="n">
        <v>0</v>
      </c>
      <c r="I597" t="n">
        <v>0</v>
      </c>
      <c r="J597" t="n">
        <v>0</v>
      </c>
      <c r="K597" t="n">
        <v>0</v>
      </c>
      <c r="L597" t="n">
        <v>0</v>
      </c>
      <c r="M597" t="n">
        <v>0</v>
      </c>
      <c r="N597" t="n">
        <v>0</v>
      </c>
      <c r="O597" t="n">
        <v>0</v>
      </c>
      <c r="P597" t="n">
        <v>0</v>
      </c>
      <c r="Q597" t="n">
        <v>0</v>
      </c>
      <c r="R597" s="2" t="inlineStr"/>
    </row>
    <row r="598" ht="15" customHeight="1">
      <c r="A598" t="inlineStr">
        <is>
          <t>A 59487-2025</t>
        </is>
      </c>
      <c r="B598" s="1" t="n">
        <v>45989</v>
      </c>
      <c r="C598" s="1" t="n">
        <v>46193</v>
      </c>
      <c r="D598" t="inlineStr">
        <is>
          <t>VÄSTERBOTTENS LÄN</t>
        </is>
      </c>
      <c r="E598" t="inlineStr">
        <is>
          <t>VILHELMINA</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59492-2025</t>
        </is>
      </c>
      <c r="B599" s="1" t="n">
        <v>45989</v>
      </c>
      <c r="C599" s="1" t="n">
        <v>46193</v>
      </c>
      <c r="D599" t="inlineStr">
        <is>
          <t>VÄSTERBOTTENS LÄN</t>
        </is>
      </c>
      <c r="E599" t="inlineStr">
        <is>
          <t>VILHELMINA</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21965-2025</t>
        </is>
      </c>
      <c r="B600" s="1" t="n">
        <v>45784</v>
      </c>
      <c r="C600" s="1" t="n">
        <v>46193</v>
      </c>
      <c r="D600" t="inlineStr">
        <is>
          <t>VÄSTERBOTTENS LÄN</t>
        </is>
      </c>
      <c r="E600" t="inlineStr">
        <is>
          <t>VILHELMINA</t>
        </is>
      </c>
      <c r="G600" t="n">
        <v>7.4</v>
      </c>
      <c r="H600" t="n">
        <v>0</v>
      </c>
      <c r="I600" t="n">
        <v>0</v>
      </c>
      <c r="J600" t="n">
        <v>0</v>
      </c>
      <c r="K600" t="n">
        <v>0</v>
      </c>
      <c r="L600" t="n">
        <v>0</v>
      </c>
      <c r="M600" t="n">
        <v>0</v>
      </c>
      <c r="N600" t="n">
        <v>0</v>
      </c>
      <c r="O600" t="n">
        <v>0</v>
      </c>
      <c r="P600" t="n">
        <v>0</v>
      </c>
      <c r="Q600" t="n">
        <v>0</v>
      </c>
      <c r="R600" s="2" t="inlineStr"/>
    </row>
    <row r="601" ht="15" customHeight="1">
      <c r="A601" t="inlineStr">
        <is>
          <t>A 28019-2025</t>
        </is>
      </c>
      <c r="B601" s="1" t="n">
        <v>45817</v>
      </c>
      <c r="C601" s="1" t="n">
        <v>46193</v>
      </c>
      <c r="D601" t="inlineStr">
        <is>
          <t>VÄSTERBOTTENS LÄN</t>
        </is>
      </c>
      <c r="E601" t="inlineStr">
        <is>
          <t>VILHELMINA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59486-2025</t>
        </is>
      </c>
      <c r="B602" s="1" t="n">
        <v>45989</v>
      </c>
      <c r="C602" s="1" t="n">
        <v>46193</v>
      </c>
      <c r="D602" t="inlineStr">
        <is>
          <t>VÄSTERBOTTENS LÄN</t>
        </is>
      </c>
      <c r="E602" t="inlineStr">
        <is>
          <t>VILHELMINA</t>
        </is>
      </c>
      <c r="G602" t="n">
        <v>6.8</v>
      </c>
      <c r="H602" t="n">
        <v>0</v>
      </c>
      <c r="I602" t="n">
        <v>0</v>
      </c>
      <c r="J602" t="n">
        <v>0</v>
      </c>
      <c r="K602" t="n">
        <v>0</v>
      </c>
      <c r="L602" t="n">
        <v>0</v>
      </c>
      <c r="M602" t="n">
        <v>0</v>
      </c>
      <c r="N602" t="n">
        <v>0</v>
      </c>
      <c r="O602" t="n">
        <v>0</v>
      </c>
      <c r="P602" t="n">
        <v>0</v>
      </c>
      <c r="Q602" t="n">
        <v>0</v>
      </c>
      <c r="R602" s="2" t="inlineStr"/>
    </row>
    <row r="603" ht="15" customHeight="1">
      <c r="A603" t="inlineStr">
        <is>
          <t>A 59501-2025</t>
        </is>
      </c>
      <c r="B603" s="1" t="n">
        <v>45989</v>
      </c>
      <c r="C603" s="1" t="n">
        <v>46193</v>
      </c>
      <c r="D603" t="inlineStr">
        <is>
          <t>VÄSTERBOTTENS LÄN</t>
        </is>
      </c>
      <c r="E603" t="inlineStr">
        <is>
          <t>VILHELMINA</t>
        </is>
      </c>
      <c r="F603" t="inlineStr">
        <is>
          <t>Allmännings- och besparingsskogar</t>
        </is>
      </c>
      <c r="G603" t="n">
        <v>62.2</v>
      </c>
      <c r="H603" t="n">
        <v>0</v>
      </c>
      <c r="I603" t="n">
        <v>0</v>
      </c>
      <c r="J603" t="n">
        <v>0</v>
      </c>
      <c r="K603" t="n">
        <v>0</v>
      </c>
      <c r="L603" t="n">
        <v>0</v>
      </c>
      <c r="M603" t="n">
        <v>0</v>
      </c>
      <c r="N603" t="n">
        <v>0</v>
      </c>
      <c r="O603" t="n">
        <v>0</v>
      </c>
      <c r="P603" t="n">
        <v>0</v>
      </c>
      <c r="Q603" t="n">
        <v>0</v>
      </c>
      <c r="R603" s="2" t="inlineStr"/>
    </row>
    <row r="604" ht="15" customHeight="1">
      <c r="A604" t="inlineStr">
        <is>
          <t>A 27943-2025</t>
        </is>
      </c>
      <c r="B604" s="1" t="n">
        <v>45817</v>
      </c>
      <c r="C604" s="1" t="n">
        <v>46193</v>
      </c>
      <c r="D604" t="inlineStr">
        <is>
          <t>VÄSTERBOTTENS LÄN</t>
        </is>
      </c>
      <c r="E604" t="inlineStr">
        <is>
          <t>VILHELMINA</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55092-2025</t>
        </is>
      </c>
      <c r="B605" s="1" t="n">
        <v>45968</v>
      </c>
      <c r="C605" s="1" t="n">
        <v>46193</v>
      </c>
      <c r="D605" t="inlineStr">
        <is>
          <t>VÄSTERBOTTENS LÄN</t>
        </is>
      </c>
      <c r="E605" t="inlineStr">
        <is>
          <t>VILHELMINA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27952-2025</t>
        </is>
      </c>
      <c r="B606" s="1" t="n">
        <v>45817</v>
      </c>
      <c r="C606" s="1" t="n">
        <v>46193</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28050-2025</t>
        </is>
      </c>
      <c r="B607" s="1" t="n">
        <v>45817</v>
      </c>
      <c r="C607" s="1" t="n">
        <v>46193</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18564-2022</t>
        </is>
      </c>
      <c r="B608" s="1" t="n">
        <v>44686</v>
      </c>
      <c r="C608" s="1" t="n">
        <v>46193</v>
      </c>
      <c r="D608" t="inlineStr">
        <is>
          <t>VÄSTERBOTTENS LÄN</t>
        </is>
      </c>
      <c r="E608" t="inlineStr">
        <is>
          <t>VILHELMINA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28897-2025</t>
        </is>
      </c>
      <c r="B609" s="1" t="n">
        <v>45820</v>
      </c>
      <c r="C609" s="1" t="n">
        <v>46193</v>
      </c>
      <c r="D609" t="inlineStr">
        <is>
          <t>VÄSTERBOTTENS LÄN</t>
        </is>
      </c>
      <c r="E609" t="inlineStr">
        <is>
          <t>VILHELMINA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61048-2022</t>
        </is>
      </c>
      <c r="B610" s="1" t="n">
        <v>44914</v>
      </c>
      <c r="C610" s="1" t="n">
        <v>46193</v>
      </c>
      <c r="D610" t="inlineStr">
        <is>
          <t>VÄSTERBOTTENS LÄN</t>
        </is>
      </c>
      <c r="E610" t="inlineStr">
        <is>
          <t>VILHELMINA</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58999-2024</t>
        </is>
      </c>
      <c r="B611" s="1" t="n">
        <v>45636</v>
      </c>
      <c r="C611" s="1" t="n">
        <v>46193</v>
      </c>
      <c r="D611" t="inlineStr">
        <is>
          <t>VÄSTERBOTTENS LÄN</t>
        </is>
      </c>
      <c r="E611" t="inlineStr">
        <is>
          <t>VILHELMINA</t>
        </is>
      </c>
      <c r="F611" t="inlineStr">
        <is>
          <t>Allmännings- och besparingsskogar</t>
        </is>
      </c>
      <c r="G611" t="n">
        <v>12.3</v>
      </c>
      <c r="H611" t="n">
        <v>0</v>
      </c>
      <c r="I611" t="n">
        <v>0</v>
      </c>
      <c r="J611" t="n">
        <v>0</v>
      </c>
      <c r="K611" t="n">
        <v>0</v>
      </c>
      <c r="L611" t="n">
        <v>0</v>
      </c>
      <c r="M611" t="n">
        <v>0</v>
      </c>
      <c r="N611" t="n">
        <v>0</v>
      </c>
      <c r="O611" t="n">
        <v>0</v>
      </c>
      <c r="P611" t="n">
        <v>0</v>
      </c>
      <c r="Q611" t="n">
        <v>0</v>
      </c>
      <c r="R611" s="2" t="inlineStr"/>
    </row>
    <row r="612" ht="15" customHeight="1">
      <c r="A612" t="inlineStr">
        <is>
          <t>A 12229-2022</t>
        </is>
      </c>
      <c r="B612" s="1" t="n">
        <v>44637</v>
      </c>
      <c r="C612" s="1" t="n">
        <v>46193</v>
      </c>
      <c r="D612" t="inlineStr">
        <is>
          <t>VÄSTERBOTTENS LÄN</t>
        </is>
      </c>
      <c r="E612" t="inlineStr">
        <is>
          <t>VILHELMINA</t>
        </is>
      </c>
      <c r="G612" t="n">
        <v>5</v>
      </c>
      <c r="H612" t="n">
        <v>0</v>
      </c>
      <c r="I612" t="n">
        <v>0</v>
      </c>
      <c r="J612" t="n">
        <v>0</v>
      </c>
      <c r="K612" t="n">
        <v>0</v>
      </c>
      <c r="L612" t="n">
        <v>0</v>
      </c>
      <c r="M612" t="n">
        <v>0</v>
      </c>
      <c r="N612" t="n">
        <v>0</v>
      </c>
      <c r="O612" t="n">
        <v>0</v>
      </c>
      <c r="P612" t="n">
        <v>0</v>
      </c>
      <c r="Q612" t="n">
        <v>0</v>
      </c>
      <c r="R612" s="2" t="inlineStr"/>
    </row>
    <row r="613" ht="15" customHeight="1">
      <c r="A613" t="inlineStr">
        <is>
          <t>A 29203-2025</t>
        </is>
      </c>
      <c r="B613" s="1" t="n">
        <v>45823</v>
      </c>
      <c r="C613" s="1" t="n">
        <v>46193</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45007-2024</t>
        </is>
      </c>
      <c r="B614" s="1" t="n">
        <v>45575</v>
      </c>
      <c r="C614" s="1" t="n">
        <v>46193</v>
      </c>
      <c r="D614" t="inlineStr">
        <is>
          <t>VÄSTERBOTTENS LÄN</t>
        </is>
      </c>
      <c r="E614" t="inlineStr">
        <is>
          <t>VILHELMINA</t>
        </is>
      </c>
      <c r="F614" t="inlineStr">
        <is>
          <t>SCA</t>
        </is>
      </c>
      <c r="G614" t="n">
        <v>14.8</v>
      </c>
      <c r="H614" t="n">
        <v>0</v>
      </c>
      <c r="I614" t="n">
        <v>0</v>
      </c>
      <c r="J614" t="n">
        <v>0</v>
      </c>
      <c r="K614" t="n">
        <v>0</v>
      </c>
      <c r="L614" t="n">
        <v>0</v>
      </c>
      <c r="M614" t="n">
        <v>0</v>
      </c>
      <c r="N614" t="n">
        <v>0</v>
      </c>
      <c r="O614" t="n">
        <v>0</v>
      </c>
      <c r="P614" t="n">
        <v>0</v>
      </c>
      <c r="Q614" t="n">
        <v>0</v>
      </c>
      <c r="R614" s="2" t="inlineStr"/>
    </row>
    <row r="615" ht="15" customHeight="1">
      <c r="A615" t="inlineStr">
        <is>
          <t>A 29120-2025</t>
        </is>
      </c>
      <c r="B615" s="1" t="n">
        <v>45821</v>
      </c>
      <c r="C615" s="1" t="n">
        <v>46193</v>
      </c>
      <c r="D615" t="inlineStr">
        <is>
          <t>VÄSTERBOTTENS LÄN</t>
        </is>
      </c>
      <c r="E615" t="inlineStr">
        <is>
          <t>VILHELMINA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29234-2025</t>
        </is>
      </c>
      <c r="B616" s="1" t="n">
        <v>45824</v>
      </c>
      <c r="C616" s="1" t="n">
        <v>46193</v>
      </c>
      <c r="D616" t="inlineStr">
        <is>
          <t>VÄSTERBOTTENS LÄN</t>
        </is>
      </c>
      <c r="E616" t="inlineStr">
        <is>
          <t>VILHELMINA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2382-2023</t>
        </is>
      </c>
      <c r="B617" s="1" t="n">
        <v>44942</v>
      </c>
      <c r="C617" s="1" t="n">
        <v>46193</v>
      </c>
      <c r="D617" t="inlineStr">
        <is>
          <t>VÄSTERBOTTENS LÄN</t>
        </is>
      </c>
      <c r="E617" t="inlineStr">
        <is>
          <t>VILHELMINA</t>
        </is>
      </c>
      <c r="G617" t="n">
        <v>29.7</v>
      </c>
      <c r="H617" t="n">
        <v>0</v>
      </c>
      <c r="I617" t="n">
        <v>0</v>
      </c>
      <c r="J617" t="n">
        <v>0</v>
      </c>
      <c r="K617" t="n">
        <v>0</v>
      </c>
      <c r="L617" t="n">
        <v>0</v>
      </c>
      <c r="M617" t="n">
        <v>0</v>
      </c>
      <c r="N617" t="n">
        <v>0</v>
      </c>
      <c r="O617" t="n">
        <v>0</v>
      </c>
      <c r="P617" t="n">
        <v>0</v>
      </c>
      <c r="Q617" t="n">
        <v>0</v>
      </c>
      <c r="R617" s="2" t="inlineStr"/>
    </row>
    <row r="618" ht="15" customHeight="1">
      <c r="A618" t="inlineStr">
        <is>
          <t>A 55456-2025</t>
        </is>
      </c>
      <c r="B618" s="1" t="n">
        <v>45971</v>
      </c>
      <c r="C618" s="1" t="n">
        <v>46193</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29468-2025</t>
        </is>
      </c>
      <c r="B619" s="1" t="n">
        <v>45824</v>
      </c>
      <c r="C619" s="1" t="n">
        <v>46193</v>
      </c>
      <c r="D619" t="inlineStr">
        <is>
          <t>VÄSTERBOTTENS LÄN</t>
        </is>
      </c>
      <c r="E619" t="inlineStr">
        <is>
          <t>VILHELMINA</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70849-2021</t>
        </is>
      </c>
      <c r="B620" s="1" t="n">
        <v>44532</v>
      </c>
      <c r="C620" s="1" t="n">
        <v>46193</v>
      </c>
      <c r="D620" t="inlineStr">
        <is>
          <t>VÄSTERBOTTENS LÄN</t>
        </is>
      </c>
      <c r="E620" t="inlineStr">
        <is>
          <t>VILHELMINA</t>
        </is>
      </c>
      <c r="G620" t="n">
        <v>21.4</v>
      </c>
      <c r="H620" t="n">
        <v>0</v>
      </c>
      <c r="I620" t="n">
        <v>0</v>
      </c>
      <c r="J620" t="n">
        <v>0</v>
      </c>
      <c r="K620" t="n">
        <v>0</v>
      </c>
      <c r="L620" t="n">
        <v>0</v>
      </c>
      <c r="M620" t="n">
        <v>0</v>
      </c>
      <c r="N620" t="n">
        <v>0</v>
      </c>
      <c r="O620" t="n">
        <v>0</v>
      </c>
      <c r="P620" t="n">
        <v>0</v>
      </c>
      <c r="Q620" t="n">
        <v>0</v>
      </c>
      <c r="R620" s="2" t="inlineStr"/>
    </row>
    <row r="621" ht="15" customHeight="1">
      <c r="A621" t="inlineStr">
        <is>
          <t>A 29466-2025</t>
        </is>
      </c>
      <c r="B621" s="1" t="n">
        <v>45824</v>
      </c>
      <c r="C621" s="1" t="n">
        <v>46193</v>
      </c>
      <c r="D621" t="inlineStr">
        <is>
          <t>VÄSTERBOTTENS LÄN</t>
        </is>
      </c>
      <c r="E621" t="inlineStr">
        <is>
          <t>VILHELMINA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38674-2023</t>
        </is>
      </c>
      <c r="B622" s="1" t="n">
        <v>45162</v>
      </c>
      <c r="C622" s="1" t="n">
        <v>46193</v>
      </c>
      <c r="D622" t="inlineStr">
        <is>
          <t>VÄSTERBOTTENS LÄN</t>
        </is>
      </c>
      <c r="E622" t="inlineStr">
        <is>
          <t>VILHELMINA</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63218-2021</t>
        </is>
      </c>
      <c r="B623" s="1" t="n">
        <v>44505</v>
      </c>
      <c r="C623" s="1" t="n">
        <v>46193</v>
      </c>
      <c r="D623" t="inlineStr">
        <is>
          <t>VÄSTERBOTTENS LÄN</t>
        </is>
      </c>
      <c r="E623" t="inlineStr">
        <is>
          <t>VILHELMINA</t>
        </is>
      </c>
      <c r="G623" t="n">
        <v>6.8</v>
      </c>
      <c r="H623" t="n">
        <v>0</v>
      </c>
      <c r="I623" t="n">
        <v>0</v>
      </c>
      <c r="J623" t="n">
        <v>0</v>
      </c>
      <c r="K623" t="n">
        <v>0</v>
      </c>
      <c r="L623" t="n">
        <v>0</v>
      </c>
      <c r="M623" t="n">
        <v>0</v>
      </c>
      <c r="N623" t="n">
        <v>0</v>
      </c>
      <c r="O623" t="n">
        <v>0</v>
      </c>
      <c r="P623" t="n">
        <v>0</v>
      </c>
      <c r="Q623" t="n">
        <v>0</v>
      </c>
      <c r="R623" s="2" t="inlineStr"/>
    </row>
    <row r="624" ht="15" customHeight="1">
      <c r="A624" t="inlineStr">
        <is>
          <t>A 11544-2023</t>
        </is>
      </c>
      <c r="B624" s="1" t="n">
        <v>44993</v>
      </c>
      <c r="C624" s="1" t="n">
        <v>46193</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58377-2021</t>
        </is>
      </c>
      <c r="B625" s="1" t="n">
        <v>44488</v>
      </c>
      <c r="C625" s="1" t="n">
        <v>46193</v>
      </c>
      <c r="D625" t="inlineStr">
        <is>
          <t>VÄSTERBOTTENS LÄN</t>
        </is>
      </c>
      <c r="E625" t="inlineStr">
        <is>
          <t>VILHELMINA</t>
        </is>
      </c>
      <c r="G625" t="n">
        <v>1.5</v>
      </c>
      <c r="H625" t="n">
        <v>0</v>
      </c>
      <c r="I625" t="n">
        <v>0</v>
      </c>
      <c r="J625" t="n">
        <v>0</v>
      </c>
      <c r="K625" t="n">
        <v>0</v>
      </c>
      <c r="L625" t="n">
        <v>0</v>
      </c>
      <c r="M625" t="n">
        <v>0</v>
      </c>
      <c r="N625" t="n">
        <v>0</v>
      </c>
      <c r="O625" t="n">
        <v>0</v>
      </c>
      <c r="P625" t="n">
        <v>0</v>
      </c>
      <c r="Q625" t="n">
        <v>0</v>
      </c>
      <c r="R625" s="2" t="inlineStr"/>
    </row>
    <row r="626" ht="15" customHeight="1">
      <c r="A626" t="inlineStr">
        <is>
          <t>A 30553-2025</t>
        </is>
      </c>
      <c r="B626" s="1" t="n">
        <v>45831</v>
      </c>
      <c r="C626" s="1" t="n">
        <v>46193</v>
      </c>
      <c r="D626" t="inlineStr">
        <is>
          <t>VÄSTERBOTTENS LÄN</t>
        </is>
      </c>
      <c r="E626" t="inlineStr">
        <is>
          <t>VILHELMINA</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43791-2024</t>
        </is>
      </c>
      <c r="B627" s="1" t="n">
        <v>45571</v>
      </c>
      <c r="C627" s="1" t="n">
        <v>46193</v>
      </c>
      <c r="D627" t="inlineStr">
        <is>
          <t>VÄSTERBOTTENS LÄN</t>
        </is>
      </c>
      <c r="E627" t="inlineStr">
        <is>
          <t>VILHELMINA</t>
        </is>
      </c>
      <c r="G627" t="n">
        <v>30.3</v>
      </c>
      <c r="H627" t="n">
        <v>0</v>
      </c>
      <c r="I627" t="n">
        <v>0</v>
      </c>
      <c r="J627" t="n">
        <v>0</v>
      </c>
      <c r="K627" t="n">
        <v>0</v>
      </c>
      <c r="L627" t="n">
        <v>0</v>
      </c>
      <c r="M627" t="n">
        <v>0</v>
      </c>
      <c r="N627" t="n">
        <v>0</v>
      </c>
      <c r="O627" t="n">
        <v>0</v>
      </c>
      <c r="P627" t="n">
        <v>0</v>
      </c>
      <c r="Q627" t="n">
        <v>0</v>
      </c>
      <c r="R627" s="2" t="inlineStr"/>
    </row>
    <row r="628" ht="15" customHeight="1">
      <c r="A628" t="inlineStr">
        <is>
          <t>A 43792-2024</t>
        </is>
      </c>
      <c r="B628" s="1" t="n">
        <v>45571</v>
      </c>
      <c r="C628" s="1" t="n">
        <v>46193</v>
      </c>
      <c r="D628" t="inlineStr">
        <is>
          <t>VÄSTERBOTTENS LÄN</t>
        </is>
      </c>
      <c r="E628" t="inlineStr">
        <is>
          <t>VILHELMINA</t>
        </is>
      </c>
      <c r="G628" t="n">
        <v>25.3</v>
      </c>
      <c r="H628" t="n">
        <v>0</v>
      </c>
      <c r="I628" t="n">
        <v>0</v>
      </c>
      <c r="J628" t="n">
        <v>0</v>
      </c>
      <c r="K628" t="n">
        <v>0</v>
      </c>
      <c r="L628" t="n">
        <v>0</v>
      </c>
      <c r="M628" t="n">
        <v>0</v>
      </c>
      <c r="N628" t="n">
        <v>0</v>
      </c>
      <c r="O628" t="n">
        <v>0</v>
      </c>
      <c r="P628" t="n">
        <v>0</v>
      </c>
      <c r="Q628" t="n">
        <v>0</v>
      </c>
      <c r="R628" s="2" t="inlineStr"/>
    </row>
    <row r="629" ht="15" customHeight="1">
      <c r="A629" t="inlineStr">
        <is>
          <t>A 36376-2023</t>
        </is>
      </c>
      <c r="B629" s="1" t="n">
        <v>45152</v>
      </c>
      <c r="C629" s="1" t="n">
        <v>46193</v>
      </c>
      <c r="D629" t="inlineStr">
        <is>
          <t>VÄSTERBOTTENS LÄN</t>
        </is>
      </c>
      <c r="E629" t="inlineStr">
        <is>
          <t>VILHELMINA</t>
        </is>
      </c>
      <c r="G629" t="n">
        <v>12.7</v>
      </c>
      <c r="H629" t="n">
        <v>0</v>
      </c>
      <c r="I629" t="n">
        <v>0</v>
      </c>
      <c r="J629" t="n">
        <v>0</v>
      </c>
      <c r="K629" t="n">
        <v>0</v>
      </c>
      <c r="L629" t="n">
        <v>0</v>
      </c>
      <c r="M629" t="n">
        <v>0</v>
      </c>
      <c r="N629" t="n">
        <v>0</v>
      </c>
      <c r="O629" t="n">
        <v>0</v>
      </c>
      <c r="P629" t="n">
        <v>0</v>
      </c>
      <c r="Q629" t="n">
        <v>0</v>
      </c>
      <c r="R629" s="2" t="inlineStr"/>
    </row>
    <row r="630" ht="15" customHeight="1">
      <c r="A630" t="inlineStr">
        <is>
          <t>A 30575-2024</t>
        </is>
      </c>
      <c r="B630" s="1" t="n">
        <v>45492</v>
      </c>
      <c r="C630" s="1" t="n">
        <v>46193</v>
      </c>
      <c r="D630" t="inlineStr">
        <is>
          <t>VÄSTERBOTTENS LÄN</t>
        </is>
      </c>
      <c r="E630" t="inlineStr">
        <is>
          <t>VILHELMINA</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30578-2024</t>
        </is>
      </c>
      <c r="B631" s="1" t="n">
        <v>45492</v>
      </c>
      <c r="C631" s="1" t="n">
        <v>46193</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30580-2024</t>
        </is>
      </c>
      <c r="B632" s="1" t="n">
        <v>45492</v>
      </c>
      <c r="C632" s="1" t="n">
        <v>46193</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72153-2021</t>
        </is>
      </c>
      <c r="B633" s="1" t="n">
        <v>44543</v>
      </c>
      <c r="C633" s="1" t="n">
        <v>46193</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35983-2023</t>
        </is>
      </c>
      <c r="B634" s="1" t="n">
        <v>45148</v>
      </c>
      <c r="C634" s="1" t="n">
        <v>46193</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31730-2025</t>
        </is>
      </c>
      <c r="B635" s="1" t="n">
        <v>45834</v>
      </c>
      <c r="C635" s="1" t="n">
        <v>46193</v>
      </c>
      <c r="D635" t="inlineStr">
        <is>
          <t>VÄSTERBOTTENS LÄN</t>
        </is>
      </c>
      <c r="E635" t="inlineStr">
        <is>
          <t>VILHELMINA</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31307-2025</t>
        </is>
      </c>
      <c r="B636" s="1" t="n">
        <v>45833</v>
      </c>
      <c r="C636" s="1" t="n">
        <v>46193</v>
      </c>
      <c r="D636" t="inlineStr">
        <is>
          <t>VÄSTERBOTTENS LÄN</t>
        </is>
      </c>
      <c r="E636" t="inlineStr">
        <is>
          <t>VILHELMINA</t>
        </is>
      </c>
      <c r="G636" t="n">
        <v>9.9</v>
      </c>
      <c r="H636" t="n">
        <v>0</v>
      </c>
      <c r="I636" t="n">
        <v>0</v>
      </c>
      <c r="J636" t="n">
        <v>0</v>
      </c>
      <c r="K636" t="n">
        <v>0</v>
      </c>
      <c r="L636" t="n">
        <v>0</v>
      </c>
      <c r="M636" t="n">
        <v>0</v>
      </c>
      <c r="N636" t="n">
        <v>0</v>
      </c>
      <c r="O636" t="n">
        <v>0</v>
      </c>
      <c r="P636" t="n">
        <v>0</v>
      </c>
      <c r="Q636" t="n">
        <v>0</v>
      </c>
      <c r="R636" s="2" t="inlineStr"/>
    </row>
    <row r="637" ht="15" customHeight="1">
      <c r="A637" t="inlineStr">
        <is>
          <t>A 66917-2021</t>
        </is>
      </c>
      <c r="B637" s="1" t="n">
        <v>44522</v>
      </c>
      <c r="C637" s="1" t="n">
        <v>46193</v>
      </c>
      <c r="D637" t="inlineStr">
        <is>
          <t>VÄSTERBOTTENS LÄN</t>
        </is>
      </c>
      <c r="E637" t="inlineStr">
        <is>
          <t>VILHELMINA</t>
        </is>
      </c>
      <c r="F637" t="inlineStr">
        <is>
          <t>Allmännings- och besparingsskogar</t>
        </is>
      </c>
      <c r="G637" t="n">
        <v>11.7</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46193</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31733-2025</t>
        </is>
      </c>
      <c r="B639" s="1" t="n">
        <v>45834</v>
      </c>
      <c r="C639" s="1" t="n">
        <v>46193</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8652-2023</t>
        </is>
      </c>
      <c r="B640" s="1" t="n">
        <v>44977</v>
      </c>
      <c r="C640" s="1" t="n">
        <v>46193</v>
      </c>
      <c r="D640" t="inlineStr">
        <is>
          <t>VÄSTERBOTTENS LÄN</t>
        </is>
      </c>
      <c r="E640" t="inlineStr">
        <is>
          <t>VILHELMINA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8653-2023</t>
        </is>
      </c>
      <c r="B641" s="1" t="n">
        <v>44977</v>
      </c>
      <c r="C641" s="1" t="n">
        <v>46193</v>
      </c>
      <c r="D641" t="inlineStr">
        <is>
          <t>VÄSTERBOTTENS LÄN</t>
        </is>
      </c>
      <c r="E641" t="inlineStr">
        <is>
          <t>VILHELMINA</t>
        </is>
      </c>
      <c r="F641" t="inlineStr">
        <is>
          <t>SCA</t>
        </is>
      </c>
      <c r="G641" t="n">
        <v>7.9</v>
      </c>
      <c r="H641" t="n">
        <v>0</v>
      </c>
      <c r="I641" t="n">
        <v>0</v>
      </c>
      <c r="J641" t="n">
        <v>0</v>
      </c>
      <c r="K641" t="n">
        <v>0</v>
      </c>
      <c r="L641" t="n">
        <v>0</v>
      </c>
      <c r="M641" t="n">
        <v>0</v>
      </c>
      <c r="N641" t="n">
        <v>0</v>
      </c>
      <c r="O641" t="n">
        <v>0</v>
      </c>
      <c r="P641" t="n">
        <v>0</v>
      </c>
      <c r="Q641" t="n">
        <v>0</v>
      </c>
      <c r="R641" s="2" t="inlineStr"/>
    </row>
    <row r="642" ht="15" customHeight="1">
      <c r="A642" t="inlineStr">
        <is>
          <t>A 31308-2025</t>
        </is>
      </c>
      <c r="B642" s="1" t="n">
        <v>45833</v>
      </c>
      <c r="C642" s="1" t="n">
        <v>46193</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5955-2023</t>
        </is>
      </c>
      <c r="B643" s="1" t="n">
        <v>44963</v>
      </c>
      <c r="C643" s="1" t="n">
        <v>46193</v>
      </c>
      <c r="D643" t="inlineStr">
        <is>
          <t>VÄSTERBOTTENS LÄN</t>
        </is>
      </c>
      <c r="E643" t="inlineStr">
        <is>
          <t>VILHELMINA</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34135-2024</t>
        </is>
      </c>
      <c r="B644" s="1" t="n">
        <v>45524</v>
      </c>
      <c r="C644" s="1" t="n">
        <v>46193</v>
      </c>
      <c r="D644" t="inlineStr">
        <is>
          <t>VÄSTERBOTTENS LÄN</t>
        </is>
      </c>
      <c r="E644" t="inlineStr">
        <is>
          <t>VILHELMINA</t>
        </is>
      </c>
      <c r="F644" t="inlineStr">
        <is>
          <t>Sveaskog</t>
        </is>
      </c>
      <c r="G644" t="n">
        <v>5.7</v>
      </c>
      <c r="H644" t="n">
        <v>0</v>
      </c>
      <c r="I644" t="n">
        <v>0</v>
      </c>
      <c r="J644" t="n">
        <v>0</v>
      </c>
      <c r="K644" t="n">
        <v>0</v>
      </c>
      <c r="L644" t="n">
        <v>0</v>
      </c>
      <c r="M644" t="n">
        <v>0</v>
      </c>
      <c r="N644" t="n">
        <v>0</v>
      </c>
      <c r="O644" t="n">
        <v>0</v>
      </c>
      <c r="P644" t="n">
        <v>0</v>
      </c>
      <c r="Q644" t="n">
        <v>0</v>
      </c>
      <c r="R644" s="2" t="inlineStr"/>
    </row>
    <row r="645" ht="15" customHeight="1">
      <c r="A645" t="inlineStr">
        <is>
          <t>A 23360-2025</t>
        </is>
      </c>
      <c r="B645" s="1" t="n">
        <v>45791</v>
      </c>
      <c r="C645" s="1" t="n">
        <v>46193</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42478-2024</t>
        </is>
      </c>
      <c r="B646" s="1" t="n">
        <v>45565</v>
      </c>
      <c r="C646" s="1" t="n">
        <v>46193</v>
      </c>
      <c r="D646" t="inlineStr">
        <is>
          <t>VÄSTERBOTTENS LÄN</t>
        </is>
      </c>
      <c r="E646" t="inlineStr">
        <is>
          <t>VILHELMINA</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18497-2022</t>
        </is>
      </c>
      <c r="B647" s="1" t="n">
        <v>44686</v>
      </c>
      <c r="C647" s="1" t="n">
        <v>46193</v>
      </c>
      <c r="D647" t="inlineStr">
        <is>
          <t>VÄSTERBOTTENS LÄN</t>
        </is>
      </c>
      <c r="E647" t="inlineStr">
        <is>
          <t>VILHELMINA</t>
        </is>
      </c>
      <c r="F647" t="inlineStr">
        <is>
          <t>Övriga statliga verk och myndigheter</t>
        </is>
      </c>
      <c r="G647" t="n">
        <v>64.7</v>
      </c>
      <c r="H647" t="n">
        <v>0</v>
      </c>
      <c r="I647" t="n">
        <v>0</v>
      </c>
      <c r="J647" t="n">
        <v>0</v>
      </c>
      <c r="K647" t="n">
        <v>0</v>
      </c>
      <c r="L647" t="n">
        <v>0</v>
      </c>
      <c r="M647" t="n">
        <v>0</v>
      </c>
      <c r="N647" t="n">
        <v>0</v>
      </c>
      <c r="O647" t="n">
        <v>0</v>
      </c>
      <c r="P647" t="n">
        <v>0</v>
      </c>
      <c r="Q647" t="n">
        <v>0</v>
      </c>
      <c r="R647" s="2" t="inlineStr"/>
    </row>
    <row r="648" ht="15" customHeight="1">
      <c r="A648" t="inlineStr">
        <is>
          <t>A 22457-2025</t>
        </is>
      </c>
      <c r="B648" s="1" t="n">
        <v>45786</v>
      </c>
      <c r="C648" s="1" t="n">
        <v>46193</v>
      </c>
      <c r="D648" t="inlineStr">
        <is>
          <t>VÄSTERBOTTENS LÄN</t>
        </is>
      </c>
      <c r="E648" t="inlineStr">
        <is>
          <t>VILHELMINA</t>
        </is>
      </c>
      <c r="G648" t="n">
        <v>11.2</v>
      </c>
      <c r="H648" t="n">
        <v>0</v>
      </c>
      <c r="I648" t="n">
        <v>0</v>
      </c>
      <c r="J648" t="n">
        <v>0</v>
      </c>
      <c r="K648" t="n">
        <v>0</v>
      </c>
      <c r="L648" t="n">
        <v>0</v>
      </c>
      <c r="M648" t="n">
        <v>0</v>
      </c>
      <c r="N648" t="n">
        <v>0</v>
      </c>
      <c r="O648" t="n">
        <v>0</v>
      </c>
      <c r="P648" t="n">
        <v>0</v>
      </c>
      <c r="Q648" t="n">
        <v>0</v>
      </c>
      <c r="R648" s="2" t="inlineStr"/>
    </row>
    <row r="649" ht="15" customHeight="1">
      <c r="A649" t="inlineStr">
        <is>
          <t>A 33142-2025</t>
        </is>
      </c>
      <c r="B649" s="1" t="n">
        <v>45840</v>
      </c>
      <c r="C649" s="1" t="n">
        <v>46193</v>
      </c>
      <c r="D649" t="inlineStr">
        <is>
          <t>VÄSTERBOTTENS LÄN</t>
        </is>
      </c>
      <c r="E649" t="inlineStr">
        <is>
          <t>VILHELMINA</t>
        </is>
      </c>
      <c r="G649" t="n">
        <v>15.2</v>
      </c>
      <c r="H649" t="n">
        <v>0</v>
      </c>
      <c r="I649" t="n">
        <v>0</v>
      </c>
      <c r="J649" t="n">
        <v>0</v>
      </c>
      <c r="K649" t="n">
        <v>0</v>
      </c>
      <c r="L649" t="n">
        <v>0</v>
      </c>
      <c r="M649" t="n">
        <v>0</v>
      </c>
      <c r="N649" t="n">
        <v>0</v>
      </c>
      <c r="O649" t="n">
        <v>0</v>
      </c>
      <c r="P649" t="n">
        <v>0</v>
      </c>
      <c r="Q649" t="n">
        <v>0</v>
      </c>
      <c r="R649" s="2" t="inlineStr"/>
    </row>
    <row r="650" ht="15" customHeight="1">
      <c r="A650" t="inlineStr">
        <is>
          <t>A 32947-2025</t>
        </is>
      </c>
      <c r="B650" s="1" t="n">
        <v>45839</v>
      </c>
      <c r="C650" s="1" t="n">
        <v>46193</v>
      </c>
      <c r="D650" t="inlineStr">
        <is>
          <t>VÄSTERBOTTENS LÄN</t>
        </is>
      </c>
      <c r="E650" t="inlineStr">
        <is>
          <t>VILHELMINA</t>
        </is>
      </c>
      <c r="G650" t="n">
        <v>19.1</v>
      </c>
      <c r="H650" t="n">
        <v>0</v>
      </c>
      <c r="I650" t="n">
        <v>0</v>
      </c>
      <c r="J650" t="n">
        <v>0</v>
      </c>
      <c r="K650" t="n">
        <v>0</v>
      </c>
      <c r="L650" t="n">
        <v>0</v>
      </c>
      <c r="M650" t="n">
        <v>0</v>
      </c>
      <c r="N650" t="n">
        <v>0</v>
      </c>
      <c r="O650" t="n">
        <v>0</v>
      </c>
      <c r="P650" t="n">
        <v>0</v>
      </c>
      <c r="Q650" t="n">
        <v>0</v>
      </c>
      <c r="R650" s="2" t="inlineStr"/>
    </row>
    <row r="651" ht="15" customHeight="1">
      <c r="A651" t="inlineStr">
        <is>
          <t>A 57207-2025</t>
        </is>
      </c>
      <c r="B651" s="1" t="n">
        <v>45979</v>
      </c>
      <c r="C651" s="1" t="n">
        <v>46193</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v>
      </c>
      <c r="C652" s="1" t="n">
        <v>46193</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58074-2025</t>
        </is>
      </c>
      <c r="B653" s="1" t="n">
        <v>45982</v>
      </c>
      <c r="C653" s="1" t="n">
        <v>46193</v>
      </c>
      <c r="D653" t="inlineStr">
        <is>
          <t>VÄSTERBOTTENS LÄN</t>
        </is>
      </c>
      <c r="E653" t="inlineStr">
        <is>
          <t>VILHELMINA</t>
        </is>
      </c>
      <c r="F653" t="inlineStr">
        <is>
          <t>SCA</t>
        </is>
      </c>
      <c r="G653" t="n">
        <v>12.4</v>
      </c>
      <c r="H653" t="n">
        <v>0</v>
      </c>
      <c r="I653" t="n">
        <v>0</v>
      </c>
      <c r="J653" t="n">
        <v>0</v>
      </c>
      <c r="K653" t="n">
        <v>0</v>
      </c>
      <c r="L653" t="n">
        <v>0</v>
      </c>
      <c r="M653" t="n">
        <v>0</v>
      </c>
      <c r="N653" t="n">
        <v>0</v>
      </c>
      <c r="O653" t="n">
        <v>0</v>
      </c>
      <c r="P653" t="n">
        <v>0</v>
      </c>
      <c r="Q653" t="n">
        <v>0</v>
      </c>
      <c r="R653" s="2" t="inlineStr"/>
    </row>
    <row r="654" ht="15" customHeight="1">
      <c r="A654" t="inlineStr">
        <is>
          <t>A 58824-2024</t>
        </is>
      </c>
      <c r="B654" s="1" t="n">
        <v>45636</v>
      </c>
      <c r="C654" s="1" t="n">
        <v>46193</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60377-2024</t>
        </is>
      </c>
      <c r="B655" s="1" t="n">
        <v>45643</v>
      </c>
      <c r="C655" s="1" t="n">
        <v>46193</v>
      </c>
      <c r="D655" t="inlineStr">
        <is>
          <t>VÄSTERBOTTENS LÄN</t>
        </is>
      </c>
      <c r="E655" t="inlineStr">
        <is>
          <t>VILHELMINA</t>
        </is>
      </c>
      <c r="F655" t="inlineStr">
        <is>
          <t>SCA</t>
        </is>
      </c>
      <c r="G655" t="n">
        <v>16.2</v>
      </c>
      <c r="H655" t="n">
        <v>0</v>
      </c>
      <c r="I655" t="n">
        <v>0</v>
      </c>
      <c r="J655" t="n">
        <v>0</v>
      </c>
      <c r="K655" t="n">
        <v>0</v>
      </c>
      <c r="L655" t="n">
        <v>0</v>
      </c>
      <c r="M655" t="n">
        <v>0</v>
      </c>
      <c r="N655" t="n">
        <v>0</v>
      </c>
      <c r="O655" t="n">
        <v>0</v>
      </c>
      <c r="P655" t="n">
        <v>0</v>
      </c>
      <c r="Q655" t="n">
        <v>0</v>
      </c>
      <c r="R655" s="2" t="inlineStr"/>
    </row>
    <row r="656" ht="15" customHeight="1">
      <c r="A656" t="inlineStr">
        <is>
          <t>A 57812-2025</t>
        </is>
      </c>
      <c r="B656" s="1" t="n">
        <v>45981</v>
      </c>
      <c r="C656" s="1" t="n">
        <v>46193</v>
      </c>
      <c r="D656" t="inlineStr">
        <is>
          <t>VÄSTERBOTTENS LÄN</t>
        </is>
      </c>
      <c r="E656" t="inlineStr">
        <is>
          <t>VILHELMINA</t>
        </is>
      </c>
      <c r="G656" t="n">
        <v>5.9</v>
      </c>
      <c r="H656" t="n">
        <v>0</v>
      </c>
      <c r="I656" t="n">
        <v>0</v>
      </c>
      <c r="J656" t="n">
        <v>0</v>
      </c>
      <c r="K656" t="n">
        <v>0</v>
      </c>
      <c r="L656" t="n">
        <v>0</v>
      </c>
      <c r="M656" t="n">
        <v>0</v>
      </c>
      <c r="N656" t="n">
        <v>0</v>
      </c>
      <c r="O656" t="n">
        <v>0</v>
      </c>
      <c r="P656" t="n">
        <v>0</v>
      </c>
      <c r="Q656" t="n">
        <v>0</v>
      </c>
      <c r="R656" s="2" t="inlineStr"/>
    </row>
    <row r="657" ht="15" customHeight="1">
      <c r="A657" t="inlineStr">
        <is>
          <t>A 61953-2024</t>
        </is>
      </c>
      <c r="B657" s="1" t="n">
        <v>45653</v>
      </c>
      <c r="C657" s="1" t="n">
        <v>46193</v>
      </c>
      <c r="D657" t="inlineStr">
        <is>
          <t>VÄSTERBOTTENS LÄN</t>
        </is>
      </c>
      <c r="E657" t="inlineStr">
        <is>
          <t>VILHELMINA</t>
        </is>
      </c>
      <c r="F657" t="inlineStr">
        <is>
          <t>Kommuner</t>
        </is>
      </c>
      <c r="G657" t="n">
        <v>10.2</v>
      </c>
      <c r="H657" t="n">
        <v>0</v>
      </c>
      <c r="I657" t="n">
        <v>0</v>
      </c>
      <c r="J657" t="n">
        <v>0</v>
      </c>
      <c r="K657" t="n">
        <v>0</v>
      </c>
      <c r="L657" t="n">
        <v>0</v>
      </c>
      <c r="M657" t="n">
        <v>0</v>
      </c>
      <c r="N657" t="n">
        <v>0</v>
      </c>
      <c r="O657" t="n">
        <v>0</v>
      </c>
      <c r="P657" t="n">
        <v>0</v>
      </c>
      <c r="Q657" t="n">
        <v>0</v>
      </c>
      <c r="R657" s="2" t="inlineStr"/>
    </row>
    <row r="658" ht="15" customHeight="1">
      <c r="A658" t="inlineStr">
        <is>
          <t>A 62100-2024</t>
        </is>
      </c>
      <c r="B658" s="1" t="n">
        <v>45656</v>
      </c>
      <c r="C658" s="1" t="n">
        <v>46193</v>
      </c>
      <c r="D658" t="inlineStr">
        <is>
          <t>VÄSTERBOTTENS LÄN</t>
        </is>
      </c>
      <c r="E658" t="inlineStr">
        <is>
          <t>VILHELMINA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33319-2025</t>
        </is>
      </c>
      <c r="B659" s="1" t="n">
        <v>45841</v>
      </c>
      <c r="C659" s="1" t="n">
        <v>46193</v>
      </c>
      <c r="D659" t="inlineStr">
        <is>
          <t>VÄSTERBOTTENS LÄN</t>
        </is>
      </c>
      <c r="E659" t="inlineStr">
        <is>
          <t>VILHELMINA</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33320-2025</t>
        </is>
      </c>
      <c r="B660" s="1" t="n">
        <v>45841</v>
      </c>
      <c r="C660" s="1" t="n">
        <v>46193</v>
      </c>
      <c r="D660" t="inlineStr">
        <is>
          <t>VÄSTERBOTTENS LÄN</t>
        </is>
      </c>
      <c r="E660" t="inlineStr">
        <is>
          <t>VILHELMINA</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15066-2024</t>
        </is>
      </c>
      <c r="B661" s="1" t="n">
        <v>45399</v>
      </c>
      <c r="C661" s="1" t="n">
        <v>46193</v>
      </c>
      <c r="D661" t="inlineStr">
        <is>
          <t>VÄSTERBOTTENS LÄN</t>
        </is>
      </c>
      <c r="E661" t="inlineStr">
        <is>
          <t>VILHELMINA</t>
        </is>
      </c>
      <c r="G661" t="n">
        <v>4.6</v>
      </c>
      <c r="H661" t="n">
        <v>0</v>
      </c>
      <c r="I661" t="n">
        <v>0</v>
      </c>
      <c r="J661" t="n">
        <v>0</v>
      </c>
      <c r="K661" t="n">
        <v>0</v>
      </c>
      <c r="L661" t="n">
        <v>0</v>
      </c>
      <c r="M661" t="n">
        <v>0</v>
      </c>
      <c r="N661" t="n">
        <v>0</v>
      </c>
      <c r="O661" t="n">
        <v>0</v>
      </c>
      <c r="P661" t="n">
        <v>0</v>
      </c>
      <c r="Q661" t="n">
        <v>0</v>
      </c>
      <c r="R661" s="2" t="inlineStr"/>
    </row>
    <row r="662" ht="15" customHeight="1">
      <c r="A662" t="inlineStr">
        <is>
          <t>A 57792-2025</t>
        </is>
      </c>
      <c r="B662" s="1" t="n">
        <v>45981</v>
      </c>
      <c r="C662" s="1" t="n">
        <v>46193</v>
      </c>
      <c r="D662" t="inlineStr">
        <is>
          <t>VÄSTERBOTTENS LÄN</t>
        </is>
      </c>
      <c r="E662" t="inlineStr">
        <is>
          <t>VILHELMINA</t>
        </is>
      </c>
      <c r="G662" t="n">
        <v>1.3</v>
      </c>
      <c r="H662" t="n">
        <v>0</v>
      </c>
      <c r="I662" t="n">
        <v>0</v>
      </c>
      <c r="J662" t="n">
        <v>0</v>
      </c>
      <c r="K662" t="n">
        <v>0</v>
      </c>
      <c r="L662" t="n">
        <v>0</v>
      </c>
      <c r="M662" t="n">
        <v>0</v>
      </c>
      <c r="N662" t="n">
        <v>0</v>
      </c>
      <c r="O662" t="n">
        <v>0</v>
      </c>
      <c r="P662" t="n">
        <v>0</v>
      </c>
      <c r="Q662" t="n">
        <v>0</v>
      </c>
      <c r="R662" s="2" t="inlineStr"/>
    </row>
    <row r="663" ht="15" customHeight="1">
      <c r="A663" t="inlineStr">
        <is>
          <t>A 58420-2025</t>
        </is>
      </c>
      <c r="B663" s="1" t="n">
        <v>45985</v>
      </c>
      <c r="C663" s="1" t="n">
        <v>46193</v>
      </c>
      <c r="D663" t="inlineStr">
        <is>
          <t>VÄSTERBOTTENS LÄN</t>
        </is>
      </c>
      <c r="E663" t="inlineStr">
        <is>
          <t>VILHELMINA</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8229-2022</t>
        </is>
      </c>
      <c r="B664" s="1" t="n">
        <v>44609</v>
      </c>
      <c r="C664" s="1" t="n">
        <v>46193</v>
      </c>
      <c r="D664" t="inlineStr">
        <is>
          <t>VÄSTERBOTTENS LÄN</t>
        </is>
      </c>
      <c r="E664" t="inlineStr">
        <is>
          <t>VILHELMINA</t>
        </is>
      </c>
      <c r="F664" t="inlineStr">
        <is>
          <t>SCA</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58300-2025</t>
        </is>
      </c>
      <c r="B665" s="1" t="n">
        <v>45985</v>
      </c>
      <c r="C665" s="1" t="n">
        <v>46193</v>
      </c>
      <c r="D665" t="inlineStr">
        <is>
          <t>VÄSTERBOTTENS LÄN</t>
        </is>
      </c>
      <c r="E665" t="inlineStr">
        <is>
          <t>VILHELMINA</t>
        </is>
      </c>
      <c r="G665" t="n">
        <v>2.4</v>
      </c>
      <c r="H665" t="n">
        <v>0</v>
      </c>
      <c r="I665" t="n">
        <v>0</v>
      </c>
      <c r="J665" t="n">
        <v>0</v>
      </c>
      <c r="K665" t="n">
        <v>0</v>
      </c>
      <c r="L665" t="n">
        <v>0</v>
      </c>
      <c r="M665" t="n">
        <v>0</v>
      </c>
      <c r="N665" t="n">
        <v>0</v>
      </c>
      <c r="O665" t="n">
        <v>0</v>
      </c>
      <c r="P665" t="n">
        <v>0</v>
      </c>
      <c r="Q665" t="n">
        <v>0</v>
      </c>
      <c r="R665" s="2" t="inlineStr"/>
    </row>
    <row r="666" ht="15" customHeight="1">
      <c r="A666" t="inlineStr">
        <is>
          <t>A 31496-2023</t>
        </is>
      </c>
      <c r="B666" s="1" t="n">
        <v>45114</v>
      </c>
      <c r="C666" s="1" t="n">
        <v>46193</v>
      </c>
      <c r="D666" t="inlineStr">
        <is>
          <t>VÄSTERBOTTENS LÄN</t>
        </is>
      </c>
      <c r="E666" t="inlineStr">
        <is>
          <t>VILHELMINA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58471-2025</t>
        </is>
      </c>
      <c r="B667" s="1" t="n">
        <v>45985</v>
      </c>
      <c r="C667" s="1" t="n">
        <v>46193</v>
      </c>
      <c r="D667" t="inlineStr">
        <is>
          <t>VÄSTERBOTTENS LÄN</t>
        </is>
      </c>
      <c r="E667" t="inlineStr">
        <is>
          <t>VILHELMINA</t>
        </is>
      </c>
      <c r="G667" t="n">
        <v>4.5</v>
      </c>
      <c r="H667" t="n">
        <v>0</v>
      </c>
      <c r="I667" t="n">
        <v>0</v>
      </c>
      <c r="J667" t="n">
        <v>0</v>
      </c>
      <c r="K667" t="n">
        <v>0</v>
      </c>
      <c r="L667" t="n">
        <v>0</v>
      </c>
      <c r="M667" t="n">
        <v>0</v>
      </c>
      <c r="N667" t="n">
        <v>0</v>
      </c>
      <c r="O667" t="n">
        <v>0</v>
      </c>
      <c r="P667" t="n">
        <v>0</v>
      </c>
      <c r="Q667" t="n">
        <v>0</v>
      </c>
      <c r="R667" s="2" t="inlineStr"/>
    </row>
    <row r="668" ht="15" customHeight="1">
      <c r="A668" t="inlineStr">
        <is>
          <t>A 21018-2026</t>
        </is>
      </c>
      <c r="B668" s="1" t="n">
        <v>46144</v>
      </c>
      <c r="C668" s="1" t="n">
        <v>46193</v>
      </c>
      <c r="D668" t="inlineStr">
        <is>
          <t>VÄSTERBOTTENS LÄN</t>
        </is>
      </c>
      <c r="E668" t="inlineStr">
        <is>
          <t>VILHELMINA</t>
        </is>
      </c>
      <c r="G668" t="n">
        <v>4.9</v>
      </c>
      <c r="H668" t="n">
        <v>0</v>
      </c>
      <c r="I668" t="n">
        <v>0</v>
      </c>
      <c r="J668" t="n">
        <v>0</v>
      </c>
      <c r="K668" t="n">
        <v>0</v>
      </c>
      <c r="L668" t="n">
        <v>0</v>
      </c>
      <c r="M668" t="n">
        <v>0</v>
      </c>
      <c r="N668" t="n">
        <v>0</v>
      </c>
      <c r="O668" t="n">
        <v>0</v>
      </c>
      <c r="P668" t="n">
        <v>0</v>
      </c>
      <c r="Q668" t="n">
        <v>0</v>
      </c>
      <c r="R668" s="2" t="inlineStr"/>
    </row>
    <row r="669" ht="15" customHeight="1">
      <c r="A669" t="inlineStr">
        <is>
          <t>A 15786-2025</t>
        </is>
      </c>
      <c r="B669" s="1" t="n">
        <v>45748</v>
      </c>
      <c r="C669" s="1" t="n">
        <v>46193</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26786-2026</t>
        </is>
      </c>
      <c r="B670" s="1" t="n">
        <v>46183</v>
      </c>
      <c r="C670" s="1" t="n">
        <v>46193</v>
      </c>
      <c r="D670" t="inlineStr">
        <is>
          <t>VÄSTERBOTTENS LÄN</t>
        </is>
      </c>
      <c r="E670" t="inlineStr">
        <is>
          <t>VILHELMINA</t>
        </is>
      </c>
      <c r="G670" t="n">
        <v>6.2</v>
      </c>
      <c r="H670" t="n">
        <v>0</v>
      </c>
      <c r="I670" t="n">
        <v>0</v>
      </c>
      <c r="J670" t="n">
        <v>0</v>
      </c>
      <c r="K670" t="n">
        <v>0</v>
      </c>
      <c r="L670" t="n">
        <v>0</v>
      </c>
      <c r="M670" t="n">
        <v>0</v>
      </c>
      <c r="N670" t="n">
        <v>0</v>
      </c>
      <c r="O670" t="n">
        <v>0</v>
      </c>
      <c r="P670" t="n">
        <v>0</v>
      </c>
      <c r="Q670" t="n">
        <v>0</v>
      </c>
      <c r="R670" s="2" t="inlineStr"/>
    </row>
    <row r="671" ht="15" customHeight="1">
      <c r="A671" t="inlineStr">
        <is>
          <t>A 45593-2024</t>
        </is>
      </c>
      <c r="B671" s="1" t="n">
        <v>45579</v>
      </c>
      <c r="C671" s="1" t="n">
        <v>46193</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34542-2025</t>
        </is>
      </c>
      <c r="B672" s="1" t="n">
        <v>45847</v>
      </c>
      <c r="C672" s="1" t="n">
        <v>46193</v>
      </c>
      <c r="D672" t="inlineStr">
        <is>
          <t>VÄSTERBOTTENS LÄN</t>
        </is>
      </c>
      <c r="E672" t="inlineStr">
        <is>
          <t>VILHELMINA</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59505-2025</t>
        </is>
      </c>
      <c r="B673" s="1" t="n">
        <v>45989</v>
      </c>
      <c r="C673" s="1" t="n">
        <v>46193</v>
      </c>
      <c r="D673" t="inlineStr">
        <is>
          <t>VÄSTERBOTTENS LÄN</t>
        </is>
      </c>
      <c r="E673" t="inlineStr">
        <is>
          <t>VILHELMINA</t>
        </is>
      </c>
      <c r="G673" t="n">
        <v>5.9</v>
      </c>
      <c r="H673" t="n">
        <v>0</v>
      </c>
      <c r="I673" t="n">
        <v>0</v>
      </c>
      <c r="J673" t="n">
        <v>0</v>
      </c>
      <c r="K673" t="n">
        <v>0</v>
      </c>
      <c r="L673" t="n">
        <v>0</v>
      </c>
      <c r="M673" t="n">
        <v>0</v>
      </c>
      <c r="N673" t="n">
        <v>0</v>
      </c>
      <c r="O673" t="n">
        <v>0</v>
      </c>
      <c r="P673" t="n">
        <v>0</v>
      </c>
      <c r="Q673" t="n">
        <v>0</v>
      </c>
      <c r="R673" s="2" t="inlineStr"/>
    </row>
    <row r="674" ht="15" customHeight="1">
      <c r="A674" t="inlineStr">
        <is>
          <t>A 59506-2025</t>
        </is>
      </c>
      <c r="B674" s="1" t="n">
        <v>45989</v>
      </c>
      <c r="C674" s="1" t="n">
        <v>46193</v>
      </c>
      <c r="D674" t="inlineStr">
        <is>
          <t>VÄSTERBOTTENS LÄN</t>
        </is>
      </c>
      <c r="E674" t="inlineStr">
        <is>
          <t>VILHELMINA</t>
        </is>
      </c>
      <c r="G674" t="n">
        <v>4.9</v>
      </c>
      <c r="H674" t="n">
        <v>0</v>
      </c>
      <c r="I674" t="n">
        <v>0</v>
      </c>
      <c r="J674" t="n">
        <v>0</v>
      </c>
      <c r="K674" t="n">
        <v>0</v>
      </c>
      <c r="L674" t="n">
        <v>0</v>
      </c>
      <c r="M674" t="n">
        <v>0</v>
      </c>
      <c r="N674" t="n">
        <v>0</v>
      </c>
      <c r="O674" t="n">
        <v>0</v>
      </c>
      <c r="P674" t="n">
        <v>0</v>
      </c>
      <c r="Q674" t="n">
        <v>0</v>
      </c>
      <c r="R674" s="2" t="inlineStr"/>
    </row>
    <row r="675" ht="15" customHeight="1">
      <c r="A675" t="inlineStr">
        <is>
          <t>A 22440-2025</t>
        </is>
      </c>
      <c r="B675" s="1" t="n">
        <v>45786</v>
      </c>
      <c r="C675" s="1" t="n">
        <v>46193</v>
      </c>
      <c r="D675" t="inlineStr">
        <is>
          <t>VÄSTERBOTTENS LÄN</t>
        </is>
      </c>
      <c r="E675" t="inlineStr">
        <is>
          <t>VILHELMINA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40505-2024</t>
        </is>
      </c>
      <c r="B676" s="1" t="n">
        <v>45555</v>
      </c>
      <c r="C676" s="1" t="n">
        <v>46193</v>
      </c>
      <c r="D676" t="inlineStr">
        <is>
          <t>VÄSTERBOTTENS LÄN</t>
        </is>
      </c>
      <c r="E676" t="inlineStr">
        <is>
          <t>VILHELMINA</t>
        </is>
      </c>
      <c r="G676" t="n">
        <v>0.3</v>
      </c>
      <c r="H676" t="n">
        <v>0</v>
      </c>
      <c r="I676" t="n">
        <v>0</v>
      </c>
      <c r="J676" t="n">
        <v>0</v>
      </c>
      <c r="K676" t="n">
        <v>0</v>
      </c>
      <c r="L676" t="n">
        <v>0</v>
      </c>
      <c r="M676" t="n">
        <v>0</v>
      </c>
      <c r="N676" t="n">
        <v>0</v>
      </c>
      <c r="O676" t="n">
        <v>0</v>
      </c>
      <c r="P676" t="n">
        <v>0</v>
      </c>
      <c r="Q676" t="n">
        <v>0</v>
      </c>
      <c r="R676" s="2" t="inlineStr"/>
    </row>
    <row r="677" ht="15" customHeight="1">
      <c r="A677" t="inlineStr">
        <is>
          <t>A 35288-2025</t>
        </is>
      </c>
      <c r="B677" s="1" t="n">
        <v>45854</v>
      </c>
      <c r="C677" s="1" t="n">
        <v>46193</v>
      </c>
      <c r="D677" t="inlineStr">
        <is>
          <t>VÄSTERBOTTENS LÄN</t>
        </is>
      </c>
      <c r="E677" t="inlineStr">
        <is>
          <t>VILHELMINA</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35230-2025</t>
        </is>
      </c>
      <c r="B678" s="1" t="n">
        <v>45853</v>
      </c>
      <c r="C678" s="1" t="n">
        <v>46193</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35231-2025</t>
        </is>
      </c>
      <c r="B679" s="1" t="n">
        <v>45853</v>
      </c>
      <c r="C679" s="1" t="n">
        <v>46193</v>
      </c>
      <c r="D679" t="inlineStr">
        <is>
          <t>VÄSTERBOTTENS LÄN</t>
        </is>
      </c>
      <c r="E679" t="inlineStr">
        <is>
          <t>VILHELMINA</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65133-2021</t>
        </is>
      </c>
      <c r="B680" s="1" t="n">
        <v>44515</v>
      </c>
      <c r="C680" s="1" t="n">
        <v>46193</v>
      </c>
      <c r="D680" t="inlineStr">
        <is>
          <t>VÄSTERBOTTENS LÄN</t>
        </is>
      </c>
      <c r="E680" t="inlineStr">
        <is>
          <t>VILHELMINA</t>
        </is>
      </c>
      <c r="G680" t="n">
        <v>16.4</v>
      </c>
      <c r="H680" t="n">
        <v>0</v>
      </c>
      <c r="I680" t="n">
        <v>0</v>
      </c>
      <c r="J680" t="n">
        <v>0</v>
      </c>
      <c r="K680" t="n">
        <v>0</v>
      </c>
      <c r="L680" t="n">
        <v>0</v>
      </c>
      <c r="M680" t="n">
        <v>0</v>
      </c>
      <c r="N680" t="n">
        <v>0</v>
      </c>
      <c r="O680" t="n">
        <v>0</v>
      </c>
      <c r="P680" t="n">
        <v>0</v>
      </c>
      <c r="Q680" t="n">
        <v>0</v>
      </c>
      <c r="R680" s="2" t="inlineStr"/>
    </row>
    <row r="681" ht="15" customHeight="1">
      <c r="A681" t="inlineStr">
        <is>
          <t>A 48423-2023</t>
        </is>
      </c>
      <c r="B681" s="1" t="n">
        <v>45205</v>
      </c>
      <c r="C681" s="1" t="n">
        <v>46193</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38364-2023</t>
        </is>
      </c>
      <c r="B682" s="1" t="n">
        <v>45161</v>
      </c>
      <c r="C682" s="1" t="n">
        <v>46193</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59915-2025</t>
        </is>
      </c>
      <c r="B683" s="1" t="n">
        <v>45993</v>
      </c>
      <c r="C683" s="1" t="n">
        <v>46193</v>
      </c>
      <c r="D683" t="inlineStr">
        <is>
          <t>VÄSTERBOTTENS LÄN</t>
        </is>
      </c>
      <c r="E683" t="inlineStr">
        <is>
          <t>VILHELMINA</t>
        </is>
      </c>
      <c r="G683" t="n">
        <v>27.8</v>
      </c>
      <c r="H683" t="n">
        <v>0</v>
      </c>
      <c r="I683" t="n">
        <v>0</v>
      </c>
      <c r="J683" t="n">
        <v>0</v>
      </c>
      <c r="K683" t="n">
        <v>0</v>
      </c>
      <c r="L683" t="n">
        <v>0</v>
      </c>
      <c r="M683" t="n">
        <v>0</v>
      </c>
      <c r="N683" t="n">
        <v>0</v>
      </c>
      <c r="O683" t="n">
        <v>0</v>
      </c>
      <c r="P683" t="n">
        <v>0</v>
      </c>
      <c r="Q683" t="n">
        <v>0</v>
      </c>
      <c r="R683" s="2" t="inlineStr"/>
    </row>
    <row r="684" ht="15" customHeight="1">
      <c r="A684" t="inlineStr">
        <is>
          <t>A 35888-2025</t>
        </is>
      </c>
      <c r="B684" s="1" t="n">
        <v>45862</v>
      </c>
      <c r="C684" s="1" t="n">
        <v>46193</v>
      </c>
      <c r="D684" t="inlineStr">
        <is>
          <t>VÄSTERBOTTENS LÄN</t>
        </is>
      </c>
      <c r="E684" t="inlineStr">
        <is>
          <t>VILHELMINA</t>
        </is>
      </c>
      <c r="G684" t="n">
        <v>2.4</v>
      </c>
      <c r="H684" t="n">
        <v>0</v>
      </c>
      <c r="I684" t="n">
        <v>0</v>
      </c>
      <c r="J684" t="n">
        <v>0</v>
      </c>
      <c r="K684" t="n">
        <v>0</v>
      </c>
      <c r="L684" t="n">
        <v>0</v>
      </c>
      <c r="M684" t="n">
        <v>0</v>
      </c>
      <c r="N684" t="n">
        <v>0</v>
      </c>
      <c r="O684" t="n">
        <v>0</v>
      </c>
      <c r="P684" t="n">
        <v>0</v>
      </c>
      <c r="Q684" t="n">
        <v>0</v>
      </c>
      <c r="R684" s="2" t="inlineStr"/>
    </row>
    <row r="685" ht="15" customHeight="1">
      <c r="A685" t="inlineStr">
        <is>
          <t>A 60057-2025</t>
        </is>
      </c>
      <c r="B685" s="1" t="n">
        <v>45993</v>
      </c>
      <c r="C685" s="1" t="n">
        <v>46193</v>
      </c>
      <c r="D685" t="inlineStr">
        <is>
          <t>VÄSTERBOTTENS LÄN</t>
        </is>
      </c>
      <c r="E685" t="inlineStr">
        <is>
          <t>VILHELMINA</t>
        </is>
      </c>
      <c r="G685" t="n">
        <v>0.6</v>
      </c>
      <c r="H685" t="n">
        <v>0</v>
      </c>
      <c r="I685" t="n">
        <v>0</v>
      </c>
      <c r="J685" t="n">
        <v>0</v>
      </c>
      <c r="K685" t="n">
        <v>0</v>
      </c>
      <c r="L685" t="n">
        <v>0</v>
      </c>
      <c r="M685" t="n">
        <v>0</v>
      </c>
      <c r="N685" t="n">
        <v>0</v>
      </c>
      <c r="O685" t="n">
        <v>0</v>
      </c>
      <c r="P685" t="n">
        <v>0</v>
      </c>
      <c r="Q685" t="n">
        <v>0</v>
      </c>
      <c r="R685" s="2" t="inlineStr"/>
    </row>
    <row r="686" ht="15" customHeight="1">
      <c r="A686" t="inlineStr">
        <is>
          <t>A 60697-2025</t>
        </is>
      </c>
      <c r="B686" s="1" t="n">
        <v>45996</v>
      </c>
      <c r="C686" s="1" t="n">
        <v>46193</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60701-2025</t>
        </is>
      </c>
      <c r="B687" s="1" t="n">
        <v>45996</v>
      </c>
      <c r="C687" s="1" t="n">
        <v>46193</v>
      </c>
      <c r="D687" t="inlineStr">
        <is>
          <t>VÄSTERBOTTENS LÄN</t>
        </is>
      </c>
      <c r="E687" t="inlineStr">
        <is>
          <t>VILHELMINA</t>
        </is>
      </c>
      <c r="G687" t="n">
        <v>6.2</v>
      </c>
      <c r="H687" t="n">
        <v>0</v>
      </c>
      <c r="I687" t="n">
        <v>0</v>
      </c>
      <c r="J687" t="n">
        <v>0</v>
      </c>
      <c r="K687" t="n">
        <v>0</v>
      </c>
      <c r="L687" t="n">
        <v>0</v>
      </c>
      <c r="M687" t="n">
        <v>0</v>
      </c>
      <c r="N687" t="n">
        <v>0</v>
      </c>
      <c r="O687" t="n">
        <v>0</v>
      </c>
      <c r="P687" t="n">
        <v>0</v>
      </c>
      <c r="Q687" t="n">
        <v>0</v>
      </c>
      <c r="R687" s="2" t="inlineStr"/>
    </row>
    <row r="688" ht="15" customHeight="1">
      <c r="A688" t="inlineStr">
        <is>
          <t>A 32925-2024</t>
        </is>
      </c>
      <c r="B688" s="1" t="n">
        <v>45516</v>
      </c>
      <c r="C688" s="1" t="n">
        <v>46193</v>
      </c>
      <c r="D688" t="inlineStr">
        <is>
          <t>VÄSTERBOTTENS LÄN</t>
        </is>
      </c>
      <c r="E688" t="inlineStr">
        <is>
          <t>VILHELMINA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32926-2024</t>
        </is>
      </c>
      <c r="B689" s="1" t="n">
        <v>45516</v>
      </c>
      <c r="C689" s="1" t="n">
        <v>46193</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55714-2023</t>
        </is>
      </c>
      <c r="B690" s="1" t="n">
        <v>45232</v>
      </c>
      <c r="C690" s="1" t="n">
        <v>46193</v>
      </c>
      <c r="D690" t="inlineStr">
        <is>
          <t>VÄSTERBOTTENS LÄN</t>
        </is>
      </c>
      <c r="E690" t="inlineStr">
        <is>
          <t>VILHELMINA</t>
        </is>
      </c>
      <c r="G690" t="n">
        <v>1.8</v>
      </c>
      <c r="H690" t="n">
        <v>0</v>
      </c>
      <c r="I690" t="n">
        <v>0</v>
      </c>
      <c r="J690" t="n">
        <v>0</v>
      </c>
      <c r="K690" t="n">
        <v>0</v>
      </c>
      <c r="L690" t="n">
        <v>0</v>
      </c>
      <c r="M690" t="n">
        <v>0</v>
      </c>
      <c r="N690" t="n">
        <v>0</v>
      </c>
      <c r="O690" t="n">
        <v>0</v>
      </c>
      <c r="P690" t="n">
        <v>0</v>
      </c>
      <c r="Q690" t="n">
        <v>0</v>
      </c>
      <c r="R690" s="2" t="inlineStr"/>
    </row>
    <row r="691" ht="15" customHeight="1">
      <c r="A691" t="inlineStr">
        <is>
          <t>A 45673-2023</t>
        </is>
      </c>
      <c r="B691" s="1" t="n">
        <v>45194</v>
      </c>
      <c r="C691" s="1" t="n">
        <v>46193</v>
      </c>
      <c r="D691" t="inlineStr">
        <is>
          <t>VÄSTERBOTTENS LÄN</t>
        </is>
      </c>
      <c r="E691" t="inlineStr">
        <is>
          <t>VILHELMINA</t>
        </is>
      </c>
      <c r="G691" t="n">
        <v>13.4</v>
      </c>
      <c r="H691" t="n">
        <v>0</v>
      </c>
      <c r="I691" t="n">
        <v>0</v>
      </c>
      <c r="J691" t="n">
        <v>0</v>
      </c>
      <c r="K691" t="n">
        <v>0</v>
      </c>
      <c r="L691" t="n">
        <v>0</v>
      </c>
      <c r="M691" t="n">
        <v>0</v>
      </c>
      <c r="N691" t="n">
        <v>0</v>
      </c>
      <c r="O691" t="n">
        <v>0</v>
      </c>
      <c r="P691" t="n">
        <v>0</v>
      </c>
      <c r="Q691" t="n">
        <v>0</v>
      </c>
      <c r="R691" s="2" t="inlineStr"/>
    </row>
    <row r="692" ht="15" customHeight="1">
      <c r="A692" t="inlineStr">
        <is>
          <t>A 60994-2025</t>
        </is>
      </c>
      <c r="B692" s="1" t="n">
        <v>45999</v>
      </c>
      <c r="C692" s="1" t="n">
        <v>46193</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61003-2025</t>
        </is>
      </c>
      <c r="B693" s="1" t="n">
        <v>45999</v>
      </c>
      <c r="C693" s="1" t="n">
        <v>46193</v>
      </c>
      <c r="D693" t="inlineStr">
        <is>
          <t>VÄSTERBOTTENS LÄN</t>
        </is>
      </c>
      <c r="E693" t="inlineStr">
        <is>
          <t>VILHELMINA</t>
        </is>
      </c>
      <c r="G693" t="n">
        <v>3</v>
      </c>
      <c r="H693" t="n">
        <v>0</v>
      </c>
      <c r="I693" t="n">
        <v>0</v>
      </c>
      <c r="J693" t="n">
        <v>0</v>
      </c>
      <c r="K693" t="n">
        <v>0</v>
      </c>
      <c r="L693" t="n">
        <v>0</v>
      </c>
      <c r="M693" t="n">
        <v>0</v>
      </c>
      <c r="N693" t="n">
        <v>0</v>
      </c>
      <c r="O693" t="n">
        <v>0</v>
      </c>
      <c r="P693" t="n">
        <v>0</v>
      </c>
      <c r="Q693" t="n">
        <v>0</v>
      </c>
      <c r="R693" s="2" t="inlineStr"/>
    </row>
    <row r="694" ht="15" customHeight="1">
      <c r="A694" t="inlineStr">
        <is>
          <t>A 46392-2024</t>
        </is>
      </c>
      <c r="B694" s="1" t="n">
        <v>45582</v>
      </c>
      <c r="C694" s="1" t="n">
        <v>46193</v>
      </c>
      <c r="D694" t="inlineStr">
        <is>
          <t>VÄSTERBOTTENS LÄN</t>
        </is>
      </c>
      <c r="E694" t="inlineStr">
        <is>
          <t>VILHELMINA</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60991-2025</t>
        </is>
      </c>
      <c r="B695" s="1" t="n">
        <v>45999</v>
      </c>
      <c r="C695" s="1" t="n">
        <v>46193</v>
      </c>
      <c r="D695" t="inlineStr">
        <is>
          <t>VÄSTERBOTTENS LÄN</t>
        </is>
      </c>
      <c r="E695" t="inlineStr">
        <is>
          <t>VILHELMINA</t>
        </is>
      </c>
      <c r="G695" t="n">
        <v>4.6</v>
      </c>
      <c r="H695" t="n">
        <v>0</v>
      </c>
      <c r="I695" t="n">
        <v>0</v>
      </c>
      <c r="J695" t="n">
        <v>0</v>
      </c>
      <c r="K695" t="n">
        <v>0</v>
      </c>
      <c r="L695" t="n">
        <v>0</v>
      </c>
      <c r="M695" t="n">
        <v>0</v>
      </c>
      <c r="N695" t="n">
        <v>0</v>
      </c>
      <c r="O695" t="n">
        <v>0</v>
      </c>
      <c r="P695" t="n">
        <v>0</v>
      </c>
      <c r="Q695" t="n">
        <v>0</v>
      </c>
      <c r="R695" s="2" t="inlineStr"/>
    </row>
    <row r="696" ht="15" customHeight="1">
      <c r="A696" t="inlineStr">
        <is>
          <t>A 60996-2025</t>
        </is>
      </c>
      <c r="B696" s="1" t="n">
        <v>45999</v>
      </c>
      <c r="C696" s="1" t="n">
        <v>46193</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36569-2025</t>
        </is>
      </c>
      <c r="B697" s="1" t="n">
        <v>45870</v>
      </c>
      <c r="C697" s="1" t="n">
        <v>46193</v>
      </c>
      <c r="D697" t="inlineStr">
        <is>
          <t>VÄSTERBOTTENS LÄN</t>
        </is>
      </c>
      <c r="E697" t="inlineStr">
        <is>
          <t>VILHELMINA</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61426-2025</t>
        </is>
      </c>
      <c r="B698" s="1" t="n">
        <v>46001</v>
      </c>
      <c r="C698" s="1" t="n">
        <v>46193</v>
      </c>
      <c r="D698" t="inlineStr">
        <is>
          <t>VÄSTERBOTTENS LÄN</t>
        </is>
      </c>
      <c r="E698" t="inlineStr">
        <is>
          <t>VILHELMINA</t>
        </is>
      </c>
      <c r="G698" t="n">
        <v>12.2</v>
      </c>
      <c r="H698" t="n">
        <v>0</v>
      </c>
      <c r="I698" t="n">
        <v>0</v>
      </c>
      <c r="J698" t="n">
        <v>0</v>
      </c>
      <c r="K698" t="n">
        <v>0</v>
      </c>
      <c r="L698" t="n">
        <v>0</v>
      </c>
      <c r="M698" t="n">
        <v>0</v>
      </c>
      <c r="N698" t="n">
        <v>0</v>
      </c>
      <c r="O698" t="n">
        <v>0</v>
      </c>
      <c r="P698" t="n">
        <v>0</v>
      </c>
      <c r="Q698" t="n">
        <v>0</v>
      </c>
      <c r="R698" s="2" t="inlineStr"/>
    </row>
    <row r="699" ht="15" customHeight="1">
      <c r="A699" t="inlineStr">
        <is>
          <t>A 55695-2024</t>
        </is>
      </c>
      <c r="B699" s="1" t="n">
        <v>45622</v>
      </c>
      <c r="C699" s="1" t="n">
        <v>46193</v>
      </c>
      <c r="D699" t="inlineStr">
        <is>
          <t>VÄSTERBOTTENS LÄN</t>
        </is>
      </c>
      <c r="E699" t="inlineStr">
        <is>
          <t>VILHELMINA</t>
        </is>
      </c>
      <c r="G699" t="n">
        <v>7</v>
      </c>
      <c r="H699" t="n">
        <v>0</v>
      </c>
      <c r="I699" t="n">
        <v>0</v>
      </c>
      <c r="J699" t="n">
        <v>0</v>
      </c>
      <c r="K699" t="n">
        <v>0</v>
      </c>
      <c r="L699" t="n">
        <v>0</v>
      </c>
      <c r="M699" t="n">
        <v>0</v>
      </c>
      <c r="N699" t="n">
        <v>0</v>
      </c>
      <c r="O699" t="n">
        <v>0</v>
      </c>
      <c r="P699" t="n">
        <v>0</v>
      </c>
      <c r="Q699" t="n">
        <v>0</v>
      </c>
      <c r="R699" s="2" t="inlineStr"/>
    </row>
    <row r="700" ht="15" customHeight="1">
      <c r="A700" t="inlineStr">
        <is>
          <t>A 61517-2025</t>
        </is>
      </c>
      <c r="B700" s="1" t="n">
        <v>46001</v>
      </c>
      <c r="C700" s="1" t="n">
        <v>46193</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12118-2024</t>
        </is>
      </c>
      <c r="B701" s="1" t="n">
        <v>45376</v>
      </c>
      <c r="C701" s="1" t="n">
        <v>46193</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37937-2023</t>
        </is>
      </c>
      <c r="B702" s="1" t="n">
        <v>45159</v>
      </c>
      <c r="C702" s="1" t="n">
        <v>46193</v>
      </c>
      <c r="D702" t="inlineStr">
        <is>
          <t>VÄSTERBOTTENS LÄN</t>
        </is>
      </c>
      <c r="E702" t="inlineStr">
        <is>
          <t>VILHELMINA</t>
        </is>
      </c>
      <c r="G702" t="n">
        <v>2.2</v>
      </c>
      <c r="H702" t="n">
        <v>0</v>
      </c>
      <c r="I702" t="n">
        <v>0</v>
      </c>
      <c r="J702" t="n">
        <v>0</v>
      </c>
      <c r="K702" t="n">
        <v>0</v>
      </c>
      <c r="L702" t="n">
        <v>0</v>
      </c>
      <c r="M702" t="n">
        <v>0</v>
      </c>
      <c r="N702" t="n">
        <v>0</v>
      </c>
      <c r="O702" t="n">
        <v>0</v>
      </c>
      <c r="P702" t="n">
        <v>0</v>
      </c>
      <c r="Q702" t="n">
        <v>0</v>
      </c>
      <c r="R702" s="2" t="inlineStr"/>
    </row>
    <row r="703" ht="15" customHeight="1">
      <c r="A703" t="inlineStr">
        <is>
          <t>A 29722-2024</t>
        </is>
      </c>
      <c r="B703" s="1" t="n">
        <v>45485</v>
      </c>
      <c r="C703" s="1" t="n">
        <v>46193</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36973-2025</t>
        </is>
      </c>
      <c r="B704" s="1" t="n">
        <v>45874</v>
      </c>
      <c r="C704" s="1" t="n">
        <v>46193</v>
      </c>
      <c r="D704" t="inlineStr">
        <is>
          <t>VÄSTERBOTTENS LÄN</t>
        </is>
      </c>
      <c r="E704" t="inlineStr">
        <is>
          <t>VILHELMINA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62318-2025</t>
        </is>
      </c>
      <c r="B705" s="1" t="n">
        <v>46006</v>
      </c>
      <c r="C705" s="1" t="n">
        <v>46193</v>
      </c>
      <c r="D705" t="inlineStr">
        <is>
          <t>VÄSTERBOTTENS LÄN</t>
        </is>
      </c>
      <c r="E705" t="inlineStr">
        <is>
          <t>VILHELMINA</t>
        </is>
      </c>
      <c r="G705" t="n">
        <v>0.6</v>
      </c>
      <c r="H705" t="n">
        <v>0</v>
      </c>
      <c r="I705" t="n">
        <v>0</v>
      </c>
      <c r="J705" t="n">
        <v>0</v>
      </c>
      <c r="K705" t="n">
        <v>0</v>
      </c>
      <c r="L705" t="n">
        <v>0</v>
      </c>
      <c r="M705" t="n">
        <v>0</v>
      </c>
      <c r="N705" t="n">
        <v>0</v>
      </c>
      <c r="O705" t="n">
        <v>0</v>
      </c>
      <c r="P705" t="n">
        <v>0</v>
      </c>
      <c r="Q705" t="n">
        <v>0</v>
      </c>
      <c r="R705" s="2" t="inlineStr"/>
    </row>
    <row r="706" ht="15" customHeight="1">
      <c r="A706" t="inlineStr">
        <is>
          <t>A 19401-2023</t>
        </is>
      </c>
      <c r="B706" s="1" t="n">
        <v>45048</v>
      </c>
      <c r="C706" s="1" t="n">
        <v>46193</v>
      </c>
      <c r="D706" t="inlineStr">
        <is>
          <t>VÄSTERBOTTENS LÄN</t>
        </is>
      </c>
      <c r="E706" t="inlineStr">
        <is>
          <t>VILHELMINA</t>
        </is>
      </c>
      <c r="G706" t="n">
        <v>5.4</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v>
      </c>
      <c r="C707" s="1" t="n">
        <v>46193</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37015-2025</t>
        </is>
      </c>
      <c r="B708" s="1" t="n">
        <v>45874</v>
      </c>
      <c r="C708" s="1" t="n">
        <v>46193</v>
      </c>
      <c r="D708" t="inlineStr">
        <is>
          <t>VÄSTERBOTTENS LÄN</t>
        </is>
      </c>
      <c r="E708" t="inlineStr">
        <is>
          <t>VILHELMINA</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37269-2025</t>
        </is>
      </c>
      <c r="B709" s="1" t="n">
        <v>45876</v>
      </c>
      <c r="C709" s="1" t="n">
        <v>46193</v>
      </c>
      <c r="D709" t="inlineStr">
        <is>
          <t>VÄSTERBOTTENS LÄN</t>
        </is>
      </c>
      <c r="E709" t="inlineStr">
        <is>
          <t>VILHELMINA</t>
        </is>
      </c>
      <c r="G709" t="n">
        <v>2.5</v>
      </c>
      <c r="H709" t="n">
        <v>0</v>
      </c>
      <c r="I709" t="n">
        <v>0</v>
      </c>
      <c r="J709" t="n">
        <v>0</v>
      </c>
      <c r="K709" t="n">
        <v>0</v>
      </c>
      <c r="L709" t="n">
        <v>0</v>
      </c>
      <c r="M709" t="n">
        <v>0</v>
      </c>
      <c r="N709" t="n">
        <v>0</v>
      </c>
      <c r="O709" t="n">
        <v>0</v>
      </c>
      <c r="P709" t="n">
        <v>0</v>
      </c>
      <c r="Q709" t="n">
        <v>0</v>
      </c>
      <c r="R709" s="2" t="inlineStr"/>
    </row>
    <row r="710" ht="15" customHeight="1">
      <c r="A710" t="inlineStr">
        <is>
          <t>A 7777-2024</t>
        </is>
      </c>
      <c r="B710" s="1" t="n">
        <v>45349</v>
      </c>
      <c r="C710" s="1" t="n">
        <v>46193</v>
      </c>
      <c r="D710" t="inlineStr">
        <is>
          <t>VÄSTERBOTTENS LÄN</t>
        </is>
      </c>
      <c r="E710" t="inlineStr">
        <is>
          <t>VILHELMINA</t>
        </is>
      </c>
      <c r="G710" t="n">
        <v>7</v>
      </c>
      <c r="H710" t="n">
        <v>0</v>
      </c>
      <c r="I710" t="n">
        <v>0</v>
      </c>
      <c r="J710" t="n">
        <v>0</v>
      </c>
      <c r="K710" t="n">
        <v>0</v>
      </c>
      <c r="L710" t="n">
        <v>0</v>
      </c>
      <c r="M710" t="n">
        <v>0</v>
      </c>
      <c r="N710" t="n">
        <v>0</v>
      </c>
      <c r="O710" t="n">
        <v>0</v>
      </c>
      <c r="P710" t="n">
        <v>0</v>
      </c>
      <c r="Q710" t="n">
        <v>0</v>
      </c>
      <c r="R710" s="2" t="inlineStr"/>
    </row>
    <row r="711" ht="15" customHeight="1">
      <c r="A711" t="inlineStr">
        <is>
          <t>A 37369-2025</t>
        </is>
      </c>
      <c r="B711" s="1" t="n">
        <v>45877</v>
      </c>
      <c r="C711" s="1" t="n">
        <v>46193</v>
      </c>
      <c r="D711" t="inlineStr">
        <is>
          <t>VÄSTERBOTTENS LÄN</t>
        </is>
      </c>
      <c r="E711" t="inlineStr">
        <is>
          <t>VILHELMINA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37376-2025</t>
        </is>
      </c>
      <c r="B712" s="1" t="n">
        <v>45877</v>
      </c>
      <c r="C712" s="1" t="n">
        <v>46193</v>
      </c>
      <c r="D712" t="inlineStr">
        <is>
          <t>VÄSTERBOTTENS LÄN</t>
        </is>
      </c>
      <c r="E712" t="inlineStr">
        <is>
          <t>VILHELMINA</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37368-2025</t>
        </is>
      </c>
      <c r="B713" s="1" t="n">
        <v>45877</v>
      </c>
      <c r="C713" s="1" t="n">
        <v>46193</v>
      </c>
      <c r="D713" t="inlineStr">
        <is>
          <t>VÄSTERBOTTENS LÄN</t>
        </is>
      </c>
      <c r="E713" t="inlineStr">
        <is>
          <t>VILHELMINA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22108-2024</t>
        </is>
      </c>
      <c r="B714" s="1" t="n">
        <v>45443</v>
      </c>
      <c r="C714" s="1" t="n">
        <v>46193</v>
      </c>
      <c r="D714" t="inlineStr">
        <is>
          <t>VÄSTERBOTTENS LÄN</t>
        </is>
      </c>
      <c r="E714" t="inlineStr">
        <is>
          <t>VILHELMINA</t>
        </is>
      </c>
      <c r="F714" t="inlineStr">
        <is>
          <t>SCA</t>
        </is>
      </c>
      <c r="G714" t="n">
        <v>4.9</v>
      </c>
      <c r="H714" t="n">
        <v>0</v>
      </c>
      <c r="I714" t="n">
        <v>0</v>
      </c>
      <c r="J714" t="n">
        <v>0</v>
      </c>
      <c r="K714" t="n">
        <v>0</v>
      </c>
      <c r="L714" t="n">
        <v>0</v>
      </c>
      <c r="M714" t="n">
        <v>0</v>
      </c>
      <c r="N714" t="n">
        <v>0</v>
      </c>
      <c r="O714" t="n">
        <v>0</v>
      </c>
      <c r="P714" t="n">
        <v>0</v>
      </c>
      <c r="Q714" t="n">
        <v>0</v>
      </c>
      <c r="R714" s="2" t="inlineStr"/>
    </row>
    <row r="715" ht="15" customHeight="1">
      <c r="A715" t="inlineStr">
        <is>
          <t>A 61911-2025</t>
        </is>
      </c>
      <c r="B715" s="1" t="n">
        <v>46003</v>
      </c>
      <c r="C715" s="1" t="n">
        <v>46193</v>
      </c>
      <c r="D715" t="inlineStr">
        <is>
          <t>VÄSTERBOTTENS LÄN</t>
        </is>
      </c>
      <c r="E715" t="inlineStr">
        <is>
          <t>VILHELMINA</t>
        </is>
      </c>
      <c r="G715" t="n">
        <v>23.1</v>
      </c>
      <c r="H715" t="n">
        <v>0</v>
      </c>
      <c r="I715" t="n">
        <v>0</v>
      </c>
      <c r="J715" t="n">
        <v>0</v>
      </c>
      <c r="K715" t="n">
        <v>0</v>
      </c>
      <c r="L715" t="n">
        <v>0</v>
      </c>
      <c r="M715" t="n">
        <v>0</v>
      </c>
      <c r="N715" t="n">
        <v>0</v>
      </c>
      <c r="O715" t="n">
        <v>0</v>
      </c>
      <c r="P715" t="n">
        <v>0</v>
      </c>
      <c r="Q715" t="n">
        <v>0</v>
      </c>
      <c r="R715" s="2" t="inlineStr"/>
    </row>
    <row r="716" ht="15" customHeight="1">
      <c r="A716" t="inlineStr">
        <is>
          <t>A 27840-2026</t>
        </is>
      </c>
      <c r="B716" s="1" t="n">
        <v>46191</v>
      </c>
      <c r="C716" s="1" t="n">
        <v>46193</v>
      </c>
      <c r="D716" t="inlineStr">
        <is>
          <t>VÄSTERBOTTENS LÄN</t>
        </is>
      </c>
      <c r="E716" t="inlineStr">
        <is>
          <t>VILHELMINA</t>
        </is>
      </c>
      <c r="G716" t="n">
        <v>4.9</v>
      </c>
      <c r="H716" t="n">
        <v>0</v>
      </c>
      <c r="I716" t="n">
        <v>0</v>
      </c>
      <c r="J716" t="n">
        <v>0</v>
      </c>
      <c r="K716" t="n">
        <v>0</v>
      </c>
      <c r="L716" t="n">
        <v>0</v>
      </c>
      <c r="M716" t="n">
        <v>0</v>
      </c>
      <c r="N716" t="n">
        <v>0</v>
      </c>
      <c r="O716" t="n">
        <v>0</v>
      </c>
      <c r="P716" t="n">
        <v>0</v>
      </c>
      <c r="Q716" t="n">
        <v>0</v>
      </c>
      <c r="R716" s="2" t="inlineStr"/>
    </row>
    <row r="717" ht="15" customHeight="1">
      <c r="A717" t="inlineStr">
        <is>
          <t>A 64111-2025</t>
        </is>
      </c>
      <c r="B717" s="1" t="n">
        <v>46013</v>
      </c>
      <c r="C717" s="1" t="n">
        <v>46193</v>
      </c>
      <c r="D717" t="inlineStr">
        <is>
          <t>VÄSTERBOTTENS LÄN</t>
        </is>
      </c>
      <c r="E717" t="inlineStr">
        <is>
          <t>VILHELMINA</t>
        </is>
      </c>
      <c r="G717" t="n">
        <v>23.6</v>
      </c>
      <c r="H717" t="n">
        <v>0</v>
      </c>
      <c r="I717" t="n">
        <v>0</v>
      </c>
      <c r="J717" t="n">
        <v>0</v>
      </c>
      <c r="K717" t="n">
        <v>0</v>
      </c>
      <c r="L717" t="n">
        <v>0</v>
      </c>
      <c r="M717" t="n">
        <v>0</v>
      </c>
      <c r="N717" t="n">
        <v>0</v>
      </c>
      <c r="O717" t="n">
        <v>0</v>
      </c>
      <c r="P717" t="n">
        <v>0</v>
      </c>
      <c r="Q717" t="n">
        <v>0</v>
      </c>
      <c r="R717" s="2" t="inlineStr"/>
    </row>
    <row r="718" ht="15" customHeight="1">
      <c r="A718" t="inlineStr">
        <is>
          <t>A 27810-2026</t>
        </is>
      </c>
      <c r="B718" s="1" t="n">
        <v>46191</v>
      </c>
      <c r="C718" s="1" t="n">
        <v>46193</v>
      </c>
      <c r="D718" t="inlineStr">
        <is>
          <t>VÄSTERBOTTENS LÄN</t>
        </is>
      </c>
      <c r="E718" t="inlineStr">
        <is>
          <t>VILHELMINA</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27820-2026</t>
        </is>
      </c>
      <c r="B719" s="1" t="n">
        <v>46189</v>
      </c>
      <c r="C719" s="1" t="n">
        <v>46193</v>
      </c>
      <c r="D719" t="inlineStr">
        <is>
          <t>VÄSTERBOTTENS LÄN</t>
        </is>
      </c>
      <c r="E719" t="inlineStr">
        <is>
          <t>VILHELMINA</t>
        </is>
      </c>
      <c r="G719" t="n">
        <v>1.5</v>
      </c>
      <c r="H719" t="n">
        <v>0</v>
      </c>
      <c r="I719" t="n">
        <v>0</v>
      </c>
      <c r="J719" t="n">
        <v>0</v>
      </c>
      <c r="K719" t="n">
        <v>0</v>
      </c>
      <c r="L719" t="n">
        <v>0</v>
      </c>
      <c r="M719" t="n">
        <v>0</v>
      </c>
      <c r="N719" t="n">
        <v>0</v>
      </c>
      <c r="O719" t="n">
        <v>0</v>
      </c>
      <c r="P719" t="n">
        <v>0</v>
      </c>
      <c r="Q719" t="n">
        <v>0</v>
      </c>
      <c r="R719" s="2" t="inlineStr"/>
    </row>
    <row r="720" ht="15" customHeight="1">
      <c r="A720" t="inlineStr">
        <is>
          <t>A 21805-2026</t>
        </is>
      </c>
      <c r="B720" s="1" t="n">
        <v>46150</v>
      </c>
      <c r="C720" s="1" t="n">
        <v>46193</v>
      </c>
      <c r="D720" t="inlineStr">
        <is>
          <t>VÄSTERBOTTENS LÄN</t>
        </is>
      </c>
      <c r="E720" t="inlineStr">
        <is>
          <t>VILHELMINA</t>
        </is>
      </c>
      <c r="G720" t="n">
        <v>5.7</v>
      </c>
      <c r="H720" t="n">
        <v>0</v>
      </c>
      <c r="I720" t="n">
        <v>0</v>
      </c>
      <c r="J720" t="n">
        <v>0</v>
      </c>
      <c r="K720" t="n">
        <v>0</v>
      </c>
      <c r="L720" t="n">
        <v>0</v>
      </c>
      <c r="M720" t="n">
        <v>0</v>
      </c>
      <c r="N720" t="n">
        <v>0</v>
      </c>
      <c r="O720" t="n">
        <v>0</v>
      </c>
      <c r="P720" t="n">
        <v>0</v>
      </c>
      <c r="Q720" t="n">
        <v>0</v>
      </c>
      <c r="R720" s="2" t="inlineStr"/>
    </row>
    <row r="721" ht="15" customHeight="1">
      <c r="A721" t="inlineStr">
        <is>
          <t>A 21664-2026</t>
        </is>
      </c>
      <c r="B721" s="1" t="n">
        <v>46149</v>
      </c>
      <c r="C721" s="1" t="n">
        <v>46193</v>
      </c>
      <c r="D721" t="inlineStr">
        <is>
          <t>VÄSTERBOTTENS LÄN</t>
        </is>
      </c>
      <c r="E721" t="inlineStr">
        <is>
          <t>VILHELMINA</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54459-2024</t>
        </is>
      </c>
      <c r="B722" s="1" t="n">
        <v>45617</v>
      </c>
      <c r="C722" s="1" t="n">
        <v>46193</v>
      </c>
      <c r="D722" t="inlineStr">
        <is>
          <t>VÄSTERBOTTENS LÄN</t>
        </is>
      </c>
      <c r="E722" t="inlineStr">
        <is>
          <t>VILHELMINA</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26732-2026</t>
        </is>
      </c>
      <c r="B723" s="1" t="n">
        <v>46184</v>
      </c>
      <c r="C723" s="1" t="n">
        <v>46193</v>
      </c>
      <c r="D723" t="inlineStr">
        <is>
          <t>VÄSTERBOTTENS LÄN</t>
        </is>
      </c>
      <c r="E723" t="inlineStr">
        <is>
          <t>VILHELMINA</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46177-2023</t>
        </is>
      </c>
      <c r="B724" s="1" t="n">
        <v>45190</v>
      </c>
      <c r="C724" s="1" t="n">
        <v>46193</v>
      </c>
      <c r="D724" t="inlineStr">
        <is>
          <t>VÄSTERBOTTENS LÄN</t>
        </is>
      </c>
      <c r="E724" t="inlineStr">
        <is>
          <t>VILHELMINA</t>
        </is>
      </c>
      <c r="F724" t="inlineStr">
        <is>
          <t>Övriga Aktiebolag</t>
        </is>
      </c>
      <c r="G724" t="n">
        <v>7.7</v>
      </c>
      <c r="H724" t="n">
        <v>0</v>
      </c>
      <c r="I724" t="n">
        <v>0</v>
      </c>
      <c r="J724" t="n">
        <v>0</v>
      </c>
      <c r="K724" t="n">
        <v>0</v>
      </c>
      <c r="L724" t="n">
        <v>0</v>
      </c>
      <c r="M724" t="n">
        <v>0</v>
      </c>
      <c r="N724" t="n">
        <v>0</v>
      </c>
      <c r="O724" t="n">
        <v>0</v>
      </c>
      <c r="P724" t="n">
        <v>0</v>
      </c>
      <c r="Q724" t="n">
        <v>0</v>
      </c>
      <c r="R724" s="2" t="inlineStr"/>
    </row>
    <row r="725" ht="15" customHeight="1">
      <c r="A725" t="inlineStr">
        <is>
          <t>A 51826-2023</t>
        </is>
      </c>
      <c r="B725" s="1" t="n">
        <v>45222</v>
      </c>
      <c r="C725" s="1" t="n">
        <v>46193</v>
      </c>
      <c r="D725" t="inlineStr">
        <is>
          <t>VÄSTERBOTTENS LÄN</t>
        </is>
      </c>
      <c r="E725" t="inlineStr">
        <is>
          <t>VILHELMINA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18394-2025</t>
        </is>
      </c>
      <c r="B726" s="1" t="n">
        <v>45762</v>
      </c>
      <c r="C726" s="1" t="n">
        <v>46193</v>
      </c>
      <c r="D726" t="inlineStr">
        <is>
          <t>VÄSTERBOTTENS LÄN</t>
        </is>
      </c>
      <c r="E726" t="inlineStr">
        <is>
          <t>VILHELMINA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20524-2024</t>
        </is>
      </c>
      <c r="B727" s="1" t="n">
        <v>45435</v>
      </c>
      <c r="C727" s="1" t="n">
        <v>46193</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50494-2023</t>
        </is>
      </c>
      <c r="B728" s="1" t="n">
        <v>45216</v>
      </c>
      <c r="C728" s="1" t="n">
        <v>46193</v>
      </c>
      <c r="D728" t="inlineStr">
        <is>
          <t>VÄSTERBOTTENS LÄN</t>
        </is>
      </c>
      <c r="E728" t="inlineStr">
        <is>
          <t>VILHELMINA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46193</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47248-2024</t>
        </is>
      </c>
      <c r="B730" s="1" t="n">
        <v>45586</v>
      </c>
      <c r="C730" s="1" t="n">
        <v>46193</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48062-2024</t>
        </is>
      </c>
      <c r="B731" s="1" t="n">
        <v>45589</v>
      </c>
      <c r="C731" s="1" t="n">
        <v>46193</v>
      </c>
      <c r="D731" t="inlineStr">
        <is>
          <t>VÄSTERBOTTENS LÄN</t>
        </is>
      </c>
      <c r="E731" t="inlineStr">
        <is>
          <t>VILHELMINA</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2086-2026</t>
        </is>
      </c>
      <c r="B732" s="1" t="n">
        <v>46034</v>
      </c>
      <c r="C732" s="1" t="n">
        <v>46193</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34805-2023</t>
        </is>
      </c>
      <c r="B733" s="1" t="n">
        <v>45140</v>
      </c>
      <c r="C733" s="1" t="n">
        <v>46193</v>
      </c>
      <c r="D733" t="inlineStr">
        <is>
          <t>VÄSTERBOTTENS LÄN</t>
        </is>
      </c>
      <c r="E733" t="inlineStr">
        <is>
          <t>VILHELMINA</t>
        </is>
      </c>
      <c r="G733" t="n">
        <v>4.3</v>
      </c>
      <c r="H733" t="n">
        <v>0</v>
      </c>
      <c r="I733" t="n">
        <v>0</v>
      </c>
      <c r="J733" t="n">
        <v>0</v>
      </c>
      <c r="K733" t="n">
        <v>0</v>
      </c>
      <c r="L733" t="n">
        <v>0</v>
      </c>
      <c r="M733" t="n">
        <v>0</v>
      </c>
      <c r="N733" t="n">
        <v>0</v>
      </c>
      <c r="O733" t="n">
        <v>0</v>
      </c>
      <c r="P733" t="n">
        <v>0</v>
      </c>
      <c r="Q733" t="n">
        <v>0</v>
      </c>
      <c r="R733" s="2" t="inlineStr"/>
    </row>
    <row r="734" ht="15" customHeight="1">
      <c r="A734" t="inlineStr">
        <is>
          <t>A 39677-2024</t>
        </is>
      </c>
      <c r="B734" s="1" t="n">
        <v>45552</v>
      </c>
      <c r="C734" s="1" t="n">
        <v>46193</v>
      </c>
      <c r="D734" t="inlineStr">
        <is>
          <t>VÄSTERBOTTENS LÄN</t>
        </is>
      </c>
      <c r="E734" t="inlineStr">
        <is>
          <t>VILHELMINA</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51825-2023</t>
        </is>
      </c>
      <c r="B735" s="1" t="n">
        <v>45222</v>
      </c>
      <c r="C735" s="1" t="n">
        <v>46193</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9162-2022</t>
        </is>
      </c>
      <c r="B736" s="1" t="n">
        <v>44615</v>
      </c>
      <c r="C736" s="1" t="n">
        <v>46193</v>
      </c>
      <c r="D736" t="inlineStr">
        <is>
          <t>VÄSTERBOTTENS LÄN</t>
        </is>
      </c>
      <c r="E736" t="inlineStr">
        <is>
          <t>VILHELMINA</t>
        </is>
      </c>
      <c r="G736" t="n">
        <v>7.2</v>
      </c>
      <c r="H736" t="n">
        <v>0</v>
      </c>
      <c r="I736" t="n">
        <v>0</v>
      </c>
      <c r="J736" t="n">
        <v>0</v>
      </c>
      <c r="K736" t="n">
        <v>0</v>
      </c>
      <c r="L736" t="n">
        <v>0</v>
      </c>
      <c r="M736" t="n">
        <v>0</v>
      </c>
      <c r="N736" t="n">
        <v>0</v>
      </c>
      <c r="O736" t="n">
        <v>0</v>
      </c>
      <c r="P736" t="n">
        <v>0</v>
      </c>
      <c r="Q736" t="n">
        <v>0</v>
      </c>
      <c r="R736" s="2" t="inlineStr"/>
    </row>
    <row r="737" ht="15" customHeight="1">
      <c r="A737" t="inlineStr">
        <is>
          <t>A 2232-2026</t>
        </is>
      </c>
      <c r="B737" s="1" t="n">
        <v>46036</v>
      </c>
      <c r="C737" s="1" t="n">
        <v>46193</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20591-2025</t>
        </is>
      </c>
      <c r="B738" s="1" t="n">
        <v>45775</v>
      </c>
      <c r="C738" s="1" t="n">
        <v>46193</v>
      </c>
      <c r="D738" t="inlineStr">
        <is>
          <t>VÄSTERBOTTENS LÄN</t>
        </is>
      </c>
      <c r="E738" t="inlineStr">
        <is>
          <t>VILHELMINA</t>
        </is>
      </c>
      <c r="F738" t="inlineStr">
        <is>
          <t>SCA</t>
        </is>
      </c>
      <c r="G738" t="n">
        <v>27.4</v>
      </c>
      <c r="H738" t="n">
        <v>0</v>
      </c>
      <c r="I738" t="n">
        <v>0</v>
      </c>
      <c r="J738" t="n">
        <v>0</v>
      </c>
      <c r="K738" t="n">
        <v>0</v>
      </c>
      <c r="L738" t="n">
        <v>0</v>
      </c>
      <c r="M738" t="n">
        <v>0</v>
      </c>
      <c r="N738" t="n">
        <v>0</v>
      </c>
      <c r="O738" t="n">
        <v>0</v>
      </c>
      <c r="P738" t="n">
        <v>0</v>
      </c>
      <c r="Q738" t="n">
        <v>0</v>
      </c>
      <c r="R738" s="2" t="inlineStr"/>
    </row>
    <row r="739" ht="15" customHeight="1">
      <c r="A739" t="inlineStr">
        <is>
          <t>A 17467-2025</t>
        </is>
      </c>
      <c r="B739" s="1" t="n">
        <v>45757</v>
      </c>
      <c r="C739" s="1" t="n">
        <v>46193</v>
      </c>
      <c r="D739" t="inlineStr">
        <is>
          <t>VÄSTERBOTTENS LÄN</t>
        </is>
      </c>
      <c r="E739" t="inlineStr">
        <is>
          <t>VILHELMINA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33636-2021</t>
        </is>
      </c>
      <c r="B740" s="1" t="n">
        <v>44378</v>
      </c>
      <c r="C740" s="1" t="n">
        <v>46193</v>
      </c>
      <c r="D740" t="inlineStr">
        <is>
          <t>VÄSTERBOTTENS LÄN</t>
        </is>
      </c>
      <c r="E740" t="inlineStr">
        <is>
          <t>VILHELMINA</t>
        </is>
      </c>
      <c r="G740" t="n">
        <v>1.6</v>
      </c>
      <c r="H740" t="n">
        <v>0</v>
      </c>
      <c r="I740" t="n">
        <v>0</v>
      </c>
      <c r="J740" t="n">
        <v>0</v>
      </c>
      <c r="K740" t="n">
        <v>0</v>
      </c>
      <c r="L740" t="n">
        <v>0</v>
      </c>
      <c r="M740" t="n">
        <v>0</v>
      </c>
      <c r="N740" t="n">
        <v>0</v>
      </c>
      <c r="O740" t="n">
        <v>0</v>
      </c>
      <c r="P740" t="n">
        <v>0</v>
      </c>
      <c r="Q740" t="n">
        <v>0</v>
      </c>
      <c r="R740" s="2" t="inlineStr"/>
    </row>
    <row r="741" ht="15" customHeight="1">
      <c r="A741" t="inlineStr">
        <is>
          <t>A 2822-2026</t>
        </is>
      </c>
      <c r="B741" s="1" t="n">
        <v>46038</v>
      </c>
      <c r="C741" s="1" t="n">
        <v>46193</v>
      </c>
      <c r="D741" t="inlineStr">
        <is>
          <t>VÄSTERBOTTENS LÄN</t>
        </is>
      </c>
      <c r="E741" t="inlineStr">
        <is>
          <t>VILHELMINA</t>
        </is>
      </c>
      <c r="G741" t="n">
        <v>3.6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v>
      </c>
      <c r="C742" s="1" t="n">
        <v>46193</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46193</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52746-2023</t>
        </is>
      </c>
      <c r="B744" s="1" t="n">
        <v>45225</v>
      </c>
      <c r="C744" s="1" t="n">
        <v>46193</v>
      </c>
      <c r="D744" t="inlineStr">
        <is>
          <t>VÄSTERBOTTENS LÄN</t>
        </is>
      </c>
      <c r="E744" t="inlineStr">
        <is>
          <t>VILHELMINA</t>
        </is>
      </c>
      <c r="F744" t="inlineStr">
        <is>
          <t>SCA</t>
        </is>
      </c>
      <c r="G744" t="n">
        <v>10.4</v>
      </c>
      <c r="H744" t="n">
        <v>0</v>
      </c>
      <c r="I744" t="n">
        <v>0</v>
      </c>
      <c r="J744" t="n">
        <v>0</v>
      </c>
      <c r="K744" t="n">
        <v>0</v>
      </c>
      <c r="L744" t="n">
        <v>0</v>
      </c>
      <c r="M744" t="n">
        <v>0</v>
      </c>
      <c r="N744" t="n">
        <v>0</v>
      </c>
      <c r="O744" t="n">
        <v>0</v>
      </c>
      <c r="P744" t="n">
        <v>0</v>
      </c>
      <c r="Q744" t="n">
        <v>0</v>
      </c>
      <c r="R744" s="2" t="inlineStr"/>
    </row>
    <row r="745" ht="15" customHeight="1">
      <c r="A745" t="inlineStr">
        <is>
          <t>A 55326-2023</t>
        </is>
      </c>
      <c r="B745" s="1" t="n">
        <v>45237</v>
      </c>
      <c r="C745" s="1" t="n">
        <v>46193</v>
      </c>
      <c r="D745" t="inlineStr">
        <is>
          <t>VÄSTERBOTTENS LÄN</t>
        </is>
      </c>
      <c r="E745" t="inlineStr">
        <is>
          <t>VILHELMINA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27918-2022</t>
        </is>
      </c>
      <c r="B746" s="1" t="n">
        <v>44743</v>
      </c>
      <c r="C746" s="1" t="n">
        <v>46193</v>
      </c>
      <c r="D746" t="inlineStr">
        <is>
          <t>VÄSTERBOTTENS LÄN</t>
        </is>
      </c>
      <c r="E746" t="inlineStr">
        <is>
          <t>VILHELMINA</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58934-2024</t>
        </is>
      </c>
      <c r="B747" s="1" t="n">
        <v>45636</v>
      </c>
      <c r="C747" s="1" t="n">
        <v>46193</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58833-2023</t>
        </is>
      </c>
      <c r="B748" s="1" t="n">
        <v>45248</v>
      </c>
      <c r="C748" s="1" t="n">
        <v>46193</v>
      </c>
      <c r="D748" t="inlineStr">
        <is>
          <t>VÄSTERBOTTENS LÄN</t>
        </is>
      </c>
      <c r="E748" t="inlineStr">
        <is>
          <t>VILHELMINA</t>
        </is>
      </c>
      <c r="G748" t="n">
        <v>1.5</v>
      </c>
      <c r="H748" t="n">
        <v>0</v>
      </c>
      <c r="I748" t="n">
        <v>0</v>
      </c>
      <c r="J748" t="n">
        <v>0</v>
      </c>
      <c r="K748" t="n">
        <v>0</v>
      </c>
      <c r="L748" t="n">
        <v>0</v>
      </c>
      <c r="M748" t="n">
        <v>0</v>
      </c>
      <c r="N748" t="n">
        <v>0</v>
      </c>
      <c r="O748" t="n">
        <v>0</v>
      </c>
      <c r="P748" t="n">
        <v>0</v>
      </c>
      <c r="Q748" t="n">
        <v>0</v>
      </c>
      <c r="R748" s="2" t="inlineStr"/>
    </row>
    <row r="749" ht="15" customHeight="1">
      <c r="A749" t="inlineStr">
        <is>
          <t>A 38297-2024</t>
        </is>
      </c>
      <c r="B749" s="1" t="n">
        <v>45545</v>
      </c>
      <c r="C749" s="1" t="n">
        <v>46193</v>
      </c>
      <c r="D749" t="inlineStr">
        <is>
          <t>VÄSTERBOTTENS LÄN</t>
        </is>
      </c>
      <c r="E749" t="inlineStr">
        <is>
          <t>VILHELMINA</t>
        </is>
      </c>
      <c r="G749" t="n">
        <v>139.8</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46193</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4689-2026</t>
        </is>
      </c>
      <c r="B751" s="1" t="n">
        <v>46048</v>
      </c>
      <c r="C751" s="1" t="n">
        <v>46193</v>
      </c>
      <c r="D751" t="inlineStr">
        <is>
          <t>VÄSTERBOTTENS LÄN</t>
        </is>
      </c>
      <c r="E751" t="inlineStr">
        <is>
          <t>VILHELMINA</t>
        </is>
      </c>
      <c r="G751" t="n">
        <v>3.5</v>
      </c>
      <c r="H751" t="n">
        <v>0</v>
      </c>
      <c r="I751" t="n">
        <v>0</v>
      </c>
      <c r="J751" t="n">
        <v>0</v>
      </c>
      <c r="K751" t="n">
        <v>0</v>
      </c>
      <c r="L751" t="n">
        <v>0</v>
      </c>
      <c r="M751" t="n">
        <v>0</v>
      </c>
      <c r="N751" t="n">
        <v>0</v>
      </c>
      <c r="O751" t="n">
        <v>0</v>
      </c>
      <c r="P751" t="n">
        <v>0</v>
      </c>
      <c r="Q751" t="n">
        <v>0</v>
      </c>
      <c r="R751" s="2" t="inlineStr"/>
    </row>
    <row r="752" ht="15" customHeight="1">
      <c r="A752" t="inlineStr">
        <is>
          <t>A 4796-2026</t>
        </is>
      </c>
      <c r="B752" s="1" t="n">
        <v>46048</v>
      </c>
      <c r="C752" s="1" t="n">
        <v>46193</v>
      </c>
      <c r="D752" t="inlineStr">
        <is>
          <t>VÄSTERBOTTENS LÄN</t>
        </is>
      </c>
      <c r="E752" t="inlineStr">
        <is>
          <t>VILHELMINA</t>
        </is>
      </c>
      <c r="G752" t="n">
        <v>2.4</v>
      </c>
      <c r="H752" t="n">
        <v>0</v>
      </c>
      <c r="I752" t="n">
        <v>0</v>
      </c>
      <c r="J752" t="n">
        <v>0</v>
      </c>
      <c r="K752" t="n">
        <v>0</v>
      </c>
      <c r="L752" t="n">
        <v>0</v>
      </c>
      <c r="M752" t="n">
        <v>0</v>
      </c>
      <c r="N752" t="n">
        <v>0</v>
      </c>
      <c r="O752" t="n">
        <v>0</v>
      </c>
      <c r="P752" t="n">
        <v>0</v>
      </c>
      <c r="Q752" t="n">
        <v>0</v>
      </c>
      <c r="R752" s="2" t="inlineStr"/>
    </row>
    <row r="753" ht="15" customHeight="1">
      <c r="A753" t="inlineStr">
        <is>
          <t>A 28486-2022</t>
        </is>
      </c>
      <c r="B753" s="1" t="n">
        <v>44747</v>
      </c>
      <c r="C753" s="1" t="n">
        <v>46193</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26663-2023</t>
        </is>
      </c>
      <c r="B754" s="1" t="n">
        <v>45092</v>
      </c>
      <c r="C754" s="1" t="n">
        <v>46193</v>
      </c>
      <c r="D754" t="inlineStr">
        <is>
          <t>VÄSTERBOTTENS LÄN</t>
        </is>
      </c>
      <c r="E754" t="inlineStr">
        <is>
          <t>VILHELMINA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63877-2023</t>
        </is>
      </c>
      <c r="B755" s="1" t="n">
        <v>45278</v>
      </c>
      <c r="C755" s="1" t="n">
        <v>46193</v>
      </c>
      <c r="D755" t="inlineStr">
        <is>
          <t>VÄSTERBOTTENS LÄN</t>
        </is>
      </c>
      <c r="E755" t="inlineStr">
        <is>
          <t>VILHELMINA</t>
        </is>
      </c>
      <c r="G755" t="n">
        <v>1.2</v>
      </c>
      <c r="H755" t="n">
        <v>0</v>
      </c>
      <c r="I755" t="n">
        <v>0</v>
      </c>
      <c r="J755" t="n">
        <v>0</v>
      </c>
      <c r="K755" t="n">
        <v>0</v>
      </c>
      <c r="L755" t="n">
        <v>0</v>
      </c>
      <c r="M755" t="n">
        <v>0</v>
      </c>
      <c r="N755" t="n">
        <v>0</v>
      </c>
      <c r="O755" t="n">
        <v>0</v>
      </c>
      <c r="P755" t="n">
        <v>0</v>
      </c>
      <c r="Q755" t="n">
        <v>0</v>
      </c>
      <c r="R755" s="2" t="inlineStr"/>
    </row>
    <row r="756" ht="15" customHeight="1">
      <c r="A756" t="inlineStr">
        <is>
          <t>A 4334-2026</t>
        </is>
      </c>
      <c r="B756" s="1" t="n">
        <v>46045</v>
      </c>
      <c r="C756" s="1" t="n">
        <v>46193</v>
      </c>
      <c r="D756" t="inlineStr">
        <is>
          <t>VÄSTERBOTTENS LÄN</t>
        </is>
      </c>
      <c r="E756" t="inlineStr">
        <is>
          <t>VILHELMINA</t>
        </is>
      </c>
      <c r="F756" t="inlineStr">
        <is>
          <t>SCA</t>
        </is>
      </c>
      <c r="G756" t="n">
        <v>6.2</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46193</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48472-2023</t>
        </is>
      </c>
      <c r="B758" s="1" t="n">
        <v>45206</v>
      </c>
      <c r="C758" s="1" t="n">
        <v>46193</v>
      </c>
      <c r="D758" t="inlineStr">
        <is>
          <t>VÄSTERBOTTENS LÄN</t>
        </is>
      </c>
      <c r="E758" t="inlineStr">
        <is>
          <t>VILHELMINA</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16608-2024</t>
        </is>
      </c>
      <c r="B759" s="1" t="n">
        <v>45408</v>
      </c>
      <c r="C759" s="1" t="n">
        <v>46193</v>
      </c>
      <c r="D759" t="inlineStr">
        <is>
          <t>VÄSTERBOTTENS LÄN</t>
        </is>
      </c>
      <c r="E759" t="inlineStr">
        <is>
          <t>VILHELMINA</t>
        </is>
      </c>
      <c r="G759" t="n">
        <v>17.5</v>
      </c>
      <c r="H759" t="n">
        <v>0</v>
      </c>
      <c r="I759" t="n">
        <v>0</v>
      </c>
      <c r="J759" t="n">
        <v>0</v>
      </c>
      <c r="K759" t="n">
        <v>0</v>
      </c>
      <c r="L759" t="n">
        <v>0</v>
      </c>
      <c r="M759" t="n">
        <v>0</v>
      </c>
      <c r="N759" t="n">
        <v>0</v>
      </c>
      <c r="O759" t="n">
        <v>0</v>
      </c>
      <c r="P759" t="n">
        <v>0</v>
      </c>
      <c r="Q759" t="n">
        <v>0</v>
      </c>
      <c r="R759" s="2" t="inlineStr"/>
    </row>
    <row r="760" ht="15" customHeight="1">
      <c r="A760" t="inlineStr">
        <is>
          <t>A 5006-2026</t>
        </is>
      </c>
      <c r="B760" s="1" t="n">
        <v>46049</v>
      </c>
      <c r="C760" s="1" t="n">
        <v>46193</v>
      </c>
      <c r="D760" t="inlineStr">
        <is>
          <t>VÄSTERBOTTENS LÄN</t>
        </is>
      </c>
      <c r="E760" t="inlineStr">
        <is>
          <t>VILHELMINA</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26381-2024</t>
        </is>
      </c>
      <c r="B761" s="1" t="n">
        <v>45469</v>
      </c>
      <c r="C761" s="1" t="n">
        <v>46193</v>
      </c>
      <c r="D761" t="inlineStr">
        <is>
          <t>VÄSTERBOTTENS LÄN</t>
        </is>
      </c>
      <c r="E761" t="inlineStr">
        <is>
          <t>VILHELMINA</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47483-2023</t>
        </is>
      </c>
      <c r="B762" s="1" t="n">
        <v>45202</v>
      </c>
      <c r="C762" s="1" t="n">
        <v>46193</v>
      </c>
      <c r="D762" t="inlineStr">
        <is>
          <t>VÄSTERBOTTENS LÄN</t>
        </is>
      </c>
      <c r="E762" t="inlineStr">
        <is>
          <t>VILHELMINA</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6203-2026</t>
        </is>
      </c>
      <c r="B763" s="1" t="n">
        <v>46055</v>
      </c>
      <c r="C763" s="1" t="n">
        <v>46193</v>
      </c>
      <c r="D763" t="inlineStr">
        <is>
          <t>VÄSTERBOTTENS LÄN</t>
        </is>
      </c>
      <c r="E763" t="inlineStr">
        <is>
          <t>VILHELMINA</t>
        </is>
      </c>
      <c r="G763" t="n">
        <v>1.8</v>
      </c>
      <c r="H763" t="n">
        <v>0</v>
      </c>
      <c r="I763" t="n">
        <v>0</v>
      </c>
      <c r="J763" t="n">
        <v>0</v>
      </c>
      <c r="K763" t="n">
        <v>0</v>
      </c>
      <c r="L763" t="n">
        <v>0</v>
      </c>
      <c r="M763" t="n">
        <v>0</v>
      </c>
      <c r="N763" t="n">
        <v>0</v>
      </c>
      <c r="O763" t="n">
        <v>0</v>
      </c>
      <c r="P763" t="n">
        <v>0</v>
      </c>
      <c r="Q763" t="n">
        <v>0</v>
      </c>
      <c r="R763" s="2" t="inlineStr"/>
    </row>
    <row r="764" ht="15" customHeight="1">
      <c r="A764" t="inlineStr">
        <is>
          <t>A 17186-2025</t>
        </is>
      </c>
      <c r="B764" s="1" t="n">
        <v>45756</v>
      </c>
      <c r="C764" s="1" t="n">
        <v>46193</v>
      </c>
      <c r="D764" t="inlineStr">
        <is>
          <t>VÄSTERBOTTENS LÄN</t>
        </is>
      </c>
      <c r="E764" t="inlineStr">
        <is>
          <t>VILHELMINA</t>
        </is>
      </c>
      <c r="F764" t="inlineStr">
        <is>
          <t>SCA</t>
        </is>
      </c>
      <c r="G764" t="n">
        <v>12.3</v>
      </c>
      <c r="H764" t="n">
        <v>0</v>
      </c>
      <c r="I764" t="n">
        <v>0</v>
      </c>
      <c r="J764" t="n">
        <v>0</v>
      </c>
      <c r="K764" t="n">
        <v>0</v>
      </c>
      <c r="L764" t="n">
        <v>0</v>
      </c>
      <c r="M764" t="n">
        <v>0</v>
      </c>
      <c r="N764" t="n">
        <v>0</v>
      </c>
      <c r="O764" t="n">
        <v>0</v>
      </c>
      <c r="P764" t="n">
        <v>0</v>
      </c>
      <c r="Q764" t="n">
        <v>0</v>
      </c>
      <c r="R764" s="2" t="inlineStr"/>
    </row>
    <row r="765" ht="15" customHeight="1">
      <c r="A765" t="inlineStr">
        <is>
          <t>A 17302-2025</t>
        </is>
      </c>
      <c r="B765" s="1" t="n">
        <v>45756</v>
      </c>
      <c r="C765" s="1" t="n">
        <v>46193</v>
      </c>
      <c r="D765" t="inlineStr">
        <is>
          <t>VÄSTERBOTTENS LÄN</t>
        </is>
      </c>
      <c r="E765" t="inlineStr">
        <is>
          <t>VILHELMINA</t>
        </is>
      </c>
      <c r="G765" t="n">
        <v>6.6</v>
      </c>
      <c r="H765" t="n">
        <v>0</v>
      </c>
      <c r="I765" t="n">
        <v>0</v>
      </c>
      <c r="J765" t="n">
        <v>0</v>
      </c>
      <c r="K765" t="n">
        <v>0</v>
      </c>
      <c r="L765" t="n">
        <v>0</v>
      </c>
      <c r="M765" t="n">
        <v>0</v>
      </c>
      <c r="N765" t="n">
        <v>0</v>
      </c>
      <c r="O765" t="n">
        <v>0</v>
      </c>
      <c r="P765" t="n">
        <v>0</v>
      </c>
      <c r="Q765" t="n">
        <v>0</v>
      </c>
      <c r="R765" s="2" t="inlineStr"/>
    </row>
    <row r="766" ht="15" customHeight="1">
      <c r="A766" t="inlineStr">
        <is>
          <t>A 17314-2025</t>
        </is>
      </c>
      <c r="B766" s="1" t="n">
        <v>45756</v>
      </c>
      <c r="C766" s="1" t="n">
        <v>46193</v>
      </c>
      <c r="D766" t="inlineStr">
        <is>
          <t>VÄSTERBOTTENS LÄN</t>
        </is>
      </c>
      <c r="E766" t="inlineStr">
        <is>
          <t>VILHELMINA</t>
        </is>
      </c>
      <c r="G766" t="n">
        <v>3.4</v>
      </c>
      <c r="H766" t="n">
        <v>0</v>
      </c>
      <c r="I766" t="n">
        <v>0</v>
      </c>
      <c r="J766" t="n">
        <v>0</v>
      </c>
      <c r="K766" t="n">
        <v>0</v>
      </c>
      <c r="L766" t="n">
        <v>0</v>
      </c>
      <c r="M766" t="n">
        <v>0</v>
      </c>
      <c r="N766" t="n">
        <v>0</v>
      </c>
      <c r="O766" t="n">
        <v>0</v>
      </c>
      <c r="P766" t="n">
        <v>0</v>
      </c>
      <c r="Q766" t="n">
        <v>0</v>
      </c>
      <c r="R766" s="2" t="inlineStr"/>
    </row>
    <row r="767" ht="15" customHeight="1">
      <c r="A767" t="inlineStr">
        <is>
          <t>A 6265-2026</t>
        </is>
      </c>
      <c r="B767" s="1" t="n">
        <v>46055</v>
      </c>
      <c r="C767" s="1" t="n">
        <v>46193</v>
      </c>
      <c r="D767" t="inlineStr">
        <is>
          <t>VÄSTERBOTTENS LÄN</t>
        </is>
      </c>
      <c r="E767" t="inlineStr">
        <is>
          <t>VILHELMINA</t>
        </is>
      </c>
      <c r="G767" t="n">
        <v>1</v>
      </c>
      <c r="H767" t="n">
        <v>0</v>
      </c>
      <c r="I767" t="n">
        <v>0</v>
      </c>
      <c r="J767" t="n">
        <v>0</v>
      </c>
      <c r="K767" t="n">
        <v>0</v>
      </c>
      <c r="L767" t="n">
        <v>0</v>
      </c>
      <c r="M767" t="n">
        <v>0</v>
      </c>
      <c r="N767" t="n">
        <v>0</v>
      </c>
      <c r="O767" t="n">
        <v>0</v>
      </c>
      <c r="P767" t="n">
        <v>0</v>
      </c>
      <c r="Q767" t="n">
        <v>0</v>
      </c>
      <c r="R767" s="2" t="inlineStr"/>
    </row>
    <row r="768" ht="15" customHeight="1">
      <c r="A768" t="inlineStr">
        <is>
          <t>A 6201-2026</t>
        </is>
      </c>
      <c r="B768" s="1" t="n">
        <v>46055</v>
      </c>
      <c r="C768" s="1" t="n">
        <v>46193</v>
      </c>
      <c r="D768" t="inlineStr">
        <is>
          <t>VÄSTERBOTTENS LÄN</t>
        </is>
      </c>
      <c r="E768" t="inlineStr">
        <is>
          <t>VILHELMINA</t>
        </is>
      </c>
      <c r="G768" t="n">
        <v>2.8</v>
      </c>
      <c r="H768" t="n">
        <v>0</v>
      </c>
      <c r="I768" t="n">
        <v>0</v>
      </c>
      <c r="J768" t="n">
        <v>0</v>
      </c>
      <c r="K768" t="n">
        <v>0</v>
      </c>
      <c r="L768" t="n">
        <v>0</v>
      </c>
      <c r="M768" t="n">
        <v>0</v>
      </c>
      <c r="N768" t="n">
        <v>0</v>
      </c>
      <c r="O768" t="n">
        <v>0</v>
      </c>
      <c r="P768" t="n">
        <v>0</v>
      </c>
      <c r="Q768" t="n">
        <v>0</v>
      </c>
      <c r="R768" s="2" t="inlineStr"/>
    </row>
    <row r="769" ht="15" customHeight="1">
      <c r="A769" t="inlineStr">
        <is>
          <t>A 13704-2026</t>
        </is>
      </c>
      <c r="B769" s="1" t="n">
        <v>46097</v>
      </c>
      <c r="C769" s="1" t="n">
        <v>46193</v>
      </c>
      <c r="D769" t="inlineStr">
        <is>
          <t>VÄSTERBOTTENS LÄN</t>
        </is>
      </c>
      <c r="E769" t="inlineStr">
        <is>
          <t>VILHELMINA</t>
        </is>
      </c>
      <c r="G769" t="n">
        <v>11.7</v>
      </c>
      <c r="H769" t="n">
        <v>0</v>
      </c>
      <c r="I769" t="n">
        <v>0</v>
      </c>
      <c r="J769" t="n">
        <v>0</v>
      </c>
      <c r="K769" t="n">
        <v>0</v>
      </c>
      <c r="L769" t="n">
        <v>0</v>
      </c>
      <c r="M769" t="n">
        <v>0</v>
      </c>
      <c r="N769" t="n">
        <v>0</v>
      </c>
      <c r="O769" t="n">
        <v>0</v>
      </c>
      <c r="P769" t="n">
        <v>0</v>
      </c>
      <c r="Q769" t="n">
        <v>0</v>
      </c>
      <c r="R769" s="2" t="inlineStr"/>
    </row>
    <row r="770" ht="15" customHeight="1">
      <c r="A770" t="inlineStr">
        <is>
          <t>A 6202-2026</t>
        </is>
      </c>
      <c r="B770" s="1" t="n">
        <v>46055</v>
      </c>
      <c r="C770" s="1" t="n">
        <v>46193</v>
      </c>
      <c r="D770" t="inlineStr">
        <is>
          <t>VÄSTERBOTTENS LÄN</t>
        </is>
      </c>
      <c r="E770" t="inlineStr">
        <is>
          <t>VILHELMINA</t>
        </is>
      </c>
      <c r="G770" t="n">
        <v>0.3</v>
      </c>
      <c r="H770" t="n">
        <v>0</v>
      </c>
      <c r="I770" t="n">
        <v>0</v>
      </c>
      <c r="J770" t="n">
        <v>0</v>
      </c>
      <c r="K770" t="n">
        <v>0</v>
      </c>
      <c r="L770" t="n">
        <v>0</v>
      </c>
      <c r="M770" t="n">
        <v>0</v>
      </c>
      <c r="N770" t="n">
        <v>0</v>
      </c>
      <c r="O770" t="n">
        <v>0</v>
      </c>
      <c r="P770" t="n">
        <v>0</v>
      </c>
      <c r="Q770" t="n">
        <v>0</v>
      </c>
      <c r="R770" s="2" t="inlineStr"/>
    </row>
    <row r="771" ht="15" customHeight="1">
      <c r="A771" t="inlineStr">
        <is>
          <t>A 5738-2026</t>
        </is>
      </c>
      <c r="B771" s="1" t="n">
        <v>46049</v>
      </c>
      <c r="C771" s="1" t="n">
        <v>46193</v>
      </c>
      <c r="D771" t="inlineStr">
        <is>
          <t>VÄSTERBOTTENS LÄN</t>
        </is>
      </c>
      <c r="E771" t="inlineStr">
        <is>
          <t>VILHELMINA</t>
        </is>
      </c>
      <c r="G771" t="n">
        <v>4.1</v>
      </c>
      <c r="H771" t="n">
        <v>0</v>
      </c>
      <c r="I771" t="n">
        <v>0</v>
      </c>
      <c r="J771" t="n">
        <v>0</v>
      </c>
      <c r="K771" t="n">
        <v>0</v>
      </c>
      <c r="L771" t="n">
        <v>0</v>
      </c>
      <c r="M771" t="n">
        <v>0</v>
      </c>
      <c r="N771" t="n">
        <v>0</v>
      </c>
      <c r="O771" t="n">
        <v>0</v>
      </c>
      <c r="P771" t="n">
        <v>0</v>
      </c>
      <c r="Q771" t="n">
        <v>0</v>
      </c>
      <c r="R771" s="2" t="inlineStr"/>
    </row>
    <row r="772" ht="15" customHeight="1">
      <c r="A772" t="inlineStr">
        <is>
          <t>A 8215-2023</t>
        </is>
      </c>
      <c r="B772" s="1" t="n">
        <v>44971</v>
      </c>
      <c r="C772" s="1" t="n">
        <v>46193</v>
      </c>
      <c r="D772" t="inlineStr">
        <is>
          <t>VÄSTERBOTTENS LÄN</t>
        </is>
      </c>
      <c r="E772" t="inlineStr">
        <is>
          <t>VILHELMINA</t>
        </is>
      </c>
      <c r="G772" t="n">
        <v>0.8</v>
      </c>
      <c r="H772" t="n">
        <v>0</v>
      </c>
      <c r="I772" t="n">
        <v>0</v>
      </c>
      <c r="J772" t="n">
        <v>0</v>
      </c>
      <c r="K772" t="n">
        <v>0</v>
      </c>
      <c r="L772" t="n">
        <v>0</v>
      </c>
      <c r="M772" t="n">
        <v>0</v>
      </c>
      <c r="N772" t="n">
        <v>0</v>
      </c>
      <c r="O772" t="n">
        <v>0</v>
      </c>
      <c r="P772" t="n">
        <v>0</v>
      </c>
      <c r="Q772" t="n">
        <v>0</v>
      </c>
      <c r="R772" s="2" t="inlineStr"/>
    </row>
    <row r="773" ht="15" customHeight="1">
      <c r="A773" t="inlineStr">
        <is>
          <t>A 48754-2021</t>
        </is>
      </c>
      <c r="B773" s="1" t="n">
        <v>44452</v>
      </c>
      <c r="C773" s="1" t="n">
        <v>46193</v>
      </c>
      <c r="D773" t="inlineStr">
        <is>
          <t>VÄSTERBOTTENS LÄN</t>
        </is>
      </c>
      <c r="E773" t="inlineStr">
        <is>
          <t>VILHELMINA</t>
        </is>
      </c>
      <c r="G773" t="n">
        <v>5.6</v>
      </c>
      <c r="H773" t="n">
        <v>0</v>
      </c>
      <c r="I773" t="n">
        <v>0</v>
      </c>
      <c r="J773" t="n">
        <v>0</v>
      </c>
      <c r="K773" t="n">
        <v>0</v>
      </c>
      <c r="L773" t="n">
        <v>0</v>
      </c>
      <c r="M773" t="n">
        <v>0</v>
      </c>
      <c r="N773" t="n">
        <v>0</v>
      </c>
      <c r="O773" t="n">
        <v>0</v>
      </c>
      <c r="P773" t="n">
        <v>0</v>
      </c>
      <c r="Q773" t="n">
        <v>0</v>
      </c>
      <c r="R773" s="2" t="inlineStr"/>
    </row>
    <row r="774" ht="15" customHeight="1">
      <c r="A774" t="inlineStr">
        <is>
          <t>A 48756-2021</t>
        </is>
      </c>
      <c r="B774" s="1" t="n">
        <v>44452</v>
      </c>
      <c r="C774" s="1" t="n">
        <v>46193</v>
      </c>
      <c r="D774" t="inlineStr">
        <is>
          <t>VÄSTERBOTTENS LÄN</t>
        </is>
      </c>
      <c r="E774" t="inlineStr">
        <is>
          <t>VILHELMINA</t>
        </is>
      </c>
      <c r="G774" t="n">
        <v>13.3</v>
      </c>
      <c r="H774" t="n">
        <v>0</v>
      </c>
      <c r="I774" t="n">
        <v>0</v>
      </c>
      <c r="J774" t="n">
        <v>0</v>
      </c>
      <c r="K774" t="n">
        <v>0</v>
      </c>
      <c r="L774" t="n">
        <v>0</v>
      </c>
      <c r="M774" t="n">
        <v>0</v>
      </c>
      <c r="N774" t="n">
        <v>0</v>
      </c>
      <c r="O774" t="n">
        <v>0</v>
      </c>
      <c r="P774" t="n">
        <v>0</v>
      </c>
      <c r="Q774" t="n">
        <v>0</v>
      </c>
      <c r="R774" s="2" t="inlineStr"/>
    </row>
    <row r="775" ht="15" customHeight="1">
      <c r="A775" t="inlineStr">
        <is>
          <t>A 56624-2024</t>
        </is>
      </c>
      <c r="B775" s="1" t="n">
        <v>45625</v>
      </c>
      <c r="C775" s="1" t="n">
        <v>46193</v>
      </c>
      <c r="D775" t="inlineStr">
        <is>
          <t>VÄSTERBOTTENS LÄN</t>
        </is>
      </c>
      <c r="E775" t="inlineStr">
        <is>
          <t>VILHELMINA</t>
        </is>
      </c>
      <c r="F775" t="inlineStr">
        <is>
          <t>Allmännings- och besparingsskogar</t>
        </is>
      </c>
      <c r="G775" t="n">
        <v>17.8</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v>
      </c>
      <c r="C776" s="1" t="n">
        <v>46193</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v>
      </c>
      <c r="C777" s="1" t="n">
        <v>46193</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v>
      </c>
      <c r="C778" s="1" t="n">
        <v>46193</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8326-2026</t>
        </is>
      </c>
      <c r="B779" s="1" t="n">
        <v>46064</v>
      </c>
      <c r="C779" s="1" t="n">
        <v>46193</v>
      </c>
      <c r="D779" t="inlineStr">
        <is>
          <t>VÄSTERBOTTENS LÄN</t>
        </is>
      </c>
      <c r="E779" t="inlineStr">
        <is>
          <t>VILHELMINA</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v>
      </c>
      <c r="C780" s="1" t="n">
        <v>46193</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72-2025</t>
        </is>
      </c>
      <c r="B781" s="1" t="n">
        <v>45659</v>
      </c>
      <c r="C781" s="1" t="n">
        <v>46193</v>
      </c>
      <c r="D781" t="inlineStr">
        <is>
          <t>VÄSTERBOTTENS LÄN</t>
        </is>
      </c>
      <c r="E781" t="inlineStr">
        <is>
          <t>VILHELMINA</t>
        </is>
      </c>
      <c r="G781" t="n">
        <v>1</v>
      </c>
      <c r="H781" t="n">
        <v>0</v>
      </c>
      <c r="I781" t="n">
        <v>0</v>
      </c>
      <c r="J781" t="n">
        <v>0</v>
      </c>
      <c r="K781" t="n">
        <v>0</v>
      </c>
      <c r="L781" t="n">
        <v>0</v>
      </c>
      <c r="M781" t="n">
        <v>0</v>
      </c>
      <c r="N781" t="n">
        <v>0</v>
      </c>
      <c r="O781" t="n">
        <v>0</v>
      </c>
      <c r="P781" t="n">
        <v>0</v>
      </c>
      <c r="Q781" t="n">
        <v>0</v>
      </c>
      <c r="R781" s="2" t="inlineStr"/>
    </row>
    <row r="782" ht="15" customHeight="1">
      <c r="A782" t="inlineStr">
        <is>
          <t>A 74-2025</t>
        </is>
      </c>
      <c r="B782" s="1" t="n">
        <v>45659</v>
      </c>
      <c r="C782" s="1" t="n">
        <v>46193</v>
      </c>
      <c r="D782" t="inlineStr">
        <is>
          <t>VÄSTERBOTTENS LÄN</t>
        </is>
      </c>
      <c r="E782" t="inlineStr">
        <is>
          <t>VILHELMINA</t>
        </is>
      </c>
      <c r="G782" t="n">
        <v>7</v>
      </c>
      <c r="H782" t="n">
        <v>0</v>
      </c>
      <c r="I782" t="n">
        <v>0</v>
      </c>
      <c r="J782" t="n">
        <v>0</v>
      </c>
      <c r="K782" t="n">
        <v>0</v>
      </c>
      <c r="L782" t="n">
        <v>0</v>
      </c>
      <c r="M782" t="n">
        <v>0</v>
      </c>
      <c r="N782" t="n">
        <v>0</v>
      </c>
      <c r="O782" t="n">
        <v>0</v>
      </c>
      <c r="P782" t="n">
        <v>0</v>
      </c>
      <c r="Q782" t="n">
        <v>0</v>
      </c>
      <c r="R782" s="2" t="inlineStr"/>
    </row>
    <row r="783" ht="15" customHeight="1">
      <c r="A783" t="inlineStr">
        <is>
          <t>A 78-2025</t>
        </is>
      </c>
      <c r="B783" s="1" t="n">
        <v>45659</v>
      </c>
      <c r="C783" s="1" t="n">
        <v>46193</v>
      </c>
      <c r="D783" t="inlineStr">
        <is>
          <t>VÄSTERBOTTENS LÄN</t>
        </is>
      </c>
      <c r="E783" t="inlineStr">
        <is>
          <t>VILHELMINA</t>
        </is>
      </c>
      <c r="G783" t="n">
        <v>7.7</v>
      </c>
      <c r="H783" t="n">
        <v>0</v>
      </c>
      <c r="I783" t="n">
        <v>0</v>
      </c>
      <c r="J783" t="n">
        <v>0</v>
      </c>
      <c r="K783" t="n">
        <v>0</v>
      </c>
      <c r="L783" t="n">
        <v>0</v>
      </c>
      <c r="M783" t="n">
        <v>0</v>
      </c>
      <c r="N783" t="n">
        <v>0</v>
      </c>
      <c r="O783" t="n">
        <v>0</v>
      </c>
      <c r="P783" t="n">
        <v>0</v>
      </c>
      <c r="Q783" t="n">
        <v>0</v>
      </c>
      <c r="R783" s="2" t="inlineStr"/>
    </row>
    <row r="784" ht="15" customHeight="1">
      <c r="A784" t="inlineStr">
        <is>
          <t>A 14892-2026</t>
        </is>
      </c>
      <c r="B784" s="1" t="n">
        <v>46104</v>
      </c>
      <c r="C784" s="1" t="n">
        <v>46193</v>
      </c>
      <c r="D784" t="inlineStr">
        <is>
          <t>VÄSTERBOTTENS LÄN</t>
        </is>
      </c>
      <c r="E784" t="inlineStr">
        <is>
          <t>VILHELMINA</t>
        </is>
      </c>
      <c r="F784" t="inlineStr">
        <is>
          <t>Allmännings- och besparingsskogar</t>
        </is>
      </c>
      <c r="G784" t="n">
        <v>247.6</v>
      </c>
      <c r="H784" t="n">
        <v>0</v>
      </c>
      <c r="I784" t="n">
        <v>0</v>
      </c>
      <c r="J784" t="n">
        <v>0</v>
      </c>
      <c r="K784" t="n">
        <v>0</v>
      </c>
      <c r="L784" t="n">
        <v>0</v>
      </c>
      <c r="M784" t="n">
        <v>0</v>
      </c>
      <c r="N784" t="n">
        <v>0</v>
      </c>
      <c r="O784" t="n">
        <v>0</v>
      </c>
      <c r="P784" t="n">
        <v>0</v>
      </c>
      <c r="Q784" t="n">
        <v>0</v>
      </c>
      <c r="R784" s="2" t="inlineStr"/>
    </row>
    <row r="785" ht="15" customHeight="1">
      <c r="A785" t="inlineStr">
        <is>
          <t>A 14893-2026</t>
        </is>
      </c>
      <c r="B785" s="1" t="n">
        <v>46104</v>
      </c>
      <c r="C785" s="1" t="n">
        <v>46193</v>
      </c>
      <c r="D785" t="inlineStr">
        <is>
          <t>VÄSTERBOTTENS LÄN</t>
        </is>
      </c>
      <c r="E785" t="inlineStr">
        <is>
          <t>VILHELMINA</t>
        </is>
      </c>
      <c r="F785" t="inlineStr">
        <is>
          <t>Allmännings- och besparingsskogar</t>
        </is>
      </c>
      <c r="G785" t="n">
        <v>48.6</v>
      </c>
      <c r="H785" t="n">
        <v>0</v>
      </c>
      <c r="I785" t="n">
        <v>0</v>
      </c>
      <c r="J785" t="n">
        <v>0</v>
      </c>
      <c r="K785" t="n">
        <v>0</v>
      </c>
      <c r="L785" t="n">
        <v>0</v>
      </c>
      <c r="M785" t="n">
        <v>0</v>
      </c>
      <c r="N785" t="n">
        <v>0</v>
      </c>
      <c r="O785" t="n">
        <v>0</v>
      </c>
      <c r="P785" t="n">
        <v>0</v>
      </c>
      <c r="Q785" t="n">
        <v>0</v>
      </c>
      <c r="R785" s="2" t="inlineStr"/>
    </row>
    <row r="786" ht="15" customHeight="1">
      <c r="A786" t="inlineStr">
        <is>
          <t>A 9615-2026</t>
        </is>
      </c>
      <c r="B786" s="1" t="n">
        <v>46070</v>
      </c>
      <c r="C786" s="1" t="n">
        <v>46193</v>
      </c>
      <c r="D786" t="inlineStr">
        <is>
          <t>VÄSTERBOTTENS LÄN</t>
        </is>
      </c>
      <c r="E786" t="inlineStr">
        <is>
          <t>VILHELMINA</t>
        </is>
      </c>
      <c r="G786" t="n">
        <v>1.8</v>
      </c>
      <c r="H786" t="n">
        <v>0</v>
      </c>
      <c r="I786" t="n">
        <v>0</v>
      </c>
      <c r="J786" t="n">
        <v>0</v>
      </c>
      <c r="K786" t="n">
        <v>0</v>
      </c>
      <c r="L786" t="n">
        <v>0</v>
      </c>
      <c r="M786" t="n">
        <v>0</v>
      </c>
      <c r="N786" t="n">
        <v>0</v>
      </c>
      <c r="O786" t="n">
        <v>0</v>
      </c>
      <c r="P786" t="n">
        <v>0</v>
      </c>
      <c r="Q786" t="n">
        <v>0</v>
      </c>
      <c r="R786" s="2" t="inlineStr"/>
    </row>
    <row r="787" ht="15" customHeight="1">
      <c r="A787" t="inlineStr">
        <is>
          <t>A 26553-2023</t>
        </is>
      </c>
      <c r="B787" s="1" t="n">
        <v>45089</v>
      </c>
      <c r="C787" s="1" t="n">
        <v>46193</v>
      </c>
      <c r="D787" t="inlineStr">
        <is>
          <t>VÄSTERBOTTENS LÄN</t>
        </is>
      </c>
      <c r="E787" t="inlineStr">
        <is>
          <t>VILHELMINA</t>
        </is>
      </c>
      <c r="G787" t="n">
        <v>5.5</v>
      </c>
      <c r="H787" t="n">
        <v>0</v>
      </c>
      <c r="I787" t="n">
        <v>0</v>
      </c>
      <c r="J787" t="n">
        <v>0</v>
      </c>
      <c r="K787" t="n">
        <v>0</v>
      </c>
      <c r="L787" t="n">
        <v>0</v>
      </c>
      <c r="M787" t="n">
        <v>0</v>
      </c>
      <c r="N787" t="n">
        <v>0</v>
      </c>
      <c r="O787" t="n">
        <v>0</v>
      </c>
      <c r="P787" t="n">
        <v>0</v>
      </c>
      <c r="Q787" t="n">
        <v>0</v>
      </c>
      <c r="R787" s="2" t="inlineStr"/>
    </row>
    <row r="788" ht="15" customHeight="1">
      <c r="A788" t="inlineStr">
        <is>
          <t>A 41484-2022</t>
        </is>
      </c>
      <c r="B788" s="1" t="n">
        <v>44826</v>
      </c>
      <c r="C788" s="1" t="n">
        <v>46193</v>
      </c>
      <c r="D788" t="inlineStr">
        <is>
          <t>VÄSTERBOTTENS LÄN</t>
        </is>
      </c>
      <c r="E788" t="inlineStr">
        <is>
          <t>VILHELMINA</t>
        </is>
      </c>
      <c r="F788" t="inlineStr">
        <is>
          <t>SCA</t>
        </is>
      </c>
      <c r="G788" t="n">
        <v>18.1</v>
      </c>
      <c r="H788" t="n">
        <v>0</v>
      </c>
      <c r="I788" t="n">
        <v>0</v>
      </c>
      <c r="J788" t="n">
        <v>0</v>
      </c>
      <c r="K788" t="n">
        <v>0</v>
      </c>
      <c r="L788" t="n">
        <v>0</v>
      </c>
      <c r="M788" t="n">
        <v>0</v>
      </c>
      <c r="N788" t="n">
        <v>0</v>
      </c>
      <c r="O788" t="n">
        <v>0</v>
      </c>
      <c r="P788" t="n">
        <v>0</v>
      </c>
      <c r="Q788" t="n">
        <v>0</v>
      </c>
      <c r="R788" s="2" t="inlineStr"/>
    </row>
    <row r="789" ht="15" customHeight="1">
      <c r="A789" t="inlineStr">
        <is>
          <t>A 9782-2026</t>
        </is>
      </c>
      <c r="B789" s="1" t="n">
        <v>46072</v>
      </c>
      <c r="C789" s="1" t="n">
        <v>46193</v>
      </c>
      <c r="D789" t="inlineStr">
        <is>
          <t>VÄSTERBOTTENS LÄN</t>
        </is>
      </c>
      <c r="E789" t="inlineStr">
        <is>
          <t>VILHELMINA</t>
        </is>
      </c>
      <c r="G789" t="n">
        <v>8.1</v>
      </c>
      <c r="H789" t="n">
        <v>0</v>
      </c>
      <c r="I789" t="n">
        <v>0</v>
      </c>
      <c r="J789" t="n">
        <v>0</v>
      </c>
      <c r="K789" t="n">
        <v>0</v>
      </c>
      <c r="L789" t="n">
        <v>0</v>
      </c>
      <c r="M789" t="n">
        <v>0</v>
      </c>
      <c r="N789" t="n">
        <v>0</v>
      </c>
      <c r="O789" t="n">
        <v>0</v>
      </c>
      <c r="P789" t="n">
        <v>0</v>
      </c>
      <c r="Q789" t="n">
        <v>0</v>
      </c>
      <c r="R789" s="2" t="inlineStr"/>
    </row>
    <row r="790" ht="15" customHeight="1">
      <c r="A790" t="inlineStr">
        <is>
          <t>A 35412-2024</t>
        </is>
      </c>
      <c r="B790" s="1" t="n">
        <v>45531</v>
      </c>
      <c r="C790" s="1" t="n">
        <v>46193</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14961-2022</t>
        </is>
      </c>
      <c r="B791" s="1" t="n">
        <v>44657</v>
      </c>
      <c r="C791" s="1" t="n">
        <v>46193</v>
      </c>
      <c r="D791" t="inlineStr">
        <is>
          <t>VÄSTERBOTTENS LÄN</t>
        </is>
      </c>
      <c r="E791" t="inlineStr">
        <is>
          <t>VILHELMINA</t>
        </is>
      </c>
      <c r="G791" t="n">
        <v>19.9</v>
      </c>
      <c r="H791" t="n">
        <v>0</v>
      </c>
      <c r="I791" t="n">
        <v>0</v>
      </c>
      <c r="J791" t="n">
        <v>0</v>
      </c>
      <c r="K791" t="n">
        <v>0</v>
      </c>
      <c r="L791" t="n">
        <v>0</v>
      </c>
      <c r="M791" t="n">
        <v>0</v>
      </c>
      <c r="N791" t="n">
        <v>0</v>
      </c>
      <c r="O791" t="n">
        <v>0</v>
      </c>
      <c r="P791" t="n">
        <v>0</v>
      </c>
      <c r="Q791" t="n">
        <v>0</v>
      </c>
      <c r="R791" s="2" t="inlineStr"/>
    </row>
    <row r="792" ht="15" customHeight="1">
      <c r="A792" t="inlineStr">
        <is>
          <t>A 44634-2024</t>
        </is>
      </c>
      <c r="B792" s="1" t="n">
        <v>45574</v>
      </c>
      <c r="C792" s="1" t="n">
        <v>46193</v>
      </c>
      <c r="D792" t="inlineStr">
        <is>
          <t>VÄSTERBOTTENS LÄN</t>
        </is>
      </c>
      <c r="E792" t="inlineStr">
        <is>
          <t>VILHELMINA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66952-2021</t>
        </is>
      </c>
      <c r="B793" s="1" t="n">
        <v>44522</v>
      </c>
      <c r="C793" s="1" t="n">
        <v>46193</v>
      </c>
      <c r="D793" t="inlineStr">
        <is>
          <t>VÄSTERBOTTENS LÄN</t>
        </is>
      </c>
      <c r="E793" t="inlineStr">
        <is>
          <t>VILHELMINA</t>
        </is>
      </c>
      <c r="F793" t="inlineStr">
        <is>
          <t>Allmännings- och besparingsskogar</t>
        </is>
      </c>
      <c r="G793" t="n">
        <v>70</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46193</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72057-2021</t>
        </is>
      </c>
      <c r="B795" s="1" t="n">
        <v>44540</v>
      </c>
      <c r="C795" s="1" t="n">
        <v>46193</v>
      </c>
      <c r="D795" t="inlineStr">
        <is>
          <t>VÄSTERBOTTENS LÄN</t>
        </is>
      </c>
      <c r="E795" t="inlineStr">
        <is>
          <t>VILHELMINA</t>
        </is>
      </c>
      <c r="G795" t="n">
        <v>7</v>
      </c>
      <c r="H795" t="n">
        <v>0</v>
      </c>
      <c r="I795" t="n">
        <v>0</v>
      </c>
      <c r="J795" t="n">
        <v>0</v>
      </c>
      <c r="K795" t="n">
        <v>0</v>
      </c>
      <c r="L795" t="n">
        <v>0</v>
      </c>
      <c r="M795" t="n">
        <v>0</v>
      </c>
      <c r="N795" t="n">
        <v>0</v>
      </c>
      <c r="O795" t="n">
        <v>0</v>
      </c>
      <c r="P795" t="n">
        <v>0</v>
      </c>
      <c r="Q795" t="n">
        <v>0</v>
      </c>
      <c r="R795" s="2" t="inlineStr"/>
    </row>
    <row r="796" ht="15" customHeight="1">
      <c r="A796" t="inlineStr">
        <is>
          <t>A 12365-2025</t>
        </is>
      </c>
      <c r="B796" s="1" t="n">
        <v>45730</v>
      </c>
      <c r="C796" s="1" t="n">
        <v>46193</v>
      </c>
      <c r="D796" t="inlineStr">
        <is>
          <t>VÄSTERBOTTENS LÄN</t>
        </is>
      </c>
      <c r="E796" t="inlineStr">
        <is>
          <t>VILHELMINA</t>
        </is>
      </c>
      <c r="F796" t="inlineStr">
        <is>
          <t>Övriga statliga verk och myndigheter</t>
        </is>
      </c>
      <c r="G796" t="n">
        <v>11.5</v>
      </c>
      <c r="H796" t="n">
        <v>0</v>
      </c>
      <c r="I796" t="n">
        <v>0</v>
      </c>
      <c r="J796" t="n">
        <v>0</v>
      </c>
      <c r="K796" t="n">
        <v>0</v>
      </c>
      <c r="L796" t="n">
        <v>0</v>
      </c>
      <c r="M796" t="n">
        <v>0</v>
      </c>
      <c r="N796" t="n">
        <v>0</v>
      </c>
      <c r="O796" t="n">
        <v>0</v>
      </c>
      <c r="P796" t="n">
        <v>0</v>
      </c>
      <c r="Q796" t="n">
        <v>0</v>
      </c>
      <c r="R796" s="2" t="inlineStr"/>
    </row>
    <row r="797" ht="15" customHeight="1">
      <c r="A797" t="inlineStr">
        <is>
          <t>A 12370-2025</t>
        </is>
      </c>
      <c r="B797" s="1" t="n">
        <v>45730</v>
      </c>
      <c r="C797" s="1" t="n">
        <v>46193</v>
      </c>
      <c r="D797" t="inlineStr">
        <is>
          <t>VÄSTERBOTTENS LÄN</t>
        </is>
      </c>
      <c r="E797" t="inlineStr">
        <is>
          <t>VILHELMINA</t>
        </is>
      </c>
      <c r="F797" t="inlineStr">
        <is>
          <t>Övriga statliga verk och myndigheter</t>
        </is>
      </c>
      <c r="G797" t="n">
        <v>8.9</v>
      </c>
      <c r="H797" t="n">
        <v>0</v>
      </c>
      <c r="I797" t="n">
        <v>0</v>
      </c>
      <c r="J797" t="n">
        <v>0</v>
      </c>
      <c r="K797" t="n">
        <v>0</v>
      </c>
      <c r="L797" t="n">
        <v>0</v>
      </c>
      <c r="M797" t="n">
        <v>0</v>
      </c>
      <c r="N797" t="n">
        <v>0</v>
      </c>
      <c r="O797" t="n">
        <v>0</v>
      </c>
      <c r="P797" t="n">
        <v>0</v>
      </c>
      <c r="Q797" t="n">
        <v>0</v>
      </c>
      <c r="R797" s="2" t="inlineStr"/>
    </row>
    <row r="798" ht="15" customHeight="1">
      <c r="A798" t="inlineStr">
        <is>
          <t>A 2022-2024</t>
        </is>
      </c>
      <c r="B798" s="1" t="n">
        <v>45308</v>
      </c>
      <c r="C798" s="1" t="n">
        <v>46193</v>
      </c>
      <c r="D798" t="inlineStr">
        <is>
          <t>VÄSTERBOTTENS LÄN</t>
        </is>
      </c>
      <c r="E798" t="inlineStr">
        <is>
          <t>VILHELMINA</t>
        </is>
      </c>
      <c r="G798" t="n">
        <v>8.5</v>
      </c>
      <c r="H798" t="n">
        <v>0</v>
      </c>
      <c r="I798" t="n">
        <v>0</v>
      </c>
      <c r="J798" t="n">
        <v>0</v>
      </c>
      <c r="K798" t="n">
        <v>0</v>
      </c>
      <c r="L798" t="n">
        <v>0</v>
      </c>
      <c r="M798" t="n">
        <v>0</v>
      </c>
      <c r="N798" t="n">
        <v>0</v>
      </c>
      <c r="O798" t="n">
        <v>0</v>
      </c>
      <c r="P798" t="n">
        <v>0</v>
      </c>
      <c r="Q798" t="n">
        <v>0</v>
      </c>
      <c r="R798" s="2" t="inlineStr"/>
    </row>
    <row r="799" ht="15" customHeight="1">
      <c r="A799" t="inlineStr">
        <is>
          <t>A 17732-2024</t>
        </is>
      </c>
      <c r="B799" s="1" t="n">
        <v>45415</v>
      </c>
      <c r="C799" s="1" t="n">
        <v>46193</v>
      </c>
      <c r="D799" t="inlineStr">
        <is>
          <t>VÄSTERBOTTENS LÄN</t>
        </is>
      </c>
      <c r="E799" t="inlineStr">
        <is>
          <t>VILHELMINA</t>
        </is>
      </c>
      <c r="G799" t="n">
        <v>0.6</v>
      </c>
      <c r="H799" t="n">
        <v>0</v>
      </c>
      <c r="I799" t="n">
        <v>0</v>
      </c>
      <c r="J799" t="n">
        <v>0</v>
      </c>
      <c r="K799" t="n">
        <v>0</v>
      </c>
      <c r="L799" t="n">
        <v>0</v>
      </c>
      <c r="M799" t="n">
        <v>0</v>
      </c>
      <c r="N799" t="n">
        <v>0</v>
      </c>
      <c r="O799" t="n">
        <v>0</v>
      </c>
      <c r="P799" t="n">
        <v>0</v>
      </c>
      <c r="Q799" t="n">
        <v>0</v>
      </c>
      <c r="R799" s="2" t="inlineStr"/>
    </row>
    <row r="800" ht="15" customHeight="1">
      <c r="A800" t="inlineStr">
        <is>
          <t>A 34130-2024</t>
        </is>
      </c>
      <c r="B800" s="1" t="n">
        <v>45524</v>
      </c>
      <c r="C800" s="1" t="n">
        <v>46193</v>
      </c>
      <c r="D800" t="inlineStr">
        <is>
          <t>VÄSTERBOTTENS LÄN</t>
        </is>
      </c>
      <c r="E800" t="inlineStr">
        <is>
          <t>VILHELMINA</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12389-2026</t>
        </is>
      </c>
      <c r="B801" s="1" t="n">
        <v>46087</v>
      </c>
      <c r="C801" s="1" t="n">
        <v>46193</v>
      </c>
      <c r="D801" t="inlineStr">
        <is>
          <t>VÄSTERBOTTENS LÄN</t>
        </is>
      </c>
      <c r="E801" t="inlineStr">
        <is>
          <t>VILHELMINA</t>
        </is>
      </c>
      <c r="F801" t="inlineStr">
        <is>
          <t>Övriga Aktiebolag</t>
        </is>
      </c>
      <c r="G801" t="n">
        <v>10.3</v>
      </c>
      <c r="H801" t="n">
        <v>0</v>
      </c>
      <c r="I801" t="n">
        <v>0</v>
      </c>
      <c r="J801" t="n">
        <v>0</v>
      </c>
      <c r="K801" t="n">
        <v>0</v>
      </c>
      <c r="L801" t="n">
        <v>0</v>
      </c>
      <c r="M801" t="n">
        <v>0</v>
      </c>
      <c r="N801" t="n">
        <v>0</v>
      </c>
      <c r="O801" t="n">
        <v>0</v>
      </c>
      <c r="P801" t="n">
        <v>0</v>
      </c>
      <c r="Q801" t="n">
        <v>0</v>
      </c>
      <c r="R801" s="2" t="inlineStr"/>
    </row>
    <row r="802" ht="15" customHeight="1">
      <c r="A802" t="inlineStr">
        <is>
          <t>A 49888-2024</t>
        </is>
      </c>
      <c r="B802" s="1" t="n">
        <v>45597</v>
      </c>
      <c r="C802" s="1" t="n">
        <v>46193</v>
      </c>
      <c r="D802" t="inlineStr">
        <is>
          <t>VÄSTERBOTTENS LÄN</t>
        </is>
      </c>
      <c r="E802" t="inlineStr">
        <is>
          <t>VILHELMINA</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44516-2024</t>
        </is>
      </c>
      <c r="B803" s="1" t="n">
        <v>45574</v>
      </c>
      <c r="C803" s="1" t="n">
        <v>46193</v>
      </c>
      <c r="D803" t="inlineStr">
        <is>
          <t>VÄSTERBOTTENS LÄN</t>
        </is>
      </c>
      <c r="E803" t="inlineStr">
        <is>
          <t>VILHELMINA</t>
        </is>
      </c>
      <c r="G803" t="n">
        <v>2.9</v>
      </c>
      <c r="H803" t="n">
        <v>0</v>
      </c>
      <c r="I803" t="n">
        <v>0</v>
      </c>
      <c r="J803" t="n">
        <v>0</v>
      </c>
      <c r="K803" t="n">
        <v>0</v>
      </c>
      <c r="L803" t="n">
        <v>0</v>
      </c>
      <c r="M803" t="n">
        <v>0</v>
      </c>
      <c r="N803" t="n">
        <v>0</v>
      </c>
      <c r="O803" t="n">
        <v>0</v>
      </c>
      <c r="P803" t="n">
        <v>0</v>
      </c>
      <c r="Q803" t="n">
        <v>0</v>
      </c>
      <c r="R803" s="2" t="inlineStr"/>
    </row>
    <row r="804" ht="15" customHeight="1">
      <c r="A804" t="inlineStr">
        <is>
          <t>A 36320-2024</t>
        </is>
      </c>
      <c r="B804" s="1" t="n">
        <v>45534</v>
      </c>
      <c r="C804" s="1" t="n">
        <v>46193</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13768-2024</t>
        </is>
      </c>
      <c r="B805" s="1" t="n">
        <v>45390</v>
      </c>
      <c r="C805" s="1" t="n">
        <v>46193</v>
      </c>
      <c r="D805" t="inlineStr">
        <is>
          <t>VÄSTERBOTTENS LÄN</t>
        </is>
      </c>
      <c r="E805" t="inlineStr">
        <is>
          <t>VILHELMINA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53987-2021</t>
        </is>
      </c>
      <c r="B806" s="1" t="n">
        <v>44470</v>
      </c>
      <c r="C806" s="1" t="n">
        <v>46193</v>
      </c>
      <c r="D806" t="inlineStr">
        <is>
          <t>VÄSTERBOTTENS LÄN</t>
        </is>
      </c>
      <c r="E806" t="inlineStr">
        <is>
          <t>VILHELMINA</t>
        </is>
      </c>
      <c r="F806" t="inlineStr">
        <is>
          <t>Kommuner</t>
        </is>
      </c>
      <c r="G806" t="n">
        <v>10</v>
      </c>
      <c r="H806" t="n">
        <v>0</v>
      </c>
      <c r="I806" t="n">
        <v>0</v>
      </c>
      <c r="J806" t="n">
        <v>0</v>
      </c>
      <c r="K806" t="n">
        <v>0</v>
      </c>
      <c r="L806" t="n">
        <v>0</v>
      </c>
      <c r="M806" t="n">
        <v>0</v>
      </c>
      <c r="N806" t="n">
        <v>0</v>
      </c>
      <c r="O806" t="n">
        <v>0</v>
      </c>
      <c r="P806" t="n">
        <v>0</v>
      </c>
      <c r="Q806" t="n">
        <v>0</v>
      </c>
      <c r="R806" s="2" t="inlineStr"/>
    </row>
    <row r="807" ht="15" customHeight="1">
      <c r="A807" t="inlineStr">
        <is>
          <t>A 4785-2026</t>
        </is>
      </c>
      <c r="B807" s="1" t="n">
        <v>46048</v>
      </c>
      <c r="C807" s="1" t="n">
        <v>46193</v>
      </c>
      <c r="D807" t="inlineStr">
        <is>
          <t>VÄSTERBOTTENS LÄN</t>
        </is>
      </c>
      <c r="E807" t="inlineStr">
        <is>
          <t>VILHELMINA</t>
        </is>
      </c>
      <c r="G807" t="n">
        <v>9.6</v>
      </c>
      <c r="H807" t="n">
        <v>0</v>
      </c>
      <c r="I807" t="n">
        <v>0</v>
      </c>
      <c r="J807" t="n">
        <v>0</v>
      </c>
      <c r="K807" t="n">
        <v>0</v>
      </c>
      <c r="L807" t="n">
        <v>0</v>
      </c>
      <c r="M807" t="n">
        <v>0</v>
      </c>
      <c r="N807" t="n">
        <v>0</v>
      </c>
      <c r="O807" t="n">
        <v>0</v>
      </c>
      <c r="P807" t="n">
        <v>0</v>
      </c>
      <c r="Q807" t="n">
        <v>0</v>
      </c>
      <c r="R807" s="2" t="inlineStr"/>
    </row>
    <row r="808" ht="15" customHeight="1">
      <c r="A808" t="inlineStr">
        <is>
          <t>A 13070-2026</t>
        </is>
      </c>
      <c r="B808" s="1" t="n">
        <v>46093</v>
      </c>
      <c r="C808" s="1" t="n">
        <v>46193</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32658-2021</t>
        </is>
      </c>
      <c r="B809" s="1" t="n">
        <v>44371</v>
      </c>
      <c r="C809" s="1" t="n">
        <v>46193</v>
      </c>
      <c r="D809" t="inlineStr">
        <is>
          <t>VÄSTERBOTTENS LÄN</t>
        </is>
      </c>
      <c r="E809" t="inlineStr">
        <is>
          <t>VILHELMINA</t>
        </is>
      </c>
      <c r="G809" t="n">
        <v>2.2</v>
      </c>
      <c r="H809" t="n">
        <v>0</v>
      </c>
      <c r="I809" t="n">
        <v>0</v>
      </c>
      <c r="J809" t="n">
        <v>0</v>
      </c>
      <c r="K809" t="n">
        <v>0</v>
      </c>
      <c r="L809" t="n">
        <v>0</v>
      </c>
      <c r="M809" t="n">
        <v>0</v>
      </c>
      <c r="N809" t="n">
        <v>0</v>
      </c>
      <c r="O809" t="n">
        <v>0</v>
      </c>
      <c r="P809" t="n">
        <v>0</v>
      </c>
      <c r="Q809" t="n">
        <v>0</v>
      </c>
      <c r="R809" s="2" t="inlineStr"/>
    </row>
    <row r="810" ht="15" customHeight="1">
      <c r="A810" t="inlineStr">
        <is>
          <t>A 25308-2025</t>
        </is>
      </c>
      <c r="B810" s="1" t="n">
        <v>45800</v>
      </c>
      <c r="C810" s="1" t="n">
        <v>46193</v>
      </c>
      <c r="D810" t="inlineStr">
        <is>
          <t>VÄSTERBOTTENS LÄN</t>
        </is>
      </c>
      <c r="E810" t="inlineStr">
        <is>
          <t>VILHELMINA</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13252-2026</t>
        </is>
      </c>
      <c r="B811" s="1" t="n">
        <v>46093</v>
      </c>
      <c r="C811" s="1" t="n">
        <v>46193</v>
      </c>
      <c r="D811" t="inlineStr">
        <is>
          <t>VÄSTERBOTTENS LÄN</t>
        </is>
      </c>
      <c r="E811" t="inlineStr">
        <is>
          <t>VILHELMINA</t>
        </is>
      </c>
      <c r="G811" t="n">
        <v>5.7</v>
      </c>
      <c r="H811" t="n">
        <v>0</v>
      </c>
      <c r="I811" t="n">
        <v>0</v>
      </c>
      <c r="J811" t="n">
        <v>0</v>
      </c>
      <c r="K811" t="n">
        <v>0</v>
      </c>
      <c r="L811" t="n">
        <v>0</v>
      </c>
      <c r="M811" t="n">
        <v>0</v>
      </c>
      <c r="N811" t="n">
        <v>0</v>
      </c>
      <c r="O811" t="n">
        <v>0</v>
      </c>
      <c r="P811" t="n">
        <v>0</v>
      </c>
      <c r="Q811" t="n">
        <v>0</v>
      </c>
      <c r="R811" s="2" t="inlineStr"/>
    </row>
    <row r="812" ht="15" customHeight="1">
      <c r="A812" t="inlineStr">
        <is>
          <t>A 30681-2024</t>
        </is>
      </c>
      <c r="B812" s="1" t="n">
        <v>45495</v>
      </c>
      <c r="C812" s="1" t="n">
        <v>46193</v>
      </c>
      <c r="D812" t="inlineStr">
        <is>
          <t>VÄSTERBOTTENS LÄN</t>
        </is>
      </c>
      <c r="E812" t="inlineStr">
        <is>
          <t>VILHELMINA</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10363-2026</t>
        </is>
      </c>
      <c r="B813" s="1" t="n">
        <v>46076</v>
      </c>
      <c r="C813" s="1" t="n">
        <v>46193</v>
      </c>
      <c r="D813" t="inlineStr">
        <is>
          <t>VÄSTERBOTTENS LÄN</t>
        </is>
      </c>
      <c r="E813" t="inlineStr">
        <is>
          <t>VILHELMINA</t>
        </is>
      </c>
      <c r="G813" t="n">
        <v>38.2</v>
      </c>
      <c r="H813" t="n">
        <v>0</v>
      </c>
      <c r="I813" t="n">
        <v>0</v>
      </c>
      <c r="J813" t="n">
        <v>0</v>
      </c>
      <c r="K813" t="n">
        <v>0</v>
      </c>
      <c r="L813" t="n">
        <v>0</v>
      </c>
      <c r="M813" t="n">
        <v>0</v>
      </c>
      <c r="N813" t="n">
        <v>0</v>
      </c>
      <c r="O813" t="n">
        <v>0</v>
      </c>
      <c r="P813" t="n">
        <v>0</v>
      </c>
      <c r="Q813" t="n">
        <v>0</v>
      </c>
      <c r="R813" s="2" t="inlineStr"/>
    </row>
    <row r="814" ht="15" customHeight="1">
      <c r="A814" t="inlineStr">
        <is>
          <t>A 10833-2022</t>
        </is>
      </c>
      <c r="B814" s="1" t="n">
        <v>44627</v>
      </c>
      <c r="C814" s="1" t="n">
        <v>46193</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46372-2021</t>
        </is>
      </c>
      <c r="B815" s="1" t="n">
        <v>44442</v>
      </c>
      <c r="C815" s="1" t="n">
        <v>46193</v>
      </c>
      <c r="D815" t="inlineStr">
        <is>
          <t>VÄSTERBOTTENS LÄN</t>
        </is>
      </c>
      <c r="E815" t="inlineStr">
        <is>
          <t>VILHELMINA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28722-2022</t>
        </is>
      </c>
      <c r="B816" s="1" t="n">
        <v>44748</v>
      </c>
      <c r="C816" s="1" t="n">
        <v>46193</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20846-2025</t>
        </is>
      </c>
      <c r="B817" s="1" t="n">
        <v>45777</v>
      </c>
      <c r="C817" s="1" t="n">
        <v>46193</v>
      </c>
      <c r="D817" t="inlineStr">
        <is>
          <t>VÄSTERBOTTENS LÄN</t>
        </is>
      </c>
      <c r="E817" t="inlineStr">
        <is>
          <t>VILHELMINA</t>
        </is>
      </c>
      <c r="G817" t="n">
        <v>19.1</v>
      </c>
      <c r="H817" t="n">
        <v>0</v>
      </c>
      <c r="I817" t="n">
        <v>0</v>
      </c>
      <c r="J817" t="n">
        <v>0</v>
      </c>
      <c r="K817" t="n">
        <v>0</v>
      </c>
      <c r="L817" t="n">
        <v>0</v>
      </c>
      <c r="M817" t="n">
        <v>0</v>
      </c>
      <c r="N817" t="n">
        <v>0</v>
      </c>
      <c r="O817" t="n">
        <v>0</v>
      </c>
      <c r="P817" t="n">
        <v>0</v>
      </c>
      <c r="Q817" t="n">
        <v>0</v>
      </c>
      <c r="R817" s="2" t="inlineStr"/>
    </row>
    <row r="818" ht="15" customHeight="1">
      <c r="A818" t="inlineStr">
        <is>
          <t>A 12373-2024</t>
        </is>
      </c>
      <c r="B818" s="1" t="n">
        <v>45378</v>
      </c>
      <c r="C818" s="1" t="n">
        <v>46193</v>
      </c>
      <c r="D818" t="inlineStr">
        <is>
          <t>VÄSTERBOTTENS LÄN</t>
        </is>
      </c>
      <c r="E818" t="inlineStr">
        <is>
          <t>VILHELMINA</t>
        </is>
      </c>
      <c r="G818" t="n">
        <v>0.7</v>
      </c>
      <c r="H818" t="n">
        <v>0</v>
      </c>
      <c r="I818" t="n">
        <v>0</v>
      </c>
      <c r="J818" t="n">
        <v>0</v>
      </c>
      <c r="K818" t="n">
        <v>0</v>
      </c>
      <c r="L818" t="n">
        <v>0</v>
      </c>
      <c r="M818" t="n">
        <v>0</v>
      </c>
      <c r="N818" t="n">
        <v>0</v>
      </c>
      <c r="O818" t="n">
        <v>0</v>
      </c>
      <c r="P818" t="n">
        <v>0</v>
      </c>
      <c r="Q818" t="n">
        <v>0</v>
      </c>
      <c r="R818" s="2" t="inlineStr"/>
    </row>
    <row r="819" ht="15" customHeight="1">
      <c r="A819" t="inlineStr">
        <is>
          <t>A 21843-2024</t>
        </is>
      </c>
      <c r="B819" s="1" t="n">
        <v>45442</v>
      </c>
      <c r="C819" s="1" t="n">
        <v>46193</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34819-2024</t>
        </is>
      </c>
      <c r="B820" s="1" t="n">
        <v>45526</v>
      </c>
      <c r="C820" s="1" t="n">
        <v>46193</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15301-2026</t>
        </is>
      </c>
      <c r="B821" s="1" t="n">
        <v>46105</v>
      </c>
      <c r="C821" s="1" t="n">
        <v>46193</v>
      </c>
      <c r="D821" t="inlineStr">
        <is>
          <t>VÄSTERBOTTENS LÄN</t>
        </is>
      </c>
      <c r="E821" t="inlineStr">
        <is>
          <t>VILHELMINA</t>
        </is>
      </c>
      <c r="F821" t="inlineStr">
        <is>
          <t>SCA</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60549-2025</t>
        </is>
      </c>
      <c r="B822" s="1" t="n">
        <v>45995</v>
      </c>
      <c r="C822" s="1" t="n">
        <v>46193</v>
      </c>
      <c r="D822" t="inlineStr">
        <is>
          <t>VÄSTERBOTTENS LÄN</t>
        </is>
      </c>
      <c r="E822" t="inlineStr">
        <is>
          <t>VILHELMINA</t>
        </is>
      </c>
      <c r="G822" t="n">
        <v>19.6</v>
      </c>
      <c r="H822" t="n">
        <v>0</v>
      </c>
      <c r="I822" t="n">
        <v>0</v>
      </c>
      <c r="J822" t="n">
        <v>0</v>
      </c>
      <c r="K822" t="n">
        <v>0</v>
      </c>
      <c r="L822" t="n">
        <v>0</v>
      </c>
      <c r="M822" t="n">
        <v>0</v>
      </c>
      <c r="N822" t="n">
        <v>0</v>
      </c>
      <c r="O822" t="n">
        <v>0</v>
      </c>
      <c r="P822" t="n">
        <v>0</v>
      </c>
      <c r="Q822" t="n">
        <v>0</v>
      </c>
      <c r="R822" s="2" t="inlineStr"/>
    </row>
    <row r="823" ht="15" customHeight="1">
      <c r="A823" t="inlineStr">
        <is>
          <t>A 16176-2026</t>
        </is>
      </c>
      <c r="B823" s="1" t="n">
        <v>46111</v>
      </c>
      <c r="C823" s="1" t="n">
        <v>46193</v>
      </c>
      <c r="D823" t="inlineStr">
        <is>
          <t>VÄSTERBOTTENS LÄN</t>
        </is>
      </c>
      <c r="E823" t="inlineStr">
        <is>
          <t>VILHELMINA</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22169-2026</t>
        </is>
      </c>
      <c r="B824" s="1" t="n">
        <v>46153</v>
      </c>
      <c r="C824" s="1" t="n">
        <v>46193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v>
      </c>
      <c r="C825" s="1" t="n">
        <v>46193</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16759-2026</t>
        </is>
      </c>
      <c r="B826" s="1" t="n">
        <v>46113</v>
      </c>
      <c r="C826" s="1" t="n">
        <v>46193</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16727-2026</t>
        </is>
      </c>
      <c r="B827" s="1" t="n">
        <v>46113</v>
      </c>
      <c r="C827" s="1" t="n">
        <v>46193</v>
      </c>
      <c r="D827" t="inlineStr">
        <is>
          <t>VÄSTERBOTTENS LÄN</t>
        </is>
      </c>
      <c r="E827" t="inlineStr">
        <is>
          <t>VILHELMINA</t>
        </is>
      </c>
      <c r="F827" t="inlineStr">
        <is>
          <t>SCA</t>
        </is>
      </c>
      <c r="G827" t="n">
        <v>46.8</v>
      </c>
      <c r="H827" t="n">
        <v>0</v>
      </c>
      <c r="I827" t="n">
        <v>0</v>
      </c>
      <c r="J827" t="n">
        <v>0</v>
      </c>
      <c r="K827" t="n">
        <v>0</v>
      </c>
      <c r="L827" t="n">
        <v>0</v>
      </c>
      <c r="M827" t="n">
        <v>0</v>
      </c>
      <c r="N827" t="n">
        <v>0</v>
      </c>
      <c r="O827" t="n">
        <v>0</v>
      </c>
      <c r="P827" t="n">
        <v>0</v>
      </c>
      <c r="Q827" t="n">
        <v>0</v>
      </c>
      <c r="R827" s="2" t="inlineStr"/>
    </row>
    <row r="828" ht="15" customHeight="1">
      <c r="A828" t="inlineStr">
        <is>
          <t>A 16732-2026</t>
        </is>
      </c>
      <c r="B828" s="1" t="n">
        <v>46113</v>
      </c>
      <c r="C828" s="1" t="n">
        <v>46193</v>
      </c>
      <c r="D828" t="inlineStr">
        <is>
          <t>VÄSTERBOTTENS LÄN</t>
        </is>
      </c>
      <c r="E828" t="inlineStr">
        <is>
          <t>VILHELMINA</t>
        </is>
      </c>
      <c r="F828" t="inlineStr">
        <is>
          <t>SCA</t>
        </is>
      </c>
      <c r="G828" t="n">
        <v>20.5</v>
      </c>
      <c r="H828" t="n">
        <v>0</v>
      </c>
      <c r="I828" t="n">
        <v>0</v>
      </c>
      <c r="J828" t="n">
        <v>0</v>
      </c>
      <c r="K828" t="n">
        <v>0</v>
      </c>
      <c r="L828" t="n">
        <v>0</v>
      </c>
      <c r="M828" t="n">
        <v>0</v>
      </c>
      <c r="N828" t="n">
        <v>0</v>
      </c>
      <c r="O828" t="n">
        <v>0</v>
      </c>
      <c r="P828" t="n">
        <v>0</v>
      </c>
      <c r="Q828" t="n">
        <v>0</v>
      </c>
      <c r="R828" s="2" t="inlineStr"/>
    </row>
    <row r="829" ht="15" customHeight="1">
      <c r="A829" t="inlineStr">
        <is>
          <t>A 22771-2026</t>
        </is>
      </c>
      <c r="B829" s="1" t="n">
        <v>46157</v>
      </c>
      <c r="C829" s="1" t="n">
        <v>46193</v>
      </c>
      <c r="D829" t="inlineStr">
        <is>
          <t>VÄSTERBOTTENS LÄN</t>
        </is>
      </c>
      <c r="E829" t="inlineStr">
        <is>
          <t>VILHELMINA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17027-2026</t>
        </is>
      </c>
      <c r="B830" s="1" t="n">
        <v>46114</v>
      </c>
      <c r="C830" s="1" t="n">
        <v>46193</v>
      </c>
      <c r="D830" t="inlineStr">
        <is>
          <t>VÄSTERBOTTENS LÄN</t>
        </is>
      </c>
      <c r="E830" t="inlineStr">
        <is>
          <t>VILHELMINA</t>
        </is>
      </c>
      <c r="G830" t="n">
        <v>4.6</v>
      </c>
      <c r="H830" t="n">
        <v>0</v>
      </c>
      <c r="I830" t="n">
        <v>0</v>
      </c>
      <c r="J830" t="n">
        <v>0</v>
      </c>
      <c r="K830" t="n">
        <v>0</v>
      </c>
      <c r="L830" t="n">
        <v>0</v>
      </c>
      <c r="M830" t="n">
        <v>0</v>
      </c>
      <c r="N830" t="n">
        <v>0</v>
      </c>
      <c r="O830" t="n">
        <v>0</v>
      </c>
      <c r="P830" t="n">
        <v>0</v>
      </c>
      <c r="Q830" t="n">
        <v>0</v>
      </c>
      <c r="R830" s="2" t="inlineStr"/>
    </row>
    <row r="831" ht="15" customHeight="1">
      <c r="A831" t="inlineStr">
        <is>
          <t>A 22744-2026</t>
        </is>
      </c>
      <c r="B831" s="1" t="n">
        <v>46157</v>
      </c>
      <c r="C831" s="1" t="n">
        <v>46193</v>
      </c>
      <c r="D831" t="inlineStr">
        <is>
          <t>VÄSTERBOTTENS LÄN</t>
        </is>
      </c>
      <c r="E831" t="inlineStr">
        <is>
          <t>VILHELMINA</t>
        </is>
      </c>
      <c r="F831" t="inlineStr">
        <is>
          <t>SCA</t>
        </is>
      </c>
      <c r="G831" t="n">
        <v>20.9</v>
      </c>
      <c r="H831" t="n">
        <v>0</v>
      </c>
      <c r="I831" t="n">
        <v>0</v>
      </c>
      <c r="J831" t="n">
        <v>0</v>
      </c>
      <c r="K831" t="n">
        <v>0</v>
      </c>
      <c r="L831" t="n">
        <v>0</v>
      </c>
      <c r="M831" t="n">
        <v>0</v>
      </c>
      <c r="N831" t="n">
        <v>0</v>
      </c>
      <c r="O831" t="n">
        <v>0</v>
      </c>
      <c r="P831" t="n">
        <v>0</v>
      </c>
      <c r="Q831" t="n">
        <v>0</v>
      </c>
      <c r="R831" s="2" t="inlineStr"/>
    </row>
    <row r="832" ht="15" customHeight="1">
      <c r="A832" t="inlineStr">
        <is>
          <t>A 23483-2026</t>
        </is>
      </c>
      <c r="B832" s="1" t="n">
        <v>46163</v>
      </c>
      <c r="C832" s="1" t="n">
        <v>46193</v>
      </c>
      <c r="D832" t="inlineStr">
        <is>
          <t>VÄSTERBOTTENS LÄN</t>
        </is>
      </c>
      <c r="E832" t="inlineStr">
        <is>
          <t>VILHELMINA</t>
        </is>
      </c>
      <c r="G832" t="n">
        <v>6</v>
      </c>
      <c r="H832" t="n">
        <v>0</v>
      </c>
      <c r="I832" t="n">
        <v>0</v>
      </c>
      <c r="J832" t="n">
        <v>0</v>
      </c>
      <c r="K832" t="n">
        <v>0</v>
      </c>
      <c r="L832" t="n">
        <v>0</v>
      </c>
      <c r="M832" t="n">
        <v>0</v>
      </c>
      <c r="N832" t="n">
        <v>0</v>
      </c>
      <c r="O832" t="n">
        <v>0</v>
      </c>
      <c r="P832" t="n">
        <v>0</v>
      </c>
      <c r="Q832" t="n">
        <v>0</v>
      </c>
      <c r="R832" s="2" t="inlineStr"/>
    </row>
    <row r="833" ht="15" customHeight="1">
      <c r="A833" t="inlineStr">
        <is>
          <t>A 43817-2025</t>
        </is>
      </c>
      <c r="B833" s="1" t="n">
        <v>45912</v>
      </c>
      <c r="C833" s="1" t="n">
        <v>46193</v>
      </c>
      <c r="D833" t="inlineStr">
        <is>
          <t>VÄSTERBOTTENS LÄN</t>
        </is>
      </c>
      <c r="E833" t="inlineStr">
        <is>
          <t>VILHELMINA</t>
        </is>
      </c>
      <c r="G833" t="n">
        <v>23.1</v>
      </c>
      <c r="H833" t="n">
        <v>0</v>
      </c>
      <c r="I833" t="n">
        <v>0</v>
      </c>
      <c r="J833" t="n">
        <v>0</v>
      </c>
      <c r="K833" t="n">
        <v>0</v>
      </c>
      <c r="L833" t="n">
        <v>0</v>
      </c>
      <c r="M833" t="n">
        <v>0</v>
      </c>
      <c r="N833" t="n">
        <v>0</v>
      </c>
      <c r="O833" t="n">
        <v>0</v>
      </c>
      <c r="P833" t="n">
        <v>0</v>
      </c>
      <c r="Q833" t="n">
        <v>0</v>
      </c>
      <c r="R833" s="2" t="inlineStr"/>
    </row>
    <row r="834" ht="15" customHeight="1">
      <c r="A834" t="inlineStr">
        <is>
          <t>A 57023-2025</t>
        </is>
      </c>
      <c r="B834" s="1" t="n">
        <v>45979</v>
      </c>
      <c r="C834" s="1" t="n">
        <v>46193</v>
      </c>
      <c r="D834" t="inlineStr">
        <is>
          <t>VÄSTERBOTTENS LÄN</t>
        </is>
      </c>
      <c r="E834" t="inlineStr">
        <is>
          <t>VILHELMINA</t>
        </is>
      </c>
      <c r="G834" t="n">
        <v>37.7</v>
      </c>
      <c r="H834" t="n">
        <v>0</v>
      </c>
      <c r="I834" t="n">
        <v>0</v>
      </c>
      <c r="J834" t="n">
        <v>0</v>
      </c>
      <c r="K834" t="n">
        <v>0</v>
      </c>
      <c r="L834" t="n">
        <v>0</v>
      </c>
      <c r="M834" t="n">
        <v>0</v>
      </c>
      <c r="N834" t="n">
        <v>0</v>
      </c>
      <c r="O834" t="n">
        <v>0</v>
      </c>
      <c r="P834" t="n">
        <v>0</v>
      </c>
      <c r="Q834" t="n">
        <v>0</v>
      </c>
      <c r="R834" s="2" t="inlineStr"/>
    </row>
    <row r="835" ht="15" customHeight="1">
      <c r="A835" t="inlineStr">
        <is>
          <t>A 23510-2026</t>
        </is>
      </c>
      <c r="B835" s="1" t="n">
        <v>46163</v>
      </c>
      <c r="C835" s="1" t="n">
        <v>46193</v>
      </c>
      <c r="D835" t="inlineStr">
        <is>
          <t>VÄSTERBOTTENS LÄN</t>
        </is>
      </c>
      <c r="E835" t="inlineStr">
        <is>
          <t>VILHELMINA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23624-2026</t>
        </is>
      </c>
      <c r="B836" s="1" t="n">
        <v>46163</v>
      </c>
      <c r="C836" s="1" t="n">
        <v>46193</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23238-2026</t>
        </is>
      </c>
      <c r="B837" s="1" t="n">
        <v>46162</v>
      </c>
      <c r="C837" s="1" t="n">
        <v>46193</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22864-2026</t>
        </is>
      </c>
      <c r="B838" s="1" t="n">
        <v>46160</v>
      </c>
      <c r="C838" s="1" t="n">
        <v>46193</v>
      </c>
      <c r="D838" t="inlineStr">
        <is>
          <t>VÄSTERBOTTENS LÄN</t>
        </is>
      </c>
      <c r="E838" t="inlineStr">
        <is>
          <t>VILHELMINA</t>
        </is>
      </c>
      <c r="G838" t="n">
        <v>0.6</v>
      </c>
      <c r="H838" t="n">
        <v>0</v>
      </c>
      <c r="I838" t="n">
        <v>0</v>
      </c>
      <c r="J838" t="n">
        <v>0</v>
      </c>
      <c r="K838" t="n">
        <v>0</v>
      </c>
      <c r="L838" t="n">
        <v>0</v>
      </c>
      <c r="M838" t="n">
        <v>0</v>
      </c>
      <c r="N838" t="n">
        <v>0</v>
      </c>
      <c r="O838" t="n">
        <v>0</v>
      </c>
      <c r="P838" t="n">
        <v>0</v>
      </c>
      <c r="Q838" t="n">
        <v>0</v>
      </c>
      <c r="R838" s="2" t="inlineStr"/>
    </row>
    <row r="839" ht="15" customHeight="1">
      <c r="A839" t="inlineStr">
        <is>
          <t>A 17643-2026</t>
        </is>
      </c>
      <c r="B839" s="1" t="n">
        <v>46121</v>
      </c>
      <c r="C839" s="1" t="n">
        <v>46193</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47589-2025</t>
        </is>
      </c>
      <c r="B840" s="1" t="n">
        <v>45931</v>
      </c>
      <c r="C840" s="1" t="n">
        <v>46193</v>
      </c>
      <c r="D840" t="inlineStr">
        <is>
          <t>VÄSTERBOTTENS LÄN</t>
        </is>
      </c>
      <c r="E840" t="inlineStr">
        <is>
          <t>VILHELMINA</t>
        </is>
      </c>
      <c r="G840" t="n">
        <v>24.8</v>
      </c>
      <c r="H840" t="n">
        <v>0</v>
      </c>
      <c r="I840" t="n">
        <v>0</v>
      </c>
      <c r="J840" t="n">
        <v>0</v>
      </c>
      <c r="K840" t="n">
        <v>0</v>
      </c>
      <c r="L840" t="n">
        <v>0</v>
      </c>
      <c r="M840" t="n">
        <v>0</v>
      </c>
      <c r="N840" t="n">
        <v>0</v>
      </c>
      <c r="O840" t="n">
        <v>0</v>
      </c>
      <c r="P840" t="n">
        <v>0</v>
      </c>
      <c r="Q840" t="n">
        <v>0</v>
      </c>
      <c r="R840" s="2" t="inlineStr"/>
    </row>
    <row r="841" ht="15" customHeight="1">
      <c r="A841" t="inlineStr">
        <is>
          <t>A 55742-2025</t>
        </is>
      </c>
      <c r="B841" s="1" t="n">
        <v>45972</v>
      </c>
      <c r="C841" s="1" t="n">
        <v>46193</v>
      </c>
      <c r="D841" t="inlineStr">
        <is>
          <t>VÄSTERBOTTENS LÄN</t>
        </is>
      </c>
      <c r="E841" t="inlineStr">
        <is>
          <t>VILHELMINA</t>
        </is>
      </c>
      <c r="G841" t="n">
        <v>36.2</v>
      </c>
      <c r="H841" t="n">
        <v>0</v>
      </c>
      <c r="I841" t="n">
        <v>0</v>
      </c>
      <c r="J841" t="n">
        <v>0</v>
      </c>
      <c r="K841" t="n">
        <v>0</v>
      </c>
      <c r="L841" t="n">
        <v>0</v>
      </c>
      <c r="M841" t="n">
        <v>0</v>
      </c>
      <c r="N841" t="n">
        <v>0</v>
      </c>
      <c r="O841" t="n">
        <v>0</v>
      </c>
      <c r="P841" t="n">
        <v>0</v>
      </c>
      <c r="Q841" t="n">
        <v>0</v>
      </c>
      <c r="R841" s="2" t="inlineStr"/>
    </row>
    <row r="842" ht="15" customHeight="1">
      <c r="A842" t="inlineStr">
        <is>
          <t>A 23517-2026</t>
        </is>
      </c>
      <c r="B842" s="1" t="n">
        <v>46163</v>
      </c>
      <c r="C842" s="1" t="n">
        <v>46193</v>
      </c>
      <c r="D842" t="inlineStr">
        <is>
          <t>VÄSTERBOTTENS LÄN</t>
        </is>
      </c>
      <c r="E842" t="inlineStr">
        <is>
          <t>VILHELMINA</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55736-2025</t>
        </is>
      </c>
      <c r="B843" s="1" t="n">
        <v>45972</v>
      </c>
      <c r="C843" s="1" t="n">
        <v>46193</v>
      </c>
      <c r="D843" t="inlineStr">
        <is>
          <t>VÄSTERBOTTENS LÄN</t>
        </is>
      </c>
      <c r="E843" t="inlineStr">
        <is>
          <t>VILHELMINA</t>
        </is>
      </c>
      <c r="G843" t="n">
        <v>22.9</v>
      </c>
      <c r="H843" t="n">
        <v>0</v>
      </c>
      <c r="I843" t="n">
        <v>0</v>
      </c>
      <c r="J843" t="n">
        <v>0</v>
      </c>
      <c r="K843" t="n">
        <v>0</v>
      </c>
      <c r="L843" t="n">
        <v>0</v>
      </c>
      <c r="M843" t="n">
        <v>0</v>
      </c>
      <c r="N843" t="n">
        <v>0</v>
      </c>
      <c r="O843" t="n">
        <v>0</v>
      </c>
      <c r="P843" t="n">
        <v>0</v>
      </c>
      <c r="Q843" t="n">
        <v>0</v>
      </c>
      <c r="R843" s="2" t="inlineStr"/>
    </row>
    <row r="844" ht="15" customHeight="1">
      <c r="A844" t="inlineStr">
        <is>
          <t>A 23400-2026</t>
        </is>
      </c>
      <c r="B844" s="1" t="n">
        <v>46162</v>
      </c>
      <c r="C844" s="1" t="n">
        <v>46193</v>
      </c>
      <c r="D844" t="inlineStr">
        <is>
          <t>VÄSTERBOTTENS LÄN</t>
        </is>
      </c>
      <c r="E844" t="inlineStr">
        <is>
          <t>VILHELMINA</t>
        </is>
      </c>
      <c r="G844" t="n">
        <v>6.4</v>
      </c>
      <c r="H844" t="n">
        <v>0</v>
      </c>
      <c r="I844" t="n">
        <v>0</v>
      </c>
      <c r="J844" t="n">
        <v>0</v>
      </c>
      <c r="K844" t="n">
        <v>0</v>
      </c>
      <c r="L844" t="n">
        <v>0</v>
      </c>
      <c r="M844" t="n">
        <v>0</v>
      </c>
      <c r="N844" t="n">
        <v>0</v>
      </c>
      <c r="O844" t="n">
        <v>0</v>
      </c>
      <c r="P844" t="n">
        <v>0</v>
      </c>
      <c r="Q844" t="n">
        <v>0</v>
      </c>
      <c r="R844" s="2" t="inlineStr"/>
    </row>
    <row r="845" ht="15" customHeight="1">
      <c r="A845" t="inlineStr">
        <is>
          <t>A 8556-2025</t>
        </is>
      </c>
      <c r="B845" s="1" t="n">
        <v>45709</v>
      </c>
      <c r="C845" s="1" t="n">
        <v>46193</v>
      </c>
      <c r="D845" t="inlineStr">
        <is>
          <t>VÄSTERBOTTENS LÄN</t>
        </is>
      </c>
      <c r="E845" t="inlineStr">
        <is>
          <t>VILHELMINA</t>
        </is>
      </c>
      <c r="G845" t="n">
        <v>1</v>
      </c>
      <c r="H845" t="n">
        <v>0</v>
      </c>
      <c r="I845" t="n">
        <v>0</v>
      </c>
      <c r="J845" t="n">
        <v>0</v>
      </c>
      <c r="K845" t="n">
        <v>0</v>
      </c>
      <c r="L845" t="n">
        <v>0</v>
      </c>
      <c r="M845" t="n">
        <v>0</v>
      </c>
      <c r="N845" t="n">
        <v>0</v>
      </c>
      <c r="O845" t="n">
        <v>0</v>
      </c>
      <c r="P845" t="n">
        <v>0</v>
      </c>
      <c r="Q845" t="n">
        <v>0</v>
      </c>
      <c r="R845" s="2" t="inlineStr"/>
    </row>
    <row r="846" ht="15" customHeight="1">
      <c r="A846" t="inlineStr">
        <is>
          <t>A 23587-2026</t>
        </is>
      </c>
      <c r="B846" s="1" t="n">
        <v>46163</v>
      </c>
      <c r="C846" s="1" t="n">
        <v>46193</v>
      </c>
      <c r="D846" t="inlineStr">
        <is>
          <t>VÄSTERBOTTENS LÄN</t>
        </is>
      </c>
      <c r="E846" t="inlineStr">
        <is>
          <t>VILHELMINA</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18156-2026</t>
        </is>
      </c>
      <c r="B847" s="1" t="n">
        <v>46125</v>
      </c>
      <c r="C847" s="1" t="n">
        <v>46193</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17766-2026</t>
        </is>
      </c>
      <c r="B848" s="1" t="n">
        <v>46122</v>
      </c>
      <c r="C848" s="1" t="n">
        <v>46193</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17774-2026</t>
        </is>
      </c>
      <c r="B849" s="1" t="n">
        <v>46122</v>
      </c>
      <c r="C849" s="1" t="n">
        <v>46193</v>
      </c>
      <c r="D849" t="inlineStr">
        <is>
          <t>VÄSTERBOTTENS LÄN</t>
        </is>
      </c>
      <c r="E849" t="inlineStr">
        <is>
          <t>VILHELMINA</t>
        </is>
      </c>
      <c r="G849" t="n">
        <v>3.7</v>
      </c>
      <c r="H849" t="n">
        <v>0</v>
      </c>
      <c r="I849" t="n">
        <v>0</v>
      </c>
      <c r="J849" t="n">
        <v>0</v>
      </c>
      <c r="K849" t="n">
        <v>0</v>
      </c>
      <c r="L849" t="n">
        <v>0</v>
      </c>
      <c r="M849" t="n">
        <v>0</v>
      </c>
      <c r="N849" t="n">
        <v>0</v>
      </c>
      <c r="O849" t="n">
        <v>0</v>
      </c>
      <c r="P849" t="n">
        <v>0</v>
      </c>
      <c r="Q849" t="n">
        <v>0</v>
      </c>
      <c r="R849" s="2" t="inlineStr"/>
    </row>
    <row r="850" ht="15" customHeight="1">
      <c r="A850" t="inlineStr">
        <is>
          <t>A 17784-2026</t>
        </is>
      </c>
      <c r="B850" s="1" t="n">
        <v>46122</v>
      </c>
      <c r="C850" s="1" t="n">
        <v>46193</v>
      </c>
      <c r="D850" t="inlineStr">
        <is>
          <t>VÄSTERBOTTENS LÄN</t>
        </is>
      </c>
      <c r="E850" t="inlineStr">
        <is>
          <t>VILHELMINA</t>
        </is>
      </c>
      <c r="G850" t="n">
        <v>1.9</v>
      </c>
      <c r="H850" t="n">
        <v>0</v>
      </c>
      <c r="I850" t="n">
        <v>0</v>
      </c>
      <c r="J850" t="n">
        <v>0</v>
      </c>
      <c r="K850" t="n">
        <v>0</v>
      </c>
      <c r="L850" t="n">
        <v>0</v>
      </c>
      <c r="M850" t="n">
        <v>0</v>
      </c>
      <c r="N850" t="n">
        <v>0</v>
      </c>
      <c r="O850" t="n">
        <v>0</v>
      </c>
      <c r="P850" t="n">
        <v>0</v>
      </c>
      <c r="Q850" t="n">
        <v>0</v>
      </c>
      <c r="R850" s="2" t="inlineStr"/>
    </row>
    <row r="851" ht="15" customHeight="1">
      <c r="A851" t="inlineStr">
        <is>
          <t>A 24193-2026</t>
        </is>
      </c>
      <c r="B851" s="1" t="n">
        <v>46168</v>
      </c>
      <c r="C851" s="1" t="n">
        <v>46193</v>
      </c>
      <c r="D851" t="inlineStr">
        <is>
          <t>VÄSTERBOTTENS LÄN</t>
        </is>
      </c>
      <c r="E851" t="inlineStr">
        <is>
          <t>VILHELMINA</t>
        </is>
      </c>
      <c r="F851" t="inlineStr">
        <is>
          <t>Sveaskog</t>
        </is>
      </c>
      <c r="G851" t="n">
        <v>13.8</v>
      </c>
      <c r="H851" t="n">
        <v>0</v>
      </c>
      <c r="I851" t="n">
        <v>0</v>
      </c>
      <c r="J851" t="n">
        <v>0</v>
      </c>
      <c r="K851" t="n">
        <v>0</v>
      </c>
      <c r="L851" t="n">
        <v>0</v>
      </c>
      <c r="M851" t="n">
        <v>0</v>
      </c>
      <c r="N851" t="n">
        <v>0</v>
      </c>
      <c r="O851" t="n">
        <v>0</v>
      </c>
      <c r="P851" t="n">
        <v>0</v>
      </c>
      <c r="Q851" t="n">
        <v>0</v>
      </c>
      <c r="R851" s="2" t="inlineStr"/>
    </row>
    <row r="852" ht="15" customHeight="1">
      <c r="A852" t="inlineStr">
        <is>
          <t>A 24194-2026</t>
        </is>
      </c>
      <c r="B852" s="1" t="n">
        <v>46168</v>
      </c>
      <c r="C852" s="1" t="n">
        <v>46193</v>
      </c>
      <c r="D852" t="inlineStr">
        <is>
          <t>VÄSTERBOTTENS LÄN</t>
        </is>
      </c>
      <c r="E852" t="inlineStr">
        <is>
          <t>VILHELMINA</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24190-2026</t>
        </is>
      </c>
      <c r="B853" s="1" t="n">
        <v>46168</v>
      </c>
      <c r="C853" s="1" t="n">
        <v>46193</v>
      </c>
      <c r="D853" t="inlineStr">
        <is>
          <t>VÄSTERBOTTENS LÄN</t>
        </is>
      </c>
      <c r="E853" t="inlineStr">
        <is>
          <t>VILHELMINA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25004-2026</t>
        </is>
      </c>
      <c r="B854" s="1" t="n">
        <v>46174</v>
      </c>
      <c r="C854" s="1" t="n">
        <v>46193</v>
      </c>
      <c r="D854" t="inlineStr">
        <is>
          <t>VÄSTERBOTTENS LÄN</t>
        </is>
      </c>
      <c r="E854" t="inlineStr">
        <is>
          <t>VILHELMINA</t>
        </is>
      </c>
      <c r="F854" t="inlineStr">
        <is>
          <t>SCA</t>
        </is>
      </c>
      <c r="G854" t="n">
        <v>18.2</v>
      </c>
      <c r="H854" t="n">
        <v>0</v>
      </c>
      <c r="I854" t="n">
        <v>0</v>
      </c>
      <c r="J854" t="n">
        <v>0</v>
      </c>
      <c r="K854" t="n">
        <v>0</v>
      </c>
      <c r="L854" t="n">
        <v>0</v>
      </c>
      <c r="M854" t="n">
        <v>0</v>
      </c>
      <c r="N854" t="n">
        <v>0</v>
      </c>
      <c r="O854" t="n">
        <v>0</v>
      </c>
      <c r="P854" t="n">
        <v>0</v>
      </c>
      <c r="Q854" t="n">
        <v>0</v>
      </c>
      <c r="R854" s="2" t="inlineStr"/>
    </row>
    <row r="855" ht="15" customHeight="1">
      <c r="A855" t="inlineStr">
        <is>
          <t>A 58505-2024</t>
        </is>
      </c>
      <c r="B855" s="1" t="n">
        <v>45635</v>
      </c>
      <c r="C855" s="1" t="n">
        <v>46193</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18849-2026</t>
        </is>
      </c>
      <c r="B856" s="1" t="n">
        <v>46129</v>
      </c>
      <c r="C856" s="1" t="n">
        <v>46193</v>
      </c>
      <c r="D856" t="inlineStr">
        <is>
          <t>VÄSTERBOTTENS LÄN</t>
        </is>
      </c>
      <c r="E856" t="inlineStr">
        <is>
          <t>VILHELMINA</t>
        </is>
      </c>
      <c r="F856" t="inlineStr">
        <is>
          <t>SCA</t>
        </is>
      </c>
      <c r="G856" t="n">
        <v>9.4</v>
      </c>
      <c r="H856" t="n">
        <v>0</v>
      </c>
      <c r="I856" t="n">
        <v>0</v>
      </c>
      <c r="J856" t="n">
        <v>0</v>
      </c>
      <c r="K856" t="n">
        <v>0</v>
      </c>
      <c r="L856" t="n">
        <v>0</v>
      </c>
      <c r="M856" t="n">
        <v>0</v>
      </c>
      <c r="N856" t="n">
        <v>0</v>
      </c>
      <c r="O856" t="n">
        <v>0</v>
      </c>
      <c r="P856" t="n">
        <v>0</v>
      </c>
      <c r="Q856" t="n">
        <v>0</v>
      </c>
      <c r="R856" s="2" t="inlineStr"/>
    </row>
    <row r="857" ht="15" customHeight="1">
      <c r="A857" t="inlineStr">
        <is>
          <t>A 19140-2026</t>
        </is>
      </c>
      <c r="B857" s="1" t="n">
        <v>46132</v>
      </c>
      <c r="C857" s="1" t="n">
        <v>46193</v>
      </c>
      <c r="D857" t="inlineStr">
        <is>
          <t>VÄSTERBOTTENS LÄN</t>
        </is>
      </c>
      <c r="E857" t="inlineStr">
        <is>
          <t>VILHELMINA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24654-2026</t>
        </is>
      </c>
      <c r="B858" s="1" t="n">
        <v>46171</v>
      </c>
      <c r="C858" s="1" t="n">
        <v>46193</v>
      </c>
      <c r="D858" t="inlineStr">
        <is>
          <t>VÄSTERBOTTENS LÄN</t>
        </is>
      </c>
      <c r="E858" t="inlineStr">
        <is>
          <t>VILHELMINA</t>
        </is>
      </c>
      <c r="G858" t="n">
        <v>2.7</v>
      </c>
      <c r="H858" t="n">
        <v>0</v>
      </c>
      <c r="I858" t="n">
        <v>0</v>
      </c>
      <c r="J858" t="n">
        <v>0</v>
      </c>
      <c r="K858" t="n">
        <v>0</v>
      </c>
      <c r="L858" t="n">
        <v>0</v>
      </c>
      <c r="M858" t="n">
        <v>0</v>
      </c>
      <c r="N858" t="n">
        <v>0</v>
      </c>
      <c r="O858" t="n">
        <v>0</v>
      </c>
      <c r="P858" t="n">
        <v>0</v>
      </c>
      <c r="Q858" t="n">
        <v>0</v>
      </c>
      <c r="R858" s="2" t="inlineStr"/>
    </row>
    <row r="859" ht="15" customHeight="1">
      <c r="A859" t="inlineStr">
        <is>
          <t>A 19076-2026</t>
        </is>
      </c>
      <c r="B859" s="1" t="n">
        <v>46132</v>
      </c>
      <c r="C859" s="1" t="n">
        <v>46193</v>
      </c>
      <c r="D859" t="inlineStr">
        <is>
          <t>VÄSTERBOTTENS LÄN</t>
        </is>
      </c>
      <c r="E859" t="inlineStr">
        <is>
          <t>VILHELMINA</t>
        </is>
      </c>
      <c r="F859" t="inlineStr">
        <is>
          <t>SCA</t>
        </is>
      </c>
      <c r="G859" t="n">
        <v>10.4</v>
      </c>
      <c r="H859" t="n">
        <v>0</v>
      </c>
      <c r="I859" t="n">
        <v>0</v>
      </c>
      <c r="J859" t="n">
        <v>0</v>
      </c>
      <c r="K859" t="n">
        <v>0</v>
      </c>
      <c r="L859" t="n">
        <v>0</v>
      </c>
      <c r="M859" t="n">
        <v>0</v>
      </c>
      <c r="N859" t="n">
        <v>0</v>
      </c>
      <c r="O859" t="n">
        <v>0</v>
      </c>
      <c r="P859" t="n">
        <v>0</v>
      </c>
      <c r="Q859" t="n">
        <v>0</v>
      </c>
      <c r="R859" s="2" t="inlineStr"/>
    </row>
    <row r="860" ht="15" customHeight="1">
      <c r="A860" t="inlineStr">
        <is>
          <t>A 19178-2026</t>
        </is>
      </c>
      <c r="B860" s="1" t="n">
        <v>46132</v>
      </c>
      <c r="C860" s="1" t="n">
        <v>46193</v>
      </c>
      <c r="D860" t="inlineStr">
        <is>
          <t>VÄSTERBOTTENS LÄN</t>
        </is>
      </c>
      <c r="E860" t="inlineStr">
        <is>
          <t>VILHELMINA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25099-2026</t>
        </is>
      </c>
      <c r="B861" s="1" t="n">
        <v>46175</v>
      </c>
      <c r="C861" s="1" t="n">
        <v>46193</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46908-2024</t>
        </is>
      </c>
      <c r="B862" s="1" t="n">
        <v>45583</v>
      </c>
      <c r="C862" s="1" t="n">
        <v>46193</v>
      </c>
      <c r="D862" t="inlineStr">
        <is>
          <t>VÄSTERBOTTENS LÄN</t>
        </is>
      </c>
      <c r="E862" t="inlineStr">
        <is>
          <t>VILHELMINA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47242-2024</t>
        </is>
      </c>
      <c r="B863" s="1" t="n">
        <v>45586</v>
      </c>
      <c r="C863" s="1" t="n">
        <v>46193</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25734-2026</t>
        </is>
      </c>
      <c r="B864" s="1" t="n">
        <v>46178</v>
      </c>
      <c r="C864" s="1" t="n">
        <v>46193</v>
      </c>
      <c r="D864" t="inlineStr">
        <is>
          <t>VÄSTERBOTTENS LÄN</t>
        </is>
      </c>
      <c r="E864" t="inlineStr">
        <is>
          <t>VILHELMINA</t>
        </is>
      </c>
      <c r="F864" t="inlineStr">
        <is>
          <t>SCA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47548-2024</t>
        </is>
      </c>
      <c r="B865" s="1" t="n">
        <v>45587</v>
      </c>
      <c r="C865" s="1" t="n">
        <v>46193</v>
      </c>
      <c r="D865" t="inlineStr">
        <is>
          <t>VÄSTERBOTTENS LÄN</t>
        </is>
      </c>
      <c r="E865" t="inlineStr">
        <is>
          <t>VILHELMINA</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47440-2024</t>
        </is>
      </c>
      <c r="B866" s="1" t="n">
        <v>45587</v>
      </c>
      <c r="C866" s="1" t="n">
        <v>46193</v>
      </c>
      <c r="D866" t="inlineStr">
        <is>
          <t>VÄSTERBOTTENS LÄN</t>
        </is>
      </c>
      <c r="E866" t="inlineStr">
        <is>
          <t>VILHELMINA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12008-2026</t>
        </is>
      </c>
      <c r="B867" s="1" t="n">
        <v>46085</v>
      </c>
      <c r="C867" s="1" t="n">
        <v>46193</v>
      </c>
      <c r="D867" t="inlineStr">
        <is>
          <t>VÄSTERBOTTENS LÄN</t>
        </is>
      </c>
      <c r="E867" t="inlineStr">
        <is>
          <t>VILHELMINA</t>
        </is>
      </c>
      <c r="G867" t="n">
        <v>18.5</v>
      </c>
      <c r="H867" t="n">
        <v>0</v>
      </c>
      <c r="I867" t="n">
        <v>0</v>
      </c>
      <c r="J867" t="n">
        <v>0</v>
      </c>
      <c r="K867" t="n">
        <v>0</v>
      </c>
      <c r="L867" t="n">
        <v>0</v>
      </c>
      <c r="M867" t="n">
        <v>0</v>
      </c>
      <c r="N867" t="n">
        <v>0</v>
      </c>
      <c r="O867" t="n">
        <v>0</v>
      </c>
      <c r="P867" t="n">
        <v>0</v>
      </c>
      <c r="Q867" t="n">
        <v>0</v>
      </c>
      <c r="R867" s="2" t="inlineStr"/>
    </row>
    <row r="868" ht="15" customHeight="1">
      <c r="A868" t="inlineStr">
        <is>
          <t>A 25797-2026</t>
        </is>
      </c>
      <c r="B868" s="1" t="n">
        <v>46178</v>
      </c>
      <c r="C868" s="1" t="n">
        <v>46193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25400-2026</t>
        </is>
      </c>
      <c r="B869" s="1" t="n">
        <v>46174</v>
      </c>
      <c r="C869" s="1" t="n">
        <v>46193</v>
      </c>
      <c r="D869" t="inlineStr">
        <is>
          <t>VÄSTERBOTTENS LÄN</t>
        </is>
      </c>
      <c r="E869" t="inlineStr">
        <is>
          <t>VILHELMINA</t>
        </is>
      </c>
      <c r="G869" t="n">
        <v>10.3</v>
      </c>
      <c r="H869" t="n">
        <v>0</v>
      </c>
      <c r="I869" t="n">
        <v>0</v>
      </c>
      <c r="J869" t="n">
        <v>0</v>
      </c>
      <c r="K869" t="n">
        <v>0</v>
      </c>
      <c r="L869" t="n">
        <v>0</v>
      </c>
      <c r="M869" t="n">
        <v>0</v>
      </c>
      <c r="N869" t="n">
        <v>0</v>
      </c>
      <c r="O869" t="n">
        <v>0</v>
      </c>
      <c r="P869" t="n">
        <v>0</v>
      </c>
      <c r="Q869" t="n">
        <v>0</v>
      </c>
      <c r="R869" s="2" t="inlineStr"/>
    </row>
    <row r="870" ht="15" customHeight="1">
      <c r="A870" t="inlineStr">
        <is>
          <t>A 18848-2026</t>
        </is>
      </c>
      <c r="B870" s="1" t="n">
        <v>46129</v>
      </c>
      <c r="C870" s="1" t="n">
        <v>46193</v>
      </c>
      <c r="D870" t="inlineStr">
        <is>
          <t>VÄSTERBOTTENS LÄN</t>
        </is>
      </c>
      <c r="E870" t="inlineStr">
        <is>
          <t>VILHELMINA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25899-2026</t>
        </is>
      </c>
      <c r="B871" s="1" t="n">
        <v>46178</v>
      </c>
      <c r="C871" s="1" t="n">
        <v>46193</v>
      </c>
      <c r="D871" t="inlineStr">
        <is>
          <t>VÄSTERBOTTENS LÄN</t>
        </is>
      </c>
      <c r="E871" t="inlineStr">
        <is>
          <t>VILHELMINA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13557-2024</t>
        </is>
      </c>
      <c r="B872" s="1" t="n">
        <v>45388</v>
      </c>
      <c r="C872" s="1" t="n">
        <v>46193</v>
      </c>
      <c r="D872" t="inlineStr">
        <is>
          <t>VÄSTERBOTTENS LÄN</t>
        </is>
      </c>
      <c r="E872" t="inlineStr">
        <is>
          <t>VILHELMINA</t>
        </is>
      </c>
      <c r="G872" t="n">
        <v>11.2</v>
      </c>
      <c r="H872" t="n">
        <v>0</v>
      </c>
      <c r="I872" t="n">
        <v>0</v>
      </c>
      <c r="J872" t="n">
        <v>0</v>
      </c>
      <c r="K872" t="n">
        <v>0</v>
      </c>
      <c r="L872" t="n">
        <v>0</v>
      </c>
      <c r="M872" t="n">
        <v>0</v>
      </c>
      <c r="N872" t="n">
        <v>0</v>
      </c>
      <c r="O872" t="n">
        <v>0</v>
      </c>
      <c r="P872" t="n">
        <v>0</v>
      </c>
      <c r="Q872" t="n">
        <v>0</v>
      </c>
      <c r="R872" s="2" t="inlineStr"/>
    </row>
    <row r="873" ht="15" customHeight="1">
      <c r="A873" t="inlineStr">
        <is>
          <t>A 10369-2026</t>
        </is>
      </c>
      <c r="B873" s="1" t="n">
        <v>46076</v>
      </c>
      <c r="C873" s="1" t="n">
        <v>46193</v>
      </c>
      <c r="D873" t="inlineStr">
        <is>
          <t>VÄSTERBOTTENS LÄN</t>
        </is>
      </c>
      <c r="E873" t="inlineStr">
        <is>
          <t>VILHELMINA</t>
        </is>
      </c>
      <c r="G873" t="n">
        <v>30.9</v>
      </c>
      <c r="H873" t="n">
        <v>0</v>
      </c>
      <c r="I873" t="n">
        <v>0</v>
      </c>
      <c r="J873" t="n">
        <v>0</v>
      </c>
      <c r="K873" t="n">
        <v>0</v>
      </c>
      <c r="L873" t="n">
        <v>0</v>
      </c>
      <c r="M873" t="n">
        <v>0</v>
      </c>
      <c r="N873" t="n">
        <v>0</v>
      </c>
      <c r="O873" t="n">
        <v>0</v>
      </c>
      <c r="P873" t="n">
        <v>0</v>
      </c>
      <c r="Q873" t="n">
        <v>0</v>
      </c>
      <c r="R873" s="2" t="inlineStr"/>
    </row>
    <row r="874" ht="15" customHeight="1">
      <c r="A874" t="inlineStr">
        <is>
          <t>A 38427-2025</t>
        </is>
      </c>
      <c r="B874" s="1" t="n">
        <v>45883</v>
      </c>
      <c r="C874" s="1" t="n">
        <v>46193</v>
      </c>
      <c r="D874" t="inlineStr">
        <is>
          <t>VÄSTERBOTTENS LÄN</t>
        </is>
      </c>
      <c r="E874" t="inlineStr">
        <is>
          <t>VILHELMINA</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34569-2025</t>
        </is>
      </c>
      <c r="B875" s="1" t="n">
        <v>45847</v>
      </c>
      <c r="C875" s="1" t="n">
        <v>46193</v>
      </c>
      <c r="D875" t="inlineStr">
        <is>
          <t>VÄSTERBOTTENS LÄN</t>
        </is>
      </c>
      <c r="E875" t="inlineStr">
        <is>
          <t>VILHELMINA</t>
        </is>
      </c>
      <c r="G875" t="n">
        <v>5.3</v>
      </c>
      <c r="H875" t="n">
        <v>0</v>
      </c>
      <c r="I875" t="n">
        <v>0</v>
      </c>
      <c r="J875" t="n">
        <v>0</v>
      </c>
      <c r="K875" t="n">
        <v>0</v>
      </c>
      <c r="L875" t="n">
        <v>0</v>
      </c>
      <c r="M875" t="n">
        <v>0</v>
      </c>
      <c r="N875" t="n">
        <v>0</v>
      </c>
      <c r="O875" t="n">
        <v>0</v>
      </c>
      <c r="P875" t="n">
        <v>0</v>
      </c>
      <c r="Q875" t="n">
        <v>0</v>
      </c>
      <c r="R875" s="2" t="inlineStr"/>
    </row>
    <row r="876" ht="15" customHeight="1">
      <c r="A876" t="inlineStr">
        <is>
          <t>A 5403-2025</t>
        </is>
      </c>
      <c r="B876" s="1" t="n">
        <v>45692</v>
      </c>
      <c r="C876" s="1" t="n">
        <v>46193</v>
      </c>
      <c r="D876" t="inlineStr">
        <is>
          <t>VÄSTERBOTTENS LÄN</t>
        </is>
      </c>
      <c r="E876" t="inlineStr">
        <is>
          <t>VILHELMINA</t>
        </is>
      </c>
      <c r="F876" t="inlineStr">
        <is>
          <t>Kommuner</t>
        </is>
      </c>
      <c r="G876" t="n">
        <v>14.9</v>
      </c>
      <c r="H876" t="n">
        <v>0</v>
      </c>
      <c r="I876" t="n">
        <v>0</v>
      </c>
      <c r="J876" t="n">
        <v>0</v>
      </c>
      <c r="K876" t="n">
        <v>0</v>
      </c>
      <c r="L876" t="n">
        <v>0</v>
      </c>
      <c r="M876" t="n">
        <v>0</v>
      </c>
      <c r="N876" t="n">
        <v>0</v>
      </c>
      <c r="O876" t="n">
        <v>0</v>
      </c>
      <c r="P876" t="n">
        <v>0</v>
      </c>
      <c r="Q876" t="n">
        <v>0</v>
      </c>
      <c r="R876" s="2" t="inlineStr"/>
    </row>
    <row r="877" ht="15" customHeight="1">
      <c r="A877" t="inlineStr">
        <is>
          <t>A 26032-2026</t>
        </is>
      </c>
      <c r="B877" s="1" t="n">
        <v>46181</v>
      </c>
      <c r="C877" s="1" t="n">
        <v>46193</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58749-2023</t>
        </is>
      </c>
      <c r="B878" s="1" t="n">
        <v>45251</v>
      </c>
      <c r="C878" s="1" t="n">
        <v>46193</v>
      </c>
      <c r="D878" t="inlineStr">
        <is>
          <t>VÄSTERBOTTENS LÄN</t>
        </is>
      </c>
      <c r="E878" t="inlineStr">
        <is>
          <t>VILHELMINA</t>
        </is>
      </c>
      <c r="G878" t="n">
        <v>2.8</v>
      </c>
      <c r="H878" t="n">
        <v>0</v>
      </c>
      <c r="I878" t="n">
        <v>0</v>
      </c>
      <c r="J878" t="n">
        <v>0</v>
      </c>
      <c r="K878" t="n">
        <v>0</v>
      </c>
      <c r="L878" t="n">
        <v>0</v>
      </c>
      <c r="M878" t="n">
        <v>0</v>
      </c>
      <c r="N878" t="n">
        <v>0</v>
      </c>
      <c r="O878" t="n">
        <v>0</v>
      </c>
      <c r="P878" t="n">
        <v>0</v>
      </c>
      <c r="Q878" t="n">
        <v>0</v>
      </c>
      <c r="R878" s="2" t="inlineStr"/>
    </row>
    <row r="879" ht="15" customHeight="1">
      <c r="A879" t="inlineStr">
        <is>
          <t>A 31449-2024</t>
        </is>
      </c>
      <c r="B879" s="1" t="n">
        <v>45505</v>
      </c>
      <c r="C879" s="1" t="n">
        <v>46193</v>
      </c>
      <c r="D879" t="inlineStr">
        <is>
          <t>VÄSTERBOTTENS LÄN</t>
        </is>
      </c>
      <c r="E879" t="inlineStr">
        <is>
          <t>VILHELMINA</t>
        </is>
      </c>
      <c r="G879" t="n">
        <v>3.5</v>
      </c>
      <c r="H879" t="n">
        <v>0</v>
      </c>
      <c r="I879" t="n">
        <v>0</v>
      </c>
      <c r="J879" t="n">
        <v>0</v>
      </c>
      <c r="K879" t="n">
        <v>0</v>
      </c>
      <c r="L879" t="n">
        <v>0</v>
      </c>
      <c r="M879" t="n">
        <v>0</v>
      </c>
      <c r="N879" t="n">
        <v>0</v>
      </c>
      <c r="O879" t="n">
        <v>0</v>
      </c>
      <c r="P879" t="n">
        <v>0</v>
      </c>
      <c r="Q879" t="n">
        <v>0</v>
      </c>
      <c r="R879" s="2" t="inlineStr"/>
    </row>
    <row r="880" ht="15" customHeight="1">
      <c r="A880" t="inlineStr">
        <is>
          <t>A 38211-2025</t>
        </is>
      </c>
      <c r="B880" s="1" t="n">
        <v>45882</v>
      </c>
      <c r="C880" s="1" t="n">
        <v>46193</v>
      </c>
      <c r="D880" t="inlineStr">
        <is>
          <t>VÄSTERBOTTENS LÄN</t>
        </is>
      </c>
      <c r="E880" t="inlineStr">
        <is>
          <t>VILHELMINA</t>
        </is>
      </c>
      <c r="G880" t="n">
        <v>13.8</v>
      </c>
      <c r="H880" t="n">
        <v>0</v>
      </c>
      <c r="I880" t="n">
        <v>0</v>
      </c>
      <c r="J880" t="n">
        <v>0</v>
      </c>
      <c r="K880" t="n">
        <v>0</v>
      </c>
      <c r="L880" t="n">
        <v>0</v>
      </c>
      <c r="M880" t="n">
        <v>0</v>
      </c>
      <c r="N880" t="n">
        <v>0</v>
      </c>
      <c r="O880" t="n">
        <v>0</v>
      </c>
      <c r="P880" t="n">
        <v>0</v>
      </c>
      <c r="Q880" t="n">
        <v>0</v>
      </c>
      <c r="R880" s="2" t="inlineStr"/>
    </row>
    <row r="881" ht="15" customHeight="1">
      <c r="A881" t="inlineStr">
        <is>
          <t>A 60075-2025</t>
        </is>
      </c>
      <c r="B881" s="1" t="n">
        <v>45993</v>
      </c>
      <c r="C881" s="1" t="n">
        <v>46193</v>
      </c>
      <c r="D881" t="inlineStr">
        <is>
          <t>VÄSTERBOTTENS LÄN</t>
        </is>
      </c>
      <c r="E881" t="inlineStr">
        <is>
          <t>VILHELMINA</t>
        </is>
      </c>
      <c r="G881" t="n">
        <v>36.9</v>
      </c>
      <c r="H881" t="n">
        <v>0</v>
      </c>
      <c r="I881" t="n">
        <v>0</v>
      </c>
      <c r="J881" t="n">
        <v>0</v>
      </c>
      <c r="K881" t="n">
        <v>0</v>
      </c>
      <c r="L881" t="n">
        <v>0</v>
      </c>
      <c r="M881" t="n">
        <v>0</v>
      </c>
      <c r="N881" t="n">
        <v>0</v>
      </c>
      <c r="O881" t="n">
        <v>0</v>
      </c>
      <c r="P881" t="n">
        <v>0</v>
      </c>
      <c r="Q881" t="n">
        <v>0</v>
      </c>
      <c r="R881" s="2" t="inlineStr"/>
    </row>
    <row r="882" ht="15" customHeight="1">
      <c r="A882" t="inlineStr">
        <is>
          <t>A 20367-2026</t>
        </is>
      </c>
      <c r="B882" s="1" t="n">
        <v>46139</v>
      </c>
      <c r="C882" s="1" t="n">
        <v>46193</v>
      </c>
      <c r="D882" t="inlineStr">
        <is>
          <t>VÄSTERBOTTENS LÄN</t>
        </is>
      </c>
      <c r="E882" t="inlineStr">
        <is>
          <t>VILHELMINA</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38569-2024</t>
        </is>
      </c>
      <c r="B883" s="1" t="n">
        <v>45546</v>
      </c>
      <c r="C883" s="1" t="n">
        <v>46193</v>
      </c>
      <c r="D883" t="inlineStr">
        <is>
          <t>VÄSTERBOTTENS LÄN</t>
        </is>
      </c>
      <c r="E883" t="inlineStr">
        <is>
          <t>VILHELMINA</t>
        </is>
      </c>
      <c r="G883" t="n">
        <v>31.5</v>
      </c>
      <c r="H883" t="n">
        <v>0</v>
      </c>
      <c r="I883" t="n">
        <v>0</v>
      </c>
      <c r="J883" t="n">
        <v>0</v>
      </c>
      <c r="K883" t="n">
        <v>0</v>
      </c>
      <c r="L883" t="n">
        <v>0</v>
      </c>
      <c r="M883" t="n">
        <v>0</v>
      </c>
      <c r="N883" t="n">
        <v>0</v>
      </c>
      <c r="O883" t="n">
        <v>0</v>
      </c>
      <c r="P883" t="n">
        <v>0</v>
      </c>
      <c r="Q883" t="n">
        <v>0</v>
      </c>
      <c r="R883" s="2" t="inlineStr"/>
    </row>
    <row r="884" ht="15" customHeight="1">
      <c r="A884" t="inlineStr">
        <is>
          <t>A 60993-2025</t>
        </is>
      </c>
      <c r="B884" s="1" t="n">
        <v>45999</v>
      </c>
      <c r="C884" s="1" t="n">
        <v>46193</v>
      </c>
      <c r="D884" t="inlineStr">
        <is>
          <t>VÄSTERBOTTENS LÄN</t>
        </is>
      </c>
      <c r="E884" t="inlineStr">
        <is>
          <t>VILHELMINA</t>
        </is>
      </c>
      <c r="G884" t="n">
        <v>7.9</v>
      </c>
      <c r="H884" t="n">
        <v>0</v>
      </c>
      <c r="I884" t="n">
        <v>0</v>
      </c>
      <c r="J884" t="n">
        <v>0</v>
      </c>
      <c r="K884" t="n">
        <v>0</v>
      </c>
      <c r="L884" t="n">
        <v>0</v>
      </c>
      <c r="M884" t="n">
        <v>0</v>
      </c>
      <c r="N884" t="n">
        <v>0</v>
      </c>
      <c r="O884" t="n">
        <v>0</v>
      </c>
      <c r="P884" t="n">
        <v>0</v>
      </c>
      <c r="Q884" t="n">
        <v>0</v>
      </c>
      <c r="R884" s="2" t="inlineStr"/>
    </row>
    <row r="885">
      <c r="A885" t="inlineStr">
        <is>
          <t>A 49103-2025</t>
        </is>
      </c>
      <c r="B885" s="1" t="n">
        <v>45937</v>
      </c>
      <c r="C885" s="1" t="n">
        <v>46193</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2026-06-20T00:46:49Z</dcterms:created>
  <dcterms:modified xmlns:dcterms="http://purl.org/dc/terms/" xmlns:xsi="http://www.w3.org/2001/XMLSchema-instance" xsi:type="dcterms:W3CDTF">2026-06-20T00:46:49Z</dcterms:modified>
</cp:coreProperties>
</file>