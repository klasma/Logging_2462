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45990</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45990</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45990</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45990</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45990</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45990</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45990</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45990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45990</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45990</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45990</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45990</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45990</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45990</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45990</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46776-2024</t>
        </is>
      </c>
      <c r="B24" s="1" t="n">
        <v>45583</v>
      </c>
      <c r="C24" s="1" t="n">
        <v>45990</v>
      </c>
      <c r="D24" t="inlineStr">
        <is>
          <t>VÄSTERBOTTENS LÄN</t>
        </is>
      </c>
      <c r="E24" t="inlineStr">
        <is>
          <t>VILHELMINA</t>
        </is>
      </c>
      <c r="F24" t="inlineStr">
        <is>
          <t>SCA</t>
        </is>
      </c>
      <c r="G24" t="n">
        <v>5.8</v>
      </c>
      <c r="H24" t="n">
        <v>2</v>
      </c>
      <c r="I24" t="n">
        <v>3</v>
      </c>
      <c r="J24" t="n">
        <v>13</v>
      </c>
      <c r="K24" t="n">
        <v>1</v>
      </c>
      <c r="L24" t="n">
        <v>0</v>
      </c>
      <c r="M24" t="n">
        <v>0</v>
      </c>
      <c r="N24" t="n">
        <v>0</v>
      </c>
      <c r="O24" t="n">
        <v>14</v>
      </c>
      <c r="P24" t="n">
        <v>1</v>
      </c>
      <c r="Q24" t="n">
        <v>18</v>
      </c>
      <c r="R24" s="2" t="inlineStr">
        <is>
          <t>Ulltickeporing
Garnlav
Granticka
Gränsticka
Knottrig blåslav
Kolflarnlav
Leptoporus mollis
Lunglav
Rosenticka
Skrovellav
Tretåig hackspett
Ullticka
Vedskivlav
Äggvaxskivling
Skarp dropptaggsvamp
Stuplav
Tallfingersvamp
Tjäder</t>
        </is>
      </c>
      <c r="S24">
        <f>HYPERLINK("https://klasma.github.io/Logging_2462/artfynd/A 46776-2024 artfynd.xlsx", "A 46776-2024")</f>
        <v/>
      </c>
      <c r="T24">
        <f>HYPERLINK("https://klasma.github.io/Logging_2462/kartor/A 46776-2024 karta.png", "A 46776-2024")</f>
        <v/>
      </c>
      <c r="V24">
        <f>HYPERLINK("https://klasma.github.io/Logging_2462/klagomål/A 46776-2024 FSC-klagomål.docx", "A 46776-2024")</f>
        <v/>
      </c>
      <c r="W24">
        <f>HYPERLINK("https://klasma.github.io/Logging_2462/klagomålsmail/A 46776-2024 FSC-klagomål mail.docx", "A 46776-2024")</f>
        <v/>
      </c>
      <c r="X24">
        <f>HYPERLINK("https://klasma.github.io/Logging_2462/tillsyn/A 46776-2024 tillsynsbegäran.docx", "A 46776-2024")</f>
        <v/>
      </c>
      <c r="Y24">
        <f>HYPERLINK("https://klasma.github.io/Logging_2462/tillsynsmail/A 46776-2024 tillsynsbegäran mail.docx", "A 46776-2024")</f>
        <v/>
      </c>
      <c r="Z24">
        <f>HYPERLINK("https://klasma.github.io/Logging_2462/fåglar/A 46776-2024 prioriterade fågelarter.docx", "A 46776-2024")</f>
        <v/>
      </c>
    </row>
    <row r="25" ht="15" customHeight="1">
      <c r="A25" t="inlineStr">
        <is>
          <t>A 42064-2024</t>
        </is>
      </c>
      <c r="B25" s="1" t="n">
        <v>45561</v>
      </c>
      <c r="C25" s="1" t="n">
        <v>45990</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9057-2023</t>
        </is>
      </c>
      <c r="B26" s="1" t="n">
        <v>44972</v>
      </c>
      <c r="C26" s="1" t="n">
        <v>45990</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45990</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45990</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66998-2021</t>
        </is>
      </c>
      <c r="B29" s="1" t="n">
        <v>44522</v>
      </c>
      <c r="C29" s="1" t="n">
        <v>45990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45990</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45990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45990</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45990</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45990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45990</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45990</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45990</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45990</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45990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45990</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45990</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45990</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59039-2024</t>
        </is>
      </c>
      <c r="B43" s="1" t="n">
        <v>45636</v>
      </c>
      <c r="C43" s="1" t="n">
        <v>45990</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38930-2025</t>
        </is>
      </c>
      <c r="B44" s="1" t="n">
        <v>45887</v>
      </c>
      <c r="C44" s="1" t="n">
        <v>45990</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45990</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49141-2023</t>
        </is>
      </c>
      <c r="B46" s="1" t="n">
        <v>45205</v>
      </c>
      <c r="C46" s="1" t="n">
        <v>45990</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14963-2022</t>
        </is>
      </c>
      <c r="B47" s="1" t="n">
        <v>44657</v>
      </c>
      <c r="C47" s="1" t="n">
        <v>45990</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45990</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45990</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45990</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45990</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45990</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45990</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45990</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45990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45990</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45990</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59036-2024</t>
        </is>
      </c>
      <c r="B58" s="1" t="n">
        <v>45636</v>
      </c>
      <c r="C58" s="1" t="n">
        <v>45990</v>
      </c>
      <c r="D58" t="inlineStr">
        <is>
          <t>VÄSTERBOTTENS LÄN</t>
        </is>
      </c>
      <c r="E58" t="inlineStr">
        <is>
          <t>VILHELMINA</t>
        </is>
      </c>
      <c r="F58" t="inlineStr">
        <is>
          <t>Allmännings- och besparingsskogar</t>
        </is>
      </c>
      <c r="G58" t="n">
        <v>33</v>
      </c>
      <c r="H58" t="n">
        <v>1</v>
      </c>
      <c r="I58" t="n">
        <v>2</v>
      </c>
      <c r="J58" t="n">
        <v>6</v>
      </c>
      <c r="K58" t="n">
        <v>0</v>
      </c>
      <c r="L58" t="n">
        <v>0</v>
      </c>
      <c r="M58" t="n">
        <v>0</v>
      </c>
      <c r="N58" t="n">
        <v>0</v>
      </c>
      <c r="O58" t="n">
        <v>6</v>
      </c>
      <c r="P58" t="n">
        <v>0</v>
      </c>
      <c r="Q58" t="n">
        <v>9</v>
      </c>
      <c r="R58" s="2" t="inlineStr">
        <is>
          <t>Garnlav
Harticka
Knottrig blåslav
Rödbrun blekspik
Skrovellav
Vitgrynig nållav
Bårdlav
Gulnål
Skogsrör</t>
        </is>
      </c>
      <c r="S58">
        <f>HYPERLINK("https://klasma.github.io/Logging_2462/artfynd/A 59036-2024 artfynd.xlsx", "A 59036-2024")</f>
        <v/>
      </c>
      <c r="T58">
        <f>HYPERLINK("https://klasma.github.io/Logging_2462/kartor/A 59036-2024 karta.png", "A 59036-2024")</f>
        <v/>
      </c>
      <c r="V58">
        <f>HYPERLINK("https://klasma.github.io/Logging_2462/klagomål/A 59036-2024 FSC-klagomål.docx", "A 59036-2024")</f>
        <v/>
      </c>
      <c r="W58">
        <f>HYPERLINK("https://klasma.github.io/Logging_2462/klagomålsmail/A 59036-2024 FSC-klagomål mail.docx", "A 59036-2024")</f>
        <v/>
      </c>
      <c r="X58">
        <f>HYPERLINK("https://klasma.github.io/Logging_2462/tillsyn/A 59036-2024 tillsynsbegäran.docx", "A 59036-2024")</f>
        <v/>
      </c>
      <c r="Y58">
        <f>HYPERLINK("https://klasma.github.io/Logging_2462/tillsynsmail/A 59036-2024 tillsynsbegäran mail.docx", "A 59036-2024")</f>
        <v/>
      </c>
    </row>
    <row r="59" ht="15" customHeight="1">
      <c r="A59" t="inlineStr">
        <is>
          <t>A 31884-2024</t>
        </is>
      </c>
      <c r="B59" s="1" t="n">
        <v>45509</v>
      </c>
      <c r="C59" s="1" t="n">
        <v>45990</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2196-2021</t>
        </is>
      </c>
      <c r="B60" s="1" t="n">
        <v>44211</v>
      </c>
      <c r="C60" s="1" t="n">
        <v>45990</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45990</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45990</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56632-2024</t>
        </is>
      </c>
      <c r="B63" s="1" t="n">
        <v>45625</v>
      </c>
      <c r="C63" s="1" t="n">
        <v>45990</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45990</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45990</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28799-2024</t>
        </is>
      </c>
      <c r="B66" s="1" t="n">
        <v>45478</v>
      </c>
      <c r="C66" s="1" t="n">
        <v>45990</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30810-2024</t>
        </is>
      </c>
      <c r="B67" s="1" t="n">
        <v>45497</v>
      </c>
      <c r="C67" s="1" t="n">
        <v>45990</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25564-2024</t>
        </is>
      </c>
      <c r="B68" s="1" t="n">
        <v>45463</v>
      </c>
      <c r="C68" s="1" t="n">
        <v>45990</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32456-2024</t>
        </is>
      </c>
      <c r="B69" s="1" t="n">
        <v>45512</v>
      </c>
      <c r="C69" s="1" t="n">
        <v>45990</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35393-2024</t>
        </is>
      </c>
      <c r="B70" s="1" t="n">
        <v>45531</v>
      </c>
      <c r="C70" s="1" t="n">
        <v>45990</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44354-2024</t>
        </is>
      </c>
      <c r="B71" s="1" t="n">
        <v>45573</v>
      </c>
      <c r="C71" s="1" t="n">
        <v>45990</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45990</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49977-2023</t>
        </is>
      </c>
      <c r="B73" s="1" t="n">
        <v>45208</v>
      </c>
      <c r="C73" s="1" t="n">
        <v>45990</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45990</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18873-2025</t>
        </is>
      </c>
      <c r="B75" s="1" t="n">
        <v>45764</v>
      </c>
      <c r="C75" s="1" t="n">
        <v>45990</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25040-2025</t>
        </is>
      </c>
      <c r="B76" s="1" t="n">
        <v>45799.65734953704</v>
      </c>
      <c r="C76" s="1" t="n">
        <v>45990</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45990</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45990</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45990</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45990</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45990</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45990</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45990</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45990</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45990</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38124-2024</t>
        </is>
      </c>
      <c r="B86" s="1" t="n">
        <v>45545</v>
      </c>
      <c r="C86" s="1" t="n">
        <v>45990</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40736-2024</t>
        </is>
      </c>
      <c r="B87" s="1" t="n">
        <v>45558</v>
      </c>
      <c r="C87" s="1" t="n">
        <v>45990</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45990</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45990</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45990</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45990</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45990</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45990</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45990</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38123-2024</t>
        </is>
      </c>
      <c r="B95" s="1" t="n">
        <v>45545</v>
      </c>
      <c r="C95" s="1" t="n">
        <v>45990</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45990</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53897-2025</t>
        </is>
      </c>
      <c r="B97" s="1" t="n">
        <v>45961.42766203704</v>
      </c>
      <c r="C97" s="1" t="n">
        <v>45990</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45990</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45990</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47036-2025</t>
        </is>
      </c>
      <c r="B100" s="1" t="n">
        <v>45929.594375</v>
      </c>
      <c r="C100" s="1" t="n">
        <v>45990</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60737-2024</t>
        </is>
      </c>
      <c r="B101" s="1" t="n">
        <v>45644</v>
      </c>
      <c r="C101" s="1" t="n">
        <v>45990</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45990</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54780-2024</t>
        </is>
      </c>
      <c r="B103" s="1" t="n">
        <v>45618</v>
      </c>
      <c r="C103" s="1" t="n">
        <v>45990</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9157-2023</t>
        </is>
      </c>
      <c r="B104" s="1" t="n">
        <v>44972</v>
      </c>
      <c r="C104" s="1" t="n">
        <v>45990</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45990</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11980-2021</t>
        </is>
      </c>
      <c r="B106" s="1" t="n">
        <v>44266</v>
      </c>
      <c r="C106" s="1" t="n">
        <v>45990</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45990</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25037-2024</t>
        </is>
      </c>
      <c r="B108" s="1" t="n">
        <v>45461</v>
      </c>
      <c r="C108" s="1" t="n">
        <v>45990</v>
      </c>
      <c r="D108" t="inlineStr">
        <is>
          <t>VÄSTERBOTTENS LÄN</t>
        </is>
      </c>
      <c r="E108" t="inlineStr">
        <is>
          <t>VILHELMINA</t>
        </is>
      </c>
      <c r="F108" t="inlineStr">
        <is>
          <t>SCA</t>
        </is>
      </c>
      <c r="G108" t="n">
        <v>0.5</v>
      </c>
      <c r="H108" t="n">
        <v>2</v>
      </c>
      <c r="I108" t="n">
        <v>0</v>
      </c>
      <c r="J108" t="n">
        <v>1</v>
      </c>
      <c r="K108" t="n">
        <v>0</v>
      </c>
      <c r="L108" t="n">
        <v>0</v>
      </c>
      <c r="M108" t="n">
        <v>0</v>
      </c>
      <c r="N108" t="n">
        <v>0</v>
      </c>
      <c r="O108" t="n">
        <v>1</v>
      </c>
      <c r="P108" t="n">
        <v>0</v>
      </c>
      <c r="Q108" t="n">
        <v>2</v>
      </c>
      <c r="R108" s="2" t="inlineStr">
        <is>
          <t>Tretåig hackspett
Lavskrika</t>
        </is>
      </c>
      <c r="S108">
        <f>HYPERLINK("https://klasma.github.io/Logging_2462/artfynd/A 25037-2024 artfynd.xlsx", "A 25037-2024")</f>
        <v/>
      </c>
      <c r="T108">
        <f>HYPERLINK("https://klasma.github.io/Logging_2462/kartor/A 25037-2024 karta.png", "A 25037-2024")</f>
        <v/>
      </c>
      <c r="V108">
        <f>HYPERLINK("https://klasma.github.io/Logging_2462/klagomål/A 25037-2024 FSC-klagomål.docx", "A 25037-2024")</f>
        <v/>
      </c>
      <c r="W108">
        <f>HYPERLINK("https://klasma.github.io/Logging_2462/klagomålsmail/A 25037-2024 FSC-klagomål mail.docx", "A 25037-2024")</f>
        <v/>
      </c>
      <c r="X108">
        <f>HYPERLINK("https://klasma.github.io/Logging_2462/tillsyn/A 25037-2024 tillsynsbegäran.docx", "A 25037-2024")</f>
        <v/>
      </c>
      <c r="Y108">
        <f>HYPERLINK("https://klasma.github.io/Logging_2462/tillsynsmail/A 25037-2024 tillsynsbegäran mail.docx", "A 25037-2024")</f>
        <v/>
      </c>
      <c r="Z108">
        <f>HYPERLINK("https://klasma.github.io/Logging_2462/fåglar/A 25037-2024 prioriterade fågelarter.docx", "A 25037-2024")</f>
        <v/>
      </c>
    </row>
    <row r="109" ht="15" customHeight="1">
      <c r="A109" t="inlineStr">
        <is>
          <t>A 29140-2025</t>
        </is>
      </c>
      <c r="B109" s="1" t="n">
        <v>45821</v>
      </c>
      <c r="C109" s="1" t="n">
        <v>45990</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28012-2023</t>
        </is>
      </c>
      <c r="B110" s="1" t="n">
        <v>45098</v>
      </c>
      <c r="C110" s="1" t="n">
        <v>45990</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Garnlav
Tretåig hackspett</t>
        </is>
      </c>
      <c r="S110">
        <f>HYPERLINK("https://klasma.github.io/Logging_2462/artfynd/A 28012-2023 artfynd.xlsx", "A 28012-2023")</f>
        <v/>
      </c>
      <c r="T110">
        <f>HYPERLINK("https://klasma.github.io/Logging_2462/kartor/A 28012-2023 karta.png", "A 28012-2023")</f>
        <v/>
      </c>
      <c r="V110">
        <f>HYPERLINK("https://klasma.github.io/Logging_2462/klagomål/A 28012-2023 FSC-klagomål.docx", "A 28012-2023")</f>
        <v/>
      </c>
      <c r="W110">
        <f>HYPERLINK("https://klasma.github.io/Logging_2462/klagomålsmail/A 28012-2023 FSC-klagomål mail.docx", "A 28012-2023")</f>
        <v/>
      </c>
      <c r="X110">
        <f>HYPERLINK("https://klasma.github.io/Logging_2462/tillsyn/A 28012-2023 tillsynsbegäran.docx", "A 28012-2023")</f>
        <v/>
      </c>
      <c r="Y110">
        <f>HYPERLINK("https://klasma.github.io/Logging_2462/tillsynsmail/A 28012-2023 tillsynsbegäran mail.docx", "A 28012-2023")</f>
        <v/>
      </c>
      <c r="Z110">
        <f>HYPERLINK("https://klasma.github.io/Logging_2462/fåglar/A 28012-2023 prioriterade fågelarter.docx", "A 28012-2023")</f>
        <v/>
      </c>
    </row>
    <row r="111" ht="15" customHeight="1">
      <c r="A111" t="inlineStr">
        <is>
          <t>A 31735-2025</t>
        </is>
      </c>
      <c r="B111" s="1" t="n">
        <v>45834.47067129629</v>
      </c>
      <c r="C111" s="1" t="n">
        <v>45990</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30717-2023</t>
        </is>
      </c>
      <c r="B112" s="1" t="n">
        <v>45112</v>
      </c>
      <c r="C112" s="1" t="n">
        <v>45990</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69626-2020</t>
        </is>
      </c>
      <c r="B113" s="1" t="n">
        <v>44195</v>
      </c>
      <c r="C113" s="1" t="n">
        <v>45990</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19234-2021</t>
        </is>
      </c>
      <c r="B114" s="1" t="n">
        <v>44309</v>
      </c>
      <c r="C114" s="1" t="n">
        <v>45990</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42274-2025</t>
        </is>
      </c>
      <c r="B115" s="1" t="n">
        <v>45903</v>
      </c>
      <c r="C115" s="1" t="n">
        <v>45990</v>
      </c>
      <c r="D115" t="inlineStr">
        <is>
          <t>VÄSTERBOTTENS LÄN</t>
        </is>
      </c>
      <c r="E115" t="inlineStr">
        <is>
          <t>VILHELMINA</t>
        </is>
      </c>
      <c r="F115" t="inlineStr">
        <is>
          <t>Övriga statliga verk och myndigheter</t>
        </is>
      </c>
      <c r="G115" t="n">
        <v>3.1</v>
      </c>
      <c r="H115" t="n">
        <v>2</v>
      </c>
      <c r="I115" t="n">
        <v>1</v>
      </c>
      <c r="J115" t="n">
        <v>1</v>
      </c>
      <c r="K115" t="n">
        <v>0</v>
      </c>
      <c r="L115" t="n">
        <v>0</v>
      </c>
      <c r="M115" t="n">
        <v>0</v>
      </c>
      <c r="N115" t="n">
        <v>0</v>
      </c>
      <c r="O115" t="n">
        <v>1</v>
      </c>
      <c r="P115" t="n">
        <v>0</v>
      </c>
      <c r="Q115" t="n">
        <v>2</v>
      </c>
      <c r="R115" s="2" t="inlineStr">
        <is>
          <t>Björktrast
Grönkulla</t>
        </is>
      </c>
      <c r="S115">
        <f>HYPERLINK("https://klasma.github.io/Logging_2462/artfynd/A 42274-2025 artfynd.xlsx", "A 42274-2025")</f>
        <v/>
      </c>
      <c r="T115">
        <f>HYPERLINK("https://klasma.github.io/Logging_2462/kartor/A 42274-2025 karta.png", "A 42274-2025")</f>
        <v/>
      </c>
      <c r="V115">
        <f>HYPERLINK("https://klasma.github.io/Logging_2462/klagomål/A 42274-2025 FSC-klagomål.docx", "A 42274-2025")</f>
        <v/>
      </c>
      <c r="W115">
        <f>HYPERLINK("https://klasma.github.io/Logging_2462/klagomålsmail/A 42274-2025 FSC-klagomål mail.docx", "A 42274-2025")</f>
        <v/>
      </c>
      <c r="X115">
        <f>HYPERLINK("https://klasma.github.io/Logging_2462/tillsyn/A 42274-2025 tillsynsbegäran.docx", "A 42274-2025")</f>
        <v/>
      </c>
      <c r="Y115">
        <f>HYPERLINK("https://klasma.github.io/Logging_2462/tillsynsmail/A 42274-2025 tillsynsbegäran mail.docx", "A 42274-2025")</f>
        <v/>
      </c>
      <c r="Z115">
        <f>HYPERLINK("https://klasma.github.io/Logging_2462/fåglar/A 42274-2025 prioriterade fågelarter.docx", "A 42274-2025")</f>
        <v/>
      </c>
    </row>
    <row r="116" ht="15" customHeight="1">
      <c r="A116" t="inlineStr">
        <is>
          <t>A 36998-2025</t>
        </is>
      </c>
      <c r="B116" s="1" t="n">
        <v>45874</v>
      </c>
      <c r="C116" s="1" t="n">
        <v>45990</v>
      </c>
      <c r="D116" t="inlineStr">
        <is>
          <t>VÄSTERBOTTENS LÄN</t>
        </is>
      </c>
      <c r="E116" t="inlineStr">
        <is>
          <t>VILHELMINA</t>
        </is>
      </c>
      <c r="F116" t="inlineStr">
        <is>
          <t>SCA</t>
        </is>
      </c>
      <c r="G116" t="n">
        <v>16.9</v>
      </c>
      <c r="H116" t="n">
        <v>1</v>
      </c>
      <c r="I116" t="n">
        <v>1</v>
      </c>
      <c r="J116" t="n">
        <v>1</v>
      </c>
      <c r="K116" t="n">
        <v>0</v>
      </c>
      <c r="L116" t="n">
        <v>0</v>
      </c>
      <c r="M116" t="n">
        <v>0</v>
      </c>
      <c r="N116" t="n">
        <v>0</v>
      </c>
      <c r="O116" t="n">
        <v>1</v>
      </c>
      <c r="P116" t="n">
        <v>0</v>
      </c>
      <c r="Q116" t="n">
        <v>2</v>
      </c>
      <c r="R116" s="2" t="inlineStr">
        <is>
          <t>Granticka
Lappranunkel</t>
        </is>
      </c>
      <c r="S116">
        <f>HYPERLINK("https://klasma.github.io/Logging_2462/artfynd/A 36998-2025 artfynd.xlsx", "A 36998-2025")</f>
        <v/>
      </c>
      <c r="T116">
        <f>HYPERLINK("https://klasma.github.io/Logging_2462/kartor/A 36998-2025 karta.png", "A 36998-2025")</f>
        <v/>
      </c>
      <c r="V116">
        <f>HYPERLINK("https://klasma.github.io/Logging_2462/klagomål/A 36998-2025 FSC-klagomål.docx", "A 36998-2025")</f>
        <v/>
      </c>
      <c r="W116">
        <f>HYPERLINK("https://klasma.github.io/Logging_2462/klagomålsmail/A 36998-2025 FSC-klagomål mail.docx", "A 36998-2025")</f>
        <v/>
      </c>
      <c r="X116">
        <f>HYPERLINK("https://klasma.github.io/Logging_2462/tillsyn/A 36998-2025 tillsynsbegäran.docx", "A 36998-2025")</f>
        <v/>
      </c>
      <c r="Y116">
        <f>HYPERLINK("https://klasma.github.io/Logging_2462/tillsynsmail/A 36998-2025 tillsynsbegäran mail.docx", "A 36998-2025")</f>
        <v/>
      </c>
    </row>
    <row r="117" ht="15" customHeight="1">
      <c r="A117" t="inlineStr">
        <is>
          <t>A 48652-2025</t>
        </is>
      </c>
      <c r="B117" s="1" t="n">
        <v>45936</v>
      </c>
      <c r="C117" s="1" t="n">
        <v>45990</v>
      </c>
      <c r="D117" t="inlineStr">
        <is>
          <t>VÄSTERBOTTENS LÄN</t>
        </is>
      </c>
      <c r="E117" t="inlineStr">
        <is>
          <t>VILHELMINA</t>
        </is>
      </c>
      <c r="F117" t="inlineStr">
        <is>
          <t>SCA</t>
        </is>
      </c>
      <c r="G117" t="n">
        <v>6.8</v>
      </c>
      <c r="H117" t="n">
        <v>0</v>
      </c>
      <c r="I117" t="n">
        <v>0</v>
      </c>
      <c r="J117" t="n">
        <v>2</v>
      </c>
      <c r="K117" t="n">
        <v>0</v>
      </c>
      <c r="L117" t="n">
        <v>0</v>
      </c>
      <c r="M117" t="n">
        <v>0</v>
      </c>
      <c r="N117" t="n">
        <v>0</v>
      </c>
      <c r="O117" t="n">
        <v>2</v>
      </c>
      <c r="P117" t="n">
        <v>0</v>
      </c>
      <c r="Q117" t="n">
        <v>2</v>
      </c>
      <c r="R117" s="2" t="inlineStr">
        <is>
          <t>Gammelgransskål
Knottrig blåslav</t>
        </is>
      </c>
      <c r="S117">
        <f>HYPERLINK("https://klasma.github.io/Logging_2462/artfynd/A 48652-2025 artfynd.xlsx", "A 48652-2025")</f>
        <v/>
      </c>
      <c r="T117">
        <f>HYPERLINK("https://klasma.github.io/Logging_2462/kartor/A 48652-2025 karta.png", "A 48652-2025")</f>
        <v/>
      </c>
      <c r="V117">
        <f>HYPERLINK("https://klasma.github.io/Logging_2462/klagomål/A 48652-2025 FSC-klagomål.docx", "A 48652-2025")</f>
        <v/>
      </c>
      <c r="W117">
        <f>HYPERLINK("https://klasma.github.io/Logging_2462/klagomålsmail/A 48652-2025 FSC-klagomål mail.docx", "A 48652-2025")</f>
        <v/>
      </c>
      <c r="X117">
        <f>HYPERLINK("https://klasma.github.io/Logging_2462/tillsyn/A 48652-2025 tillsynsbegäran.docx", "A 48652-2025")</f>
        <v/>
      </c>
      <c r="Y117">
        <f>HYPERLINK("https://klasma.github.io/Logging_2462/tillsynsmail/A 48652-2025 tillsynsbegäran mail.docx", "A 48652-2025")</f>
        <v/>
      </c>
    </row>
    <row r="118" ht="15" customHeight="1">
      <c r="A118" t="inlineStr">
        <is>
          <t>A 6704-2021</t>
        </is>
      </c>
      <c r="B118" s="1" t="n">
        <v>44235</v>
      </c>
      <c r="C118" s="1" t="n">
        <v>45990</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45990</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41645-2024</t>
        </is>
      </c>
      <c r="B120" s="1" t="n">
        <v>45560</v>
      </c>
      <c r="C120" s="1" t="n">
        <v>45990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54779-2024</t>
        </is>
      </c>
      <c r="B121" s="1" t="n">
        <v>45618</v>
      </c>
      <c r="C121" s="1" t="n">
        <v>45990</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45990</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45990</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45990</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45990</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37513-2024</t>
        </is>
      </c>
      <c r="B126" s="1" t="n">
        <v>45541.38572916666</v>
      </c>
      <c r="C126" s="1" t="n">
        <v>45990</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20983-2025</t>
        </is>
      </c>
      <c r="B127" s="1" t="n">
        <v>45777.46910879629</v>
      </c>
      <c r="C127" s="1" t="n">
        <v>45990</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45990</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45990</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34769-2024</t>
        </is>
      </c>
      <c r="B130" s="1" t="n">
        <v>45526.62043981482</v>
      </c>
      <c r="C130" s="1" t="n">
        <v>45990</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74395-2021</t>
        </is>
      </c>
      <c r="B131" s="1" t="n">
        <v>44560</v>
      </c>
      <c r="C131" s="1" t="n">
        <v>45990</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45990</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29317-2023</t>
        </is>
      </c>
      <c r="B133" s="1" t="n">
        <v>45105</v>
      </c>
      <c r="C133" s="1" t="n">
        <v>45990</v>
      </c>
      <c r="D133" t="inlineStr">
        <is>
          <t>VÄSTERBOTTENS LÄN</t>
        </is>
      </c>
      <c r="E133" t="inlineStr">
        <is>
          <t>VILHELMINA</t>
        </is>
      </c>
      <c r="F133" t="inlineStr">
        <is>
          <t>SCA</t>
        </is>
      </c>
      <c r="G133" t="n">
        <v>18.8</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29317-2023 artfynd.xlsx", "A 29317-2023")</f>
        <v/>
      </c>
      <c r="T133">
        <f>HYPERLINK("https://klasma.github.io/Logging_2462/kartor/A 29317-2023 karta.png", "A 29317-2023")</f>
        <v/>
      </c>
      <c r="V133">
        <f>HYPERLINK("https://klasma.github.io/Logging_2462/klagomål/A 29317-2023 FSC-klagomål.docx", "A 29317-2023")</f>
        <v/>
      </c>
      <c r="W133">
        <f>HYPERLINK("https://klasma.github.io/Logging_2462/klagomålsmail/A 29317-2023 FSC-klagomål mail.docx", "A 29317-2023")</f>
        <v/>
      </c>
      <c r="X133">
        <f>HYPERLINK("https://klasma.github.io/Logging_2462/tillsyn/A 29317-2023 tillsynsbegäran.docx", "A 29317-2023")</f>
        <v/>
      </c>
      <c r="Y133">
        <f>HYPERLINK("https://klasma.github.io/Logging_2462/tillsynsmail/A 29317-2023 tillsynsbegäran mail.docx", "A 29317-2023")</f>
        <v/>
      </c>
      <c r="Z133">
        <f>HYPERLINK("https://klasma.github.io/Logging_2462/fåglar/A 29317-2023 prioriterade fågelarter.docx", "A 29317-2023")</f>
        <v/>
      </c>
    </row>
    <row r="134" ht="15" customHeight="1">
      <c r="A134" t="inlineStr">
        <is>
          <t>A 29121-2025</t>
        </is>
      </c>
      <c r="B134" s="1" t="n">
        <v>45821</v>
      </c>
      <c r="C134" s="1" t="n">
        <v>45990</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38131-2024</t>
        </is>
      </c>
      <c r="B135" s="1" t="n">
        <v>45545</v>
      </c>
      <c r="C135" s="1" t="n">
        <v>45990</v>
      </c>
      <c r="D135" t="inlineStr">
        <is>
          <t>VÄSTERBOTTENS LÄN</t>
        </is>
      </c>
      <c r="E135" t="inlineStr">
        <is>
          <t>VILHELMINA</t>
        </is>
      </c>
      <c r="F135" t="inlineStr">
        <is>
          <t>SCA</t>
        </is>
      </c>
      <c r="G135" t="n">
        <v>1.5</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38131-2024 artfynd.xlsx", "A 38131-2024")</f>
        <v/>
      </c>
      <c r="T135">
        <f>HYPERLINK("https://klasma.github.io/Logging_2462/kartor/A 38131-2024 karta.png", "A 38131-2024")</f>
        <v/>
      </c>
      <c r="V135">
        <f>HYPERLINK("https://klasma.github.io/Logging_2462/klagomål/A 38131-2024 FSC-klagomål.docx", "A 38131-2024")</f>
        <v/>
      </c>
      <c r="W135">
        <f>HYPERLINK("https://klasma.github.io/Logging_2462/klagomålsmail/A 38131-2024 FSC-klagomål mail.docx", "A 38131-2024")</f>
        <v/>
      </c>
      <c r="X135">
        <f>HYPERLINK("https://klasma.github.io/Logging_2462/tillsyn/A 38131-2024 tillsynsbegäran.docx", "A 38131-2024")</f>
        <v/>
      </c>
      <c r="Y135">
        <f>HYPERLINK("https://klasma.github.io/Logging_2462/tillsynsmail/A 38131-2024 tillsynsbegäran mail.docx", "A 38131-2024")</f>
        <v/>
      </c>
      <c r="Z135">
        <f>HYPERLINK("https://klasma.github.io/Logging_2462/fåglar/A 38131-2024 prioriterade fågelarter.docx", "A 38131-2024")</f>
        <v/>
      </c>
    </row>
    <row r="136" ht="15" customHeight="1">
      <c r="A136" t="inlineStr">
        <is>
          <t>A 66924-2021</t>
        </is>
      </c>
      <c r="B136" s="1" t="n">
        <v>44522</v>
      </c>
      <c r="C136" s="1" t="n">
        <v>45990</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56247-2023</t>
        </is>
      </c>
      <c r="B137" s="1" t="n">
        <v>45240</v>
      </c>
      <c r="C137" s="1" t="n">
        <v>45990</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29434-2025</t>
        </is>
      </c>
      <c r="B138" s="1" t="n">
        <v>45824</v>
      </c>
      <c r="C138" s="1" t="n">
        <v>45990</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13523-2025</t>
        </is>
      </c>
      <c r="B139" s="1" t="n">
        <v>45736</v>
      </c>
      <c r="C139" s="1" t="n">
        <v>45990</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13523-2025 artfynd.xlsx", "A 13523-2025")</f>
        <v/>
      </c>
      <c r="T139">
        <f>HYPERLINK("https://klasma.github.io/Logging_2462/kartor/A 13523-2025 karta.png", "A 13523-2025")</f>
        <v/>
      </c>
      <c r="V139">
        <f>HYPERLINK("https://klasma.github.io/Logging_2462/klagomål/A 13523-2025 FSC-klagomål.docx", "A 13523-2025")</f>
        <v/>
      </c>
      <c r="W139">
        <f>HYPERLINK("https://klasma.github.io/Logging_2462/klagomålsmail/A 13523-2025 FSC-klagomål mail.docx", "A 13523-2025")</f>
        <v/>
      </c>
      <c r="X139">
        <f>HYPERLINK("https://klasma.github.io/Logging_2462/tillsyn/A 13523-2025 tillsynsbegäran.docx", "A 13523-2025")</f>
        <v/>
      </c>
      <c r="Y139">
        <f>HYPERLINK("https://klasma.github.io/Logging_2462/tillsynsmail/A 13523-2025 tillsynsbegäran mail.docx", "A 13523-2025")</f>
        <v/>
      </c>
    </row>
    <row r="140" ht="15" customHeight="1">
      <c r="A140" t="inlineStr">
        <is>
          <t>A 34730-2024</t>
        </is>
      </c>
      <c r="B140" s="1" t="n">
        <v>45526</v>
      </c>
      <c r="C140" s="1" t="n">
        <v>45990</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48741-2025</t>
        </is>
      </c>
      <c r="B141" s="1" t="n">
        <v>45936</v>
      </c>
      <c r="C141" s="1" t="n">
        <v>45990</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38929-2025</t>
        </is>
      </c>
      <c r="B142" s="1" t="n">
        <v>45887</v>
      </c>
      <c r="C142" s="1" t="n">
        <v>45990</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59001-2024</t>
        </is>
      </c>
      <c r="B143" s="1" t="n">
        <v>45636</v>
      </c>
      <c r="C143" s="1" t="n">
        <v>45990</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32677-2021</t>
        </is>
      </c>
      <c r="B144" s="1" t="n">
        <v>44371</v>
      </c>
      <c r="C144" s="1" t="n">
        <v>45990</v>
      </c>
      <c r="D144" t="inlineStr">
        <is>
          <t>VÄSTERBOTTENS LÄN</t>
        </is>
      </c>
      <c r="E144" t="inlineStr">
        <is>
          <t>VILHELMINA</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32677-2021 artfynd.xlsx", "A 32677-2021")</f>
        <v/>
      </c>
      <c r="T144">
        <f>HYPERLINK("https://klasma.github.io/Logging_2462/kartor/A 32677-2021 karta.png", "A 32677-2021")</f>
        <v/>
      </c>
      <c r="V144">
        <f>HYPERLINK("https://klasma.github.io/Logging_2462/klagomål/A 32677-2021 FSC-klagomål.docx", "A 32677-2021")</f>
        <v/>
      </c>
      <c r="W144">
        <f>HYPERLINK("https://klasma.github.io/Logging_2462/klagomålsmail/A 32677-2021 FSC-klagomål mail.docx", "A 32677-2021")</f>
        <v/>
      </c>
      <c r="X144">
        <f>HYPERLINK("https://klasma.github.io/Logging_2462/tillsyn/A 32677-2021 tillsynsbegäran.docx", "A 32677-2021")</f>
        <v/>
      </c>
      <c r="Y144">
        <f>HYPERLINK("https://klasma.github.io/Logging_2462/tillsynsmail/A 32677-2021 tillsynsbegäran mail.docx", "A 32677-2021")</f>
        <v/>
      </c>
      <c r="Z144">
        <f>HYPERLINK("https://klasma.github.io/Logging_2462/fåglar/A 32677-2021 prioriterade fågelarter.docx", "A 32677-2021")</f>
        <v/>
      </c>
    </row>
    <row r="145" ht="15" customHeight="1">
      <c r="A145" t="inlineStr">
        <is>
          <t>A 38282-2024</t>
        </is>
      </c>
      <c r="B145" s="1" t="n">
        <v>45545</v>
      </c>
      <c r="C145" s="1" t="n">
        <v>45990</v>
      </c>
      <c r="D145" t="inlineStr">
        <is>
          <t>VÄSTERBOTTENS LÄN</t>
        </is>
      </c>
      <c r="E145" t="inlineStr">
        <is>
          <t>VILHELMINA</t>
        </is>
      </c>
      <c r="F145" t="inlineStr">
        <is>
          <t>SCA</t>
        </is>
      </c>
      <c r="G145" t="n">
        <v>3.4</v>
      </c>
      <c r="H145" t="n">
        <v>0</v>
      </c>
      <c r="I145" t="n">
        <v>0</v>
      </c>
      <c r="J145" t="n">
        <v>1</v>
      </c>
      <c r="K145" t="n">
        <v>0</v>
      </c>
      <c r="L145" t="n">
        <v>0</v>
      </c>
      <c r="M145" t="n">
        <v>0</v>
      </c>
      <c r="N145" t="n">
        <v>0</v>
      </c>
      <c r="O145" t="n">
        <v>1</v>
      </c>
      <c r="P145" t="n">
        <v>0</v>
      </c>
      <c r="Q145" t="n">
        <v>1</v>
      </c>
      <c r="R145" s="2" t="inlineStr">
        <is>
          <t>Gränsticka</t>
        </is>
      </c>
      <c r="S145">
        <f>HYPERLINK("https://klasma.github.io/Logging_2462/artfynd/A 38282-2024 artfynd.xlsx", "A 38282-2024")</f>
        <v/>
      </c>
      <c r="T145">
        <f>HYPERLINK("https://klasma.github.io/Logging_2462/kartor/A 38282-2024 karta.png", "A 38282-2024")</f>
        <v/>
      </c>
      <c r="V145">
        <f>HYPERLINK("https://klasma.github.io/Logging_2462/klagomål/A 38282-2024 FSC-klagomål.docx", "A 38282-2024")</f>
        <v/>
      </c>
      <c r="W145">
        <f>HYPERLINK("https://klasma.github.io/Logging_2462/klagomålsmail/A 38282-2024 FSC-klagomål mail.docx", "A 38282-2024")</f>
        <v/>
      </c>
      <c r="X145">
        <f>HYPERLINK("https://klasma.github.io/Logging_2462/tillsyn/A 38282-2024 tillsynsbegäran.docx", "A 38282-2024")</f>
        <v/>
      </c>
      <c r="Y145">
        <f>HYPERLINK("https://klasma.github.io/Logging_2462/tillsynsmail/A 38282-2024 tillsynsbegäran mail.docx", "A 38282-2024")</f>
        <v/>
      </c>
    </row>
    <row r="146" ht="15" customHeight="1">
      <c r="A146" t="inlineStr">
        <is>
          <t>A 25374-2024</t>
        </is>
      </c>
      <c r="B146" s="1" t="n">
        <v>45462.96118055555</v>
      </c>
      <c r="C146" s="1" t="n">
        <v>45990</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59664-2023</t>
        </is>
      </c>
      <c r="B147" s="1" t="n">
        <v>45254</v>
      </c>
      <c r="C147" s="1" t="n">
        <v>45990</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11832-2023</t>
        </is>
      </c>
      <c r="B148" s="1" t="n">
        <v>44994</v>
      </c>
      <c r="C148" s="1" t="n">
        <v>45990</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45990</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45990</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42489-2024</t>
        </is>
      </c>
      <c r="B151" s="1" t="n">
        <v>45565</v>
      </c>
      <c r="C151" s="1" t="n">
        <v>45990</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Granticka</t>
        </is>
      </c>
      <c r="S151">
        <f>HYPERLINK("https://klasma.github.io/Logging_2462/artfynd/A 42489-2024 artfynd.xlsx", "A 42489-2024")</f>
        <v/>
      </c>
      <c r="T151">
        <f>HYPERLINK("https://klasma.github.io/Logging_2462/kartor/A 42489-2024 karta.png", "A 42489-2024")</f>
        <v/>
      </c>
      <c r="V151">
        <f>HYPERLINK("https://klasma.github.io/Logging_2462/klagomål/A 42489-2024 FSC-klagomål.docx", "A 42489-2024")</f>
        <v/>
      </c>
      <c r="W151">
        <f>HYPERLINK("https://klasma.github.io/Logging_2462/klagomålsmail/A 42489-2024 FSC-klagomål mail.docx", "A 42489-2024")</f>
        <v/>
      </c>
      <c r="X151">
        <f>HYPERLINK("https://klasma.github.io/Logging_2462/tillsyn/A 42489-2024 tillsynsbegäran.docx", "A 42489-2024")</f>
        <v/>
      </c>
      <c r="Y151">
        <f>HYPERLINK("https://klasma.github.io/Logging_2462/tillsynsmail/A 42489-2024 tillsynsbegäran mail.docx", "A 42489-2024")</f>
        <v/>
      </c>
    </row>
    <row r="152" ht="15" customHeight="1">
      <c r="A152" t="inlineStr">
        <is>
          <t>A 25368-2024</t>
        </is>
      </c>
      <c r="B152" s="1" t="n">
        <v>45462</v>
      </c>
      <c r="C152" s="1" t="n">
        <v>45990</v>
      </c>
      <c r="D152" t="inlineStr">
        <is>
          <t>VÄSTERBOTTENS LÄN</t>
        </is>
      </c>
      <c r="E152" t="inlineStr">
        <is>
          <t>VILHELMINA</t>
        </is>
      </c>
      <c r="F152" t="inlineStr">
        <is>
          <t>SCA</t>
        </is>
      </c>
      <c r="G152" t="n">
        <v>2.5</v>
      </c>
      <c r="H152" t="n">
        <v>1</v>
      </c>
      <c r="I152" t="n">
        <v>0</v>
      </c>
      <c r="J152" t="n">
        <v>1</v>
      </c>
      <c r="K152" t="n">
        <v>0</v>
      </c>
      <c r="L152" t="n">
        <v>0</v>
      </c>
      <c r="M152" t="n">
        <v>0</v>
      </c>
      <c r="N152" t="n">
        <v>0</v>
      </c>
      <c r="O152" t="n">
        <v>1</v>
      </c>
      <c r="P152" t="n">
        <v>0</v>
      </c>
      <c r="Q152" t="n">
        <v>1</v>
      </c>
      <c r="R152" s="2" t="inlineStr">
        <is>
          <t>Utter</t>
        </is>
      </c>
      <c r="S152">
        <f>HYPERLINK("https://klasma.github.io/Logging_2462/artfynd/A 25368-2024 artfynd.xlsx", "A 25368-2024")</f>
        <v/>
      </c>
      <c r="T152">
        <f>HYPERLINK("https://klasma.github.io/Logging_2462/kartor/A 25368-2024 karta.png", "A 25368-2024")</f>
        <v/>
      </c>
      <c r="V152">
        <f>HYPERLINK("https://klasma.github.io/Logging_2462/klagomål/A 25368-2024 FSC-klagomål.docx", "A 25368-2024")</f>
        <v/>
      </c>
      <c r="W152">
        <f>HYPERLINK("https://klasma.github.io/Logging_2462/klagomålsmail/A 25368-2024 FSC-klagomål mail.docx", "A 25368-2024")</f>
        <v/>
      </c>
      <c r="X152">
        <f>HYPERLINK("https://klasma.github.io/Logging_2462/tillsyn/A 25368-2024 tillsynsbegäran.docx", "A 25368-2024")</f>
        <v/>
      </c>
      <c r="Y152">
        <f>HYPERLINK("https://klasma.github.io/Logging_2462/tillsynsmail/A 25368-2024 tillsynsbegäran mail.docx", "A 25368-2024")</f>
        <v/>
      </c>
    </row>
    <row r="153" ht="15" customHeight="1">
      <c r="A153" t="inlineStr">
        <is>
          <t>A 17253-2025</t>
        </is>
      </c>
      <c r="B153" s="1" t="n">
        <v>45756</v>
      </c>
      <c r="C153" s="1" t="n">
        <v>45990</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44286-2024</t>
        </is>
      </c>
      <c r="B154" s="1" t="n">
        <v>45573</v>
      </c>
      <c r="C154" s="1" t="n">
        <v>45990</v>
      </c>
      <c r="D154" t="inlineStr">
        <is>
          <t>VÄSTERBOTTENS LÄN</t>
        </is>
      </c>
      <c r="E154" t="inlineStr">
        <is>
          <t>VILHELMINA</t>
        </is>
      </c>
      <c r="G154" t="n">
        <v>29.2</v>
      </c>
      <c r="H154" t="n">
        <v>1</v>
      </c>
      <c r="I154" t="n">
        <v>0</v>
      </c>
      <c r="J154" t="n">
        <v>1</v>
      </c>
      <c r="K154" t="n">
        <v>0</v>
      </c>
      <c r="L154" t="n">
        <v>0</v>
      </c>
      <c r="M154" t="n">
        <v>0</v>
      </c>
      <c r="N154" t="n">
        <v>0</v>
      </c>
      <c r="O154" t="n">
        <v>1</v>
      </c>
      <c r="P154" t="n">
        <v>0</v>
      </c>
      <c r="Q154" t="n">
        <v>1</v>
      </c>
      <c r="R154" s="2" t="inlineStr">
        <is>
          <t>Videsparv</t>
        </is>
      </c>
      <c r="S154">
        <f>HYPERLINK("https://klasma.github.io/Logging_2462/artfynd/A 44286-2024 artfynd.xlsx", "A 44286-2024")</f>
        <v/>
      </c>
      <c r="T154">
        <f>HYPERLINK("https://klasma.github.io/Logging_2462/kartor/A 44286-2024 karta.png", "A 44286-2024")</f>
        <v/>
      </c>
      <c r="V154">
        <f>HYPERLINK("https://klasma.github.io/Logging_2462/klagomål/A 44286-2024 FSC-klagomål.docx", "A 44286-2024")</f>
        <v/>
      </c>
      <c r="W154">
        <f>HYPERLINK("https://klasma.github.io/Logging_2462/klagomålsmail/A 44286-2024 FSC-klagomål mail.docx", "A 44286-2024")</f>
        <v/>
      </c>
      <c r="X154">
        <f>HYPERLINK("https://klasma.github.io/Logging_2462/tillsyn/A 44286-2024 tillsynsbegäran.docx", "A 44286-2024")</f>
        <v/>
      </c>
      <c r="Y154">
        <f>HYPERLINK("https://klasma.github.io/Logging_2462/tillsynsmail/A 44286-2024 tillsynsbegäran mail.docx", "A 44286-2024")</f>
        <v/>
      </c>
      <c r="Z154">
        <f>HYPERLINK("https://klasma.github.io/Logging_2462/fåglar/A 44286-2024 prioriterade fågelarter.docx", "A 44286-2024")</f>
        <v/>
      </c>
    </row>
    <row r="155" ht="15" customHeight="1">
      <c r="A155" t="inlineStr">
        <is>
          <t>A 65146-2021</t>
        </is>
      </c>
      <c r="B155" s="1" t="n">
        <v>44515</v>
      </c>
      <c r="C155" s="1" t="n">
        <v>45990</v>
      </c>
      <c r="D155" t="inlineStr">
        <is>
          <t>VÄSTERBOTTENS LÄN</t>
        </is>
      </c>
      <c r="E155" t="inlineStr">
        <is>
          <t>VILHELMINA</t>
        </is>
      </c>
      <c r="G155" t="n">
        <v>7.4</v>
      </c>
      <c r="H155" t="n">
        <v>0</v>
      </c>
      <c r="I155" t="n">
        <v>0</v>
      </c>
      <c r="J155" t="n">
        <v>1</v>
      </c>
      <c r="K155" t="n">
        <v>0</v>
      </c>
      <c r="L155" t="n">
        <v>0</v>
      </c>
      <c r="M155" t="n">
        <v>0</v>
      </c>
      <c r="N155" t="n">
        <v>0</v>
      </c>
      <c r="O155" t="n">
        <v>1</v>
      </c>
      <c r="P155" t="n">
        <v>0</v>
      </c>
      <c r="Q155" t="n">
        <v>1</v>
      </c>
      <c r="R155" s="2" t="inlineStr">
        <is>
          <t>Granticka</t>
        </is>
      </c>
      <c r="S155">
        <f>HYPERLINK("https://klasma.github.io/Logging_2462/artfynd/A 65146-2021 artfynd.xlsx", "A 65146-2021")</f>
        <v/>
      </c>
      <c r="T155">
        <f>HYPERLINK("https://klasma.github.io/Logging_2462/kartor/A 65146-2021 karta.png", "A 65146-2021")</f>
        <v/>
      </c>
      <c r="V155">
        <f>HYPERLINK("https://klasma.github.io/Logging_2462/klagomål/A 65146-2021 FSC-klagomål.docx", "A 65146-2021")</f>
        <v/>
      </c>
      <c r="W155">
        <f>HYPERLINK("https://klasma.github.io/Logging_2462/klagomålsmail/A 65146-2021 FSC-klagomål mail.docx", "A 65146-2021")</f>
        <v/>
      </c>
      <c r="X155">
        <f>HYPERLINK("https://klasma.github.io/Logging_2462/tillsyn/A 65146-2021 tillsynsbegäran.docx", "A 65146-2021")</f>
        <v/>
      </c>
      <c r="Y155">
        <f>HYPERLINK("https://klasma.github.io/Logging_2462/tillsynsmail/A 65146-2021 tillsynsbegäran mail.docx", "A 65146-2021")</f>
        <v/>
      </c>
    </row>
    <row r="156" ht="15" customHeight="1">
      <c r="A156" t="inlineStr">
        <is>
          <t>A 29376-2021</t>
        </is>
      </c>
      <c r="B156" s="1" t="n">
        <v>44361</v>
      </c>
      <c r="C156" s="1" t="n">
        <v>45990</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47248-2024</t>
        </is>
      </c>
      <c r="B157" s="1" t="n">
        <v>45586</v>
      </c>
      <c r="C157" s="1" t="n">
        <v>45990</v>
      </c>
      <c r="D157" t="inlineStr">
        <is>
          <t>VÄSTERBOTTENS LÄN</t>
        </is>
      </c>
      <c r="E157" t="inlineStr">
        <is>
          <t>VILHELMINA</t>
        </is>
      </c>
      <c r="F157" t="inlineStr">
        <is>
          <t>SCA</t>
        </is>
      </c>
      <c r="G157" t="n">
        <v>4</v>
      </c>
      <c r="H157" t="n">
        <v>0</v>
      </c>
      <c r="I157" t="n">
        <v>0</v>
      </c>
      <c r="J157" t="n">
        <v>1</v>
      </c>
      <c r="K157" t="n">
        <v>0</v>
      </c>
      <c r="L157" t="n">
        <v>0</v>
      </c>
      <c r="M157" t="n">
        <v>0</v>
      </c>
      <c r="N157" t="n">
        <v>0</v>
      </c>
      <c r="O157" t="n">
        <v>1</v>
      </c>
      <c r="P157" t="n">
        <v>0</v>
      </c>
      <c r="Q157" t="n">
        <v>1</v>
      </c>
      <c r="R157" s="2" t="inlineStr">
        <is>
          <t>Granticka</t>
        </is>
      </c>
      <c r="S157">
        <f>HYPERLINK("https://klasma.github.io/Logging_2462/artfynd/A 47248-2024 artfynd.xlsx", "A 47248-2024")</f>
        <v/>
      </c>
      <c r="T157">
        <f>HYPERLINK("https://klasma.github.io/Logging_2462/kartor/A 47248-2024 karta.png", "A 47248-2024")</f>
        <v/>
      </c>
      <c r="V157">
        <f>HYPERLINK("https://klasma.github.io/Logging_2462/klagomål/A 47248-2024 FSC-klagomål.docx", "A 47248-2024")</f>
        <v/>
      </c>
      <c r="W157">
        <f>HYPERLINK("https://klasma.github.io/Logging_2462/klagomålsmail/A 47248-2024 FSC-klagomål mail.docx", "A 47248-2024")</f>
        <v/>
      </c>
      <c r="X157">
        <f>HYPERLINK("https://klasma.github.io/Logging_2462/tillsyn/A 47248-2024 tillsynsbegäran.docx", "A 47248-2024")</f>
        <v/>
      </c>
      <c r="Y157">
        <f>HYPERLINK("https://klasma.github.io/Logging_2462/tillsynsmail/A 47248-2024 tillsynsbegäran mail.docx", "A 47248-2024")</f>
        <v/>
      </c>
    </row>
    <row r="158" ht="15" customHeight="1">
      <c r="A158" t="inlineStr">
        <is>
          <t>A 38416-2022</t>
        </is>
      </c>
      <c r="B158" s="1" t="n">
        <v>44812</v>
      </c>
      <c r="C158" s="1" t="n">
        <v>45990</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45990</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45990</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45990</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45990</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45990</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45990</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45990</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45990</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45990</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45990</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45990</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45990</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45990</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45990</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45990</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45990</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45990</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45990</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45990</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45990</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45990</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45990</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45990</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45990</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45990</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45990</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45990</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45990</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45990</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45990</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45990</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45990</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45990</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45990</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45990</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45990</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45990</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45990</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30018-2022</t>
        </is>
      </c>
      <c r="B197" s="1" t="n">
        <v>44756</v>
      </c>
      <c r="C197" s="1" t="n">
        <v>45990</v>
      </c>
      <c r="D197" t="inlineStr">
        <is>
          <t>VÄSTERBOTTENS LÄN</t>
        </is>
      </c>
      <c r="E197" t="inlineStr">
        <is>
          <t>VILHELMINA</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45990</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45990</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45990</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45990</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45990</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45990</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45990</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9501-2022</t>
        </is>
      </c>
      <c r="B205" s="1" t="n">
        <v>44616.93883101852</v>
      </c>
      <c r="C205" s="1" t="n">
        <v>45990</v>
      </c>
      <c r="D205" t="inlineStr">
        <is>
          <t>VÄSTERBOTTENS LÄN</t>
        </is>
      </c>
      <c r="E205" t="inlineStr">
        <is>
          <t>VILHELMINA</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57086-2021</t>
        </is>
      </c>
      <c r="B206" s="1" t="n">
        <v>44482</v>
      </c>
      <c r="C206" s="1" t="n">
        <v>45990</v>
      </c>
      <c r="D206" t="inlineStr">
        <is>
          <t>VÄSTERBOTTENS LÄN</t>
        </is>
      </c>
      <c r="E206" t="inlineStr">
        <is>
          <t>VILHELMINA</t>
        </is>
      </c>
      <c r="G206" t="n">
        <v>1.5</v>
      </c>
      <c r="H206" t="n">
        <v>0</v>
      </c>
      <c r="I206" t="n">
        <v>0</v>
      </c>
      <c r="J206" t="n">
        <v>0</v>
      </c>
      <c r="K206" t="n">
        <v>0</v>
      </c>
      <c r="L206" t="n">
        <v>0</v>
      </c>
      <c r="M206" t="n">
        <v>0</v>
      </c>
      <c r="N206" t="n">
        <v>0</v>
      </c>
      <c r="O206" t="n">
        <v>0</v>
      </c>
      <c r="P206" t="n">
        <v>0</v>
      </c>
      <c r="Q206" t="n">
        <v>0</v>
      </c>
      <c r="R206" s="2" t="inlineStr"/>
    </row>
    <row r="207" ht="15" customHeight="1">
      <c r="A207" t="inlineStr">
        <is>
          <t>A 29773-2022</t>
        </is>
      </c>
      <c r="B207" s="1" t="n">
        <v>44755.62866898148</v>
      </c>
      <c r="C207" s="1" t="n">
        <v>45990</v>
      </c>
      <c r="D207" t="inlineStr">
        <is>
          <t>VÄSTERBOTTENS LÄN</t>
        </is>
      </c>
      <c r="E207" t="inlineStr">
        <is>
          <t>VILHELMINA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70854-2021</t>
        </is>
      </c>
      <c r="B208" s="1" t="n">
        <v>44532</v>
      </c>
      <c r="C208" s="1" t="n">
        <v>45990</v>
      </c>
      <c r="D208" t="inlineStr">
        <is>
          <t>VÄSTERBOTTENS LÄN</t>
        </is>
      </c>
      <c r="E208" t="inlineStr">
        <is>
          <t>VILHELMINA</t>
        </is>
      </c>
      <c r="G208" t="n">
        <v>2.6</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45990</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45990</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47287-2022</t>
        </is>
      </c>
      <c r="B211" s="1" t="n">
        <v>44852.95145833334</v>
      </c>
      <c r="C211" s="1" t="n">
        <v>45990</v>
      </c>
      <c r="D211" t="inlineStr">
        <is>
          <t>VÄSTERBOTTENS LÄN</t>
        </is>
      </c>
      <c r="E211" t="inlineStr">
        <is>
          <t>VILHELMINA</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47288-2022</t>
        </is>
      </c>
      <c r="B212" s="1" t="n">
        <v>44852</v>
      </c>
      <c r="C212" s="1" t="n">
        <v>45990</v>
      </c>
      <c r="D212" t="inlineStr">
        <is>
          <t>VÄSTERBOTTENS LÄN</t>
        </is>
      </c>
      <c r="E212" t="inlineStr">
        <is>
          <t>VILHELMINA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27844-2022</t>
        </is>
      </c>
      <c r="B213" s="1" t="n">
        <v>44743.620625</v>
      </c>
      <c r="C213" s="1" t="n">
        <v>45990</v>
      </c>
      <c r="D213" t="inlineStr">
        <is>
          <t>VÄSTERBOTTENS LÄN</t>
        </is>
      </c>
      <c r="E213" t="inlineStr">
        <is>
          <t>VILHELMINA</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45990</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45990</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45990</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45990</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69850-2021</t>
        </is>
      </c>
      <c r="B218" s="1" t="n">
        <v>44532</v>
      </c>
      <c r="C218" s="1" t="n">
        <v>45990</v>
      </c>
      <c r="D218" t="inlineStr">
        <is>
          <t>VÄSTERBOTTENS LÄN</t>
        </is>
      </c>
      <c r="E218" t="inlineStr">
        <is>
          <t>VILHELMINA</t>
        </is>
      </c>
      <c r="G218" t="n">
        <v>6.8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45990</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45990</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45990</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2193-2021</t>
        </is>
      </c>
      <c r="B222" s="1" t="n">
        <v>44211</v>
      </c>
      <c r="C222" s="1" t="n">
        <v>45990</v>
      </c>
      <c r="D222" t="inlineStr">
        <is>
          <t>VÄSTERBOTTENS LÄN</t>
        </is>
      </c>
      <c r="E222" t="inlineStr">
        <is>
          <t>VILHELMINA</t>
        </is>
      </c>
      <c r="F222" t="inlineStr">
        <is>
          <t>Allmännings- och besparingsskogar</t>
        </is>
      </c>
      <c r="G222" t="n">
        <v>157.8</v>
      </c>
      <c r="H222" t="n">
        <v>0</v>
      </c>
      <c r="I222" t="n">
        <v>0</v>
      </c>
      <c r="J222" t="n">
        <v>0</v>
      </c>
      <c r="K222" t="n">
        <v>0</v>
      </c>
      <c r="L222" t="n">
        <v>0</v>
      </c>
      <c r="M222" t="n">
        <v>0</v>
      </c>
      <c r="N222" t="n">
        <v>0</v>
      </c>
      <c r="O222" t="n">
        <v>0</v>
      </c>
      <c r="P222" t="n">
        <v>0</v>
      </c>
      <c r="Q222" t="n">
        <v>0</v>
      </c>
      <c r="R222" s="2" t="inlineStr"/>
    </row>
    <row r="223" ht="15" customHeight="1">
      <c r="A223" t="inlineStr">
        <is>
          <t>A 31656-2021</t>
        </is>
      </c>
      <c r="B223" s="1" t="n">
        <v>44377</v>
      </c>
      <c r="C223" s="1" t="n">
        <v>45990</v>
      </c>
      <c r="D223" t="inlineStr">
        <is>
          <t>VÄSTERBOTTENS LÄN</t>
        </is>
      </c>
      <c r="E223" t="inlineStr">
        <is>
          <t>VILHELMINA</t>
        </is>
      </c>
      <c r="G223" t="n">
        <v>0.9</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45990</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24599-2021</t>
        </is>
      </c>
      <c r="B225" s="1" t="n">
        <v>44341</v>
      </c>
      <c r="C225" s="1" t="n">
        <v>45990</v>
      </c>
      <c r="D225" t="inlineStr">
        <is>
          <t>VÄSTERBOTTENS LÄN</t>
        </is>
      </c>
      <c r="E225" t="inlineStr">
        <is>
          <t>VILHELMINA</t>
        </is>
      </c>
      <c r="G225" t="n">
        <v>14.5</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45990</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45990</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72488-2021</t>
        </is>
      </c>
      <c r="B228" s="1" t="n">
        <v>44545.9203587963</v>
      </c>
      <c r="C228" s="1" t="n">
        <v>45990</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72493-2021</t>
        </is>
      </c>
      <c r="B229" s="1" t="n">
        <v>44545</v>
      </c>
      <c r="C229" s="1" t="n">
        <v>45990</v>
      </c>
      <c r="D229" t="inlineStr">
        <is>
          <t>VÄSTERBOTTENS LÄN</t>
        </is>
      </c>
      <c r="E229" t="inlineStr">
        <is>
          <t>VILHELMINA</t>
        </is>
      </c>
      <c r="G229" t="n">
        <v>4.2</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45990</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12065-2022</t>
        </is>
      </c>
      <c r="B231" s="1" t="n">
        <v>44637</v>
      </c>
      <c r="C231" s="1" t="n">
        <v>45990</v>
      </c>
      <c r="D231" t="inlineStr">
        <is>
          <t>VÄSTERBOTTENS LÄN</t>
        </is>
      </c>
      <c r="E231" t="inlineStr">
        <is>
          <t>VILHELMINA</t>
        </is>
      </c>
      <c r="G231" t="n">
        <v>27.7</v>
      </c>
      <c r="H231" t="n">
        <v>0</v>
      </c>
      <c r="I231" t="n">
        <v>0</v>
      </c>
      <c r="J231" t="n">
        <v>0</v>
      </c>
      <c r="K231" t="n">
        <v>0</v>
      </c>
      <c r="L231" t="n">
        <v>0</v>
      </c>
      <c r="M231" t="n">
        <v>0</v>
      </c>
      <c r="N231" t="n">
        <v>0</v>
      </c>
      <c r="O231" t="n">
        <v>0</v>
      </c>
      <c r="P231" t="n">
        <v>0</v>
      </c>
      <c r="Q231" t="n">
        <v>0</v>
      </c>
      <c r="R231" s="2" t="inlineStr"/>
    </row>
    <row r="232" ht="15" customHeight="1">
      <c r="A232" t="inlineStr">
        <is>
          <t>A 48574-2021</t>
        </is>
      </c>
      <c r="B232" s="1" t="n">
        <v>44452</v>
      </c>
      <c r="C232" s="1" t="n">
        <v>45990</v>
      </c>
      <c r="D232" t="inlineStr">
        <is>
          <t>VÄSTERBOTTENS LÄN</t>
        </is>
      </c>
      <c r="E232" t="inlineStr">
        <is>
          <t>VILHELMINA</t>
        </is>
      </c>
      <c r="F232" t="inlineStr">
        <is>
          <t>Allmännings- och besparingsskogar</t>
        </is>
      </c>
      <c r="G232" t="n">
        <v>85.09999999999999</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45990</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28895-2021</t>
        </is>
      </c>
      <c r="B234" s="1" t="n">
        <v>44357</v>
      </c>
      <c r="C234" s="1" t="n">
        <v>45990</v>
      </c>
      <c r="D234" t="inlineStr">
        <is>
          <t>VÄSTERBOTTENS LÄN</t>
        </is>
      </c>
      <c r="E234" t="inlineStr">
        <is>
          <t>VILHELMINA</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24983-2021</t>
        </is>
      </c>
      <c r="B235" s="1" t="n">
        <v>44341</v>
      </c>
      <c r="C235" s="1" t="n">
        <v>45990</v>
      </c>
      <c r="D235" t="inlineStr">
        <is>
          <t>VÄSTERBOTTENS LÄN</t>
        </is>
      </c>
      <c r="E235" t="inlineStr">
        <is>
          <t>VILHELMINA</t>
        </is>
      </c>
      <c r="G235" t="n">
        <v>12.9</v>
      </c>
      <c r="H235" t="n">
        <v>0</v>
      </c>
      <c r="I235" t="n">
        <v>0</v>
      </c>
      <c r="J235" t="n">
        <v>0</v>
      </c>
      <c r="K235" t="n">
        <v>0</v>
      </c>
      <c r="L235" t="n">
        <v>0</v>
      </c>
      <c r="M235" t="n">
        <v>0</v>
      </c>
      <c r="N235" t="n">
        <v>0</v>
      </c>
      <c r="O235" t="n">
        <v>0</v>
      </c>
      <c r="P235" t="n">
        <v>0</v>
      </c>
      <c r="Q235" t="n">
        <v>0</v>
      </c>
      <c r="R235" s="2" t="inlineStr"/>
    </row>
    <row r="236" ht="15" customHeight="1">
      <c r="A236" t="inlineStr">
        <is>
          <t>A 64759-2020</t>
        </is>
      </c>
      <c r="B236" s="1" t="n">
        <v>44169</v>
      </c>
      <c r="C236" s="1" t="n">
        <v>45990</v>
      </c>
      <c r="D236" t="inlineStr">
        <is>
          <t>VÄSTERBOTTENS LÄN</t>
        </is>
      </c>
      <c r="E236" t="inlineStr">
        <is>
          <t>VILHELMINA</t>
        </is>
      </c>
      <c r="G236" t="n">
        <v>24.6</v>
      </c>
      <c r="H236" t="n">
        <v>0</v>
      </c>
      <c r="I236" t="n">
        <v>0</v>
      </c>
      <c r="J236" t="n">
        <v>0</v>
      </c>
      <c r="K236" t="n">
        <v>0</v>
      </c>
      <c r="L236" t="n">
        <v>0</v>
      </c>
      <c r="M236" t="n">
        <v>0</v>
      </c>
      <c r="N236" t="n">
        <v>0</v>
      </c>
      <c r="O236" t="n">
        <v>0</v>
      </c>
      <c r="P236" t="n">
        <v>0</v>
      </c>
      <c r="Q236" t="n">
        <v>0</v>
      </c>
      <c r="R236" s="2" t="inlineStr"/>
    </row>
    <row r="237" ht="15" customHeight="1">
      <c r="A237" t="inlineStr">
        <is>
          <t>A 43741-2022</t>
        </is>
      </c>
      <c r="B237" s="1" t="n">
        <v>44837</v>
      </c>
      <c r="C237" s="1" t="n">
        <v>45990</v>
      </c>
      <c r="D237" t="inlineStr">
        <is>
          <t>VÄSTERBOTTENS LÄN</t>
        </is>
      </c>
      <c r="E237" t="inlineStr">
        <is>
          <t>VILHELMINA</t>
        </is>
      </c>
      <c r="G237" t="n">
        <v>54.2</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45990</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46372-2021</t>
        </is>
      </c>
      <c r="B239" s="1" t="n">
        <v>44442.94226851852</v>
      </c>
      <c r="C239" s="1" t="n">
        <v>45990</v>
      </c>
      <c r="D239" t="inlineStr">
        <is>
          <t>VÄSTERBOTTENS LÄN</t>
        </is>
      </c>
      <c r="E239" t="inlineStr">
        <is>
          <t>VILHELMINA</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45990</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49888-2024</t>
        </is>
      </c>
      <c r="B241" s="1" t="n">
        <v>45597.5109837963</v>
      </c>
      <c r="C241" s="1" t="n">
        <v>45990</v>
      </c>
      <c r="D241" t="inlineStr">
        <is>
          <t>VÄSTERBOTTENS LÄN</t>
        </is>
      </c>
      <c r="E241" t="inlineStr">
        <is>
          <t>VILHELMINA</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45990</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29104-2024</t>
        </is>
      </c>
      <c r="B243" s="1" t="n">
        <v>45481.95178240741</v>
      </c>
      <c r="C243" s="1" t="n">
        <v>45990</v>
      </c>
      <c r="D243" t="inlineStr">
        <is>
          <t>VÄSTERBOTTENS LÄN</t>
        </is>
      </c>
      <c r="E243" t="inlineStr">
        <is>
          <t>VILHELMINA</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40462-2024</t>
        </is>
      </c>
      <c r="B244" s="1" t="n">
        <v>45555.51084490741</v>
      </c>
      <c r="C244" s="1" t="n">
        <v>45990</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54430-2024</t>
        </is>
      </c>
      <c r="B245" s="1" t="n">
        <v>45617.49107638889</v>
      </c>
      <c r="C245" s="1" t="n">
        <v>45990</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61048-2022</t>
        </is>
      </c>
      <c r="B246" s="1" t="n">
        <v>44914</v>
      </c>
      <c r="C246" s="1" t="n">
        <v>45990</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45990</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26947-2024</t>
        </is>
      </c>
      <c r="B248" s="1" t="n">
        <v>45470.9693287037</v>
      </c>
      <c r="C248" s="1" t="n">
        <v>45990</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248-2025</t>
        </is>
      </c>
      <c r="B249" s="1" t="n">
        <v>45660.419375</v>
      </c>
      <c r="C249" s="1" t="n">
        <v>45990</v>
      </c>
      <c r="D249" t="inlineStr">
        <is>
          <t>VÄSTERBOTTENS LÄN</t>
        </is>
      </c>
      <c r="E249" t="inlineStr">
        <is>
          <t>VILHELMINA</t>
        </is>
      </c>
      <c r="G249" t="n">
        <v>11</v>
      </c>
      <c r="H249" t="n">
        <v>0</v>
      </c>
      <c r="I249" t="n">
        <v>0</v>
      </c>
      <c r="J249" t="n">
        <v>0</v>
      </c>
      <c r="K249" t="n">
        <v>0</v>
      </c>
      <c r="L249" t="n">
        <v>0</v>
      </c>
      <c r="M249" t="n">
        <v>0</v>
      </c>
      <c r="N249" t="n">
        <v>0</v>
      </c>
      <c r="O249" t="n">
        <v>0</v>
      </c>
      <c r="P249" t="n">
        <v>0</v>
      </c>
      <c r="Q249" t="n">
        <v>0</v>
      </c>
      <c r="R249" s="2" t="inlineStr"/>
    </row>
    <row r="250" ht="15" customHeight="1">
      <c r="A250" t="inlineStr">
        <is>
          <t>A 8908-2023</t>
        </is>
      </c>
      <c r="B250" s="1" t="n">
        <v>44972</v>
      </c>
      <c r="C250" s="1" t="n">
        <v>45990</v>
      </c>
      <c r="D250" t="inlineStr">
        <is>
          <t>VÄSTERBOTTENS LÄN</t>
        </is>
      </c>
      <c r="E250" t="inlineStr">
        <is>
          <t>VILHELMINA</t>
        </is>
      </c>
      <c r="F250" t="inlineStr">
        <is>
          <t>Allmännings- och besparingsskogar</t>
        </is>
      </c>
      <c r="G250" t="n">
        <v>22.3</v>
      </c>
      <c r="H250" t="n">
        <v>0</v>
      </c>
      <c r="I250" t="n">
        <v>0</v>
      </c>
      <c r="J250" t="n">
        <v>0</v>
      </c>
      <c r="K250" t="n">
        <v>0</v>
      </c>
      <c r="L250" t="n">
        <v>0</v>
      </c>
      <c r="M250" t="n">
        <v>0</v>
      </c>
      <c r="N250" t="n">
        <v>0</v>
      </c>
      <c r="O250" t="n">
        <v>0</v>
      </c>
      <c r="P250" t="n">
        <v>0</v>
      </c>
      <c r="Q250" t="n">
        <v>0</v>
      </c>
      <c r="R250" s="2" t="inlineStr"/>
    </row>
    <row r="251" ht="15" customHeight="1">
      <c r="A251" t="inlineStr">
        <is>
          <t>A 22109-2024</t>
        </is>
      </c>
      <c r="B251" s="1" t="n">
        <v>45443</v>
      </c>
      <c r="C251" s="1" t="n">
        <v>45990</v>
      </c>
      <c r="D251" t="inlineStr">
        <is>
          <t>VÄSTERBOTTENS LÄN</t>
        </is>
      </c>
      <c r="E251" t="inlineStr">
        <is>
          <t>VILHELMINA</t>
        </is>
      </c>
      <c r="F251" t="inlineStr">
        <is>
          <t>SCA</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45990</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45990</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45990</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45990</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45990</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45990</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14961-2022</t>
        </is>
      </c>
      <c r="B258" s="1" t="n">
        <v>44657</v>
      </c>
      <c r="C258" s="1" t="n">
        <v>45990</v>
      </c>
      <c r="D258" t="inlineStr">
        <is>
          <t>VÄSTERBOTTENS LÄN</t>
        </is>
      </c>
      <c r="E258" t="inlineStr">
        <is>
          <t>VILHELMINA</t>
        </is>
      </c>
      <c r="G258" t="n">
        <v>19.9</v>
      </c>
      <c r="H258" t="n">
        <v>0</v>
      </c>
      <c r="I258" t="n">
        <v>0</v>
      </c>
      <c r="J258" t="n">
        <v>0</v>
      </c>
      <c r="K258" t="n">
        <v>0</v>
      </c>
      <c r="L258" t="n">
        <v>0</v>
      </c>
      <c r="M258" t="n">
        <v>0</v>
      </c>
      <c r="N258" t="n">
        <v>0</v>
      </c>
      <c r="O258" t="n">
        <v>0</v>
      </c>
      <c r="P258" t="n">
        <v>0</v>
      </c>
      <c r="Q258" t="n">
        <v>0</v>
      </c>
      <c r="R258" s="2" t="inlineStr"/>
    </row>
    <row r="259" ht="15" customHeight="1">
      <c r="A259" t="inlineStr">
        <is>
          <t>A 29954-2023</t>
        </is>
      </c>
      <c r="B259" s="1" t="n">
        <v>45107</v>
      </c>
      <c r="C259" s="1" t="n">
        <v>45990</v>
      </c>
      <c r="D259" t="inlineStr">
        <is>
          <t>VÄSTERBOTTENS LÄN</t>
        </is>
      </c>
      <c r="E259" t="inlineStr">
        <is>
          <t>VILHELMINA</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45990</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15884-2025</t>
        </is>
      </c>
      <c r="B261" s="1" t="n">
        <v>45749</v>
      </c>
      <c r="C261" s="1" t="n">
        <v>45990</v>
      </c>
      <c r="D261" t="inlineStr">
        <is>
          <t>VÄSTERBOTTENS LÄN</t>
        </is>
      </c>
      <c r="E261" t="inlineStr">
        <is>
          <t>VILHELMINA</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60035-2023</t>
        </is>
      </c>
      <c r="B262" s="1" t="n">
        <v>45254</v>
      </c>
      <c r="C262" s="1" t="n">
        <v>45990</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37714-2024</t>
        </is>
      </c>
      <c r="B263" s="1" t="n">
        <v>45541.63569444444</v>
      </c>
      <c r="C263" s="1" t="n">
        <v>45990</v>
      </c>
      <c r="D263" t="inlineStr">
        <is>
          <t>VÄSTERBOTTENS LÄN</t>
        </is>
      </c>
      <c r="E263" t="inlineStr">
        <is>
          <t>VILHELMINA</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37715-2024</t>
        </is>
      </c>
      <c r="B264" s="1" t="n">
        <v>45541.63581018519</v>
      </c>
      <c r="C264" s="1" t="n">
        <v>45990</v>
      </c>
      <c r="D264" t="inlineStr">
        <is>
          <t>VÄSTERBOTTENS LÄN</t>
        </is>
      </c>
      <c r="E264" t="inlineStr">
        <is>
          <t>VILHELMINA</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45990</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46164-2023</t>
        </is>
      </c>
      <c r="B266" s="1" t="n">
        <v>45190</v>
      </c>
      <c r="C266" s="1" t="n">
        <v>45990</v>
      </c>
      <c r="D266" t="inlineStr">
        <is>
          <t>VÄSTERBOTTENS LÄN</t>
        </is>
      </c>
      <c r="E266" t="inlineStr">
        <is>
          <t>VILHELMINA</t>
        </is>
      </c>
      <c r="G266" t="n">
        <v>6.3</v>
      </c>
      <c r="H266" t="n">
        <v>0</v>
      </c>
      <c r="I266" t="n">
        <v>0</v>
      </c>
      <c r="J266" t="n">
        <v>0</v>
      </c>
      <c r="K266" t="n">
        <v>0</v>
      </c>
      <c r="L266" t="n">
        <v>0</v>
      </c>
      <c r="M266" t="n">
        <v>0</v>
      </c>
      <c r="N266" t="n">
        <v>0</v>
      </c>
      <c r="O266" t="n">
        <v>0</v>
      </c>
      <c r="P266" t="n">
        <v>0</v>
      </c>
      <c r="Q266" t="n">
        <v>0</v>
      </c>
      <c r="R266" s="2" t="inlineStr"/>
    </row>
    <row r="267" ht="15" customHeight="1">
      <c r="A267" t="inlineStr">
        <is>
          <t>A 57470-2024</t>
        </is>
      </c>
      <c r="B267" s="1" t="n">
        <v>45630</v>
      </c>
      <c r="C267" s="1" t="n">
        <v>45990</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12784-2023</t>
        </is>
      </c>
      <c r="B268" s="1" t="n">
        <v>45000</v>
      </c>
      <c r="C268" s="1" t="n">
        <v>45990</v>
      </c>
      <c r="D268" t="inlineStr">
        <is>
          <t>VÄSTERBOTTENS LÄN</t>
        </is>
      </c>
      <c r="E268" t="inlineStr">
        <is>
          <t>VILHELMINA</t>
        </is>
      </c>
      <c r="G268" t="n">
        <v>18.6</v>
      </c>
      <c r="H268" t="n">
        <v>0</v>
      </c>
      <c r="I268" t="n">
        <v>0</v>
      </c>
      <c r="J268" t="n">
        <v>0</v>
      </c>
      <c r="K268" t="n">
        <v>0</v>
      </c>
      <c r="L268" t="n">
        <v>0</v>
      </c>
      <c r="M268" t="n">
        <v>0</v>
      </c>
      <c r="N268" t="n">
        <v>0</v>
      </c>
      <c r="O268" t="n">
        <v>0</v>
      </c>
      <c r="P268" t="n">
        <v>0</v>
      </c>
      <c r="Q268" t="n">
        <v>0</v>
      </c>
      <c r="R268" s="2" t="inlineStr"/>
    </row>
    <row r="269" ht="15" customHeight="1">
      <c r="A269" t="inlineStr">
        <is>
          <t>A 41644-2024</t>
        </is>
      </c>
      <c r="B269" s="1" t="n">
        <v>45560</v>
      </c>
      <c r="C269" s="1" t="n">
        <v>45990</v>
      </c>
      <c r="D269" t="inlineStr">
        <is>
          <t>VÄSTERBOTTENS LÄN</t>
        </is>
      </c>
      <c r="E269" t="inlineStr">
        <is>
          <t>VILHELMINA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32658-2021</t>
        </is>
      </c>
      <c r="B270" s="1" t="n">
        <v>44371</v>
      </c>
      <c r="C270" s="1" t="n">
        <v>45990</v>
      </c>
      <c r="D270" t="inlineStr">
        <is>
          <t>VÄSTERBOTTENS LÄN</t>
        </is>
      </c>
      <c r="E270" t="inlineStr">
        <is>
          <t>VILHELMINA</t>
        </is>
      </c>
      <c r="G270" t="n">
        <v>2.2</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45990</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55326-2023</t>
        </is>
      </c>
      <c r="B272" s="1" t="n">
        <v>45237.97364583334</v>
      </c>
      <c r="C272" s="1" t="n">
        <v>45990</v>
      </c>
      <c r="D272" t="inlineStr">
        <is>
          <t>VÄSTERBOTTENS LÄN</t>
        </is>
      </c>
      <c r="E272" t="inlineStr">
        <is>
          <t>VILHELMINA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10833-2022</t>
        </is>
      </c>
      <c r="B273" s="1" t="n">
        <v>44627</v>
      </c>
      <c r="C273" s="1" t="n">
        <v>45990</v>
      </c>
      <c r="D273" t="inlineStr">
        <is>
          <t>VÄSTERBOTTENS LÄN</t>
        </is>
      </c>
      <c r="E273" t="inlineStr">
        <is>
          <t>VILHELMINA</t>
        </is>
      </c>
      <c r="G273" t="n">
        <v>5.4</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45990</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28656-2024</t>
        </is>
      </c>
      <c r="B275" s="1" t="n">
        <v>45478</v>
      </c>
      <c r="C275" s="1" t="n">
        <v>45990</v>
      </c>
      <c r="D275" t="inlineStr">
        <is>
          <t>VÄSTERBOTTENS LÄN</t>
        </is>
      </c>
      <c r="E275" t="inlineStr">
        <is>
          <t>VILHELMINA</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43791-2024</t>
        </is>
      </c>
      <c r="B276" s="1" t="n">
        <v>45571</v>
      </c>
      <c r="C276" s="1" t="n">
        <v>45990</v>
      </c>
      <c r="D276" t="inlineStr">
        <is>
          <t>VÄSTERBOTTENS LÄN</t>
        </is>
      </c>
      <c r="E276" t="inlineStr">
        <is>
          <t>VILHELMINA</t>
        </is>
      </c>
      <c r="G276" t="n">
        <v>30.3</v>
      </c>
      <c r="H276" t="n">
        <v>0</v>
      </c>
      <c r="I276" t="n">
        <v>0</v>
      </c>
      <c r="J276" t="n">
        <v>0</v>
      </c>
      <c r="K276" t="n">
        <v>0</v>
      </c>
      <c r="L276" t="n">
        <v>0</v>
      </c>
      <c r="M276" t="n">
        <v>0</v>
      </c>
      <c r="N276" t="n">
        <v>0</v>
      </c>
      <c r="O276" t="n">
        <v>0</v>
      </c>
      <c r="P276" t="n">
        <v>0</v>
      </c>
      <c r="Q276" t="n">
        <v>0</v>
      </c>
      <c r="R276" s="2" t="inlineStr"/>
    </row>
    <row r="277" ht="15" customHeight="1">
      <c r="A277" t="inlineStr">
        <is>
          <t>A 43792-2024</t>
        </is>
      </c>
      <c r="B277" s="1" t="n">
        <v>45571</v>
      </c>
      <c r="C277" s="1" t="n">
        <v>45990</v>
      </c>
      <c r="D277" t="inlineStr">
        <is>
          <t>VÄSTERBOTTENS LÄN</t>
        </is>
      </c>
      <c r="E277" t="inlineStr">
        <is>
          <t>VILHELMINA</t>
        </is>
      </c>
      <c r="G277" t="n">
        <v>25.3</v>
      </c>
      <c r="H277" t="n">
        <v>0</v>
      </c>
      <c r="I277" t="n">
        <v>0</v>
      </c>
      <c r="J277" t="n">
        <v>0</v>
      </c>
      <c r="K277" t="n">
        <v>0</v>
      </c>
      <c r="L277" t="n">
        <v>0</v>
      </c>
      <c r="M277" t="n">
        <v>0</v>
      </c>
      <c r="N277" t="n">
        <v>0</v>
      </c>
      <c r="O277" t="n">
        <v>0</v>
      </c>
      <c r="P277" t="n">
        <v>0</v>
      </c>
      <c r="Q277" t="n">
        <v>0</v>
      </c>
      <c r="R277" s="2" t="inlineStr"/>
    </row>
    <row r="278" ht="15" customHeight="1">
      <c r="A278" t="inlineStr">
        <is>
          <t>A 42976-2024</t>
        </is>
      </c>
      <c r="B278" s="1" t="n">
        <v>45567.37387731481</v>
      </c>
      <c r="C278" s="1" t="n">
        <v>45990</v>
      </c>
      <c r="D278" t="inlineStr">
        <is>
          <t>VÄSTERBOTTENS LÄN</t>
        </is>
      </c>
      <c r="E278" t="inlineStr">
        <is>
          <t>VILHELMINA</t>
        </is>
      </c>
      <c r="F278" t="inlineStr">
        <is>
          <t>SCA</t>
        </is>
      </c>
      <c r="G278" t="n">
        <v>20.6</v>
      </c>
      <c r="H278" t="n">
        <v>0</v>
      </c>
      <c r="I278" t="n">
        <v>0</v>
      </c>
      <c r="J278" t="n">
        <v>0</v>
      </c>
      <c r="K278" t="n">
        <v>0</v>
      </c>
      <c r="L278" t="n">
        <v>0</v>
      </c>
      <c r="M278" t="n">
        <v>0</v>
      </c>
      <c r="N278" t="n">
        <v>0</v>
      </c>
      <c r="O278" t="n">
        <v>0</v>
      </c>
      <c r="P278" t="n">
        <v>0</v>
      </c>
      <c r="Q278" t="n">
        <v>0</v>
      </c>
      <c r="R278" s="2" t="inlineStr"/>
    </row>
    <row r="279" ht="15" customHeight="1">
      <c r="A279" t="inlineStr">
        <is>
          <t>A 2382-2023</t>
        </is>
      </c>
      <c r="B279" s="1" t="n">
        <v>44942</v>
      </c>
      <c r="C279" s="1" t="n">
        <v>45990</v>
      </c>
      <c r="D279" t="inlineStr">
        <is>
          <t>VÄSTERBOTTENS LÄN</t>
        </is>
      </c>
      <c r="E279" t="inlineStr">
        <is>
          <t>VILHELMINA</t>
        </is>
      </c>
      <c r="G279" t="n">
        <v>29.7</v>
      </c>
      <c r="H279" t="n">
        <v>0</v>
      </c>
      <c r="I279" t="n">
        <v>0</v>
      </c>
      <c r="J279" t="n">
        <v>0</v>
      </c>
      <c r="K279" t="n">
        <v>0</v>
      </c>
      <c r="L279" t="n">
        <v>0</v>
      </c>
      <c r="M279" t="n">
        <v>0</v>
      </c>
      <c r="N279" t="n">
        <v>0</v>
      </c>
      <c r="O279" t="n">
        <v>0</v>
      </c>
      <c r="P279" t="n">
        <v>0</v>
      </c>
      <c r="Q279" t="n">
        <v>0</v>
      </c>
      <c r="R279" s="2" t="inlineStr"/>
    </row>
    <row r="280" ht="15" customHeight="1">
      <c r="A280" t="inlineStr">
        <is>
          <t>A 13557-2024</t>
        </is>
      </c>
      <c r="B280" s="1" t="n">
        <v>45388</v>
      </c>
      <c r="C280" s="1" t="n">
        <v>45990</v>
      </c>
      <c r="D280" t="inlineStr">
        <is>
          <t>VÄSTERBOTTENS LÄN</t>
        </is>
      </c>
      <c r="E280" t="inlineStr">
        <is>
          <t>VILHELMINA</t>
        </is>
      </c>
      <c r="G280" t="n">
        <v>11.2</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45990</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8578-2025</t>
        </is>
      </c>
      <c r="B282" s="1" t="n">
        <v>45709</v>
      </c>
      <c r="C282" s="1" t="n">
        <v>45990</v>
      </c>
      <c r="D282" t="inlineStr">
        <is>
          <t>VÄSTERBOTTENS LÄN</t>
        </is>
      </c>
      <c r="E282" t="inlineStr">
        <is>
          <t>VILHELMINA</t>
        </is>
      </c>
      <c r="G282" t="n">
        <v>3.5</v>
      </c>
      <c r="H282" t="n">
        <v>0</v>
      </c>
      <c r="I282" t="n">
        <v>0</v>
      </c>
      <c r="J282" t="n">
        <v>0</v>
      </c>
      <c r="K282" t="n">
        <v>0</v>
      </c>
      <c r="L282" t="n">
        <v>0</v>
      </c>
      <c r="M282" t="n">
        <v>0</v>
      </c>
      <c r="N282" t="n">
        <v>0</v>
      </c>
      <c r="O282" t="n">
        <v>0</v>
      </c>
      <c r="P282" t="n">
        <v>0</v>
      </c>
      <c r="Q282" t="n">
        <v>0</v>
      </c>
      <c r="R282" s="2" t="inlineStr"/>
    </row>
    <row r="283" ht="15" customHeight="1">
      <c r="A283" t="inlineStr">
        <is>
          <t>A 5575-2025</t>
        </is>
      </c>
      <c r="B283" s="1" t="n">
        <v>45693.53200231482</v>
      </c>
      <c r="C283" s="1" t="n">
        <v>45990</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31095-2024</t>
        </is>
      </c>
      <c r="B284" s="1" t="n">
        <v>45502</v>
      </c>
      <c r="C284" s="1" t="n">
        <v>45990</v>
      </c>
      <c r="D284" t="inlineStr">
        <is>
          <t>VÄSTERBOTTENS LÄN</t>
        </is>
      </c>
      <c r="E284" t="inlineStr">
        <is>
          <t>VILHELMINA</t>
        </is>
      </c>
      <c r="G284" t="n">
        <v>4.7</v>
      </c>
      <c r="H284" t="n">
        <v>0</v>
      </c>
      <c r="I284" t="n">
        <v>0</v>
      </c>
      <c r="J284" t="n">
        <v>0</v>
      </c>
      <c r="K284" t="n">
        <v>0</v>
      </c>
      <c r="L284" t="n">
        <v>0</v>
      </c>
      <c r="M284" t="n">
        <v>0</v>
      </c>
      <c r="N284" t="n">
        <v>0</v>
      </c>
      <c r="O284" t="n">
        <v>0</v>
      </c>
      <c r="P284" t="n">
        <v>0</v>
      </c>
      <c r="Q284" t="n">
        <v>0</v>
      </c>
      <c r="R284" s="2" t="inlineStr"/>
    </row>
    <row r="285" ht="15" customHeight="1">
      <c r="A285" t="inlineStr">
        <is>
          <t>A 65133-2021</t>
        </is>
      </c>
      <c r="B285" s="1" t="n">
        <v>44515</v>
      </c>
      <c r="C285" s="1" t="n">
        <v>45990</v>
      </c>
      <c r="D285" t="inlineStr">
        <is>
          <t>VÄSTERBOTTENS LÄN</t>
        </is>
      </c>
      <c r="E285" t="inlineStr">
        <is>
          <t>VILHELMINA</t>
        </is>
      </c>
      <c r="G285" t="n">
        <v>16.4</v>
      </c>
      <c r="H285" t="n">
        <v>0</v>
      </c>
      <c r="I285" t="n">
        <v>0</v>
      </c>
      <c r="J285" t="n">
        <v>0</v>
      </c>
      <c r="K285" t="n">
        <v>0</v>
      </c>
      <c r="L285" t="n">
        <v>0</v>
      </c>
      <c r="M285" t="n">
        <v>0</v>
      </c>
      <c r="N285" t="n">
        <v>0</v>
      </c>
      <c r="O285" t="n">
        <v>0</v>
      </c>
      <c r="P285" t="n">
        <v>0</v>
      </c>
      <c r="Q285" t="n">
        <v>0</v>
      </c>
      <c r="R285" s="2" t="inlineStr"/>
    </row>
    <row r="286" ht="15" customHeight="1">
      <c r="A286" t="inlineStr">
        <is>
          <t>A 47253-2022</t>
        </is>
      </c>
      <c r="B286" s="1" t="n">
        <v>44852</v>
      </c>
      <c r="C286" s="1" t="n">
        <v>45990</v>
      </c>
      <c r="D286" t="inlineStr">
        <is>
          <t>VÄSTERBOTTENS LÄN</t>
        </is>
      </c>
      <c r="E286" t="inlineStr">
        <is>
          <t>VILHELMINA</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66917-2021</t>
        </is>
      </c>
      <c r="B287" s="1" t="n">
        <v>44522</v>
      </c>
      <c r="C287" s="1" t="n">
        <v>45990</v>
      </c>
      <c r="D287" t="inlineStr">
        <is>
          <t>VÄSTERBOTTENS LÄN</t>
        </is>
      </c>
      <c r="E287" t="inlineStr">
        <is>
          <t>VILHELMINA</t>
        </is>
      </c>
      <c r="F287" t="inlineStr">
        <is>
          <t>Allmännings- och besparingsskogar</t>
        </is>
      </c>
      <c r="G287" t="n">
        <v>11.7</v>
      </c>
      <c r="H287" t="n">
        <v>0</v>
      </c>
      <c r="I287" t="n">
        <v>0</v>
      </c>
      <c r="J287" t="n">
        <v>0</v>
      </c>
      <c r="K287" t="n">
        <v>0</v>
      </c>
      <c r="L287" t="n">
        <v>0</v>
      </c>
      <c r="M287" t="n">
        <v>0</v>
      </c>
      <c r="N287" t="n">
        <v>0</v>
      </c>
      <c r="O287" t="n">
        <v>0</v>
      </c>
      <c r="P287" t="n">
        <v>0</v>
      </c>
      <c r="Q287" t="n">
        <v>0</v>
      </c>
      <c r="R287" s="2" t="inlineStr"/>
    </row>
    <row r="288" ht="15" customHeight="1">
      <c r="A288" t="inlineStr">
        <is>
          <t>A 45672-2023</t>
        </is>
      </c>
      <c r="B288" s="1" t="n">
        <v>45194</v>
      </c>
      <c r="C288" s="1" t="n">
        <v>45990</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33636-2021</t>
        </is>
      </c>
      <c r="B289" s="1" t="n">
        <v>44378</v>
      </c>
      <c r="C289" s="1" t="n">
        <v>45990</v>
      </c>
      <c r="D289" t="inlineStr">
        <is>
          <t>VÄSTERBOTTENS LÄN</t>
        </is>
      </c>
      <c r="E289" t="inlineStr">
        <is>
          <t>VILHELMINA</t>
        </is>
      </c>
      <c r="G289" t="n">
        <v>1.6</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45990</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36320-2024</t>
        </is>
      </c>
      <c r="B291" s="1" t="n">
        <v>45534.63586805556</v>
      </c>
      <c r="C291" s="1" t="n">
        <v>45990</v>
      </c>
      <c r="D291" t="inlineStr">
        <is>
          <t>VÄSTERBOTTENS LÄN</t>
        </is>
      </c>
      <c r="E291" t="inlineStr">
        <is>
          <t>VILHELMINA</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35409-2024</t>
        </is>
      </c>
      <c r="B292" s="1" t="n">
        <v>45531</v>
      </c>
      <c r="C292" s="1" t="n">
        <v>45990</v>
      </c>
      <c r="D292" t="inlineStr">
        <is>
          <t>VÄSTERBOTTENS LÄN</t>
        </is>
      </c>
      <c r="E292" t="inlineStr">
        <is>
          <t>VILHELMINA</t>
        </is>
      </c>
      <c r="F292" t="inlineStr">
        <is>
          <t>SCA</t>
        </is>
      </c>
      <c r="G292" t="n">
        <v>13.1</v>
      </c>
      <c r="H292" t="n">
        <v>0</v>
      </c>
      <c r="I292" t="n">
        <v>0</v>
      </c>
      <c r="J292" t="n">
        <v>0</v>
      </c>
      <c r="K292" t="n">
        <v>0</v>
      </c>
      <c r="L292" t="n">
        <v>0</v>
      </c>
      <c r="M292" t="n">
        <v>0</v>
      </c>
      <c r="N292" t="n">
        <v>0</v>
      </c>
      <c r="O292" t="n">
        <v>0</v>
      </c>
      <c r="P292" t="n">
        <v>0</v>
      </c>
      <c r="Q292" t="n">
        <v>0</v>
      </c>
      <c r="R292" s="2" t="inlineStr"/>
    </row>
    <row r="293" ht="15" customHeight="1">
      <c r="A293" t="inlineStr">
        <is>
          <t>A 24224-2025</t>
        </is>
      </c>
      <c r="B293" s="1" t="n">
        <v>45797</v>
      </c>
      <c r="C293" s="1" t="n">
        <v>45990</v>
      </c>
      <c r="D293" t="inlineStr">
        <is>
          <t>VÄSTERBOTTENS LÄN</t>
        </is>
      </c>
      <c r="E293" t="inlineStr">
        <is>
          <t>VILHELMINA</t>
        </is>
      </c>
      <c r="G293" t="n">
        <v>27.2</v>
      </c>
      <c r="H293" t="n">
        <v>0</v>
      </c>
      <c r="I293" t="n">
        <v>0</v>
      </c>
      <c r="J293" t="n">
        <v>0</v>
      </c>
      <c r="K293" t="n">
        <v>0</v>
      </c>
      <c r="L293" t="n">
        <v>0</v>
      </c>
      <c r="M293" t="n">
        <v>0</v>
      </c>
      <c r="N293" t="n">
        <v>0</v>
      </c>
      <c r="O293" t="n">
        <v>0</v>
      </c>
      <c r="P293" t="n">
        <v>0</v>
      </c>
      <c r="Q293" t="n">
        <v>0</v>
      </c>
      <c r="R293" s="2" t="inlineStr"/>
    </row>
    <row r="294" ht="15" customHeight="1">
      <c r="A294" t="inlineStr">
        <is>
          <t>A 58207-2022</t>
        </is>
      </c>
      <c r="B294" s="1" t="n">
        <v>44901</v>
      </c>
      <c r="C294" s="1" t="n">
        <v>45990</v>
      </c>
      <c r="D294" t="inlineStr">
        <is>
          <t>VÄSTERBOTTENS LÄN</t>
        </is>
      </c>
      <c r="E294" t="inlineStr">
        <is>
          <t>VILHELMINA</t>
        </is>
      </c>
      <c r="G294" t="n">
        <v>143.2</v>
      </c>
      <c r="H294" t="n">
        <v>0</v>
      </c>
      <c r="I294" t="n">
        <v>0</v>
      </c>
      <c r="J294" t="n">
        <v>0</v>
      </c>
      <c r="K294" t="n">
        <v>0</v>
      </c>
      <c r="L294" t="n">
        <v>0</v>
      </c>
      <c r="M294" t="n">
        <v>0</v>
      </c>
      <c r="N294" t="n">
        <v>0</v>
      </c>
      <c r="O294" t="n">
        <v>0</v>
      </c>
      <c r="P294" t="n">
        <v>0</v>
      </c>
      <c r="Q294" t="n">
        <v>0</v>
      </c>
      <c r="R294" s="2" t="inlineStr"/>
    </row>
    <row r="295" ht="15" customHeight="1">
      <c r="A295" t="inlineStr">
        <is>
          <t>A 33319-2024</t>
        </is>
      </c>
      <c r="B295" s="1" t="n">
        <v>45518</v>
      </c>
      <c r="C295" s="1" t="n">
        <v>45990</v>
      </c>
      <c r="D295" t="inlineStr">
        <is>
          <t>VÄSTERBOTTENS LÄN</t>
        </is>
      </c>
      <c r="E295" t="inlineStr">
        <is>
          <t>VILHELMINA</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35760-2023</t>
        </is>
      </c>
      <c r="B296" s="1" t="n">
        <v>45147</v>
      </c>
      <c r="C296" s="1" t="n">
        <v>45990</v>
      </c>
      <c r="D296" t="inlineStr">
        <is>
          <t>VÄSTERBOTTENS LÄN</t>
        </is>
      </c>
      <c r="E296" t="inlineStr">
        <is>
          <t>VILHELMINA</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25062-2025</t>
        </is>
      </c>
      <c r="B297" s="1" t="n">
        <v>45799.69844907407</v>
      </c>
      <c r="C297" s="1" t="n">
        <v>45990</v>
      </c>
      <c r="D297" t="inlineStr">
        <is>
          <t>VÄSTERBOTTENS LÄN</t>
        </is>
      </c>
      <c r="E297" t="inlineStr">
        <is>
          <t>VILHELMINA</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35757-2023</t>
        </is>
      </c>
      <c r="B298" s="1" t="n">
        <v>45147.95444444445</v>
      </c>
      <c r="C298" s="1" t="n">
        <v>45990</v>
      </c>
      <c r="D298" t="inlineStr">
        <is>
          <t>VÄSTERBOTTENS LÄN</t>
        </is>
      </c>
      <c r="E298" t="inlineStr">
        <is>
          <t>VILHELMINA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38620-2025</t>
        </is>
      </c>
      <c r="B299" s="1" t="n">
        <v>45884.55297453704</v>
      </c>
      <c r="C299" s="1" t="n">
        <v>45990</v>
      </c>
      <c r="D299" t="inlineStr">
        <is>
          <t>VÄSTERBOTTENS LÄN</t>
        </is>
      </c>
      <c r="E299" t="inlineStr">
        <is>
          <t>VILHELMINA</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402-2023</t>
        </is>
      </c>
      <c r="B300" s="1" t="n">
        <v>44923</v>
      </c>
      <c r="C300" s="1" t="n">
        <v>45990</v>
      </c>
      <c r="D300" t="inlineStr">
        <is>
          <t>VÄSTERBOTTENS LÄN</t>
        </is>
      </c>
      <c r="E300" t="inlineStr">
        <is>
          <t>VILHELMINA</t>
        </is>
      </c>
      <c r="G300" t="n">
        <v>14.7</v>
      </c>
      <c r="H300" t="n">
        <v>0</v>
      </c>
      <c r="I300" t="n">
        <v>0</v>
      </c>
      <c r="J300" t="n">
        <v>0</v>
      </c>
      <c r="K300" t="n">
        <v>0</v>
      </c>
      <c r="L300" t="n">
        <v>0</v>
      </c>
      <c r="M300" t="n">
        <v>0</v>
      </c>
      <c r="N300" t="n">
        <v>0</v>
      </c>
      <c r="O300" t="n">
        <v>0</v>
      </c>
      <c r="P300" t="n">
        <v>0</v>
      </c>
      <c r="Q300" t="n">
        <v>0</v>
      </c>
      <c r="R300" s="2" t="inlineStr"/>
    </row>
    <row r="301" ht="15" customHeight="1">
      <c r="A301" t="inlineStr">
        <is>
          <t>A 12765-2025</t>
        </is>
      </c>
      <c r="B301" s="1" t="n">
        <v>45733</v>
      </c>
      <c r="C301" s="1" t="n">
        <v>45990</v>
      </c>
      <c r="D301" t="inlineStr">
        <is>
          <t>VÄSTERBOTTENS LÄN</t>
        </is>
      </c>
      <c r="E301" t="inlineStr">
        <is>
          <t>VILHELMINA</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31496-2023</t>
        </is>
      </c>
      <c r="B302" s="1" t="n">
        <v>45114.94138888889</v>
      </c>
      <c r="C302" s="1" t="n">
        <v>45990</v>
      </c>
      <c r="D302" t="inlineStr">
        <is>
          <t>VÄSTERBOTTENS LÄN</t>
        </is>
      </c>
      <c r="E302" t="inlineStr">
        <is>
          <t>VILHELMINA</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28722-2022</t>
        </is>
      </c>
      <c r="B303" s="1" t="n">
        <v>44748</v>
      </c>
      <c r="C303" s="1" t="n">
        <v>45990</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36215-2023</t>
        </is>
      </c>
      <c r="B304" s="1" t="n">
        <v>45149.95266203704</v>
      </c>
      <c r="C304" s="1" t="n">
        <v>45990</v>
      </c>
      <c r="D304" t="inlineStr">
        <is>
          <t>VÄSTERBOTTENS LÄN</t>
        </is>
      </c>
      <c r="E304" t="inlineStr">
        <is>
          <t>VILHELMINA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45990</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24871-2025</t>
        </is>
      </c>
      <c r="B306" s="1" t="n">
        <v>45799.49028935185</v>
      </c>
      <c r="C306" s="1" t="n">
        <v>45990</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38543-2025</t>
        </is>
      </c>
      <c r="B307" s="1" t="n">
        <v>45884.42813657408</v>
      </c>
      <c r="C307" s="1" t="n">
        <v>45990</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47483-2023</t>
        </is>
      </c>
      <c r="B308" s="1" t="n">
        <v>45202.9413425926</v>
      </c>
      <c r="C308" s="1" t="n">
        <v>45990</v>
      </c>
      <c r="D308" t="inlineStr">
        <is>
          <t>VÄSTERBOTTENS LÄN</t>
        </is>
      </c>
      <c r="E308" t="inlineStr">
        <is>
          <t>VILHELMINA</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24870-2025</t>
        </is>
      </c>
      <c r="B309" s="1" t="n">
        <v>45799.49025462963</v>
      </c>
      <c r="C309" s="1" t="n">
        <v>45990</v>
      </c>
      <c r="D309" t="inlineStr">
        <is>
          <t>VÄSTERBOTTENS LÄN</t>
        </is>
      </c>
      <c r="E309" t="inlineStr">
        <is>
          <t>VILHELMINA</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38597-2025</t>
        </is>
      </c>
      <c r="B310" s="1" t="n">
        <v>45884.49061342593</v>
      </c>
      <c r="C310" s="1" t="n">
        <v>45990</v>
      </c>
      <c r="D310" t="inlineStr">
        <is>
          <t>VÄSTERBOTTENS LÄN</t>
        </is>
      </c>
      <c r="E310" t="inlineStr">
        <is>
          <t>VILHELMINA</t>
        </is>
      </c>
      <c r="F310" t="inlineStr">
        <is>
          <t>SCA</t>
        </is>
      </c>
      <c r="G310" t="n">
        <v>7.5</v>
      </c>
      <c r="H310" t="n">
        <v>0</v>
      </c>
      <c r="I310" t="n">
        <v>0</v>
      </c>
      <c r="J310" t="n">
        <v>0</v>
      </c>
      <c r="K310" t="n">
        <v>0</v>
      </c>
      <c r="L310" t="n">
        <v>0</v>
      </c>
      <c r="M310" t="n">
        <v>0</v>
      </c>
      <c r="N310" t="n">
        <v>0</v>
      </c>
      <c r="O310" t="n">
        <v>0</v>
      </c>
      <c r="P310" t="n">
        <v>0</v>
      </c>
      <c r="Q310" t="n">
        <v>0</v>
      </c>
      <c r="R310" s="2" t="inlineStr"/>
    </row>
    <row r="311" ht="15" customHeight="1">
      <c r="A311" t="inlineStr">
        <is>
          <t>A 37322-2022</t>
        </is>
      </c>
      <c r="B311" s="1" t="n">
        <v>44806</v>
      </c>
      <c r="C311" s="1" t="n">
        <v>45990</v>
      </c>
      <c r="D311" t="inlineStr">
        <is>
          <t>VÄSTERBOTTENS LÄN</t>
        </is>
      </c>
      <c r="E311" t="inlineStr">
        <is>
          <t>VILHELMINA</t>
        </is>
      </c>
      <c r="F311" t="inlineStr">
        <is>
          <t>Övriga statliga verk och myndigheter</t>
        </is>
      </c>
      <c r="G311" t="n">
        <v>15.4</v>
      </c>
      <c r="H311" t="n">
        <v>0</v>
      </c>
      <c r="I311" t="n">
        <v>0</v>
      </c>
      <c r="J311" t="n">
        <v>0</v>
      </c>
      <c r="K311" t="n">
        <v>0</v>
      </c>
      <c r="L311" t="n">
        <v>0</v>
      </c>
      <c r="M311" t="n">
        <v>0</v>
      </c>
      <c r="N311" t="n">
        <v>0</v>
      </c>
      <c r="O311" t="n">
        <v>0</v>
      </c>
      <c r="P311" t="n">
        <v>0</v>
      </c>
      <c r="Q311" t="n">
        <v>0</v>
      </c>
      <c r="R311" s="2" t="inlineStr"/>
    </row>
    <row r="312" ht="15" customHeight="1">
      <c r="A312" t="inlineStr">
        <is>
          <t>A 17587-2024</t>
        </is>
      </c>
      <c r="B312" s="1" t="n">
        <v>45415.94033564815</v>
      </c>
      <c r="C312" s="1" t="n">
        <v>45990</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25524-2025</t>
        </is>
      </c>
      <c r="B313" s="1" t="n">
        <v>45803.38644675926</v>
      </c>
      <c r="C313" s="1" t="n">
        <v>45990</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25180-2025</t>
        </is>
      </c>
      <c r="B314" s="1" t="n">
        <v>45800.44892361111</v>
      </c>
      <c r="C314" s="1" t="n">
        <v>45990</v>
      </c>
      <c r="D314" t="inlineStr">
        <is>
          <t>VÄSTERBOTTENS LÄN</t>
        </is>
      </c>
      <c r="E314" t="inlineStr">
        <is>
          <t>VILHELMINA</t>
        </is>
      </c>
      <c r="F314" t="inlineStr">
        <is>
          <t>SCA</t>
        </is>
      </c>
      <c r="G314" t="n">
        <v>10.8</v>
      </c>
      <c r="H314" t="n">
        <v>0</v>
      </c>
      <c r="I314" t="n">
        <v>0</v>
      </c>
      <c r="J314" t="n">
        <v>0</v>
      </c>
      <c r="K314" t="n">
        <v>0</v>
      </c>
      <c r="L314" t="n">
        <v>0</v>
      </c>
      <c r="M314" t="n">
        <v>0</v>
      </c>
      <c r="N314" t="n">
        <v>0</v>
      </c>
      <c r="O314" t="n">
        <v>0</v>
      </c>
      <c r="P314" t="n">
        <v>0</v>
      </c>
      <c r="Q314" t="n">
        <v>0</v>
      </c>
      <c r="R314" s="2" t="inlineStr"/>
    </row>
    <row r="315" ht="15" customHeight="1">
      <c r="A315" t="inlineStr">
        <is>
          <t>A 25176-2025</t>
        </is>
      </c>
      <c r="B315" s="1" t="n">
        <v>45800.44840277778</v>
      </c>
      <c r="C315" s="1" t="n">
        <v>45990</v>
      </c>
      <c r="D315" t="inlineStr">
        <is>
          <t>VÄSTERBOTTENS LÄN</t>
        </is>
      </c>
      <c r="E315" t="inlineStr">
        <is>
          <t>VILHELMINA</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46318-2022</t>
        </is>
      </c>
      <c r="B316" s="1" t="n">
        <v>44847</v>
      </c>
      <c r="C316" s="1" t="n">
        <v>45990</v>
      </c>
      <c r="D316" t="inlineStr">
        <is>
          <t>VÄSTERBOTTENS LÄN</t>
        </is>
      </c>
      <c r="E316" t="inlineStr">
        <is>
          <t>VILHELMINA</t>
        </is>
      </c>
      <c r="G316" t="n">
        <v>11.7</v>
      </c>
      <c r="H316" t="n">
        <v>0</v>
      </c>
      <c r="I316" t="n">
        <v>0</v>
      </c>
      <c r="J316" t="n">
        <v>0</v>
      </c>
      <c r="K316" t="n">
        <v>0</v>
      </c>
      <c r="L316" t="n">
        <v>0</v>
      </c>
      <c r="M316" t="n">
        <v>0</v>
      </c>
      <c r="N316" t="n">
        <v>0</v>
      </c>
      <c r="O316" t="n">
        <v>0</v>
      </c>
      <c r="P316" t="n">
        <v>0</v>
      </c>
      <c r="Q316" t="n">
        <v>0</v>
      </c>
      <c r="R316" s="2" t="inlineStr"/>
    </row>
    <row r="317" ht="15" customHeight="1">
      <c r="A317" t="inlineStr">
        <is>
          <t>A 32455-2024</t>
        </is>
      </c>
      <c r="B317" s="1" t="n">
        <v>45512.95870370371</v>
      </c>
      <c r="C317" s="1" t="n">
        <v>45990</v>
      </c>
      <c r="D317" t="inlineStr">
        <is>
          <t>VÄSTERBOTTENS LÄN</t>
        </is>
      </c>
      <c r="E317" t="inlineStr">
        <is>
          <t>VILHELMINA</t>
        </is>
      </c>
      <c r="F317" t="inlineStr">
        <is>
          <t>SCA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55327-2023</t>
        </is>
      </c>
      <c r="B318" s="1" t="n">
        <v>45237.97375</v>
      </c>
      <c r="C318" s="1" t="n">
        <v>45990</v>
      </c>
      <c r="D318" t="inlineStr">
        <is>
          <t>VÄSTERBOTTENS LÄN</t>
        </is>
      </c>
      <c r="E318" t="inlineStr">
        <is>
          <t>VILHELMINA</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25309-2025</t>
        </is>
      </c>
      <c r="B319" s="1" t="n">
        <v>45800.57380787037</v>
      </c>
      <c r="C319" s="1" t="n">
        <v>45990</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45990</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25770-2025</t>
        </is>
      </c>
      <c r="B321" s="1" t="n">
        <v>45804.3449537037</v>
      </c>
      <c r="C321" s="1" t="n">
        <v>45990</v>
      </c>
      <c r="D321" t="inlineStr">
        <is>
          <t>VÄSTERBOTTENS LÄN</t>
        </is>
      </c>
      <c r="E321" t="inlineStr">
        <is>
          <t>VILHELMINA</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27355-2023</t>
        </is>
      </c>
      <c r="B322" s="1" t="n">
        <v>45096</v>
      </c>
      <c r="C322" s="1" t="n">
        <v>45990</v>
      </c>
      <c r="D322" t="inlineStr">
        <is>
          <t>VÄSTERBOTTENS LÄN</t>
        </is>
      </c>
      <c r="E322" t="inlineStr">
        <is>
          <t>VILHELMINA</t>
        </is>
      </c>
      <c r="G322" t="n">
        <v>2.6</v>
      </c>
      <c r="H322" t="n">
        <v>0</v>
      </c>
      <c r="I322" t="n">
        <v>0</v>
      </c>
      <c r="J322" t="n">
        <v>0</v>
      </c>
      <c r="K322" t="n">
        <v>0</v>
      </c>
      <c r="L322" t="n">
        <v>0</v>
      </c>
      <c r="M322" t="n">
        <v>0</v>
      </c>
      <c r="N322" t="n">
        <v>0</v>
      </c>
      <c r="O322" t="n">
        <v>0</v>
      </c>
      <c r="P322" t="n">
        <v>0</v>
      </c>
      <c r="Q322" t="n">
        <v>0</v>
      </c>
      <c r="R322" s="2" t="inlineStr"/>
    </row>
    <row r="323" ht="15" customHeight="1">
      <c r="A323" t="inlineStr">
        <is>
          <t>A 39320-2025</t>
        </is>
      </c>
      <c r="B323" s="1" t="n">
        <v>45889.46940972222</v>
      </c>
      <c r="C323" s="1" t="n">
        <v>45990</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38187-2024</t>
        </is>
      </c>
      <c r="B324" s="1" t="n">
        <v>45545.49028935185</v>
      </c>
      <c r="C324" s="1" t="n">
        <v>45990</v>
      </c>
      <c r="D324" t="inlineStr">
        <is>
          <t>VÄSTERBOTTENS LÄN</t>
        </is>
      </c>
      <c r="E324" t="inlineStr">
        <is>
          <t>VILHELMINA</t>
        </is>
      </c>
      <c r="F324" t="inlineStr">
        <is>
          <t>SCA</t>
        </is>
      </c>
      <c r="G324" t="n">
        <v>6.1</v>
      </c>
      <c r="H324" t="n">
        <v>0</v>
      </c>
      <c r="I324" t="n">
        <v>0</v>
      </c>
      <c r="J324" t="n">
        <v>0</v>
      </c>
      <c r="K324" t="n">
        <v>0</v>
      </c>
      <c r="L324" t="n">
        <v>0</v>
      </c>
      <c r="M324" t="n">
        <v>0</v>
      </c>
      <c r="N324" t="n">
        <v>0</v>
      </c>
      <c r="O324" t="n">
        <v>0</v>
      </c>
      <c r="P324" t="n">
        <v>0</v>
      </c>
      <c r="Q324" t="n">
        <v>0</v>
      </c>
      <c r="R324" s="2" t="inlineStr"/>
    </row>
    <row r="325" ht="15" customHeight="1">
      <c r="A325" t="inlineStr">
        <is>
          <t>A 40505-2024</t>
        </is>
      </c>
      <c r="B325" s="1" t="n">
        <v>45555.57373842593</v>
      </c>
      <c r="C325" s="1" t="n">
        <v>45990</v>
      </c>
      <c r="D325" t="inlineStr">
        <is>
          <t>VÄSTERBOTTENS LÄN</t>
        </is>
      </c>
      <c r="E325" t="inlineStr">
        <is>
          <t>VILHELMINA</t>
        </is>
      </c>
      <c r="G325" t="n">
        <v>0.3</v>
      </c>
      <c r="H325" t="n">
        <v>0</v>
      </c>
      <c r="I325" t="n">
        <v>0</v>
      </c>
      <c r="J325" t="n">
        <v>0</v>
      </c>
      <c r="K325" t="n">
        <v>0</v>
      </c>
      <c r="L325" t="n">
        <v>0</v>
      </c>
      <c r="M325" t="n">
        <v>0</v>
      </c>
      <c r="N325" t="n">
        <v>0</v>
      </c>
      <c r="O325" t="n">
        <v>0</v>
      </c>
      <c r="P325" t="n">
        <v>0</v>
      </c>
      <c r="Q325" t="n">
        <v>0</v>
      </c>
      <c r="R325" s="2" t="inlineStr"/>
    </row>
    <row r="326" ht="15" customHeight="1">
      <c r="A326" t="inlineStr">
        <is>
          <t>A 39138-2025</t>
        </is>
      </c>
      <c r="B326" s="1" t="n">
        <v>45888.59435185185</v>
      </c>
      <c r="C326" s="1" t="n">
        <v>45990</v>
      </c>
      <c r="D326" t="inlineStr">
        <is>
          <t>VÄSTERBOTTENS LÄN</t>
        </is>
      </c>
      <c r="E326" t="inlineStr">
        <is>
          <t>VILHELMINA</t>
        </is>
      </c>
      <c r="G326" t="n">
        <v>6.7</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45990</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35412-2024</t>
        </is>
      </c>
      <c r="B328" s="1" t="n">
        <v>45531.4075</v>
      </c>
      <c r="C328" s="1" t="n">
        <v>45990</v>
      </c>
      <c r="D328" t="inlineStr">
        <is>
          <t>VÄSTERBOTTENS LÄN</t>
        </is>
      </c>
      <c r="E328" t="inlineStr">
        <is>
          <t>VILHELMINA</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39378-2025</t>
        </is>
      </c>
      <c r="B329" s="1" t="n">
        <v>45889.59453703704</v>
      </c>
      <c r="C329" s="1" t="n">
        <v>45990</v>
      </c>
      <c r="D329" t="inlineStr">
        <is>
          <t>VÄSTERBOTTENS LÄN</t>
        </is>
      </c>
      <c r="E329" t="inlineStr">
        <is>
          <t>VILHELMINA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25942-2025</t>
        </is>
      </c>
      <c r="B330" s="1" t="n">
        <v>45804.59461805555</v>
      </c>
      <c r="C330" s="1" t="n">
        <v>45990</v>
      </c>
      <c r="D330" t="inlineStr">
        <is>
          <t>VÄSTERBOTTENS LÄN</t>
        </is>
      </c>
      <c r="E330" t="inlineStr">
        <is>
          <t>VILHELMINA</t>
        </is>
      </c>
      <c r="F330" t="inlineStr">
        <is>
          <t>SCA</t>
        </is>
      </c>
      <c r="G330" t="n">
        <v>6.2</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45990</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45990</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46908-2024</t>
        </is>
      </c>
      <c r="B333" s="1" t="n">
        <v>45583</v>
      </c>
      <c r="C333" s="1" t="n">
        <v>45990</v>
      </c>
      <c r="D333" t="inlineStr">
        <is>
          <t>VÄSTERBOTTENS LÄN</t>
        </is>
      </c>
      <c r="E333" t="inlineStr">
        <is>
          <t>VILHELMINA</t>
        </is>
      </c>
      <c r="F333" t="inlineStr">
        <is>
          <t>SCA</t>
        </is>
      </c>
      <c r="G333" t="n">
        <v>7.5</v>
      </c>
      <c r="H333" t="n">
        <v>0</v>
      </c>
      <c r="I333" t="n">
        <v>0</v>
      </c>
      <c r="J333" t="n">
        <v>0</v>
      </c>
      <c r="K333" t="n">
        <v>0</v>
      </c>
      <c r="L333" t="n">
        <v>0</v>
      </c>
      <c r="M333" t="n">
        <v>0</v>
      </c>
      <c r="N333" t="n">
        <v>0</v>
      </c>
      <c r="O333" t="n">
        <v>0</v>
      </c>
      <c r="P333" t="n">
        <v>0</v>
      </c>
      <c r="Q333" t="n">
        <v>0</v>
      </c>
      <c r="R333" s="2" t="inlineStr"/>
    </row>
    <row r="334" ht="15" customHeight="1">
      <c r="A334" t="inlineStr">
        <is>
          <t>A 55978-2024</t>
        </is>
      </c>
      <c r="B334" s="1" t="n">
        <v>45623</v>
      </c>
      <c r="C334" s="1" t="n">
        <v>45990</v>
      </c>
      <c r="D334" t="inlineStr">
        <is>
          <t>VÄSTERBOTTENS LÄN</t>
        </is>
      </c>
      <c r="E334" t="inlineStr">
        <is>
          <t>VILHELMINA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37325-2022</t>
        </is>
      </c>
      <c r="B335" s="1" t="n">
        <v>44806</v>
      </c>
      <c r="C335" s="1" t="n">
        <v>45990</v>
      </c>
      <c r="D335" t="inlineStr">
        <is>
          <t>VÄSTERBOTTENS LÄN</t>
        </is>
      </c>
      <c r="E335" t="inlineStr">
        <is>
          <t>VILHELMINA</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39571-2025</t>
        </is>
      </c>
      <c r="B336" s="1" t="n">
        <v>45890.49021990741</v>
      </c>
      <c r="C336" s="1" t="n">
        <v>45990</v>
      </c>
      <c r="D336" t="inlineStr">
        <is>
          <t>VÄSTERBOTTENS LÄN</t>
        </is>
      </c>
      <c r="E336" t="inlineStr">
        <is>
          <t>VILHELMINA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39558-2025</t>
        </is>
      </c>
      <c r="B337" s="1" t="n">
        <v>45890.46978009259</v>
      </c>
      <c r="C337" s="1" t="n">
        <v>45990</v>
      </c>
      <c r="D337" t="inlineStr">
        <is>
          <t>VÄSTERBOTTENS LÄN</t>
        </is>
      </c>
      <c r="E337" t="inlineStr">
        <is>
          <t>VILHELMINA</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56891-2023</t>
        </is>
      </c>
      <c r="B338" s="1" t="n">
        <v>45239</v>
      </c>
      <c r="C338" s="1" t="n">
        <v>45990</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36082-2022</t>
        </is>
      </c>
      <c r="B339" s="1" t="n">
        <v>44802</v>
      </c>
      <c r="C339" s="1" t="n">
        <v>45990</v>
      </c>
      <c r="D339" t="inlineStr">
        <is>
          <t>VÄSTERBOTTENS LÄN</t>
        </is>
      </c>
      <c r="E339" t="inlineStr">
        <is>
          <t>VILHELMINA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26744-2025</t>
        </is>
      </c>
      <c r="B340" s="1" t="n">
        <v>45810.53185185185</v>
      </c>
      <c r="C340" s="1" t="n">
        <v>45990</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39533-2025</t>
        </is>
      </c>
      <c r="B341" s="1" t="n">
        <v>45890.44863425926</v>
      </c>
      <c r="C341" s="1" t="n">
        <v>45990</v>
      </c>
      <c r="D341" t="inlineStr">
        <is>
          <t>VÄSTERBOTTENS LÄN</t>
        </is>
      </c>
      <c r="E341" t="inlineStr">
        <is>
          <t>VILHELMINA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39534-2025</t>
        </is>
      </c>
      <c r="B342" s="1" t="n">
        <v>45890.44875</v>
      </c>
      <c r="C342" s="1" t="n">
        <v>45990</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40220-2025</t>
        </is>
      </c>
      <c r="B343" s="1" t="n">
        <v>45894</v>
      </c>
      <c r="C343" s="1" t="n">
        <v>45990</v>
      </c>
      <c r="D343" t="inlineStr">
        <is>
          <t>VÄSTERBOTTENS LÄN</t>
        </is>
      </c>
      <c r="E343" t="inlineStr">
        <is>
          <t>VILHELMINA</t>
        </is>
      </c>
      <c r="G343" t="n">
        <v>4.6</v>
      </c>
      <c r="H343" t="n">
        <v>0</v>
      </c>
      <c r="I343" t="n">
        <v>0</v>
      </c>
      <c r="J343" t="n">
        <v>0</v>
      </c>
      <c r="K343" t="n">
        <v>0</v>
      </c>
      <c r="L343" t="n">
        <v>0</v>
      </c>
      <c r="M343" t="n">
        <v>0</v>
      </c>
      <c r="N343" t="n">
        <v>0</v>
      </c>
      <c r="O343" t="n">
        <v>0</v>
      </c>
      <c r="P343" t="n">
        <v>0</v>
      </c>
      <c r="Q343" t="n">
        <v>0</v>
      </c>
      <c r="R343" s="2" t="inlineStr"/>
    </row>
    <row r="344" ht="15" customHeight="1">
      <c r="A344" t="inlineStr">
        <is>
          <t>A 38569-2024</t>
        </is>
      </c>
      <c r="B344" s="1" t="n">
        <v>45546.63689814815</v>
      </c>
      <c r="C344" s="1" t="n">
        <v>45990</v>
      </c>
      <c r="D344" t="inlineStr">
        <is>
          <t>VÄSTERBOTTENS LÄN</t>
        </is>
      </c>
      <c r="E344" t="inlineStr">
        <is>
          <t>VILHELMINA</t>
        </is>
      </c>
      <c r="G344" t="n">
        <v>31.5</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45990</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44285-2024</t>
        </is>
      </c>
      <c r="B346" s="1" t="n">
        <v>45573</v>
      </c>
      <c r="C346" s="1" t="n">
        <v>45990</v>
      </c>
      <c r="D346" t="inlineStr">
        <is>
          <t>VÄSTERBOTTENS LÄN</t>
        </is>
      </c>
      <c r="E346" t="inlineStr">
        <is>
          <t>VILHELMINA</t>
        </is>
      </c>
      <c r="G346" t="n">
        <v>30.9</v>
      </c>
      <c r="H346" t="n">
        <v>0</v>
      </c>
      <c r="I346" t="n">
        <v>0</v>
      </c>
      <c r="J346" t="n">
        <v>0</v>
      </c>
      <c r="K346" t="n">
        <v>0</v>
      </c>
      <c r="L346" t="n">
        <v>0</v>
      </c>
      <c r="M346" t="n">
        <v>0</v>
      </c>
      <c r="N346" t="n">
        <v>0</v>
      </c>
      <c r="O346" t="n">
        <v>0</v>
      </c>
      <c r="P346" t="n">
        <v>0</v>
      </c>
      <c r="Q346" t="n">
        <v>0</v>
      </c>
      <c r="R346" s="2" t="inlineStr"/>
    </row>
    <row r="347" ht="15" customHeight="1">
      <c r="A347" t="inlineStr">
        <is>
          <t>A 40196-2025</t>
        </is>
      </c>
      <c r="B347" s="1" t="n">
        <v>45894.65951388889</v>
      </c>
      <c r="C347" s="1" t="n">
        <v>45990</v>
      </c>
      <c r="D347" t="inlineStr">
        <is>
          <t>VÄSTERBOTTENS LÄN</t>
        </is>
      </c>
      <c r="E347" t="inlineStr">
        <is>
          <t>VILHELMINA</t>
        </is>
      </c>
      <c r="G347" t="n">
        <v>23.3</v>
      </c>
      <c r="H347" t="n">
        <v>0</v>
      </c>
      <c r="I347" t="n">
        <v>0</v>
      </c>
      <c r="J347" t="n">
        <v>0</v>
      </c>
      <c r="K347" t="n">
        <v>0</v>
      </c>
      <c r="L347" t="n">
        <v>0</v>
      </c>
      <c r="M347" t="n">
        <v>0</v>
      </c>
      <c r="N347" t="n">
        <v>0</v>
      </c>
      <c r="O347" t="n">
        <v>0</v>
      </c>
      <c r="P347" t="n">
        <v>0</v>
      </c>
      <c r="Q347" t="n">
        <v>0</v>
      </c>
      <c r="R347" s="2" t="inlineStr"/>
    </row>
    <row r="348" ht="15" customHeight="1">
      <c r="A348" t="inlineStr">
        <is>
          <t>A 26722-2025</t>
        </is>
      </c>
      <c r="B348" s="1" t="n">
        <v>45810</v>
      </c>
      <c r="C348" s="1" t="n">
        <v>45990</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26745-2025</t>
        </is>
      </c>
      <c r="B349" s="1" t="n">
        <v>45810.53188657408</v>
      </c>
      <c r="C349" s="1" t="n">
        <v>45990</v>
      </c>
      <c r="D349" t="inlineStr">
        <is>
          <t>VÄSTERBOTTENS LÄN</t>
        </is>
      </c>
      <c r="E349" t="inlineStr">
        <is>
          <t>VILHELMINA</t>
        </is>
      </c>
      <c r="F349" t="inlineStr">
        <is>
          <t>SCA</t>
        </is>
      </c>
      <c r="G349" t="n">
        <v>0.3</v>
      </c>
      <c r="H349" t="n">
        <v>0</v>
      </c>
      <c r="I349" t="n">
        <v>0</v>
      </c>
      <c r="J349" t="n">
        <v>0</v>
      </c>
      <c r="K349" t="n">
        <v>0</v>
      </c>
      <c r="L349" t="n">
        <v>0</v>
      </c>
      <c r="M349" t="n">
        <v>0</v>
      </c>
      <c r="N349" t="n">
        <v>0</v>
      </c>
      <c r="O349" t="n">
        <v>0</v>
      </c>
      <c r="P349" t="n">
        <v>0</v>
      </c>
      <c r="Q349" t="n">
        <v>0</v>
      </c>
      <c r="R349" s="2" t="inlineStr"/>
    </row>
    <row r="350" ht="15" customHeight="1">
      <c r="A350" t="inlineStr">
        <is>
          <t>A 8859-2023</t>
        </is>
      </c>
      <c r="B350" s="1" t="n">
        <v>44978</v>
      </c>
      <c r="C350" s="1" t="n">
        <v>45990</v>
      </c>
      <c r="D350" t="inlineStr">
        <is>
          <t>VÄSTERBOTTENS LÄN</t>
        </is>
      </c>
      <c r="E350" t="inlineStr">
        <is>
          <t>VILHELMINA</t>
        </is>
      </c>
      <c r="G350" t="n">
        <v>6.3</v>
      </c>
      <c r="H350" t="n">
        <v>0</v>
      </c>
      <c r="I350" t="n">
        <v>0</v>
      </c>
      <c r="J350" t="n">
        <v>0</v>
      </c>
      <c r="K350" t="n">
        <v>0</v>
      </c>
      <c r="L350" t="n">
        <v>0</v>
      </c>
      <c r="M350" t="n">
        <v>0</v>
      </c>
      <c r="N350" t="n">
        <v>0</v>
      </c>
      <c r="O350" t="n">
        <v>0</v>
      </c>
      <c r="P350" t="n">
        <v>0</v>
      </c>
      <c r="Q350" t="n">
        <v>0</v>
      </c>
      <c r="R350" s="2" t="inlineStr"/>
    </row>
    <row r="351" ht="15" customHeight="1">
      <c r="A351" t="inlineStr">
        <is>
          <t>A 40144-2025</t>
        </is>
      </c>
      <c r="B351" s="1" t="n">
        <v>45894.57322916666</v>
      </c>
      <c r="C351" s="1" t="n">
        <v>45990</v>
      </c>
      <c r="D351" t="inlineStr">
        <is>
          <t>VÄSTERBOTTENS LÄN</t>
        </is>
      </c>
      <c r="E351" t="inlineStr">
        <is>
          <t>VILHELMINA</t>
        </is>
      </c>
      <c r="G351" t="n">
        <v>6.3</v>
      </c>
      <c r="H351" t="n">
        <v>0</v>
      </c>
      <c r="I351" t="n">
        <v>0</v>
      </c>
      <c r="J351" t="n">
        <v>0</v>
      </c>
      <c r="K351" t="n">
        <v>0</v>
      </c>
      <c r="L351" t="n">
        <v>0</v>
      </c>
      <c r="M351" t="n">
        <v>0</v>
      </c>
      <c r="N351" t="n">
        <v>0</v>
      </c>
      <c r="O351" t="n">
        <v>0</v>
      </c>
      <c r="P351" t="n">
        <v>0</v>
      </c>
      <c r="Q351" t="n">
        <v>0</v>
      </c>
      <c r="R351" s="2" t="inlineStr"/>
    </row>
    <row r="352" ht="15" customHeight="1">
      <c r="A352" t="inlineStr">
        <is>
          <t>A 27601-2025</t>
        </is>
      </c>
      <c r="B352" s="1" t="n">
        <v>45813.52791666667</v>
      </c>
      <c r="C352" s="1" t="n">
        <v>45990</v>
      </c>
      <c r="D352" t="inlineStr">
        <is>
          <t>VÄSTERBOTTENS LÄN</t>
        </is>
      </c>
      <c r="E352" t="inlineStr">
        <is>
          <t>VILHELMINA</t>
        </is>
      </c>
      <c r="F352" t="inlineStr">
        <is>
          <t>Övriga statliga verk och myndigheter</t>
        </is>
      </c>
      <c r="G352" t="n">
        <v>36.5</v>
      </c>
      <c r="H352" t="n">
        <v>0</v>
      </c>
      <c r="I352" t="n">
        <v>0</v>
      </c>
      <c r="J352" t="n">
        <v>0</v>
      </c>
      <c r="K352" t="n">
        <v>0</v>
      </c>
      <c r="L352" t="n">
        <v>0</v>
      </c>
      <c r="M352" t="n">
        <v>0</v>
      </c>
      <c r="N352" t="n">
        <v>0</v>
      </c>
      <c r="O352" t="n">
        <v>0</v>
      </c>
      <c r="P352" t="n">
        <v>0</v>
      </c>
      <c r="Q352" t="n">
        <v>0</v>
      </c>
      <c r="R352" s="2" t="inlineStr"/>
    </row>
    <row r="353" ht="15" customHeight="1">
      <c r="A353" t="inlineStr">
        <is>
          <t>A 12368-2025</t>
        </is>
      </c>
      <c r="B353" s="1" t="n">
        <v>45730.37633101852</v>
      </c>
      <c r="C353" s="1" t="n">
        <v>45990</v>
      </c>
      <c r="D353" t="inlineStr">
        <is>
          <t>VÄSTERBOTTENS LÄN</t>
        </is>
      </c>
      <c r="E353" t="inlineStr">
        <is>
          <t>VILHELMINA</t>
        </is>
      </c>
      <c r="F353" t="inlineStr">
        <is>
          <t>Övriga statliga verk och myndigheter</t>
        </is>
      </c>
      <c r="G353" t="n">
        <v>14.8</v>
      </c>
      <c r="H353" t="n">
        <v>0</v>
      </c>
      <c r="I353" t="n">
        <v>0</v>
      </c>
      <c r="J353" t="n">
        <v>0</v>
      </c>
      <c r="K353" t="n">
        <v>0</v>
      </c>
      <c r="L353" t="n">
        <v>0</v>
      </c>
      <c r="M353" t="n">
        <v>0</v>
      </c>
      <c r="N353" t="n">
        <v>0</v>
      </c>
      <c r="O353" t="n">
        <v>0</v>
      </c>
      <c r="P353" t="n">
        <v>0</v>
      </c>
      <c r="Q353" t="n">
        <v>0</v>
      </c>
      <c r="R353" s="2" t="inlineStr"/>
    </row>
    <row r="354" ht="15" customHeight="1">
      <c r="A354" t="inlineStr">
        <is>
          <t>A 12373-2025</t>
        </is>
      </c>
      <c r="B354" s="1" t="n">
        <v>45730</v>
      </c>
      <c r="C354" s="1" t="n">
        <v>45990</v>
      </c>
      <c r="D354" t="inlineStr">
        <is>
          <t>VÄSTERBOTTENS LÄN</t>
        </is>
      </c>
      <c r="E354" t="inlineStr">
        <is>
          <t>VILHELMINA</t>
        </is>
      </c>
      <c r="F354" t="inlineStr">
        <is>
          <t>Övriga statliga verk och myndigheter</t>
        </is>
      </c>
      <c r="G354" t="n">
        <v>25.5</v>
      </c>
      <c r="H354" t="n">
        <v>0</v>
      </c>
      <c r="I354" t="n">
        <v>0</v>
      </c>
      <c r="J354" t="n">
        <v>0</v>
      </c>
      <c r="K354" t="n">
        <v>0</v>
      </c>
      <c r="L354" t="n">
        <v>0</v>
      </c>
      <c r="M354" t="n">
        <v>0</v>
      </c>
      <c r="N354" t="n">
        <v>0</v>
      </c>
      <c r="O354" t="n">
        <v>0</v>
      </c>
      <c r="P354" t="n">
        <v>0</v>
      </c>
      <c r="Q354" t="n">
        <v>0</v>
      </c>
      <c r="R354" s="2" t="inlineStr"/>
    </row>
    <row r="355" ht="15" customHeight="1">
      <c r="A355" t="inlineStr">
        <is>
          <t>A 69502-2020</t>
        </is>
      </c>
      <c r="B355" s="1" t="n">
        <v>44193</v>
      </c>
      <c r="C355" s="1" t="n">
        <v>45990</v>
      </c>
      <c r="D355" t="inlineStr">
        <is>
          <t>VÄSTERBOTTENS LÄN</t>
        </is>
      </c>
      <c r="E355" t="inlineStr">
        <is>
          <t>VILHELMINA</t>
        </is>
      </c>
      <c r="G355" t="n">
        <v>19</v>
      </c>
      <c r="H355" t="n">
        <v>0</v>
      </c>
      <c r="I355" t="n">
        <v>0</v>
      </c>
      <c r="J355" t="n">
        <v>0</v>
      </c>
      <c r="K355" t="n">
        <v>0</v>
      </c>
      <c r="L355" t="n">
        <v>0</v>
      </c>
      <c r="M355" t="n">
        <v>0</v>
      </c>
      <c r="N355" t="n">
        <v>0</v>
      </c>
      <c r="O355" t="n">
        <v>0</v>
      </c>
      <c r="P355" t="n">
        <v>0</v>
      </c>
      <c r="Q355" t="n">
        <v>0</v>
      </c>
      <c r="R355" s="2" t="inlineStr"/>
    </row>
    <row r="356" ht="15" customHeight="1">
      <c r="A356" t="inlineStr">
        <is>
          <t>A 15617-2024</t>
        </is>
      </c>
      <c r="B356" s="1" t="n">
        <v>45401.94358796296</v>
      </c>
      <c r="C356" s="1" t="n">
        <v>45990</v>
      </c>
      <c r="D356" t="inlineStr">
        <is>
          <t>VÄSTERBOTTENS LÄN</t>
        </is>
      </c>
      <c r="E356" t="inlineStr">
        <is>
          <t>VILHELMINA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56396-2022</t>
        </is>
      </c>
      <c r="B357" s="1" t="n">
        <v>44890</v>
      </c>
      <c r="C357" s="1" t="n">
        <v>45990</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27943-2025</t>
        </is>
      </c>
      <c r="B358" s="1" t="n">
        <v>45817.51078703703</v>
      </c>
      <c r="C358" s="1" t="n">
        <v>45990</v>
      </c>
      <c r="D358" t="inlineStr">
        <is>
          <t>VÄSTERBOTTENS LÄN</t>
        </is>
      </c>
      <c r="E358" t="inlineStr">
        <is>
          <t>VILHELMINA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45990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28016-2025</t>
        </is>
      </c>
      <c r="B360" s="1" t="n">
        <v>45817.61506944444</v>
      </c>
      <c r="C360" s="1" t="n">
        <v>45990</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27945-2025</t>
        </is>
      </c>
      <c r="B361" s="1" t="n">
        <v>45817</v>
      </c>
      <c r="C361" s="1" t="n">
        <v>45990</v>
      </c>
      <c r="D361" t="inlineStr">
        <is>
          <t>VÄSTERBOTTENS LÄN</t>
        </is>
      </c>
      <c r="E361" t="inlineStr">
        <is>
          <t>VILHELMINA</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28071-2025</t>
        </is>
      </c>
      <c r="B362" s="1" t="n">
        <v>45817.67755787037</v>
      </c>
      <c r="C362" s="1" t="n">
        <v>45990</v>
      </c>
      <c r="D362" t="inlineStr">
        <is>
          <t>VÄSTERBOTTENS LÄN</t>
        </is>
      </c>
      <c r="E362" t="inlineStr">
        <is>
          <t>VILHELMINA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45990</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28050-2025</t>
        </is>
      </c>
      <c r="B364" s="1" t="n">
        <v>45817.65658564815</v>
      </c>
      <c r="C364" s="1" t="n">
        <v>45990</v>
      </c>
      <c r="D364" t="inlineStr">
        <is>
          <t>VÄSTERBOTTENS LÄN</t>
        </is>
      </c>
      <c r="E364" t="inlineStr">
        <is>
          <t>VILHELMINA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8215-2023</t>
        </is>
      </c>
      <c r="B365" s="1" t="n">
        <v>44971</v>
      </c>
      <c r="C365" s="1" t="n">
        <v>45990</v>
      </c>
      <c r="D365" t="inlineStr">
        <is>
          <t>VÄSTERBOTTENS LÄN</t>
        </is>
      </c>
      <c r="E365" t="inlineStr">
        <is>
          <t>VILHELMINA</t>
        </is>
      </c>
      <c r="G365" t="n">
        <v>0.8</v>
      </c>
      <c r="H365" t="n">
        <v>0</v>
      </c>
      <c r="I365" t="n">
        <v>0</v>
      </c>
      <c r="J365" t="n">
        <v>0</v>
      </c>
      <c r="K365" t="n">
        <v>0</v>
      </c>
      <c r="L365" t="n">
        <v>0</v>
      </c>
      <c r="M365" t="n">
        <v>0</v>
      </c>
      <c r="N365" t="n">
        <v>0</v>
      </c>
      <c r="O365" t="n">
        <v>0</v>
      </c>
      <c r="P365" t="n">
        <v>0</v>
      </c>
      <c r="Q365" t="n">
        <v>0</v>
      </c>
      <c r="R365" s="2" t="inlineStr"/>
    </row>
    <row r="366" ht="15" customHeight="1">
      <c r="A366" t="inlineStr">
        <is>
          <t>A 18564-2022</t>
        </is>
      </c>
      <c r="B366" s="1" t="n">
        <v>44686</v>
      </c>
      <c r="C366" s="1" t="n">
        <v>45990</v>
      </c>
      <c r="D366" t="inlineStr">
        <is>
          <t>VÄSTERBOTTENS LÄN</t>
        </is>
      </c>
      <c r="E366" t="inlineStr">
        <is>
          <t>VILHELMINA</t>
        </is>
      </c>
      <c r="F366" t="inlineStr">
        <is>
          <t>SCA</t>
        </is>
      </c>
      <c r="G366" t="n">
        <v>6</v>
      </c>
      <c r="H366" t="n">
        <v>0</v>
      </c>
      <c r="I366" t="n">
        <v>0</v>
      </c>
      <c r="J366" t="n">
        <v>0</v>
      </c>
      <c r="K366" t="n">
        <v>0</v>
      </c>
      <c r="L366" t="n">
        <v>0</v>
      </c>
      <c r="M366" t="n">
        <v>0</v>
      </c>
      <c r="N366" t="n">
        <v>0</v>
      </c>
      <c r="O366" t="n">
        <v>0</v>
      </c>
      <c r="P366" t="n">
        <v>0</v>
      </c>
      <c r="Q366" t="n">
        <v>0</v>
      </c>
      <c r="R366" s="2" t="inlineStr"/>
    </row>
    <row r="367" ht="15" customHeight="1">
      <c r="A367" t="inlineStr">
        <is>
          <t>A 21965-2025</t>
        </is>
      </c>
      <c r="B367" s="1" t="n">
        <v>45784</v>
      </c>
      <c r="C367" s="1" t="n">
        <v>45990</v>
      </c>
      <c r="D367" t="inlineStr">
        <is>
          <t>VÄSTERBOTTENS LÄN</t>
        </is>
      </c>
      <c r="E367" t="inlineStr">
        <is>
          <t>VILHELMINA</t>
        </is>
      </c>
      <c r="G367" t="n">
        <v>7.4</v>
      </c>
      <c r="H367" t="n">
        <v>0</v>
      </c>
      <c r="I367" t="n">
        <v>0</v>
      </c>
      <c r="J367" t="n">
        <v>0</v>
      </c>
      <c r="K367" t="n">
        <v>0</v>
      </c>
      <c r="L367" t="n">
        <v>0</v>
      </c>
      <c r="M367" t="n">
        <v>0</v>
      </c>
      <c r="N367" t="n">
        <v>0</v>
      </c>
      <c r="O367" t="n">
        <v>0</v>
      </c>
      <c r="P367" t="n">
        <v>0</v>
      </c>
      <c r="Q367" t="n">
        <v>0</v>
      </c>
      <c r="R367" s="2" t="inlineStr"/>
    </row>
    <row r="368" ht="15" customHeight="1">
      <c r="A368" t="inlineStr">
        <is>
          <t>A 8556-2025</t>
        </is>
      </c>
      <c r="B368" s="1" t="n">
        <v>45709</v>
      </c>
      <c r="C368" s="1" t="n">
        <v>45990</v>
      </c>
      <c r="D368" t="inlineStr">
        <is>
          <t>VÄSTERBOTTENS LÄN</t>
        </is>
      </c>
      <c r="E368" t="inlineStr">
        <is>
          <t>VILHELMINA</t>
        </is>
      </c>
      <c r="G368" t="n">
        <v>1</v>
      </c>
      <c r="H368" t="n">
        <v>0</v>
      </c>
      <c r="I368" t="n">
        <v>0</v>
      </c>
      <c r="J368" t="n">
        <v>0</v>
      </c>
      <c r="K368" t="n">
        <v>0</v>
      </c>
      <c r="L368" t="n">
        <v>0</v>
      </c>
      <c r="M368" t="n">
        <v>0</v>
      </c>
      <c r="N368" t="n">
        <v>0</v>
      </c>
      <c r="O368" t="n">
        <v>0</v>
      </c>
      <c r="P368" t="n">
        <v>0</v>
      </c>
      <c r="Q368" t="n">
        <v>0</v>
      </c>
      <c r="R368" s="2" t="inlineStr"/>
    </row>
    <row r="369" ht="15" customHeight="1">
      <c r="A369" t="inlineStr">
        <is>
          <t>A 26499-2024</t>
        </is>
      </c>
      <c r="B369" s="1" t="n">
        <v>45469</v>
      </c>
      <c r="C369" s="1" t="n">
        <v>45990</v>
      </c>
      <c r="D369" t="inlineStr">
        <is>
          <t>VÄSTERBOTTENS LÄN</t>
        </is>
      </c>
      <c r="E369" t="inlineStr">
        <is>
          <t>VILHELMINA</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41171-2025</t>
        </is>
      </c>
      <c r="B370" s="1" t="n">
        <v>45898</v>
      </c>
      <c r="C370" s="1" t="n">
        <v>45990</v>
      </c>
      <c r="D370" t="inlineStr">
        <is>
          <t>VÄSTERBOTTENS LÄN</t>
        </is>
      </c>
      <c r="E370" t="inlineStr">
        <is>
          <t>VILHELMINA</t>
        </is>
      </c>
      <c r="F370" t="inlineStr">
        <is>
          <t>Övriga Aktiebolag</t>
        </is>
      </c>
      <c r="G370" t="n">
        <v>5.6</v>
      </c>
      <c r="H370" t="n">
        <v>0</v>
      </c>
      <c r="I370" t="n">
        <v>0</v>
      </c>
      <c r="J370" t="n">
        <v>0</v>
      </c>
      <c r="K370" t="n">
        <v>0</v>
      </c>
      <c r="L370" t="n">
        <v>0</v>
      </c>
      <c r="M370" t="n">
        <v>0</v>
      </c>
      <c r="N370" t="n">
        <v>0</v>
      </c>
      <c r="O370" t="n">
        <v>0</v>
      </c>
      <c r="P370" t="n">
        <v>0</v>
      </c>
      <c r="Q370" t="n">
        <v>0</v>
      </c>
      <c r="R370" s="2" t="inlineStr"/>
    </row>
    <row r="371" ht="15" customHeight="1">
      <c r="A371" t="inlineStr">
        <is>
          <t>A 33661-2023</t>
        </is>
      </c>
      <c r="B371" s="1" t="n">
        <v>45119</v>
      </c>
      <c r="C371" s="1" t="n">
        <v>45990</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55714-2023</t>
        </is>
      </c>
      <c r="B372" s="1" t="n">
        <v>45232</v>
      </c>
      <c r="C372" s="1" t="n">
        <v>45990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34763-2024</t>
        </is>
      </c>
      <c r="B373" s="1" t="n">
        <v>45526.61646990741</v>
      </c>
      <c r="C373" s="1" t="n">
        <v>45990</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34764-2024</t>
        </is>
      </c>
      <c r="B374" s="1" t="n">
        <v>45526.61664351852</v>
      </c>
      <c r="C374" s="1" t="n">
        <v>45990</v>
      </c>
      <c r="D374" t="inlineStr">
        <is>
          <t>VÄSTERBOTTENS LÄN</t>
        </is>
      </c>
      <c r="E374" t="inlineStr">
        <is>
          <t>VILHELMINA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62101-2024</t>
        </is>
      </c>
      <c r="B375" s="1" t="n">
        <v>45656.51119212963</v>
      </c>
      <c r="C375" s="1" t="n">
        <v>45990</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43987-2024</t>
        </is>
      </c>
      <c r="B376" s="1" t="n">
        <v>45572.51092592593</v>
      </c>
      <c r="C376" s="1" t="n">
        <v>45990</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45990</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664-2022</t>
        </is>
      </c>
      <c r="B378" s="1" t="n">
        <v>44568</v>
      </c>
      <c r="C378" s="1" t="n">
        <v>45990</v>
      </c>
      <c r="D378" t="inlineStr">
        <is>
          <t>VÄSTERBOTTENS LÄN</t>
        </is>
      </c>
      <c r="E378" t="inlineStr">
        <is>
          <t>VILHELMINA</t>
        </is>
      </c>
      <c r="G378" t="n">
        <v>1.8</v>
      </c>
      <c r="H378" t="n">
        <v>0</v>
      </c>
      <c r="I378" t="n">
        <v>0</v>
      </c>
      <c r="J378" t="n">
        <v>0</v>
      </c>
      <c r="K378" t="n">
        <v>0</v>
      </c>
      <c r="L378" t="n">
        <v>0</v>
      </c>
      <c r="M378" t="n">
        <v>0</v>
      </c>
      <c r="N378" t="n">
        <v>0</v>
      </c>
      <c r="O378" t="n">
        <v>0</v>
      </c>
      <c r="P378" t="n">
        <v>0</v>
      </c>
      <c r="Q378" t="n">
        <v>0</v>
      </c>
      <c r="R378" s="2" t="inlineStr"/>
    </row>
    <row r="379" ht="15" customHeight="1">
      <c r="A379" t="inlineStr">
        <is>
          <t>A 6369-2024</t>
        </is>
      </c>
      <c r="B379" s="1" t="n">
        <v>45338</v>
      </c>
      <c r="C379" s="1" t="n">
        <v>45990</v>
      </c>
      <c r="D379" t="inlineStr">
        <is>
          <t>VÄSTERBOTTENS LÄN</t>
        </is>
      </c>
      <c r="E379" t="inlineStr">
        <is>
          <t>VILHELMINA</t>
        </is>
      </c>
      <c r="G379" t="n">
        <v>3.6</v>
      </c>
      <c r="H379" t="n">
        <v>0</v>
      </c>
      <c r="I379" t="n">
        <v>0</v>
      </c>
      <c r="J379" t="n">
        <v>0</v>
      </c>
      <c r="K379" t="n">
        <v>0</v>
      </c>
      <c r="L379" t="n">
        <v>0</v>
      </c>
      <c r="M379" t="n">
        <v>0</v>
      </c>
      <c r="N379" t="n">
        <v>0</v>
      </c>
      <c r="O379" t="n">
        <v>0</v>
      </c>
      <c r="P379" t="n">
        <v>0</v>
      </c>
      <c r="Q379" t="n">
        <v>0</v>
      </c>
      <c r="R379" s="2" t="inlineStr"/>
    </row>
    <row r="380" ht="15" customHeight="1">
      <c r="A380" t="inlineStr">
        <is>
          <t>A 34805-2023</t>
        </is>
      </c>
      <c r="B380" s="1" t="n">
        <v>45140</v>
      </c>
      <c r="C380" s="1" t="n">
        <v>45990</v>
      </c>
      <c r="D380" t="inlineStr">
        <is>
          <t>VÄSTERBOTTENS LÄN</t>
        </is>
      </c>
      <c r="E380" t="inlineStr">
        <is>
          <t>VILHELMINA</t>
        </is>
      </c>
      <c r="G380" t="n">
        <v>4.3</v>
      </c>
      <c r="H380" t="n">
        <v>0</v>
      </c>
      <c r="I380" t="n">
        <v>0</v>
      </c>
      <c r="J380" t="n">
        <v>0</v>
      </c>
      <c r="K380" t="n">
        <v>0</v>
      </c>
      <c r="L380" t="n">
        <v>0</v>
      </c>
      <c r="M380" t="n">
        <v>0</v>
      </c>
      <c r="N380" t="n">
        <v>0</v>
      </c>
      <c r="O380" t="n">
        <v>0</v>
      </c>
      <c r="P380" t="n">
        <v>0</v>
      </c>
      <c r="Q380" t="n">
        <v>0</v>
      </c>
      <c r="R380" s="2" t="inlineStr"/>
    </row>
    <row r="381" ht="15" customHeight="1">
      <c r="A381" t="inlineStr">
        <is>
          <t>A 29120-2025</t>
        </is>
      </c>
      <c r="B381" s="1" t="n">
        <v>45821</v>
      </c>
      <c r="C381" s="1" t="n">
        <v>45990</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21370-2024</t>
        </is>
      </c>
      <c r="B382" s="1" t="n">
        <v>45440.95310185185</v>
      </c>
      <c r="C382" s="1" t="n">
        <v>45990</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45972-2023</t>
        </is>
      </c>
      <c r="B383" s="1" t="n">
        <v>45195</v>
      </c>
      <c r="C383" s="1" t="n">
        <v>45990</v>
      </c>
      <c r="D383" t="inlineStr">
        <is>
          <t>VÄSTERBOTTENS LÄN</t>
        </is>
      </c>
      <c r="E383" t="inlineStr">
        <is>
          <t>VILHELMINA</t>
        </is>
      </c>
      <c r="F383" t="inlineStr">
        <is>
          <t>SCA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41704-2025</t>
        </is>
      </c>
      <c r="B384" s="1" t="n">
        <v>45902</v>
      </c>
      <c r="C384" s="1" t="n">
        <v>45990</v>
      </c>
      <c r="D384" t="inlineStr">
        <is>
          <t>VÄSTERBOTTENS LÄN</t>
        </is>
      </c>
      <c r="E384" t="inlineStr">
        <is>
          <t>VILHELMINA</t>
        </is>
      </c>
      <c r="G384" t="n">
        <v>3.3</v>
      </c>
      <c r="H384" t="n">
        <v>0</v>
      </c>
      <c r="I384" t="n">
        <v>0</v>
      </c>
      <c r="J384" t="n">
        <v>0</v>
      </c>
      <c r="K384" t="n">
        <v>0</v>
      </c>
      <c r="L384" t="n">
        <v>0</v>
      </c>
      <c r="M384" t="n">
        <v>0</v>
      </c>
      <c r="N384" t="n">
        <v>0</v>
      </c>
      <c r="O384" t="n">
        <v>0</v>
      </c>
      <c r="P384" t="n">
        <v>0</v>
      </c>
      <c r="Q384" t="n">
        <v>0</v>
      </c>
      <c r="R384" s="2" t="inlineStr"/>
    </row>
    <row r="385" ht="15" customHeight="1">
      <c r="A385" t="inlineStr">
        <is>
          <t>A 29466-2025</t>
        </is>
      </c>
      <c r="B385" s="1" t="n">
        <v>45824.69865740741</v>
      </c>
      <c r="C385" s="1" t="n">
        <v>45990</v>
      </c>
      <c r="D385" t="inlineStr">
        <is>
          <t>VÄSTERBOTTENS LÄN</t>
        </is>
      </c>
      <c r="E385" t="inlineStr">
        <is>
          <t>VILHELMINA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56823-2023</t>
        </is>
      </c>
      <c r="B386" s="1" t="n">
        <v>45238</v>
      </c>
      <c r="C386" s="1" t="n">
        <v>45990</v>
      </c>
      <c r="D386" t="inlineStr">
        <is>
          <t>VÄSTERBOTTENS LÄN</t>
        </is>
      </c>
      <c r="E386" t="inlineStr">
        <is>
          <t>VILHELMINA</t>
        </is>
      </c>
      <c r="F386" t="inlineStr">
        <is>
          <t>Allmännings- och besparingsskogar</t>
        </is>
      </c>
      <c r="G386" t="n">
        <v>82</v>
      </c>
      <c r="H386" t="n">
        <v>0</v>
      </c>
      <c r="I386" t="n">
        <v>0</v>
      </c>
      <c r="J386" t="n">
        <v>0</v>
      </c>
      <c r="K386" t="n">
        <v>0</v>
      </c>
      <c r="L386" t="n">
        <v>0</v>
      </c>
      <c r="M386" t="n">
        <v>0</v>
      </c>
      <c r="N386" t="n">
        <v>0</v>
      </c>
      <c r="O386" t="n">
        <v>0</v>
      </c>
      <c r="P386" t="n">
        <v>0</v>
      </c>
      <c r="Q386" t="n">
        <v>0</v>
      </c>
      <c r="R386" s="2" t="inlineStr"/>
    </row>
    <row r="387" ht="15" customHeight="1">
      <c r="A387" t="inlineStr">
        <is>
          <t>A 56830-2023</t>
        </is>
      </c>
      <c r="B387" s="1" t="n">
        <v>45238</v>
      </c>
      <c r="C387" s="1" t="n">
        <v>45990</v>
      </c>
      <c r="D387" t="inlineStr">
        <is>
          <t>VÄSTERBOTTENS LÄN</t>
        </is>
      </c>
      <c r="E387" t="inlineStr">
        <is>
          <t>VILHELMINA</t>
        </is>
      </c>
      <c r="F387" t="inlineStr">
        <is>
          <t>Allmännings- och besparingsskogar</t>
        </is>
      </c>
      <c r="G387" t="n">
        <v>66</v>
      </c>
      <c r="H387" t="n">
        <v>0</v>
      </c>
      <c r="I387" t="n">
        <v>0</v>
      </c>
      <c r="J387" t="n">
        <v>0</v>
      </c>
      <c r="K387" t="n">
        <v>0</v>
      </c>
      <c r="L387" t="n">
        <v>0</v>
      </c>
      <c r="M387" t="n">
        <v>0</v>
      </c>
      <c r="N387" t="n">
        <v>0</v>
      </c>
      <c r="O387" t="n">
        <v>0</v>
      </c>
      <c r="P387" t="n">
        <v>0</v>
      </c>
      <c r="Q387" t="n">
        <v>0</v>
      </c>
      <c r="R387" s="2" t="inlineStr"/>
    </row>
    <row r="388" ht="15" customHeight="1">
      <c r="A388" t="inlineStr">
        <is>
          <t>A 8750-2021</t>
        </is>
      </c>
      <c r="B388" s="1" t="n">
        <v>44246</v>
      </c>
      <c r="C388" s="1" t="n">
        <v>45990</v>
      </c>
      <c r="D388" t="inlineStr">
        <is>
          <t>VÄSTERBOTTENS LÄN</t>
        </is>
      </c>
      <c r="E388" t="inlineStr">
        <is>
          <t>VILHELMINA</t>
        </is>
      </c>
      <c r="G388" t="n">
        <v>5.2</v>
      </c>
      <c r="H388" t="n">
        <v>0</v>
      </c>
      <c r="I388" t="n">
        <v>0</v>
      </c>
      <c r="J388" t="n">
        <v>0</v>
      </c>
      <c r="K388" t="n">
        <v>0</v>
      </c>
      <c r="L388" t="n">
        <v>0</v>
      </c>
      <c r="M388" t="n">
        <v>0</v>
      </c>
      <c r="N388" t="n">
        <v>0</v>
      </c>
      <c r="O388" t="n">
        <v>0</v>
      </c>
      <c r="P388" t="n">
        <v>0</v>
      </c>
      <c r="Q388" t="n">
        <v>0</v>
      </c>
      <c r="R388" s="2" t="inlineStr"/>
    </row>
    <row r="389" ht="15" customHeight="1">
      <c r="A389" t="inlineStr">
        <is>
          <t>A 29203-2025</t>
        </is>
      </c>
      <c r="B389" s="1" t="n">
        <v>45823</v>
      </c>
      <c r="C389" s="1" t="n">
        <v>45990</v>
      </c>
      <c r="D389" t="inlineStr">
        <is>
          <t>VÄSTERBOTTENS LÄN</t>
        </is>
      </c>
      <c r="E389" t="inlineStr">
        <is>
          <t>VILHELMINA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45990</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45990</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29234-2025</t>
        </is>
      </c>
      <c r="B392" s="1" t="n">
        <v>45824.34478009259</v>
      </c>
      <c r="C392" s="1" t="n">
        <v>45990</v>
      </c>
      <c r="D392" t="inlineStr">
        <is>
          <t>VÄSTERBOTTENS LÄN</t>
        </is>
      </c>
      <c r="E392" t="inlineStr">
        <is>
          <t>VILHELMINA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49221-2024</t>
        </is>
      </c>
      <c r="B393" s="1" t="n">
        <v>45595.41166666667</v>
      </c>
      <c r="C393" s="1" t="n">
        <v>45990</v>
      </c>
      <c r="D393" t="inlineStr">
        <is>
          <t>VÄSTERBOTTENS LÄN</t>
        </is>
      </c>
      <c r="E393" t="inlineStr">
        <is>
          <t>VILHELMINA</t>
        </is>
      </c>
      <c r="G393" t="n">
        <v>11.4</v>
      </c>
      <c r="H393" t="n">
        <v>0</v>
      </c>
      <c r="I393" t="n">
        <v>0</v>
      </c>
      <c r="J393" t="n">
        <v>0</v>
      </c>
      <c r="K393" t="n">
        <v>0</v>
      </c>
      <c r="L393" t="n">
        <v>0</v>
      </c>
      <c r="M393" t="n">
        <v>0</v>
      </c>
      <c r="N393" t="n">
        <v>0</v>
      </c>
      <c r="O393" t="n">
        <v>0</v>
      </c>
      <c r="P393" t="n">
        <v>0</v>
      </c>
      <c r="Q393" t="n">
        <v>0</v>
      </c>
      <c r="R393" s="2" t="inlineStr"/>
    </row>
    <row r="394" ht="15" customHeight="1">
      <c r="A394" t="inlineStr">
        <is>
          <t>A 15792-2025</t>
        </is>
      </c>
      <c r="B394" s="1" t="n">
        <v>45748.63356481482</v>
      </c>
      <c r="C394" s="1" t="n">
        <v>45990</v>
      </c>
      <c r="D394" t="inlineStr">
        <is>
          <t>VÄSTERBOTTENS LÄN</t>
        </is>
      </c>
      <c r="E394" t="inlineStr">
        <is>
          <t>VILHELMINA</t>
        </is>
      </c>
      <c r="G394" t="n">
        <v>5.5</v>
      </c>
      <c r="H394" t="n">
        <v>0</v>
      </c>
      <c r="I394" t="n">
        <v>0</v>
      </c>
      <c r="J394" t="n">
        <v>0</v>
      </c>
      <c r="K394" t="n">
        <v>0</v>
      </c>
      <c r="L394" t="n">
        <v>0</v>
      </c>
      <c r="M394" t="n">
        <v>0</v>
      </c>
      <c r="N394" t="n">
        <v>0</v>
      </c>
      <c r="O394" t="n">
        <v>0</v>
      </c>
      <c r="P394" t="n">
        <v>0</v>
      </c>
      <c r="Q394" t="n">
        <v>0</v>
      </c>
      <c r="R394" s="2" t="inlineStr"/>
    </row>
    <row r="395" ht="15" customHeight="1">
      <c r="A395" t="inlineStr">
        <is>
          <t>A 29468-2025</t>
        </is>
      </c>
      <c r="B395" s="1" t="n">
        <v>45824.69888888889</v>
      </c>
      <c r="C395" s="1" t="n">
        <v>45990</v>
      </c>
      <c r="D395" t="inlineStr">
        <is>
          <t>VÄSTERBOTTENS LÄN</t>
        </is>
      </c>
      <c r="E395" t="inlineStr">
        <is>
          <t>VILHELMINA</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45990</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49886-2024</t>
        </is>
      </c>
      <c r="B397" s="1" t="n">
        <v>45597</v>
      </c>
      <c r="C397" s="1" t="n">
        <v>45990</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61778-2023</t>
        </is>
      </c>
      <c r="B398" s="1" t="n">
        <v>45265.95667824074</v>
      </c>
      <c r="C398" s="1" t="n">
        <v>45990</v>
      </c>
      <c r="D398" t="inlineStr">
        <is>
          <t>VÄSTERBOTTENS LÄN</t>
        </is>
      </c>
      <c r="E398" t="inlineStr">
        <is>
          <t>VILHELMINA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47254-2022</t>
        </is>
      </c>
      <c r="B399" s="1" t="n">
        <v>44852.94685185186</v>
      </c>
      <c r="C399" s="1" t="n">
        <v>45990</v>
      </c>
      <c r="D399" t="inlineStr">
        <is>
          <t>VÄSTERBOTTENS LÄN</t>
        </is>
      </c>
      <c r="E399" t="inlineStr">
        <is>
          <t>VILHELMINA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45990</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37320-2021</t>
        </is>
      </c>
      <c r="B401" s="1" t="n">
        <v>44397</v>
      </c>
      <c r="C401" s="1" t="n">
        <v>45990</v>
      </c>
      <c r="D401" t="inlineStr">
        <is>
          <t>VÄSTERBOTTENS LÄN</t>
        </is>
      </c>
      <c r="E401" t="inlineStr">
        <is>
          <t>VILHELMINA</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57246-2023</t>
        </is>
      </c>
      <c r="B402" s="1" t="n">
        <v>45239</v>
      </c>
      <c r="C402" s="1" t="n">
        <v>45990</v>
      </c>
      <c r="D402" t="inlineStr">
        <is>
          <t>VÄSTERBOTTENS LÄN</t>
        </is>
      </c>
      <c r="E402" t="inlineStr">
        <is>
          <t>VILHELMINA</t>
        </is>
      </c>
      <c r="G402" t="n">
        <v>15.3</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45990</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47011-2024</t>
        </is>
      </c>
      <c r="B404" s="1" t="n">
        <v>45586.38592592593</v>
      </c>
      <c r="C404" s="1" t="n">
        <v>45990</v>
      </c>
      <c r="D404" t="inlineStr">
        <is>
          <t>VÄSTERBOTTENS LÄN</t>
        </is>
      </c>
      <c r="E404" t="inlineStr">
        <is>
          <t>VILHELMINA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29940-2025</t>
        </is>
      </c>
      <c r="B405" s="1" t="n">
        <v>45826.45104166667</v>
      </c>
      <c r="C405" s="1" t="n">
        <v>45990</v>
      </c>
      <c r="D405" t="inlineStr">
        <is>
          <t>VÄSTERBOTTENS LÄN</t>
        </is>
      </c>
      <c r="E405" t="inlineStr">
        <is>
          <t>VILHELMINA</t>
        </is>
      </c>
      <c r="F405" t="inlineStr">
        <is>
          <t>Sveaskog</t>
        </is>
      </c>
      <c r="G405" t="n">
        <v>11.6</v>
      </c>
      <c r="H405" t="n">
        <v>0</v>
      </c>
      <c r="I405" t="n">
        <v>0</v>
      </c>
      <c r="J405" t="n">
        <v>0</v>
      </c>
      <c r="K405" t="n">
        <v>0</v>
      </c>
      <c r="L405" t="n">
        <v>0</v>
      </c>
      <c r="M405" t="n">
        <v>0</v>
      </c>
      <c r="N405" t="n">
        <v>0</v>
      </c>
      <c r="O405" t="n">
        <v>0</v>
      </c>
      <c r="P405" t="n">
        <v>0</v>
      </c>
      <c r="Q405" t="n">
        <v>0</v>
      </c>
      <c r="R405" s="2" t="inlineStr"/>
    </row>
    <row r="406" ht="15" customHeight="1">
      <c r="A406" t="inlineStr">
        <is>
          <t>A 29942-2025</t>
        </is>
      </c>
      <c r="B406" s="1" t="n">
        <v>45826.45702546297</v>
      </c>
      <c r="C406" s="1" t="n">
        <v>45990</v>
      </c>
      <c r="D406" t="inlineStr">
        <is>
          <t>VÄSTERBOTTENS LÄN</t>
        </is>
      </c>
      <c r="E406" t="inlineStr">
        <is>
          <t>VILHELMINA</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72-2025</t>
        </is>
      </c>
      <c r="B407" s="1" t="n">
        <v>45659</v>
      </c>
      <c r="C407" s="1" t="n">
        <v>45990</v>
      </c>
      <c r="D407" t="inlineStr">
        <is>
          <t>VÄSTERBOTTENS LÄN</t>
        </is>
      </c>
      <c r="E407" t="inlineStr">
        <is>
          <t>VILHELMINA</t>
        </is>
      </c>
      <c r="G407" t="n">
        <v>0.9</v>
      </c>
      <c r="H407" t="n">
        <v>0</v>
      </c>
      <c r="I407" t="n">
        <v>0</v>
      </c>
      <c r="J407" t="n">
        <v>0</v>
      </c>
      <c r="K407" t="n">
        <v>0</v>
      </c>
      <c r="L407" t="n">
        <v>0</v>
      </c>
      <c r="M407" t="n">
        <v>0</v>
      </c>
      <c r="N407" t="n">
        <v>0</v>
      </c>
      <c r="O407" t="n">
        <v>0</v>
      </c>
      <c r="P407" t="n">
        <v>0</v>
      </c>
      <c r="Q407" t="n">
        <v>0</v>
      </c>
      <c r="R407" s="2" t="inlineStr"/>
    </row>
    <row r="408" ht="15" customHeight="1">
      <c r="A408" t="inlineStr">
        <is>
          <t>A 51651-2025</t>
        </is>
      </c>
      <c r="B408" s="1" t="n">
        <v>45951.46043981481</v>
      </c>
      <c r="C408" s="1" t="n">
        <v>45990</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24988-2025</t>
        </is>
      </c>
      <c r="B409" s="1" t="n">
        <v>45799</v>
      </c>
      <c r="C409" s="1" t="n">
        <v>45990</v>
      </c>
      <c r="D409" t="inlineStr">
        <is>
          <t>VÄSTERBOTTENS LÄN</t>
        </is>
      </c>
      <c r="E409" t="inlineStr">
        <is>
          <t>VILHELMINA</t>
        </is>
      </c>
      <c r="G409" t="n">
        <v>8.9</v>
      </c>
      <c r="H409" t="n">
        <v>0</v>
      </c>
      <c r="I409" t="n">
        <v>0</v>
      </c>
      <c r="J409" t="n">
        <v>0</v>
      </c>
      <c r="K409" t="n">
        <v>0</v>
      </c>
      <c r="L409" t="n">
        <v>0</v>
      </c>
      <c r="M409" t="n">
        <v>0</v>
      </c>
      <c r="N409" t="n">
        <v>0</v>
      </c>
      <c r="O409" t="n">
        <v>0</v>
      </c>
      <c r="P409" t="n">
        <v>0</v>
      </c>
      <c r="Q409" t="n">
        <v>0</v>
      </c>
      <c r="R409" s="2" t="inlineStr"/>
    </row>
    <row r="410" ht="15" customHeight="1">
      <c r="A410" t="inlineStr">
        <is>
          <t>A 51704-2025</t>
        </is>
      </c>
      <c r="B410" s="1" t="n">
        <v>45951.55436342592</v>
      </c>
      <c r="C410" s="1" t="n">
        <v>45990</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55697-2024</t>
        </is>
      </c>
      <c r="B411" s="1" t="n">
        <v>45622</v>
      </c>
      <c r="C411" s="1" t="n">
        <v>45990</v>
      </c>
      <c r="D411" t="inlineStr">
        <is>
          <t>VÄSTERBOTTENS LÄN</t>
        </is>
      </c>
      <c r="E411" t="inlineStr">
        <is>
          <t>VILHELMINA</t>
        </is>
      </c>
      <c r="G411" t="n">
        <v>3.2</v>
      </c>
      <c r="H411" t="n">
        <v>0</v>
      </c>
      <c r="I411" t="n">
        <v>0</v>
      </c>
      <c r="J411" t="n">
        <v>0</v>
      </c>
      <c r="K411" t="n">
        <v>0</v>
      </c>
      <c r="L411" t="n">
        <v>0</v>
      </c>
      <c r="M411" t="n">
        <v>0</v>
      </c>
      <c r="N411" t="n">
        <v>0</v>
      </c>
      <c r="O411" t="n">
        <v>0</v>
      </c>
      <c r="P411" t="n">
        <v>0</v>
      </c>
      <c r="Q411" t="n">
        <v>0</v>
      </c>
      <c r="R411" s="2" t="inlineStr"/>
    </row>
    <row r="412" ht="15" customHeight="1">
      <c r="A412" t="inlineStr">
        <is>
          <t>A 30553-2025</t>
        </is>
      </c>
      <c r="B412" s="1" t="n">
        <v>45831.38579861111</v>
      </c>
      <c r="C412" s="1" t="n">
        <v>45990</v>
      </c>
      <c r="D412" t="inlineStr">
        <is>
          <t>VÄSTERBOTTENS LÄN</t>
        </is>
      </c>
      <c r="E412" t="inlineStr">
        <is>
          <t>VILHELMINA</t>
        </is>
      </c>
      <c r="F412" t="inlineStr">
        <is>
          <t>SCA</t>
        </is>
      </c>
      <c r="G412" t="n">
        <v>5</v>
      </c>
      <c r="H412" t="n">
        <v>0</v>
      </c>
      <c r="I412" t="n">
        <v>0</v>
      </c>
      <c r="J412" t="n">
        <v>0</v>
      </c>
      <c r="K412" t="n">
        <v>0</v>
      </c>
      <c r="L412" t="n">
        <v>0</v>
      </c>
      <c r="M412" t="n">
        <v>0</v>
      </c>
      <c r="N412" t="n">
        <v>0</v>
      </c>
      <c r="O412" t="n">
        <v>0</v>
      </c>
      <c r="P412" t="n">
        <v>0</v>
      </c>
      <c r="Q412" t="n">
        <v>0</v>
      </c>
      <c r="R412" s="2" t="inlineStr"/>
    </row>
    <row r="413" ht="15" customHeight="1">
      <c r="A413" t="inlineStr">
        <is>
          <t>A 22617-2025</t>
        </is>
      </c>
      <c r="B413" s="1" t="n">
        <v>45789</v>
      </c>
      <c r="C413" s="1" t="n">
        <v>45990</v>
      </c>
      <c r="D413" t="inlineStr">
        <is>
          <t>VÄSTERBOTTENS LÄN</t>
        </is>
      </c>
      <c r="E413" t="inlineStr">
        <is>
          <t>VILHELMINA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7982-2025</t>
        </is>
      </c>
      <c r="B414" s="1" t="n">
        <v>45707.46905092592</v>
      </c>
      <c r="C414" s="1" t="n">
        <v>45990</v>
      </c>
      <c r="D414" t="inlineStr">
        <is>
          <t>VÄSTERBOTTENS LÄN</t>
        </is>
      </c>
      <c r="E414" t="inlineStr">
        <is>
          <t>VILHELMINA</t>
        </is>
      </c>
      <c r="G414" t="n">
        <v>6</v>
      </c>
      <c r="H414" t="n">
        <v>0</v>
      </c>
      <c r="I414" t="n">
        <v>0</v>
      </c>
      <c r="J414" t="n">
        <v>0</v>
      </c>
      <c r="K414" t="n">
        <v>0</v>
      </c>
      <c r="L414" t="n">
        <v>0</v>
      </c>
      <c r="M414" t="n">
        <v>0</v>
      </c>
      <c r="N414" t="n">
        <v>0</v>
      </c>
      <c r="O414" t="n">
        <v>0</v>
      </c>
      <c r="P414" t="n">
        <v>0</v>
      </c>
      <c r="Q414" t="n">
        <v>0</v>
      </c>
      <c r="R414" s="2" t="inlineStr"/>
    </row>
    <row r="415" ht="15" customHeight="1">
      <c r="A415" t="inlineStr">
        <is>
          <t>A 51657-2025</t>
        </is>
      </c>
      <c r="B415" s="1" t="n">
        <v>45951.47362268518</v>
      </c>
      <c r="C415" s="1" t="n">
        <v>45990</v>
      </c>
      <c r="D415" t="inlineStr">
        <is>
          <t>VÄSTERBOTTENS LÄN</t>
        </is>
      </c>
      <c r="E415" t="inlineStr">
        <is>
          <t>VILHELMINA</t>
        </is>
      </c>
      <c r="G415" t="n">
        <v>14.4</v>
      </c>
      <c r="H415" t="n">
        <v>0</v>
      </c>
      <c r="I415" t="n">
        <v>0</v>
      </c>
      <c r="J415" t="n">
        <v>0</v>
      </c>
      <c r="K415" t="n">
        <v>0</v>
      </c>
      <c r="L415" t="n">
        <v>0</v>
      </c>
      <c r="M415" t="n">
        <v>0</v>
      </c>
      <c r="N415" t="n">
        <v>0</v>
      </c>
      <c r="O415" t="n">
        <v>0</v>
      </c>
      <c r="P415" t="n">
        <v>0</v>
      </c>
      <c r="Q415" t="n">
        <v>0</v>
      </c>
      <c r="R415" s="2" t="inlineStr"/>
    </row>
    <row r="416" ht="15" customHeight="1">
      <c r="A416" t="inlineStr">
        <is>
          <t>A 11538-2024</t>
        </is>
      </c>
      <c r="B416" s="1" t="n">
        <v>45372</v>
      </c>
      <c r="C416" s="1" t="n">
        <v>45990</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15639-2024</t>
        </is>
      </c>
      <c r="B417" s="1" t="n">
        <v>45403</v>
      </c>
      <c r="C417" s="1" t="n">
        <v>45990</v>
      </c>
      <c r="D417" t="inlineStr">
        <is>
          <t>VÄSTERBOTTENS LÄN</t>
        </is>
      </c>
      <c r="E417" t="inlineStr">
        <is>
          <t>VILHELMINA</t>
        </is>
      </c>
      <c r="G417" t="n">
        <v>81.90000000000001</v>
      </c>
      <c r="H417" t="n">
        <v>0</v>
      </c>
      <c r="I417" t="n">
        <v>0</v>
      </c>
      <c r="J417" t="n">
        <v>0</v>
      </c>
      <c r="K417" t="n">
        <v>0</v>
      </c>
      <c r="L417" t="n">
        <v>0</v>
      </c>
      <c r="M417" t="n">
        <v>0</v>
      </c>
      <c r="N417" t="n">
        <v>0</v>
      </c>
      <c r="O417" t="n">
        <v>0</v>
      </c>
      <c r="P417" t="n">
        <v>0</v>
      </c>
      <c r="Q417" t="n">
        <v>0</v>
      </c>
      <c r="R417" s="2" t="inlineStr"/>
    </row>
    <row r="418" ht="15" customHeight="1">
      <c r="A418" t="inlineStr">
        <is>
          <t>A 51701-2025</t>
        </is>
      </c>
      <c r="B418" s="1" t="n">
        <v>45951.55298611111</v>
      </c>
      <c r="C418" s="1" t="n">
        <v>45990</v>
      </c>
      <c r="D418" t="inlineStr">
        <is>
          <t>VÄSTERBOTTENS LÄN</t>
        </is>
      </c>
      <c r="E418" t="inlineStr">
        <is>
          <t>VILHELMINA</t>
        </is>
      </c>
      <c r="G418" t="n">
        <v>4.1</v>
      </c>
      <c r="H418" t="n">
        <v>0</v>
      </c>
      <c r="I418" t="n">
        <v>0</v>
      </c>
      <c r="J418" t="n">
        <v>0</v>
      </c>
      <c r="K418" t="n">
        <v>0</v>
      </c>
      <c r="L418" t="n">
        <v>0</v>
      </c>
      <c r="M418" t="n">
        <v>0</v>
      </c>
      <c r="N418" t="n">
        <v>0</v>
      </c>
      <c r="O418" t="n">
        <v>0</v>
      </c>
      <c r="P418" t="n">
        <v>0</v>
      </c>
      <c r="Q418" t="n">
        <v>0</v>
      </c>
      <c r="R418" s="2" t="inlineStr"/>
    </row>
    <row r="419" ht="15" customHeight="1">
      <c r="A419" t="inlineStr">
        <is>
          <t>A 2022-2024</t>
        </is>
      </c>
      <c r="B419" s="1" t="n">
        <v>45308</v>
      </c>
      <c r="C419" s="1" t="n">
        <v>45990</v>
      </c>
      <c r="D419" t="inlineStr">
        <is>
          <t>VÄSTERBOTTENS LÄN</t>
        </is>
      </c>
      <c r="E419" t="inlineStr">
        <is>
          <t>VILHELMINA</t>
        </is>
      </c>
      <c r="G419" t="n">
        <v>8.5</v>
      </c>
      <c r="H419" t="n">
        <v>0</v>
      </c>
      <c r="I419" t="n">
        <v>0</v>
      </c>
      <c r="J419" t="n">
        <v>0</v>
      </c>
      <c r="K419" t="n">
        <v>0</v>
      </c>
      <c r="L419" t="n">
        <v>0</v>
      </c>
      <c r="M419" t="n">
        <v>0</v>
      </c>
      <c r="N419" t="n">
        <v>0</v>
      </c>
      <c r="O419" t="n">
        <v>0</v>
      </c>
      <c r="P419" t="n">
        <v>0</v>
      </c>
      <c r="Q419" t="n">
        <v>0</v>
      </c>
      <c r="R419" s="2" t="inlineStr"/>
    </row>
    <row r="420" ht="15" customHeight="1">
      <c r="A420" t="inlineStr">
        <is>
          <t>A 58456-2023</t>
        </is>
      </c>
      <c r="B420" s="1" t="n">
        <v>45250.96092592592</v>
      </c>
      <c r="C420" s="1" t="n">
        <v>45990</v>
      </c>
      <c r="D420" t="inlineStr">
        <is>
          <t>VÄSTERBOTTENS LÄN</t>
        </is>
      </c>
      <c r="E420" t="inlineStr">
        <is>
          <t>VILHELMINA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31307-2025</t>
        </is>
      </c>
      <c r="B421" s="1" t="n">
        <v>45833</v>
      </c>
      <c r="C421" s="1" t="n">
        <v>45990</v>
      </c>
      <c r="D421" t="inlineStr">
        <is>
          <t>VÄSTERBOTTENS LÄN</t>
        </is>
      </c>
      <c r="E421" t="inlineStr">
        <is>
          <t>VILHELMINA</t>
        </is>
      </c>
      <c r="G421" t="n">
        <v>9.9</v>
      </c>
      <c r="H421" t="n">
        <v>0</v>
      </c>
      <c r="I421" t="n">
        <v>0</v>
      </c>
      <c r="J421" t="n">
        <v>0</v>
      </c>
      <c r="K421" t="n">
        <v>0</v>
      </c>
      <c r="L421" t="n">
        <v>0</v>
      </c>
      <c r="M421" t="n">
        <v>0</v>
      </c>
      <c r="N421" t="n">
        <v>0</v>
      </c>
      <c r="O421" t="n">
        <v>0</v>
      </c>
      <c r="P421" t="n">
        <v>0</v>
      </c>
      <c r="Q421" t="n">
        <v>0</v>
      </c>
      <c r="R421" s="2" t="inlineStr"/>
    </row>
    <row r="422" ht="15" customHeight="1">
      <c r="A422" t="inlineStr">
        <is>
          <t>A 60782-2023</t>
        </is>
      </c>
      <c r="B422" s="1" t="n">
        <v>45259</v>
      </c>
      <c r="C422" s="1" t="n">
        <v>45990</v>
      </c>
      <c r="D422" t="inlineStr">
        <is>
          <t>VÄSTERBOTTENS LÄN</t>
        </is>
      </c>
      <c r="E422" t="inlineStr">
        <is>
          <t>VILHELMINA</t>
        </is>
      </c>
      <c r="G422" t="n">
        <v>12.7</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45990</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45990</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45593-2024</t>
        </is>
      </c>
      <c r="B425" s="1" t="n">
        <v>45579</v>
      </c>
      <c r="C425" s="1" t="n">
        <v>45990</v>
      </c>
      <c r="D425" t="inlineStr">
        <is>
          <t>VÄSTERBOTTENS LÄN</t>
        </is>
      </c>
      <c r="E425" t="inlineStr">
        <is>
          <t>VILHELMINA</t>
        </is>
      </c>
      <c r="G425" t="n">
        <v>0.9</v>
      </c>
      <c r="H425" t="n">
        <v>0</v>
      </c>
      <c r="I425" t="n">
        <v>0</v>
      </c>
      <c r="J425" t="n">
        <v>0</v>
      </c>
      <c r="K425" t="n">
        <v>0</v>
      </c>
      <c r="L425" t="n">
        <v>0</v>
      </c>
      <c r="M425" t="n">
        <v>0</v>
      </c>
      <c r="N425" t="n">
        <v>0</v>
      </c>
      <c r="O425" t="n">
        <v>0</v>
      </c>
      <c r="P425" t="n">
        <v>0</v>
      </c>
      <c r="Q425" t="n">
        <v>0</v>
      </c>
      <c r="R425" s="2" t="inlineStr"/>
    </row>
    <row r="426" ht="15" customHeight="1">
      <c r="A426" t="inlineStr">
        <is>
          <t>A 31308-2025</t>
        </is>
      </c>
      <c r="B426" s="1" t="n">
        <v>45833</v>
      </c>
      <c r="C426" s="1" t="n">
        <v>45990</v>
      </c>
      <c r="D426" t="inlineStr">
        <is>
          <t>VÄSTERBOTTENS LÄN</t>
        </is>
      </c>
      <c r="E426" t="inlineStr">
        <is>
          <t>VILHELMINA</t>
        </is>
      </c>
      <c r="G426" t="n">
        <v>3.2</v>
      </c>
      <c r="H426" t="n">
        <v>0</v>
      </c>
      <c r="I426" t="n">
        <v>0</v>
      </c>
      <c r="J426" t="n">
        <v>0</v>
      </c>
      <c r="K426" t="n">
        <v>0</v>
      </c>
      <c r="L426" t="n">
        <v>0</v>
      </c>
      <c r="M426" t="n">
        <v>0</v>
      </c>
      <c r="N426" t="n">
        <v>0</v>
      </c>
      <c r="O426" t="n">
        <v>0</v>
      </c>
      <c r="P426" t="n">
        <v>0</v>
      </c>
      <c r="Q426" t="n">
        <v>0</v>
      </c>
      <c r="R426" s="2" t="inlineStr"/>
    </row>
    <row r="427" ht="15" customHeight="1">
      <c r="A427" t="inlineStr">
        <is>
          <t>A 31730-2025</t>
        </is>
      </c>
      <c r="B427" s="1" t="n">
        <v>45834</v>
      </c>
      <c r="C427" s="1" t="n">
        <v>45990</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2008-2025</t>
        </is>
      </c>
      <c r="B428" s="1" t="n">
        <v>45672.45302083333</v>
      </c>
      <c r="C428" s="1" t="n">
        <v>45990</v>
      </c>
      <c r="D428" t="inlineStr">
        <is>
          <t>VÄSTERBOTTENS LÄN</t>
        </is>
      </c>
      <c r="E428" t="inlineStr">
        <is>
          <t>VILHELMINA</t>
        </is>
      </c>
      <c r="G428" t="n">
        <v>0.7</v>
      </c>
      <c r="H428" t="n">
        <v>0</v>
      </c>
      <c r="I428" t="n">
        <v>0</v>
      </c>
      <c r="J428" t="n">
        <v>0</v>
      </c>
      <c r="K428" t="n">
        <v>0</v>
      </c>
      <c r="L428" t="n">
        <v>0</v>
      </c>
      <c r="M428" t="n">
        <v>0</v>
      </c>
      <c r="N428" t="n">
        <v>0</v>
      </c>
      <c r="O428" t="n">
        <v>0</v>
      </c>
      <c r="P428" t="n">
        <v>0</v>
      </c>
      <c r="Q428" t="n">
        <v>0</v>
      </c>
      <c r="R428" s="2" t="inlineStr"/>
    </row>
    <row r="429" ht="15" customHeight="1">
      <c r="A429" t="inlineStr">
        <is>
          <t>A 41484-2022</t>
        </is>
      </c>
      <c r="B429" s="1" t="n">
        <v>44826</v>
      </c>
      <c r="C429" s="1" t="n">
        <v>45990</v>
      </c>
      <c r="D429" t="inlineStr">
        <is>
          <t>VÄSTERBOTTENS LÄN</t>
        </is>
      </c>
      <c r="E429" t="inlineStr">
        <is>
          <t>VILHELMINA</t>
        </is>
      </c>
      <c r="F429" t="inlineStr">
        <is>
          <t>SCA</t>
        </is>
      </c>
      <c r="G429" t="n">
        <v>18.1</v>
      </c>
      <c r="H429" t="n">
        <v>0</v>
      </c>
      <c r="I429" t="n">
        <v>0</v>
      </c>
      <c r="J429" t="n">
        <v>0</v>
      </c>
      <c r="K429" t="n">
        <v>0</v>
      </c>
      <c r="L429" t="n">
        <v>0</v>
      </c>
      <c r="M429" t="n">
        <v>0</v>
      </c>
      <c r="N429" t="n">
        <v>0</v>
      </c>
      <c r="O429" t="n">
        <v>0</v>
      </c>
      <c r="P429" t="n">
        <v>0</v>
      </c>
      <c r="Q429" t="n">
        <v>0</v>
      </c>
      <c r="R429" s="2" t="inlineStr"/>
    </row>
    <row r="430" ht="15" customHeight="1">
      <c r="A430" t="inlineStr">
        <is>
          <t>A 31724-2025</t>
        </is>
      </c>
      <c r="B430" s="1" t="n">
        <v>45834</v>
      </c>
      <c r="C430" s="1" t="n">
        <v>45990</v>
      </c>
      <c r="D430" t="inlineStr">
        <is>
          <t>VÄSTERBOTTENS LÄN</t>
        </is>
      </c>
      <c r="E430" t="inlineStr">
        <is>
          <t>VILHELMINA</t>
        </is>
      </c>
      <c r="G430" t="n">
        <v>19.7</v>
      </c>
      <c r="H430" t="n">
        <v>0</v>
      </c>
      <c r="I430" t="n">
        <v>0</v>
      </c>
      <c r="J430" t="n">
        <v>0</v>
      </c>
      <c r="K430" t="n">
        <v>0</v>
      </c>
      <c r="L430" t="n">
        <v>0</v>
      </c>
      <c r="M430" t="n">
        <v>0</v>
      </c>
      <c r="N430" t="n">
        <v>0</v>
      </c>
      <c r="O430" t="n">
        <v>0</v>
      </c>
      <c r="P430" t="n">
        <v>0</v>
      </c>
      <c r="Q430" t="n">
        <v>0</v>
      </c>
      <c r="R430" s="2" t="inlineStr"/>
    </row>
    <row r="431" ht="15" customHeight="1">
      <c r="A431" t="inlineStr">
        <is>
          <t>A 31733-2025</t>
        </is>
      </c>
      <c r="B431" s="1" t="n">
        <v>45834.47035879629</v>
      </c>
      <c r="C431" s="1" t="n">
        <v>45990</v>
      </c>
      <c r="D431" t="inlineStr">
        <is>
          <t>VÄSTERBOTTENS LÄN</t>
        </is>
      </c>
      <c r="E431" t="inlineStr">
        <is>
          <t>VILHELMINA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46316-2022</t>
        </is>
      </c>
      <c r="B432" s="1" t="n">
        <v>44847</v>
      </c>
      <c r="C432" s="1" t="n">
        <v>45990</v>
      </c>
      <c r="D432" t="inlineStr">
        <is>
          <t>VÄSTERBOTTENS LÄN</t>
        </is>
      </c>
      <c r="E432" t="inlineStr">
        <is>
          <t>VILHELMINA</t>
        </is>
      </c>
      <c r="G432" t="n">
        <v>2.1</v>
      </c>
      <c r="H432" t="n">
        <v>0</v>
      </c>
      <c r="I432" t="n">
        <v>0</v>
      </c>
      <c r="J432" t="n">
        <v>0</v>
      </c>
      <c r="K432" t="n">
        <v>0</v>
      </c>
      <c r="L432" t="n">
        <v>0</v>
      </c>
      <c r="M432" t="n">
        <v>0</v>
      </c>
      <c r="N432" t="n">
        <v>0</v>
      </c>
      <c r="O432" t="n">
        <v>0</v>
      </c>
      <c r="P432" t="n">
        <v>0</v>
      </c>
      <c r="Q432" t="n">
        <v>0</v>
      </c>
      <c r="R432" s="2" t="inlineStr"/>
    </row>
    <row r="433" ht="15" customHeight="1">
      <c r="A433" t="inlineStr">
        <is>
          <t>A 52334-2025</t>
        </is>
      </c>
      <c r="B433" s="1" t="n">
        <v>45953.68225694444</v>
      </c>
      <c r="C433" s="1" t="n">
        <v>45990</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52034-2025</t>
        </is>
      </c>
      <c r="B434" s="1" t="n">
        <v>45952.61252314815</v>
      </c>
      <c r="C434" s="1" t="n">
        <v>45990</v>
      </c>
      <c r="D434" t="inlineStr">
        <is>
          <t>VÄSTERBOTTENS LÄN</t>
        </is>
      </c>
      <c r="E434" t="inlineStr">
        <is>
          <t>VILHELMINA</t>
        </is>
      </c>
      <c r="G434" t="n">
        <v>9.6</v>
      </c>
      <c r="H434" t="n">
        <v>0</v>
      </c>
      <c r="I434" t="n">
        <v>0</v>
      </c>
      <c r="J434" t="n">
        <v>0</v>
      </c>
      <c r="K434" t="n">
        <v>0</v>
      </c>
      <c r="L434" t="n">
        <v>0</v>
      </c>
      <c r="M434" t="n">
        <v>0</v>
      </c>
      <c r="N434" t="n">
        <v>0</v>
      </c>
      <c r="O434" t="n">
        <v>0</v>
      </c>
      <c r="P434" t="n">
        <v>0</v>
      </c>
      <c r="Q434" t="n">
        <v>0</v>
      </c>
      <c r="R434" s="2" t="inlineStr"/>
    </row>
    <row r="435" ht="15" customHeight="1">
      <c r="A435" t="inlineStr">
        <is>
          <t>A 23360-2025</t>
        </is>
      </c>
      <c r="B435" s="1" t="n">
        <v>45791</v>
      </c>
      <c r="C435" s="1" t="n">
        <v>45990</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25551-2024</t>
        </is>
      </c>
      <c r="B436" s="1" t="n">
        <v>45463</v>
      </c>
      <c r="C436" s="1" t="n">
        <v>45990</v>
      </c>
      <c r="D436" t="inlineStr">
        <is>
          <t>VÄSTERBOTTENS LÄN</t>
        </is>
      </c>
      <c r="E436" t="inlineStr">
        <is>
          <t>VILHELMINA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12374-2025</t>
        </is>
      </c>
      <c r="B437" s="1" t="n">
        <v>45730</v>
      </c>
      <c r="C437" s="1" t="n">
        <v>45990</v>
      </c>
      <c r="D437" t="inlineStr">
        <is>
          <t>VÄSTERBOTTENS LÄN</t>
        </is>
      </c>
      <c r="E437" t="inlineStr">
        <is>
          <t>VILHELMINA</t>
        </is>
      </c>
      <c r="F437" t="inlineStr">
        <is>
          <t>Övriga statliga verk och myndigheter</t>
        </is>
      </c>
      <c r="G437" t="n">
        <v>18.7</v>
      </c>
      <c r="H437" t="n">
        <v>0</v>
      </c>
      <c r="I437" t="n">
        <v>0</v>
      </c>
      <c r="J437" t="n">
        <v>0</v>
      </c>
      <c r="K437" t="n">
        <v>0</v>
      </c>
      <c r="L437" t="n">
        <v>0</v>
      </c>
      <c r="M437" t="n">
        <v>0</v>
      </c>
      <c r="N437" t="n">
        <v>0</v>
      </c>
      <c r="O437" t="n">
        <v>0</v>
      </c>
      <c r="P437" t="n">
        <v>0</v>
      </c>
      <c r="Q437" t="n">
        <v>0</v>
      </c>
      <c r="R437" s="2" t="inlineStr"/>
    </row>
    <row r="438" ht="15" customHeight="1">
      <c r="A438" t="inlineStr">
        <is>
          <t>A 12375-2025</t>
        </is>
      </c>
      <c r="B438" s="1" t="n">
        <v>45730</v>
      </c>
      <c r="C438" s="1" t="n">
        <v>45990</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56246-2023</t>
        </is>
      </c>
      <c r="B439" s="1" t="n">
        <v>45240</v>
      </c>
      <c r="C439" s="1" t="n">
        <v>45990</v>
      </c>
      <c r="D439" t="inlineStr">
        <is>
          <t>VÄSTERBOTTENS LÄN</t>
        </is>
      </c>
      <c r="E439" t="inlineStr">
        <is>
          <t>VILHELMINA</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37912-2025</t>
        </is>
      </c>
      <c r="B440" s="1" t="n">
        <v>45880</v>
      </c>
      <c r="C440" s="1" t="n">
        <v>45990</v>
      </c>
      <c r="D440" t="inlineStr">
        <is>
          <t>VÄSTERBOTTENS LÄN</t>
        </is>
      </c>
      <c r="E440" t="inlineStr">
        <is>
          <t>VILHELMINA</t>
        </is>
      </c>
      <c r="F440" t="inlineStr">
        <is>
          <t>SCA</t>
        </is>
      </c>
      <c r="G440" t="n">
        <v>23.9</v>
      </c>
      <c r="H440" t="n">
        <v>0</v>
      </c>
      <c r="I440" t="n">
        <v>0</v>
      </c>
      <c r="J440" t="n">
        <v>0</v>
      </c>
      <c r="K440" t="n">
        <v>0</v>
      </c>
      <c r="L440" t="n">
        <v>0</v>
      </c>
      <c r="M440" t="n">
        <v>0</v>
      </c>
      <c r="N440" t="n">
        <v>0</v>
      </c>
      <c r="O440" t="n">
        <v>0</v>
      </c>
      <c r="P440" t="n">
        <v>0</v>
      </c>
      <c r="Q440" t="n">
        <v>0</v>
      </c>
      <c r="R440" s="2" t="inlineStr"/>
    </row>
    <row r="441" ht="15" customHeight="1">
      <c r="A441" t="inlineStr">
        <is>
          <t>A 48470-2023</t>
        </is>
      </c>
      <c r="B441" s="1" t="n">
        <v>45206.95747685185</v>
      </c>
      <c r="C441" s="1" t="n">
        <v>45990</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32947-2025</t>
        </is>
      </c>
      <c r="B442" s="1" t="n">
        <v>45839</v>
      </c>
      <c r="C442" s="1" t="n">
        <v>45990</v>
      </c>
      <c r="D442" t="inlineStr">
        <is>
          <t>VÄSTERBOTTENS LÄN</t>
        </is>
      </c>
      <c r="E442" t="inlineStr">
        <is>
          <t>VILHELMINA</t>
        </is>
      </c>
      <c r="G442" t="n">
        <v>19.1</v>
      </c>
      <c r="H442" t="n">
        <v>0</v>
      </c>
      <c r="I442" t="n">
        <v>0</v>
      </c>
      <c r="J442" t="n">
        <v>0</v>
      </c>
      <c r="K442" t="n">
        <v>0</v>
      </c>
      <c r="L442" t="n">
        <v>0</v>
      </c>
      <c r="M442" t="n">
        <v>0</v>
      </c>
      <c r="N442" t="n">
        <v>0</v>
      </c>
      <c r="O442" t="n">
        <v>0</v>
      </c>
      <c r="P442" t="n">
        <v>0</v>
      </c>
      <c r="Q442" t="n">
        <v>0</v>
      </c>
      <c r="R442" s="2" t="inlineStr"/>
    </row>
    <row r="443" ht="15" customHeight="1">
      <c r="A443" t="inlineStr">
        <is>
          <t>A 63218-2021</t>
        </is>
      </c>
      <c r="B443" s="1" t="n">
        <v>44505</v>
      </c>
      <c r="C443" s="1" t="n">
        <v>45990</v>
      </c>
      <c r="D443" t="inlineStr">
        <is>
          <t>VÄSTERBOTTENS LÄN</t>
        </is>
      </c>
      <c r="E443" t="inlineStr">
        <is>
          <t>VILHELMINA</t>
        </is>
      </c>
      <c r="G443" t="n">
        <v>6.8</v>
      </c>
      <c r="H443" t="n">
        <v>0</v>
      </c>
      <c r="I443" t="n">
        <v>0</v>
      </c>
      <c r="J443" t="n">
        <v>0</v>
      </c>
      <c r="K443" t="n">
        <v>0</v>
      </c>
      <c r="L443" t="n">
        <v>0</v>
      </c>
      <c r="M443" t="n">
        <v>0</v>
      </c>
      <c r="N443" t="n">
        <v>0</v>
      </c>
      <c r="O443" t="n">
        <v>0</v>
      </c>
      <c r="P443" t="n">
        <v>0</v>
      </c>
      <c r="Q443" t="n">
        <v>0</v>
      </c>
      <c r="R443" s="2" t="inlineStr"/>
    </row>
    <row r="444" ht="15" customHeight="1">
      <c r="A444" t="inlineStr">
        <is>
          <t>A 44017-2025</t>
        </is>
      </c>
      <c r="B444" s="1" t="n">
        <v>45915</v>
      </c>
      <c r="C444" s="1" t="n">
        <v>45990</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33319-2025</t>
        </is>
      </c>
      <c r="B445" s="1" t="n">
        <v>45841</v>
      </c>
      <c r="C445" s="1" t="n">
        <v>45990</v>
      </c>
      <c r="D445" t="inlineStr">
        <is>
          <t>VÄSTERBOTTENS LÄN</t>
        </is>
      </c>
      <c r="E445" t="inlineStr">
        <is>
          <t>VILHELMINA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33641-2025</t>
        </is>
      </c>
      <c r="B446" s="1" t="n">
        <v>45841.65045138889</v>
      </c>
      <c r="C446" s="1" t="n">
        <v>45990</v>
      </c>
      <c r="D446" t="inlineStr">
        <is>
          <t>VÄSTERBOTTENS LÄN</t>
        </is>
      </c>
      <c r="E446" t="inlineStr">
        <is>
          <t>VILHELMINA</t>
        </is>
      </c>
      <c r="G446" t="n">
        <v>7.3</v>
      </c>
      <c r="H446" t="n">
        <v>0</v>
      </c>
      <c r="I446" t="n">
        <v>0</v>
      </c>
      <c r="J446" t="n">
        <v>0</v>
      </c>
      <c r="K446" t="n">
        <v>0</v>
      </c>
      <c r="L446" t="n">
        <v>0</v>
      </c>
      <c r="M446" t="n">
        <v>0</v>
      </c>
      <c r="N446" t="n">
        <v>0</v>
      </c>
      <c r="O446" t="n">
        <v>0</v>
      </c>
      <c r="P446" t="n">
        <v>0</v>
      </c>
      <c r="Q446" t="n">
        <v>0</v>
      </c>
      <c r="R446" s="2" t="inlineStr"/>
    </row>
    <row r="447" ht="15" customHeight="1">
      <c r="A447" t="inlineStr">
        <is>
          <t>A 44015-2025</t>
        </is>
      </c>
      <c r="B447" s="1" t="n">
        <v>45915</v>
      </c>
      <c r="C447" s="1" t="n">
        <v>45990</v>
      </c>
      <c r="D447" t="inlineStr">
        <is>
          <t>VÄSTERBOTTENS LÄN</t>
        </is>
      </c>
      <c r="E447" t="inlineStr">
        <is>
          <t>VILHELMINA</t>
        </is>
      </c>
      <c r="G447" t="n">
        <v>1</v>
      </c>
      <c r="H447" t="n">
        <v>0</v>
      </c>
      <c r="I447" t="n">
        <v>0</v>
      </c>
      <c r="J447" t="n">
        <v>0</v>
      </c>
      <c r="K447" t="n">
        <v>0</v>
      </c>
      <c r="L447" t="n">
        <v>0</v>
      </c>
      <c r="M447" t="n">
        <v>0</v>
      </c>
      <c r="N447" t="n">
        <v>0</v>
      </c>
      <c r="O447" t="n">
        <v>0</v>
      </c>
      <c r="P447" t="n">
        <v>0</v>
      </c>
      <c r="Q447" t="n">
        <v>0</v>
      </c>
      <c r="R447" s="2" t="inlineStr"/>
    </row>
    <row r="448" ht="15" customHeight="1">
      <c r="A448" t="inlineStr">
        <is>
          <t>A 52789-2025</t>
        </is>
      </c>
      <c r="B448" s="1" t="n">
        <v>45957.42777777778</v>
      </c>
      <c r="C448" s="1" t="n">
        <v>45990</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52811-2025</t>
        </is>
      </c>
      <c r="B449" s="1" t="n">
        <v>45957.44878472222</v>
      </c>
      <c r="C449" s="1" t="n">
        <v>45990</v>
      </c>
      <c r="D449" t="inlineStr">
        <is>
          <t>VÄSTERBOTTENS LÄN</t>
        </is>
      </c>
      <c r="E449" t="inlineStr">
        <is>
          <t>VILHELMINA</t>
        </is>
      </c>
      <c r="G449" t="n">
        <v>1.8</v>
      </c>
      <c r="H449" t="n">
        <v>0</v>
      </c>
      <c r="I449" t="n">
        <v>0</v>
      </c>
      <c r="J449" t="n">
        <v>0</v>
      </c>
      <c r="K449" t="n">
        <v>0</v>
      </c>
      <c r="L449" t="n">
        <v>0</v>
      </c>
      <c r="M449" t="n">
        <v>0</v>
      </c>
      <c r="N449" t="n">
        <v>0</v>
      </c>
      <c r="O449" t="n">
        <v>0</v>
      </c>
      <c r="P449" t="n">
        <v>0</v>
      </c>
      <c r="Q449" t="n">
        <v>0</v>
      </c>
      <c r="R449" s="2" t="inlineStr"/>
    </row>
    <row r="450" ht="15" customHeight="1">
      <c r="A450" t="inlineStr">
        <is>
          <t>A 52565-2025</t>
        </is>
      </c>
      <c r="B450" s="1" t="n">
        <v>45954.59429398148</v>
      </c>
      <c r="C450" s="1" t="n">
        <v>45990</v>
      </c>
      <c r="D450" t="inlineStr">
        <is>
          <t>VÄSTERBOTTENS LÄN</t>
        </is>
      </c>
      <c r="E450" t="inlineStr">
        <is>
          <t>VILHELMINA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33320-2025</t>
        </is>
      </c>
      <c r="B451" s="1" t="n">
        <v>45841.34461805555</v>
      </c>
      <c r="C451" s="1" t="n">
        <v>45990</v>
      </c>
      <c r="D451" t="inlineStr">
        <is>
          <t>VÄSTERBOTTENS LÄN</t>
        </is>
      </c>
      <c r="E451" t="inlineStr">
        <is>
          <t>VILHELMINA</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58824-2024</t>
        </is>
      </c>
      <c r="B452" s="1" t="n">
        <v>45636.36488425926</v>
      </c>
      <c r="C452" s="1" t="n">
        <v>45990</v>
      </c>
      <c r="D452" t="inlineStr">
        <is>
          <t>VÄSTERBOTTENS LÄN</t>
        </is>
      </c>
      <c r="E452" t="inlineStr">
        <is>
          <t>VILHELMINA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52398-2025</t>
        </is>
      </c>
      <c r="B453" s="1" t="n">
        <v>45954.34572916666</v>
      </c>
      <c r="C453" s="1" t="n">
        <v>45990</v>
      </c>
      <c r="D453" t="inlineStr">
        <is>
          <t>VÄSTERBOTTENS LÄN</t>
        </is>
      </c>
      <c r="E453" t="inlineStr">
        <is>
          <t>VILHELMINA</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33142-2025</t>
        </is>
      </c>
      <c r="B454" s="1" t="n">
        <v>45840</v>
      </c>
      <c r="C454" s="1" t="n">
        <v>45990</v>
      </c>
      <c r="D454" t="inlineStr">
        <is>
          <t>VÄSTERBOTTENS LÄN</t>
        </is>
      </c>
      <c r="E454" t="inlineStr">
        <is>
          <t>VILHELMINA</t>
        </is>
      </c>
      <c r="G454" t="n">
        <v>15.2</v>
      </c>
      <c r="H454" t="n">
        <v>0</v>
      </c>
      <c r="I454" t="n">
        <v>0</v>
      </c>
      <c r="J454" t="n">
        <v>0</v>
      </c>
      <c r="K454" t="n">
        <v>0</v>
      </c>
      <c r="L454" t="n">
        <v>0</v>
      </c>
      <c r="M454" t="n">
        <v>0</v>
      </c>
      <c r="N454" t="n">
        <v>0</v>
      </c>
      <c r="O454" t="n">
        <v>0</v>
      </c>
      <c r="P454" t="n">
        <v>0</v>
      </c>
      <c r="Q454" t="n">
        <v>0</v>
      </c>
      <c r="R454" s="2" t="inlineStr"/>
    </row>
    <row r="455" ht="15" customHeight="1">
      <c r="A455" t="inlineStr">
        <is>
          <t>A 12362-2025</t>
        </is>
      </c>
      <c r="B455" s="1" t="n">
        <v>45730</v>
      </c>
      <c r="C455" s="1" t="n">
        <v>45990</v>
      </c>
      <c r="D455" t="inlineStr">
        <is>
          <t>VÄSTERBOTTENS LÄN</t>
        </is>
      </c>
      <c r="E455" t="inlineStr">
        <is>
          <t>VILHELMINA</t>
        </is>
      </c>
      <c r="F455" t="inlineStr">
        <is>
          <t>Övriga statliga verk och myndigheter</t>
        </is>
      </c>
      <c r="G455" t="n">
        <v>6.1</v>
      </c>
      <c r="H455" t="n">
        <v>0</v>
      </c>
      <c r="I455" t="n">
        <v>0</v>
      </c>
      <c r="J455" t="n">
        <v>0</v>
      </c>
      <c r="K455" t="n">
        <v>0</v>
      </c>
      <c r="L455" t="n">
        <v>0</v>
      </c>
      <c r="M455" t="n">
        <v>0</v>
      </c>
      <c r="N455" t="n">
        <v>0</v>
      </c>
      <c r="O455" t="n">
        <v>0</v>
      </c>
      <c r="P455" t="n">
        <v>0</v>
      </c>
      <c r="Q455" t="n">
        <v>0</v>
      </c>
      <c r="R455" s="2" t="inlineStr"/>
    </row>
    <row r="456" ht="15" customHeight="1">
      <c r="A456" t="inlineStr">
        <is>
          <t>A 12364-2025</t>
        </is>
      </c>
      <c r="B456" s="1" t="n">
        <v>45730.37515046296</v>
      </c>
      <c r="C456" s="1" t="n">
        <v>45990</v>
      </c>
      <c r="D456" t="inlineStr">
        <is>
          <t>VÄSTERBOTTENS LÄN</t>
        </is>
      </c>
      <c r="E456" t="inlineStr">
        <is>
          <t>VILHELMINA</t>
        </is>
      </c>
      <c r="F456" t="inlineStr">
        <is>
          <t>Övriga statliga verk och myndigheter</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12377-2025</t>
        </is>
      </c>
      <c r="B457" s="1" t="n">
        <v>45730</v>
      </c>
      <c r="C457" s="1" t="n">
        <v>45990</v>
      </c>
      <c r="D457" t="inlineStr">
        <is>
          <t>VÄSTERBOTTENS LÄN</t>
        </is>
      </c>
      <c r="E457" t="inlineStr">
        <is>
          <t>VILHELMINA</t>
        </is>
      </c>
      <c r="F457" t="inlineStr">
        <is>
          <t>Övriga statliga verk och myndigheter</t>
        </is>
      </c>
      <c r="G457" t="n">
        <v>37.1</v>
      </c>
      <c r="H457" t="n">
        <v>0</v>
      </c>
      <c r="I457" t="n">
        <v>0</v>
      </c>
      <c r="J457" t="n">
        <v>0</v>
      </c>
      <c r="K457" t="n">
        <v>0</v>
      </c>
      <c r="L457" t="n">
        <v>0</v>
      </c>
      <c r="M457" t="n">
        <v>0</v>
      </c>
      <c r="N457" t="n">
        <v>0</v>
      </c>
      <c r="O457" t="n">
        <v>0</v>
      </c>
      <c r="P457" t="n">
        <v>0</v>
      </c>
      <c r="Q457" t="n">
        <v>0</v>
      </c>
      <c r="R457" s="2" t="inlineStr"/>
    </row>
    <row r="458" ht="15" customHeight="1">
      <c r="A458" t="inlineStr">
        <is>
          <t>A 46547-2023</t>
        </is>
      </c>
      <c r="B458" s="1" t="n">
        <v>45197.94158564815</v>
      </c>
      <c r="C458" s="1" t="n">
        <v>45990</v>
      </c>
      <c r="D458" t="inlineStr">
        <is>
          <t>VÄSTERBOTTENS LÄN</t>
        </is>
      </c>
      <c r="E458" t="inlineStr">
        <is>
          <t>VILHELMINA</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1470-2021</t>
        </is>
      </c>
      <c r="B459" s="1" t="n">
        <v>44208</v>
      </c>
      <c r="C459" s="1" t="n">
        <v>45990</v>
      </c>
      <c r="D459" t="inlineStr">
        <is>
          <t>VÄSTERBOTTENS LÄN</t>
        </is>
      </c>
      <c r="E459" t="inlineStr">
        <is>
          <t>VILHELMINA</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53015-2025</t>
        </is>
      </c>
      <c r="B460" s="1" t="n">
        <v>45957.82777777778</v>
      </c>
      <c r="C460" s="1" t="n">
        <v>45990</v>
      </c>
      <c r="D460" t="inlineStr">
        <is>
          <t>VÄSTERBOTTENS LÄN</t>
        </is>
      </c>
      <c r="E460" t="inlineStr">
        <is>
          <t>VILHELMINA</t>
        </is>
      </c>
      <c r="G460" t="n">
        <v>17.2</v>
      </c>
      <c r="H460" t="n">
        <v>0</v>
      </c>
      <c r="I460" t="n">
        <v>0</v>
      </c>
      <c r="J460" t="n">
        <v>0</v>
      </c>
      <c r="K460" t="n">
        <v>0</v>
      </c>
      <c r="L460" t="n">
        <v>0</v>
      </c>
      <c r="M460" t="n">
        <v>0</v>
      </c>
      <c r="N460" t="n">
        <v>0</v>
      </c>
      <c r="O460" t="n">
        <v>0</v>
      </c>
      <c r="P460" t="n">
        <v>0</v>
      </c>
      <c r="Q460" t="n">
        <v>0</v>
      </c>
      <c r="R460" s="2" t="inlineStr"/>
    </row>
    <row r="461" ht="15" customHeight="1">
      <c r="A461" t="inlineStr">
        <is>
          <t>A 62100-2024</t>
        </is>
      </c>
      <c r="B461" s="1" t="n">
        <v>45656</v>
      </c>
      <c r="C461" s="1" t="n">
        <v>45990</v>
      </c>
      <c r="D461" t="inlineStr">
        <is>
          <t>VÄSTERBOTTENS LÄN</t>
        </is>
      </c>
      <c r="E461" t="inlineStr">
        <is>
          <t>VILHELMINA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34253-2025</t>
        </is>
      </c>
      <c r="B462" s="1" t="n">
        <v>45845</v>
      </c>
      <c r="C462" s="1" t="n">
        <v>45990</v>
      </c>
      <c r="D462" t="inlineStr">
        <is>
          <t>VÄSTERBOTTENS LÄN</t>
        </is>
      </c>
      <c r="E462" t="inlineStr">
        <is>
          <t>VILHELMINA</t>
        </is>
      </c>
      <c r="G462" t="n">
        <v>14.3</v>
      </c>
      <c r="H462" t="n">
        <v>0</v>
      </c>
      <c r="I462" t="n">
        <v>0</v>
      </c>
      <c r="J462" t="n">
        <v>0</v>
      </c>
      <c r="K462" t="n">
        <v>0</v>
      </c>
      <c r="L462" t="n">
        <v>0</v>
      </c>
      <c r="M462" t="n">
        <v>0</v>
      </c>
      <c r="N462" t="n">
        <v>0</v>
      </c>
      <c r="O462" t="n">
        <v>0</v>
      </c>
      <c r="P462" t="n">
        <v>0</v>
      </c>
      <c r="Q462" t="n">
        <v>0</v>
      </c>
      <c r="R462" s="2" t="inlineStr"/>
    </row>
    <row r="463" ht="15" customHeight="1">
      <c r="A463" t="inlineStr">
        <is>
          <t>A 34413-2025</t>
        </is>
      </c>
      <c r="B463" s="1" t="n">
        <v>45845</v>
      </c>
      <c r="C463" s="1" t="n">
        <v>45990</v>
      </c>
      <c r="D463" t="inlineStr">
        <is>
          <t>VÄSTERBOTTENS LÄN</t>
        </is>
      </c>
      <c r="E463" t="inlineStr">
        <is>
          <t>VILHELMINA</t>
        </is>
      </c>
      <c r="G463" t="n">
        <v>6.8</v>
      </c>
      <c r="H463" t="n">
        <v>0</v>
      </c>
      <c r="I463" t="n">
        <v>0</v>
      </c>
      <c r="J463" t="n">
        <v>0</v>
      </c>
      <c r="K463" t="n">
        <v>0</v>
      </c>
      <c r="L463" t="n">
        <v>0</v>
      </c>
      <c r="M463" t="n">
        <v>0</v>
      </c>
      <c r="N463" t="n">
        <v>0</v>
      </c>
      <c r="O463" t="n">
        <v>0</v>
      </c>
      <c r="P463" t="n">
        <v>0</v>
      </c>
      <c r="Q463" t="n">
        <v>0</v>
      </c>
      <c r="R463" s="2" t="inlineStr"/>
    </row>
    <row r="464" ht="15" customHeight="1">
      <c r="A464" t="inlineStr">
        <is>
          <t>A 40732-2024</t>
        </is>
      </c>
      <c r="B464" s="1" t="n">
        <v>45558</v>
      </c>
      <c r="C464" s="1" t="n">
        <v>45990</v>
      </c>
      <c r="D464" t="inlineStr">
        <is>
          <t>VÄSTERBOTTENS LÄN</t>
        </is>
      </c>
      <c r="E464" t="inlineStr">
        <is>
          <t>VILHELMINA</t>
        </is>
      </c>
      <c r="F464" t="inlineStr">
        <is>
          <t>Allmännings- och besparingsskogar</t>
        </is>
      </c>
      <c r="G464" t="n">
        <v>90</v>
      </c>
      <c r="H464" t="n">
        <v>0</v>
      </c>
      <c r="I464" t="n">
        <v>0</v>
      </c>
      <c r="J464" t="n">
        <v>0</v>
      </c>
      <c r="K464" t="n">
        <v>0</v>
      </c>
      <c r="L464" t="n">
        <v>0</v>
      </c>
      <c r="M464" t="n">
        <v>0</v>
      </c>
      <c r="N464" t="n">
        <v>0</v>
      </c>
      <c r="O464" t="n">
        <v>0</v>
      </c>
      <c r="P464" t="n">
        <v>0</v>
      </c>
      <c r="Q464" t="n">
        <v>0</v>
      </c>
      <c r="R464" s="2" t="inlineStr"/>
    </row>
    <row r="465" ht="15" customHeight="1">
      <c r="A465" t="inlineStr">
        <is>
          <t>A 59031-2024</t>
        </is>
      </c>
      <c r="B465" s="1" t="n">
        <v>45636</v>
      </c>
      <c r="C465" s="1" t="n">
        <v>45990</v>
      </c>
      <c r="D465" t="inlineStr">
        <is>
          <t>VÄSTERBOTTENS LÄN</t>
        </is>
      </c>
      <c r="E465" t="inlineStr">
        <is>
          <t>VILHELMINA</t>
        </is>
      </c>
      <c r="G465" t="n">
        <v>40</v>
      </c>
      <c r="H465" t="n">
        <v>0</v>
      </c>
      <c r="I465" t="n">
        <v>0</v>
      </c>
      <c r="J465" t="n">
        <v>0</v>
      </c>
      <c r="K465" t="n">
        <v>0</v>
      </c>
      <c r="L465" t="n">
        <v>0</v>
      </c>
      <c r="M465" t="n">
        <v>0</v>
      </c>
      <c r="N465" t="n">
        <v>0</v>
      </c>
      <c r="O465" t="n">
        <v>0</v>
      </c>
      <c r="P465" t="n">
        <v>0</v>
      </c>
      <c r="Q465" t="n">
        <v>0</v>
      </c>
      <c r="R465" s="2" t="inlineStr"/>
    </row>
    <row r="466" ht="15" customHeight="1">
      <c r="A466" t="inlineStr">
        <is>
          <t>A 46071-2022</t>
        </is>
      </c>
      <c r="B466" s="1" t="n">
        <v>44847</v>
      </c>
      <c r="C466" s="1" t="n">
        <v>45990</v>
      </c>
      <c r="D466" t="inlineStr">
        <is>
          <t>VÄSTERBOTTENS LÄN</t>
        </is>
      </c>
      <c r="E466" t="inlineStr">
        <is>
          <t>VILHELMINA</t>
        </is>
      </c>
      <c r="G466" t="n">
        <v>10.6</v>
      </c>
      <c r="H466" t="n">
        <v>0</v>
      </c>
      <c r="I466" t="n">
        <v>0</v>
      </c>
      <c r="J466" t="n">
        <v>0</v>
      </c>
      <c r="K466" t="n">
        <v>0</v>
      </c>
      <c r="L466" t="n">
        <v>0</v>
      </c>
      <c r="M466" t="n">
        <v>0</v>
      </c>
      <c r="N466" t="n">
        <v>0</v>
      </c>
      <c r="O466" t="n">
        <v>0</v>
      </c>
      <c r="P466" t="n">
        <v>0</v>
      </c>
      <c r="Q466" t="n">
        <v>0</v>
      </c>
      <c r="R466" s="2" t="inlineStr"/>
    </row>
    <row r="467" ht="15" customHeight="1">
      <c r="A467" t="inlineStr">
        <is>
          <t>A 25701-2024</t>
        </is>
      </c>
      <c r="B467" s="1" t="n">
        <v>45463.94247685185</v>
      </c>
      <c r="C467" s="1" t="n">
        <v>45990</v>
      </c>
      <c r="D467" t="inlineStr">
        <is>
          <t>VÄSTERBOTTENS LÄN</t>
        </is>
      </c>
      <c r="E467" t="inlineStr">
        <is>
          <t>VILHELMINA</t>
        </is>
      </c>
      <c r="F467" t="inlineStr">
        <is>
          <t>SCA</t>
        </is>
      </c>
      <c r="G467" t="n">
        <v>8.6</v>
      </c>
      <c r="H467" t="n">
        <v>0</v>
      </c>
      <c r="I467" t="n">
        <v>0</v>
      </c>
      <c r="J467" t="n">
        <v>0</v>
      </c>
      <c r="K467" t="n">
        <v>0</v>
      </c>
      <c r="L467" t="n">
        <v>0</v>
      </c>
      <c r="M467" t="n">
        <v>0</v>
      </c>
      <c r="N467" t="n">
        <v>0</v>
      </c>
      <c r="O467" t="n">
        <v>0</v>
      </c>
      <c r="P467" t="n">
        <v>0</v>
      </c>
      <c r="Q467" t="n">
        <v>0</v>
      </c>
      <c r="R467" s="2" t="inlineStr"/>
    </row>
    <row r="468" ht="15" customHeight="1">
      <c r="A468" t="inlineStr">
        <is>
          <t>A 38364-2023</t>
        </is>
      </c>
      <c r="B468" s="1" t="n">
        <v>45161</v>
      </c>
      <c r="C468" s="1" t="n">
        <v>45990</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45990</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34563-2025</t>
        </is>
      </c>
      <c r="B470" s="1" t="n">
        <v>45847.57950231482</v>
      </c>
      <c r="C470" s="1" t="n">
        <v>45990</v>
      </c>
      <c r="D470" t="inlineStr">
        <is>
          <t>VÄSTERBOTTENS LÄN</t>
        </is>
      </c>
      <c r="E470" t="inlineStr">
        <is>
          <t>VILHELMINA</t>
        </is>
      </c>
      <c r="G470" t="n">
        <v>20.6</v>
      </c>
      <c r="H470" t="n">
        <v>0</v>
      </c>
      <c r="I470" t="n">
        <v>0</v>
      </c>
      <c r="J470" t="n">
        <v>0</v>
      </c>
      <c r="K470" t="n">
        <v>0</v>
      </c>
      <c r="L470" t="n">
        <v>0</v>
      </c>
      <c r="M470" t="n">
        <v>0</v>
      </c>
      <c r="N470" t="n">
        <v>0</v>
      </c>
      <c r="O470" t="n">
        <v>0</v>
      </c>
      <c r="P470" t="n">
        <v>0</v>
      </c>
      <c r="Q470" t="n">
        <v>0</v>
      </c>
      <c r="R470" s="2" t="inlineStr"/>
    </row>
    <row r="471" ht="15" customHeight="1">
      <c r="A471" t="inlineStr">
        <is>
          <t>A 48229-2024</t>
        </is>
      </c>
      <c r="B471" s="1" t="n">
        <v>45590.37554398148</v>
      </c>
      <c r="C471" s="1" t="n">
        <v>45990</v>
      </c>
      <c r="D471" t="inlineStr">
        <is>
          <t>VÄSTERBOTTENS LÄN</t>
        </is>
      </c>
      <c r="E471" t="inlineStr">
        <is>
          <t>VILHELMINA</t>
        </is>
      </c>
      <c r="G471" t="n">
        <v>11.6</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45990</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34569-2025</t>
        </is>
      </c>
      <c r="B473" s="1" t="n">
        <v>45847.58480324074</v>
      </c>
      <c r="C473" s="1" t="n">
        <v>45990</v>
      </c>
      <c r="D473" t="inlineStr">
        <is>
          <t>VÄSTERBOTTENS LÄN</t>
        </is>
      </c>
      <c r="E473" t="inlineStr">
        <is>
          <t>VILHELMINA</t>
        </is>
      </c>
      <c r="G473" t="n">
        <v>5.3</v>
      </c>
      <c r="H473" t="n">
        <v>0</v>
      </c>
      <c r="I473" t="n">
        <v>0</v>
      </c>
      <c r="J473" t="n">
        <v>0</v>
      </c>
      <c r="K473" t="n">
        <v>0</v>
      </c>
      <c r="L473" t="n">
        <v>0</v>
      </c>
      <c r="M473" t="n">
        <v>0</v>
      </c>
      <c r="N473" t="n">
        <v>0</v>
      </c>
      <c r="O473" t="n">
        <v>0</v>
      </c>
      <c r="P473" t="n">
        <v>0</v>
      </c>
      <c r="Q473" t="n">
        <v>0</v>
      </c>
      <c r="R473" s="2" t="inlineStr"/>
    </row>
    <row r="474" ht="15" customHeight="1">
      <c r="A474" t="inlineStr">
        <is>
          <t>A 23278-2021</t>
        </is>
      </c>
      <c r="B474" s="1" t="n">
        <v>44328</v>
      </c>
      <c r="C474" s="1" t="n">
        <v>45990</v>
      </c>
      <c r="D474" t="inlineStr">
        <is>
          <t>VÄSTERBOTTENS LÄN</t>
        </is>
      </c>
      <c r="E474" t="inlineStr">
        <is>
          <t>VILHELMINA</t>
        </is>
      </c>
      <c r="F474" t="inlineStr">
        <is>
          <t>Allmännings- och besparingsskogar</t>
        </is>
      </c>
      <c r="G474" t="n">
        <v>13.6</v>
      </c>
      <c r="H474" t="n">
        <v>0</v>
      </c>
      <c r="I474" t="n">
        <v>0</v>
      </c>
      <c r="J474" t="n">
        <v>0</v>
      </c>
      <c r="K474" t="n">
        <v>0</v>
      </c>
      <c r="L474" t="n">
        <v>0</v>
      </c>
      <c r="M474" t="n">
        <v>0</v>
      </c>
      <c r="N474" t="n">
        <v>0</v>
      </c>
      <c r="O474" t="n">
        <v>0</v>
      </c>
      <c r="P474" t="n">
        <v>0</v>
      </c>
      <c r="Q474" t="n">
        <v>0</v>
      </c>
      <c r="R474" s="2" t="inlineStr"/>
    </row>
    <row r="475" ht="15" customHeight="1">
      <c r="A475" t="inlineStr">
        <is>
          <t>A 34542-2025</t>
        </is>
      </c>
      <c r="B475" s="1" t="n">
        <v>45847.53211805555</v>
      </c>
      <c r="C475" s="1" t="n">
        <v>45990</v>
      </c>
      <c r="D475" t="inlineStr">
        <is>
          <t>VÄSTERBOTTENS LÄN</t>
        </is>
      </c>
      <c r="E475" t="inlineStr">
        <is>
          <t>VILHELMINA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64421-2023</t>
        </is>
      </c>
      <c r="B476" s="1" t="n">
        <v>45280</v>
      </c>
      <c r="C476" s="1" t="n">
        <v>45990</v>
      </c>
      <c r="D476" t="inlineStr">
        <is>
          <t>VÄSTERBOTTENS LÄN</t>
        </is>
      </c>
      <c r="E476" t="inlineStr">
        <is>
          <t>VILHELMINA</t>
        </is>
      </c>
      <c r="G476" t="n">
        <v>4.9</v>
      </c>
      <c r="H476" t="n">
        <v>0</v>
      </c>
      <c r="I476" t="n">
        <v>0</v>
      </c>
      <c r="J476" t="n">
        <v>0</v>
      </c>
      <c r="K476" t="n">
        <v>0</v>
      </c>
      <c r="L476" t="n">
        <v>0</v>
      </c>
      <c r="M476" t="n">
        <v>0</v>
      </c>
      <c r="N476" t="n">
        <v>0</v>
      </c>
      <c r="O476" t="n">
        <v>0</v>
      </c>
      <c r="P476" t="n">
        <v>0</v>
      </c>
      <c r="Q476" t="n">
        <v>0</v>
      </c>
      <c r="R476" s="2" t="inlineStr"/>
    </row>
    <row r="477" ht="15" customHeight="1">
      <c r="A477" t="inlineStr">
        <is>
          <t>A 53606-2024</t>
        </is>
      </c>
      <c r="B477" s="1" t="n">
        <v>45614</v>
      </c>
      <c r="C477" s="1" t="n">
        <v>45990</v>
      </c>
      <c r="D477" t="inlineStr">
        <is>
          <t>VÄSTERBOTTENS LÄN</t>
        </is>
      </c>
      <c r="E477" t="inlineStr">
        <is>
          <t>VILHELMINA</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54804-2024</t>
        </is>
      </c>
      <c r="B478" s="1" t="n">
        <v>45618</v>
      </c>
      <c r="C478" s="1" t="n">
        <v>45990</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30681-2024</t>
        </is>
      </c>
      <c r="B479" s="1" t="n">
        <v>45495.9509837963</v>
      </c>
      <c r="C479" s="1" t="n">
        <v>45990</v>
      </c>
      <c r="D479" t="inlineStr">
        <is>
          <t>VÄSTERBOTTENS LÄN</t>
        </is>
      </c>
      <c r="E479" t="inlineStr">
        <is>
          <t>VILHELMINA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35230-2025</t>
        </is>
      </c>
      <c r="B480" s="1" t="n">
        <v>45853.59447916667</v>
      </c>
      <c r="C480" s="1" t="n">
        <v>45990</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35231-2025</t>
        </is>
      </c>
      <c r="B481" s="1" t="n">
        <v>45853.59453703704</v>
      </c>
      <c r="C481" s="1" t="n">
        <v>45990</v>
      </c>
      <c r="D481" t="inlineStr">
        <is>
          <t>VÄSTERBOTTENS LÄN</t>
        </is>
      </c>
      <c r="E481" t="inlineStr">
        <is>
          <t>VILHELMINA</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53034-2023</t>
        </is>
      </c>
      <c r="B482" s="1" t="n">
        <v>45226.96258101852</v>
      </c>
      <c r="C482" s="1" t="n">
        <v>45990</v>
      </c>
      <c r="D482" t="inlineStr">
        <is>
          <t>VÄSTERBOTTENS LÄN</t>
        </is>
      </c>
      <c r="E482" t="inlineStr">
        <is>
          <t>VILHELMINA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45990</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48756-2021</t>
        </is>
      </c>
      <c r="B484" s="1" t="n">
        <v>44452</v>
      </c>
      <c r="C484" s="1" t="n">
        <v>45990</v>
      </c>
      <c r="D484" t="inlineStr">
        <is>
          <t>VÄSTERBOTTENS LÄN</t>
        </is>
      </c>
      <c r="E484" t="inlineStr">
        <is>
          <t>VILHELMINA</t>
        </is>
      </c>
      <c r="G484" t="n">
        <v>13.3</v>
      </c>
      <c r="H484" t="n">
        <v>0</v>
      </c>
      <c r="I484" t="n">
        <v>0</v>
      </c>
      <c r="J484" t="n">
        <v>0</v>
      </c>
      <c r="K484" t="n">
        <v>0</v>
      </c>
      <c r="L484" t="n">
        <v>0</v>
      </c>
      <c r="M484" t="n">
        <v>0</v>
      </c>
      <c r="N484" t="n">
        <v>0</v>
      </c>
      <c r="O484" t="n">
        <v>0</v>
      </c>
      <c r="P484" t="n">
        <v>0</v>
      </c>
      <c r="Q484" t="n">
        <v>0</v>
      </c>
      <c r="R484" s="2" t="inlineStr"/>
    </row>
    <row r="485" ht="15" customHeight="1">
      <c r="A485" t="inlineStr">
        <is>
          <t>A 35285-2025</t>
        </is>
      </c>
      <c r="B485" s="1" t="n">
        <v>45854</v>
      </c>
      <c r="C485" s="1" t="n">
        <v>45990</v>
      </c>
      <c r="D485" t="inlineStr">
        <is>
          <t>VÄSTERBOTTENS LÄN</t>
        </is>
      </c>
      <c r="E485" t="inlineStr">
        <is>
          <t>VILHELMINA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35287-2025</t>
        </is>
      </c>
      <c r="B486" s="1" t="n">
        <v>45854.3653587963</v>
      </c>
      <c r="C486" s="1" t="n">
        <v>45990</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35288-2025</t>
        </is>
      </c>
      <c r="B487" s="1" t="n">
        <v>45854.36543981481</v>
      </c>
      <c r="C487" s="1" t="n">
        <v>45990</v>
      </c>
      <c r="D487" t="inlineStr">
        <is>
          <t>VÄSTERBOTTENS LÄN</t>
        </is>
      </c>
      <c r="E487" t="inlineStr">
        <is>
          <t>VILHELMINA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69621-2020</t>
        </is>
      </c>
      <c r="B488" s="1" t="n">
        <v>44195</v>
      </c>
      <c r="C488" s="1" t="n">
        <v>45990</v>
      </c>
      <c r="D488" t="inlineStr">
        <is>
          <t>VÄSTERBOTTENS LÄN</t>
        </is>
      </c>
      <c r="E488" t="inlineStr">
        <is>
          <t>VILHELMINA</t>
        </is>
      </c>
      <c r="G488" t="n">
        <v>2.9</v>
      </c>
      <c r="H488" t="n">
        <v>0</v>
      </c>
      <c r="I488" t="n">
        <v>0</v>
      </c>
      <c r="J488" t="n">
        <v>0</v>
      </c>
      <c r="K488" t="n">
        <v>0</v>
      </c>
      <c r="L488" t="n">
        <v>0</v>
      </c>
      <c r="M488" t="n">
        <v>0</v>
      </c>
      <c r="N488" t="n">
        <v>0</v>
      </c>
      <c r="O488" t="n">
        <v>0</v>
      </c>
      <c r="P488" t="n">
        <v>0</v>
      </c>
      <c r="Q488" t="n">
        <v>0</v>
      </c>
      <c r="R488" s="2" t="inlineStr"/>
    </row>
    <row r="489" ht="15" customHeight="1">
      <c r="A489" t="inlineStr">
        <is>
          <t>A 7102-2024</t>
        </is>
      </c>
      <c r="B489" s="1" t="n">
        <v>45343</v>
      </c>
      <c r="C489" s="1" t="n">
        <v>45990</v>
      </c>
      <c r="D489" t="inlineStr">
        <is>
          <t>VÄSTERBOTTENS LÄN</t>
        </is>
      </c>
      <c r="E489" t="inlineStr">
        <is>
          <t>VILHELMINA</t>
        </is>
      </c>
      <c r="G489" t="n">
        <v>3.2</v>
      </c>
      <c r="H489" t="n">
        <v>0</v>
      </c>
      <c r="I489" t="n">
        <v>0</v>
      </c>
      <c r="J489" t="n">
        <v>0</v>
      </c>
      <c r="K489" t="n">
        <v>0</v>
      </c>
      <c r="L489" t="n">
        <v>0</v>
      </c>
      <c r="M489" t="n">
        <v>0</v>
      </c>
      <c r="N489" t="n">
        <v>0</v>
      </c>
      <c r="O489" t="n">
        <v>0</v>
      </c>
      <c r="P489" t="n">
        <v>0</v>
      </c>
      <c r="Q489" t="n">
        <v>0</v>
      </c>
      <c r="R489" s="2" t="inlineStr"/>
    </row>
    <row r="490" ht="15" customHeight="1">
      <c r="A490" t="inlineStr">
        <is>
          <t>A 48423-2023</t>
        </is>
      </c>
      <c r="B490" s="1" t="n">
        <v>45205</v>
      </c>
      <c r="C490" s="1" t="n">
        <v>45990</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45027-2025</t>
        </is>
      </c>
      <c r="B491" s="1" t="n">
        <v>45918</v>
      </c>
      <c r="C491" s="1" t="n">
        <v>45990</v>
      </c>
      <c r="D491" t="inlineStr">
        <is>
          <t>VÄSTERBOTTENS LÄN</t>
        </is>
      </c>
      <c r="E491" t="inlineStr">
        <is>
          <t>VILHELMINA</t>
        </is>
      </c>
      <c r="G491" t="n">
        <v>14.3</v>
      </c>
      <c r="H491" t="n">
        <v>0</v>
      </c>
      <c r="I491" t="n">
        <v>0</v>
      </c>
      <c r="J491" t="n">
        <v>0</v>
      </c>
      <c r="K491" t="n">
        <v>0</v>
      </c>
      <c r="L491" t="n">
        <v>0</v>
      </c>
      <c r="M491" t="n">
        <v>0</v>
      </c>
      <c r="N491" t="n">
        <v>0</v>
      </c>
      <c r="O491" t="n">
        <v>0</v>
      </c>
      <c r="P491" t="n">
        <v>0</v>
      </c>
      <c r="Q491" t="n">
        <v>0</v>
      </c>
      <c r="R491" s="2" t="inlineStr"/>
    </row>
    <row r="492" ht="15" customHeight="1">
      <c r="A492" t="inlineStr">
        <is>
          <t>A 38297-2024</t>
        </is>
      </c>
      <c r="B492" s="1" t="n">
        <v>45545</v>
      </c>
      <c r="C492" s="1" t="n">
        <v>45990</v>
      </c>
      <c r="D492" t="inlineStr">
        <is>
          <t>VÄSTERBOTTENS LÄN</t>
        </is>
      </c>
      <c r="E492" t="inlineStr">
        <is>
          <t>VILHELMINA</t>
        </is>
      </c>
      <c r="G492" t="n">
        <v>139.8</v>
      </c>
      <c r="H492" t="n">
        <v>0</v>
      </c>
      <c r="I492" t="n">
        <v>0</v>
      </c>
      <c r="J492" t="n">
        <v>0</v>
      </c>
      <c r="K492" t="n">
        <v>0</v>
      </c>
      <c r="L492" t="n">
        <v>0</v>
      </c>
      <c r="M492" t="n">
        <v>0</v>
      </c>
      <c r="N492" t="n">
        <v>0</v>
      </c>
      <c r="O492" t="n">
        <v>0</v>
      </c>
      <c r="P492" t="n">
        <v>0</v>
      </c>
      <c r="Q492" t="n">
        <v>0</v>
      </c>
      <c r="R492" s="2" t="inlineStr"/>
    </row>
    <row r="493" ht="15" customHeight="1">
      <c r="A493" t="inlineStr">
        <is>
          <t>A 19223-2025</t>
        </is>
      </c>
      <c r="B493" s="1" t="n">
        <v>45769</v>
      </c>
      <c r="C493" s="1" t="n">
        <v>45990</v>
      </c>
      <c r="D493" t="inlineStr">
        <is>
          <t>VÄSTERBOTTENS LÄN</t>
        </is>
      </c>
      <c r="E493" t="inlineStr">
        <is>
          <t>VILHELMINA</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9534-2023</t>
        </is>
      </c>
      <c r="B494" s="1" t="n">
        <v>44981.72646990741</v>
      </c>
      <c r="C494" s="1" t="n">
        <v>45990</v>
      </c>
      <c r="D494" t="inlineStr">
        <is>
          <t>VÄSTERBOTTENS LÄN</t>
        </is>
      </c>
      <c r="E494" t="inlineStr">
        <is>
          <t>VILHELMINA</t>
        </is>
      </c>
      <c r="G494" t="n">
        <v>1.7</v>
      </c>
      <c r="H494" t="n">
        <v>0</v>
      </c>
      <c r="I494" t="n">
        <v>0</v>
      </c>
      <c r="J494" t="n">
        <v>0</v>
      </c>
      <c r="K494" t="n">
        <v>0</v>
      </c>
      <c r="L494" t="n">
        <v>0</v>
      </c>
      <c r="M494" t="n">
        <v>0</v>
      </c>
      <c r="N494" t="n">
        <v>0</v>
      </c>
      <c r="O494" t="n">
        <v>0</v>
      </c>
      <c r="P494" t="n">
        <v>0</v>
      </c>
      <c r="Q494" t="n">
        <v>0</v>
      </c>
      <c r="R494" s="2" t="inlineStr"/>
    </row>
    <row r="495" ht="15" customHeight="1">
      <c r="A495" t="inlineStr">
        <is>
          <t>A 40781-2023</t>
        </is>
      </c>
      <c r="B495" s="1" t="n">
        <v>45170.95747685185</v>
      </c>
      <c r="C495" s="1" t="n">
        <v>45990</v>
      </c>
      <c r="D495" t="inlineStr">
        <is>
          <t>VÄSTERBOTTENS LÄN</t>
        </is>
      </c>
      <c r="E495" t="inlineStr">
        <is>
          <t>VILHELMINA</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20653-2021</t>
        </is>
      </c>
      <c r="B496" s="1" t="n">
        <v>44316.41677083333</v>
      </c>
      <c r="C496" s="1" t="n">
        <v>45990</v>
      </c>
      <c r="D496" t="inlineStr">
        <is>
          <t>VÄSTERBOTTENS LÄN</t>
        </is>
      </c>
      <c r="E496" t="inlineStr">
        <is>
          <t>VILHELMINA</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35886-2025</t>
        </is>
      </c>
      <c r="B497" s="1" t="n">
        <v>45862</v>
      </c>
      <c r="C497" s="1" t="n">
        <v>45990</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35888-2025</t>
        </is>
      </c>
      <c r="B498" s="1" t="n">
        <v>45862.44034722223</v>
      </c>
      <c r="C498" s="1" t="n">
        <v>45990</v>
      </c>
      <c r="D498" t="inlineStr">
        <is>
          <t>VÄSTERBOTTENS LÄN</t>
        </is>
      </c>
      <c r="E498" t="inlineStr">
        <is>
          <t>VILHELMINA</t>
        </is>
      </c>
      <c r="G498" t="n">
        <v>2.4</v>
      </c>
      <c r="H498" t="n">
        <v>0</v>
      </c>
      <c r="I498" t="n">
        <v>0</v>
      </c>
      <c r="J498" t="n">
        <v>0</v>
      </c>
      <c r="K498" t="n">
        <v>0</v>
      </c>
      <c r="L498" t="n">
        <v>0</v>
      </c>
      <c r="M498" t="n">
        <v>0</v>
      </c>
      <c r="N498" t="n">
        <v>0</v>
      </c>
      <c r="O498" t="n">
        <v>0</v>
      </c>
      <c r="P498" t="n">
        <v>0</v>
      </c>
      <c r="Q498" t="n">
        <v>0</v>
      </c>
      <c r="R498" s="2" t="inlineStr"/>
    </row>
    <row r="499" ht="15" customHeight="1">
      <c r="A499" t="inlineStr">
        <is>
          <t>A 13200-2025</t>
        </is>
      </c>
      <c r="B499" s="1" t="n">
        <v>45735</v>
      </c>
      <c r="C499" s="1" t="n">
        <v>45990</v>
      </c>
      <c r="D499" t="inlineStr">
        <is>
          <t>VÄSTERBOTTENS LÄN</t>
        </is>
      </c>
      <c r="E499" t="inlineStr">
        <is>
          <t>VILHELMINA</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35753-2023</t>
        </is>
      </c>
      <c r="B500" s="1" t="n">
        <v>45147.95390046296</v>
      </c>
      <c r="C500" s="1" t="n">
        <v>45990</v>
      </c>
      <c r="D500" t="inlineStr">
        <is>
          <t>VÄSTERBOTTENS LÄN</t>
        </is>
      </c>
      <c r="E500" t="inlineStr">
        <is>
          <t>VILHELMINA</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45749-2025</t>
        </is>
      </c>
      <c r="B501" s="1" t="n">
        <v>45923.48195601852</v>
      </c>
      <c r="C501" s="1" t="n">
        <v>45990</v>
      </c>
      <c r="D501" t="inlineStr">
        <is>
          <t>VÄSTERBOTTENS LÄN</t>
        </is>
      </c>
      <c r="E501" t="inlineStr">
        <is>
          <t>VILHELMINA</t>
        </is>
      </c>
      <c r="F501" t="inlineStr">
        <is>
          <t>Sveaskog</t>
        </is>
      </c>
      <c r="G501" t="n">
        <v>2.4</v>
      </c>
      <c r="H501" t="n">
        <v>0</v>
      </c>
      <c r="I501" t="n">
        <v>0</v>
      </c>
      <c r="J501" t="n">
        <v>0</v>
      </c>
      <c r="K501" t="n">
        <v>0</v>
      </c>
      <c r="L501" t="n">
        <v>0</v>
      </c>
      <c r="M501" t="n">
        <v>0</v>
      </c>
      <c r="N501" t="n">
        <v>0</v>
      </c>
      <c r="O501" t="n">
        <v>0</v>
      </c>
      <c r="P501" t="n">
        <v>0</v>
      </c>
      <c r="Q501" t="n">
        <v>0</v>
      </c>
      <c r="R501" s="2" t="inlineStr"/>
    </row>
    <row r="502" ht="15" customHeight="1">
      <c r="A502" t="inlineStr">
        <is>
          <t>A 50505-2023</t>
        </is>
      </c>
      <c r="B502" s="1" t="n">
        <v>45216.95800925926</v>
      </c>
      <c r="C502" s="1" t="n">
        <v>45990</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29463-2024</t>
        </is>
      </c>
      <c r="B503" s="1" t="n">
        <v>45483.96994212963</v>
      </c>
      <c r="C503" s="1" t="n">
        <v>45990</v>
      </c>
      <c r="D503" t="inlineStr">
        <is>
          <t>VÄSTERBOTTENS LÄN</t>
        </is>
      </c>
      <c r="E503" t="inlineStr">
        <is>
          <t>VILHELMINA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72153-2021</t>
        </is>
      </c>
      <c r="B504" s="1" t="n">
        <v>44543</v>
      </c>
      <c r="C504" s="1" t="n">
        <v>45990</v>
      </c>
      <c r="D504" t="inlineStr">
        <is>
          <t>VÄSTERBOTTENS LÄN</t>
        </is>
      </c>
      <c r="E504" t="inlineStr">
        <is>
          <t>VILHELMINA</t>
        </is>
      </c>
      <c r="G504" t="n">
        <v>6.7</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45990</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45435-2025</t>
        </is>
      </c>
      <c r="B506" s="1" t="n">
        <v>45922.46759259259</v>
      </c>
      <c r="C506" s="1" t="n">
        <v>45990</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5955-2023</t>
        </is>
      </c>
      <c r="B507" s="1" t="n">
        <v>44963.93989583333</v>
      </c>
      <c r="C507" s="1" t="n">
        <v>45990</v>
      </c>
      <c r="D507" t="inlineStr">
        <is>
          <t>VÄSTERBOTTENS LÄN</t>
        </is>
      </c>
      <c r="E507" t="inlineStr">
        <is>
          <t>VILHELMINA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60842-2023</t>
        </is>
      </c>
      <c r="B508" s="1" t="n">
        <v>45260.9258912037</v>
      </c>
      <c r="C508" s="1" t="n">
        <v>45990</v>
      </c>
      <c r="D508" t="inlineStr">
        <is>
          <t>VÄSTERBOTTENS LÄN</t>
        </is>
      </c>
      <c r="E508" t="inlineStr">
        <is>
          <t>VILHELMINA</t>
        </is>
      </c>
      <c r="G508" t="n">
        <v>2.9</v>
      </c>
      <c r="H508" t="n">
        <v>0</v>
      </c>
      <c r="I508" t="n">
        <v>0</v>
      </c>
      <c r="J508" t="n">
        <v>0</v>
      </c>
      <c r="K508" t="n">
        <v>0</v>
      </c>
      <c r="L508" t="n">
        <v>0</v>
      </c>
      <c r="M508" t="n">
        <v>0</v>
      </c>
      <c r="N508" t="n">
        <v>0</v>
      </c>
      <c r="O508" t="n">
        <v>0</v>
      </c>
      <c r="P508" t="n">
        <v>0</v>
      </c>
      <c r="Q508" t="n">
        <v>0</v>
      </c>
      <c r="R508" s="2" t="inlineStr"/>
    </row>
    <row r="509" ht="15" customHeight="1">
      <c r="A509" t="inlineStr">
        <is>
          <t>A 56624-2024</t>
        </is>
      </c>
      <c r="B509" s="1" t="n">
        <v>45625</v>
      </c>
      <c r="C509" s="1" t="n">
        <v>45990</v>
      </c>
      <c r="D509" t="inlineStr">
        <is>
          <t>VÄSTERBOTTENS LÄN</t>
        </is>
      </c>
      <c r="E509" t="inlineStr">
        <is>
          <t>VILHELMINA</t>
        </is>
      </c>
      <c r="F509" t="inlineStr">
        <is>
          <t>Allmännings- och besparingsskogar</t>
        </is>
      </c>
      <c r="G509" t="n">
        <v>17.8</v>
      </c>
      <c r="H509" t="n">
        <v>0</v>
      </c>
      <c r="I509" t="n">
        <v>0</v>
      </c>
      <c r="J509" t="n">
        <v>0</v>
      </c>
      <c r="K509" t="n">
        <v>0</v>
      </c>
      <c r="L509" t="n">
        <v>0</v>
      </c>
      <c r="M509" t="n">
        <v>0</v>
      </c>
      <c r="N509" t="n">
        <v>0</v>
      </c>
      <c r="O509" t="n">
        <v>0</v>
      </c>
      <c r="P509" t="n">
        <v>0</v>
      </c>
      <c r="Q509" t="n">
        <v>0</v>
      </c>
      <c r="R509" s="2" t="inlineStr"/>
    </row>
    <row r="510" ht="15" customHeight="1">
      <c r="A510" t="inlineStr">
        <is>
          <t>A 43817-2025</t>
        </is>
      </c>
      <c r="B510" s="1" t="n">
        <v>45912</v>
      </c>
      <c r="C510" s="1" t="n">
        <v>45990</v>
      </c>
      <c r="D510" t="inlineStr">
        <is>
          <t>VÄSTERBOTTENS LÄN</t>
        </is>
      </c>
      <c r="E510" t="inlineStr">
        <is>
          <t>VILHELMINA</t>
        </is>
      </c>
      <c r="G510" t="n">
        <v>23.1</v>
      </c>
      <c r="H510" t="n">
        <v>0</v>
      </c>
      <c r="I510" t="n">
        <v>0</v>
      </c>
      <c r="J510" t="n">
        <v>0</v>
      </c>
      <c r="K510" t="n">
        <v>0</v>
      </c>
      <c r="L510" t="n">
        <v>0</v>
      </c>
      <c r="M510" t="n">
        <v>0</v>
      </c>
      <c r="N510" t="n">
        <v>0</v>
      </c>
      <c r="O510" t="n">
        <v>0</v>
      </c>
      <c r="P510" t="n">
        <v>0</v>
      </c>
      <c r="Q510" t="n">
        <v>0</v>
      </c>
      <c r="R510" s="2" t="inlineStr"/>
    </row>
    <row r="511" ht="15" customHeight="1">
      <c r="A511" t="inlineStr">
        <is>
          <t>A 36669-2025</t>
        </is>
      </c>
      <c r="B511" s="1" t="n">
        <v>45873</v>
      </c>
      <c r="C511" s="1" t="n">
        <v>45990</v>
      </c>
      <c r="D511" t="inlineStr">
        <is>
          <t>VÄSTERBOTTENS LÄN</t>
        </is>
      </c>
      <c r="E511" t="inlineStr">
        <is>
          <t>VILHELMINA</t>
        </is>
      </c>
      <c r="G511" t="n">
        <v>12.5</v>
      </c>
      <c r="H511" t="n">
        <v>0</v>
      </c>
      <c r="I511" t="n">
        <v>0</v>
      </c>
      <c r="J511" t="n">
        <v>0</v>
      </c>
      <c r="K511" t="n">
        <v>0</v>
      </c>
      <c r="L511" t="n">
        <v>0</v>
      </c>
      <c r="M511" t="n">
        <v>0</v>
      </c>
      <c r="N511" t="n">
        <v>0</v>
      </c>
      <c r="O511" t="n">
        <v>0</v>
      </c>
      <c r="P511" t="n">
        <v>0</v>
      </c>
      <c r="Q511" t="n">
        <v>0</v>
      </c>
      <c r="R511" s="2" t="inlineStr"/>
    </row>
    <row r="512" ht="15" customHeight="1">
      <c r="A512" t="inlineStr">
        <is>
          <t>A 48068-2022</t>
        </is>
      </c>
      <c r="B512" s="1" t="n">
        <v>44855</v>
      </c>
      <c r="C512" s="1" t="n">
        <v>45990</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33349-2023</t>
        </is>
      </c>
      <c r="B513" s="1" t="n">
        <v>45117</v>
      </c>
      <c r="C513" s="1" t="n">
        <v>45990</v>
      </c>
      <c r="D513" t="inlineStr">
        <is>
          <t>VÄSTERBOTTENS LÄN</t>
        </is>
      </c>
      <c r="E513" t="inlineStr">
        <is>
          <t>VILHELMINA</t>
        </is>
      </c>
      <c r="G513" t="n">
        <v>1.3</v>
      </c>
      <c r="H513" t="n">
        <v>0</v>
      </c>
      <c r="I513" t="n">
        <v>0</v>
      </c>
      <c r="J513" t="n">
        <v>0</v>
      </c>
      <c r="K513" t="n">
        <v>0</v>
      </c>
      <c r="L513" t="n">
        <v>0</v>
      </c>
      <c r="M513" t="n">
        <v>0</v>
      </c>
      <c r="N513" t="n">
        <v>0</v>
      </c>
      <c r="O513" t="n">
        <v>0</v>
      </c>
      <c r="P513" t="n">
        <v>0</v>
      </c>
      <c r="Q513" t="n">
        <v>0</v>
      </c>
      <c r="R513" s="2" t="inlineStr"/>
    </row>
    <row r="514" ht="15" customHeight="1">
      <c r="A514" t="inlineStr">
        <is>
          <t>A 45271-2025</t>
        </is>
      </c>
      <c r="B514" s="1" t="n">
        <v>45919</v>
      </c>
      <c r="C514" s="1" t="n">
        <v>45990</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36569-2025</t>
        </is>
      </c>
      <c r="B515" s="1" t="n">
        <v>45870</v>
      </c>
      <c r="C515" s="1" t="n">
        <v>45990</v>
      </c>
      <c r="D515" t="inlineStr">
        <is>
          <t>VÄSTERBOTTENS LÄN</t>
        </is>
      </c>
      <c r="E515" t="inlineStr">
        <is>
          <t>VILHELMINA</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58833-2023</t>
        </is>
      </c>
      <c r="B516" s="1" t="n">
        <v>45248</v>
      </c>
      <c r="C516" s="1" t="n">
        <v>45990</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19465-2025</t>
        </is>
      </c>
      <c r="B517" s="1" t="n">
        <v>45770</v>
      </c>
      <c r="C517" s="1" t="n">
        <v>45990</v>
      </c>
      <c r="D517" t="inlineStr">
        <is>
          <t>VÄSTERBOTTENS LÄN</t>
        </is>
      </c>
      <c r="E517" t="inlineStr">
        <is>
          <t>VILHELMINA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54955-2025</t>
        </is>
      </c>
      <c r="B518" s="1" t="n">
        <v>45967</v>
      </c>
      <c r="C518" s="1" t="n">
        <v>45990</v>
      </c>
      <c r="D518" t="inlineStr">
        <is>
          <t>VÄSTERBOTTENS LÄN</t>
        </is>
      </c>
      <c r="E518" t="inlineStr">
        <is>
          <t>VILHELMINA</t>
        </is>
      </c>
      <c r="G518" t="n">
        <v>15.6</v>
      </c>
      <c r="H518" t="n">
        <v>0</v>
      </c>
      <c r="I518" t="n">
        <v>0</v>
      </c>
      <c r="J518" t="n">
        <v>0</v>
      </c>
      <c r="K518" t="n">
        <v>0</v>
      </c>
      <c r="L518" t="n">
        <v>0</v>
      </c>
      <c r="M518" t="n">
        <v>0</v>
      </c>
      <c r="N518" t="n">
        <v>0</v>
      </c>
      <c r="O518" t="n">
        <v>0</v>
      </c>
      <c r="P518" t="n">
        <v>0</v>
      </c>
      <c r="Q518" t="n">
        <v>0</v>
      </c>
      <c r="R518" s="2" t="inlineStr"/>
    </row>
    <row r="519" ht="15" customHeight="1">
      <c r="A519" t="inlineStr">
        <is>
          <t>A 54920-2025</t>
        </is>
      </c>
      <c r="B519" s="1" t="n">
        <v>45967.38887731481</v>
      </c>
      <c r="C519" s="1" t="n">
        <v>45990</v>
      </c>
      <c r="D519" t="inlineStr">
        <is>
          <t>VÄSTERBOTTENS LÄN</t>
        </is>
      </c>
      <c r="E519" t="inlineStr">
        <is>
          <t>VILHELMINA</t>
        </is>
      </c>
      <c r="G519" t="n">
        <v>28.1</v>
      </c>
      <c r="H519" t="n">
        <v>0</v>
      </c>
      <c r="I519" t="n">
        <v>0</v>
      </c>
      <c r="J519" t="n">
        <v>0</v>
      </c>
      <c r="K519" t="n">
        <v>0</v>
      </c>
      <c r="L519" t="n">
        <v>0</v>
      </c>
      <c r="M519" t="n">
        <v>0</v>
      </c>
      <c r="N519" t="n">
        <v>0</v>
      </c>
      <c r="O519" t="n">
        <v>0</v>
      </c>
      <c r="P519" t="n">
        <v>0</v>
      </c>
      <c r="Q519" t="n">
        <v>0</v>
      </c>
      <c r="R519" s="2" t="inlineStr"/>
    </row>
    <row r="520" ht="15" customHeight="1">
      <c r="A520" t="inlineStr">
        <is>
          <t>A 58749-2023</t>
        </is>
      </c>
      <c r="B520" s="1" t="n">
        <v>45251.92947916667</v>
      </c>
      <c r="C520" s="1" t="n">
        <v>45990</v>
      </c>
      <c r="D520" t="inlineStr">
        <is>
          <t>VÄSTERBOTTENS LÄN</t>
        </is>
      </c>
      <c r="E520" t="inlineStr">
        <is>
          <t>VILHELMINA</t>
        </is>
      </c>
      <c r="G520" t="n">
        <v>2.8</v>
      </c>
      <c r="H520" t="n">
        <v>0</v>
      </c>
      <c r="I520" t="n">
        <v>0</v>
      </c>
      <c r="J520" t="n">
        <v>0</v>
      </c>
      <c r="K520" t="n">
        <v>0</v>
      </c>
      <c r="L520" t="n">
        <v>0</v>
      </c>
      <c r="M520" t="n">
        <v>0</v>
      </c>
      <c r="N520" t="n">
        <v>0</v>
      </c>
      <c r="O520" t="n">
        <v>0</v>
      </c>
      <c r="P520" t="n">
        <v>0</v>
      </c>
      <c r="Q520" t="n">
        <v>0</v>
      </c>
      <c r="R520" s="2" t="inlineStr"/>
    </row>
    <row r="521" ht="15" customHeight="1">
      <c r="A521" t="inlineStr">
        <is>
          <t>A 36973-2025</t>
        </is>
      </c>
      <c r="B521" s="1" t="n">
        <v>45874.63747685185</v>
      </c>
      <c r="C521" s="1" t="n">
        <v>45990</v>
      </c>
      <c r="D521" t="inlineStr">
        <is>
          <t>VÄSTERBOTTENS LÄN</t>
        </is>
      </c>
      <c r="E521" t="inlineStr">
        <is>
          <t>VILHELMINA</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37015-2025</t>
        </is>
      </c>
      <c r="B522" s="1" t="n">
        <v>45874.71912037037</v>
      </c>
      <c r="C522" s="1" t="n">
        <v>45990</v>
      </c>
      <c r="D522" t="inlineStr">
        <is>
          <t>VÄSTERBOTTENS LÄN</t>
        </is>
      </c>
      <c r="E522" t="inlineStr">
        <is>
          <t>VILHELMINA</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45990</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37302-2025</t>
        </is>
      </c>
      <c r="B524" s="1" t="n">
        <v>45876</v>
      </c>
      <c r="C524" s="1" t="n">
        <v>45990</v>
      </c>
      <c r="D524" t="inlineStr">
        <is>
          <t>VÄSTERBOTTENS LÄN</t>
        </is>
      </c>
      <c r="E524" t="inlineStr">
        <is>
          <t>VILHELMINA</t>
        </is>
      </c>
      <c r="F524" t="inlineStr">
        <is>
          <t>SCA</t>
        </is>
      </c>
      <c r="G524" t="n">
        <v>7.6</v>
      </c>
      <c r="H524" t="n">
        <v>0</v>
      </c>
      <c r="I524" t="n">
        <v>0</v>
      </c>
      <c r="J524" t="n">
        <v>0</v>
      </c>
      <c r="K524" t="n">
        <v>0</v>
      </c>
      <c r="L524" t="n">
        <v>0</v>
      </c>
      <c r="M524" t="n">
        <v>0</v>
      </c>
      <c r="N524" t="n">
        <v>0</v>
      </c>
      <c r="O524" t="n">
        <v>0</v>
      </c>
      <c r="P524" t="n">
        <v>0</v>
      </c>
      <c r="Q524" t="n">
        <v>0</v>
      </c>
      <c r="R524" s="2" t="inlineStr"/>
    </row>
    <row r="525" ht="15" customHeight="1">
      <c r="A525" t="inlineStr">
        <is>
          <t>A 37368-2025</t>
        </is>
      </c>
      <c r="B525" s="1" t="n">
        <v>45877.34436342592</v>
      </c>
      <c r="C525" s="1" t="n">
        <v>45990</v>
      </c>
      <c r="D525" t="inlineStr">
        <is>
          <t>VÄSTERBOTTENS LÄN</t>
        </is>
      </c>
      <c r="E525" t="inlineStr">
        <is>
          <t>VILHELMINA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37369-2025</t>
        </is>
      </c>
      <c r="B526" s="1" t="n">
        <v>45877.34444444445</v>
      </c>
      <c r="C526" s="1" t="n">
        <v>45990</v>
      </c>
      <c r="D526" t="inlineStr">
        <is>
          <t>VÄSTERBOTTENS LÄN</t>
        </is>
      </c>
      <c r="E526" t="inlineStr">
        <is>
          <t>VILHELMINA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37269-2025</t>
        </is>
      </c>
      <c r="B527" s="1" t="n">
        <v>45876</v>
      </c>
      <c r="C527" s="1" t="n">
        <v>45990</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54738-2025</t>
        </is>
      </c>
      <c r="B528" s="1" t="n">
        <v>45966</v>
      </c>
      <c r="C528" s="1" t="n">
        <v>45990</v>
      </c>
      <c r="D528" t="inlineStr">
        <is>
          <t>VÄSTERBOTTENS LÄN</t>
        </is>
      </c>
      <c r="E528" t="inlineStr">
        <is>
          <t>VILHELMINA</t>
        </is>
      </c>
      <c r="G528" t="n">
        <v>6.6</v>
      </c>
      <c r="H528" t="n">
        <v>0</v>
      </c>
      <c r="I528" t="n">
        <v>0</v>
      </c>
      <c r="J528" t="n">
        <v>0</v>
      </c>
      <c r="K528" t="n">
        <v>0</v>
      </c>
      <c r="L528" t="n">
        <v>0</v>
      </c>
      <c r="M528" t="n">
        <v>0</v>
      </c>
      <c r="N528" t="n">
        <v>0</v>
      </c>
      <c r="O528" t="n">
        <v>0</v>
      </c>
      <c r="P528" t="n">
        <v>0</v>
      </c>
      <c r="Q528" t="n">
        <v>0</v>
      </c>
      <c r="R528" s="2" t="inlineStr"/>
    </row>
    <row r="529" ht="15" customHeight="1">
      <c r="A529" t="inlineStr">
        <is>
          <t>A 55095-2025</t>
        </is>
      </c>
      <c r="B529" s="1" t="n">
        <v>45968.34498842592</v>
      </c>
      <c r="C529" s="1" t="n">
        <v>45990</v>
      </c>
      <c r="D529" t="inlineStr">
        <is>
          <t>VÄSTERBOTTENS LÄN</t>
        </is>
      </c>
      <c r="E529" t="inlineStr">
        <is>
          <t>VILHELMINA</t>
        </is>
      </c>
      <c r="F529" t="inlineStr">
        <is>
          <t>SCA</t>
        </is>
      </c>
      <c r="G529" t="n">
        <v>8</v>
      </c>
      <c r="H529" t="n">
        <v>0</v>
      </c>
      <c r="I529" t="n">
        <v>0</v>
      </c>
      <c r="J529" t="n">
        <v>0</v>
      </c>
      <c r="K529" t="n">
        <v>0</v>
      </c>
      <c r="L529" t="n">
        <v>0</v>
      </c>
      <c r="M529" t="n">
        <v>0</v>
      </c>
      <c r="N529" t="n">
        <v>0</v>
      </c>
      <c r="O529" t="n">
        <v>0</v>
      </c>
      <c r="P529" t="n">
        <v>0</v>
      </c>
      <c r="Q529" t="n">
        <v>0</v>
      </c>
      <c r="R529" s="2" t="inlineStr"/>
    </row>
    <row r="530" ht="15" customHeight="1">
      <c r="A530" t="inlineStr">
        <is>
          <t>A 37376-2025</t>
        </is>
      </c>
      <c r="B530" s="1" t="n">
        <v>45877.36513888889</v>
      </c>
      <c r="C530" s="1" t="n">
        <v>45990</v>
      </c>
      <c r="D530" t="inlineStr">
        <is>
          <t>VÄSTERBOTTENS LÄN</t>
        </is>
      </c>
      <c r="E530" t="inlineStr">
        <is>
          <t>VILHELMINA</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72057-2021</t>
        </is>
      </c>
      <c r="B531" s="1" t="n">
        <v>44540</v>
      </c>
      <c r="C531" s="1" t="n">
        <v>45990</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47035-2025</t>
        </is>
      </c>
      <c r="B532" s="1" t="n">
        <v>45929.59428240741</v>
      </c>
      <c r="C532" s="1" t="n">
        <v>45990</v>
      </c>
      <c r="D532" t="inlineStr">
        <is>
          <t>VÄSTERBOTTENS LÄN</t>
        </is>
      </c>
      <c r="E532" t="inlineStr">
        <is>
          <t>VILHELMINA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22108-2024</t>
        </is>
      </c>
      <c r="B533" s="1" t="n">
        <v>45443</v>
      </c>
      <c r="C533" s="1" t="n">
        <v>45990</v>
      </c>
      <c r="D533" t="inlineStr">
        <is>
          <t>VÄSTERBOTTENS LÄN</t>
        </is>
      </c>
      <c r="E533" t="inlineStr">
        <is>
          <t>VILHELMINA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38430-2025</t>
        </is>
      </c>
      <c r="B534" s="1" t="n">
        <v>45883.6364699074</v>
      </c>
      <c r="C534" s="1" t="n">
        <v>45990</v>
      </c>
      <c r="D534" t="inlineStr">
        <is>
          <t>VÄSTERBOTTENS LÄN</t>
        </is>
      </c>
      <c r="E534" t="inlineStr">
        <is>
          <t>VILHELMINA</t>
        </is>
      </c>
      <c r="G534" t="n">
        <v>36.7</v>
      </c>
      <c r="H534" t="n">
        <v>0</v>
      </c>
      <c r="I534" t="n">
        <v>0</v>
      </c>
      <c r="J534" t="n">
        <v>0</v>
      </c>
      <c r="K534" t="n">
        <v>0</v>
      </c>
      <c r="L534" t="n">
        <v>0</v>
      </c>
      <c r="M534" t="n">
        <v>0</v>
      </c>
      <c r="N534" t="n">
        <v>0</v>
      </c>
      <c r="O534" t="n">
        <v>0</v>
      </c>
      <c r="P534" t="n">
        <v>0</v>
      </c>
      <c r="Q534" t="n">
        <v>0</v>
      </c>
      <c r="R534" s="2" t="inlineStr"/>
    </row>
    <row r="535" ht="15" customHeight="1">
      <c r="A535" t="inlineStr">
        <is>
          <t>A 38454-2025</t>
        </is>
      </c>
      <c r="B535" s="1" t="n">
        <v>45883.67839120371</v>
      </c>
      <c r="C535" s="1" t="n">
        <v>45990</v>
      </c>
      <c r="D535" t="inlineStr">
        <is>
          <t>VÄSTERBOTTENS LÄN</t>
        </is>
      </c>
      <c r="E535" t="inlineStr">
        <is>
          <t>VILHELMINA</t>
        </is>
      </c>
      <c r="G535" t="n">
        <v>4.8</v>
      </c>
      <c r="H535" t="n">
        <v>0</v>
      </c>
      <c r="I535" t="n">
        <v>0</v>
      </c>
      <c r="J535" t="n">
        <v>0</v>
      </c>
      <c r="K535" t="n">
        <v>0</v>
      </c>
      <c r="L535" t="n">
        <v>0</v>
      </c>
      <c r="M535" t="n">
        <v>0</v>
      </c>
      <c r="N535" t="n">
        <v>0</v>
      </c>
      <c r="O535" t="n">
        <v>0</v>
      </c>
      <c r="P535" t="n">
        <v>0</v>
      </c>
      <c r="Q535" t="n">
        <v>0</v>
      </c>
      <c r="R535" s="2" t="inlineStr"/>
    </row>
    <row r="536" ht="15" customHeight="1">
      <c r="A536" t="inlineStr">
        <is>
          <t>A 34087-2023</t>
        </is>
      </c>
      <c r="B536" s="1" t="n">
        <v>45125</v>
      </c>
      <c r="C536" s="1" t="n">
        <v>45990</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46934-2025</t>
        </is>
      </c>
      <c r="B537" s="1" t="n">
        <v>45929</v>
      </c>
      <c r="C537" s="1" t="n">
        <v>45990</v>
      </c>
      <c r="D537" t="inlineStr">
        <is>
          <t>VÄSTERBOTTENS LÄN</t>
        </is>
      </c>
      <c r="E537" t="inlineStr">
        <is>
          <t>VILHELMINA</t>
        </is>
      </c>
      <c r="F537" t="inlineStr">
        <is>
          <t>SCA</t>
        </is>
      </c>
      <c r="G537" t="n">
        <v>20</v>
      </c>
      <c r="H537" t="n">
        <v>0</v>
      </c>
      <c r="I537" t="n">
        <v>0</v>
      </c>
      <c r="J537" t="n">
        <v>0</v>
      </c>
      <c r="K537" t="n">
        <v>0</v>
      </c>
      <c r="L537" t="n">
        <v>0</v>
      </c>
      <c r="M537" t="n">
        <v>0</v>
      </c>
      <c r="N537" t="n">
        <v>0</v>
      </c>
      <c r="O537" t="n">
        <v>0</v>
      </c>
      <c r="P537" t="n">
        <v>0</v>
      </c>
      <c r="Q537" t="n">
        <v>0</v>
      </c>
      <c r="R537" s="2" t="inlineStr"/>
    </row>
    <row r="538" ht="15" customHeight="1">
      <c r="A538" t="inlineStr">
        <is>
          <t>A 38363-2023</t>
        </is>
      </c>
      <c r="B538" s="1" t="n">
        <v>45161</v>
      </c>
      <c r="C538" s="1" t="n">
        <v>45990</v>
      </c>
      <c r="D538" t="inlineStr">
        <is>
          <t>VÄSTERBOTTENS LÄN</t>
        </is>
      </c>
      <c r="E538" t="inlineStr">
        <is>
          <t>VILHELMINA</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6665-2021</t>
        </is>
      </c>
      <c r="B539" s="1" t="n">
        <v>44235</v>
      </c>
      <c r="C539" s="1" t="n">
        <v>45990</v>
      </c>
      <c r="D539" t="inlineStr">
        <is>
          <t>VÄSTERBOTTENS LÄN</t>
        </is>
      </c>
      <c r="E539" t="inlineStr">
        <is>
          <t>VILHELMINA</t>
        </is>
      </c>
      <c r="G539" t="n">
        <v>20</v>
      </c>
      <c r="H539" t="n">
        <v>0</v>
      </c>
      <c r="I539" t="n">
        <v>0</v>
      </c>
      <c r="J539" t="n">
        <v>0</v>
      </c>
      <c r="K539" t="n">
        <v>0</v>
      </c>
      <c r="L539" t="n">
        <v>0</v>
      </c>
      <c r="M539" t="n">
        <v>0</v>
      </c>
      <c r="N539" t="n">
        <v>0</v>
      </c>
      <c r="O539" t="n">
        <v>0</v>
      </c>
      <c r="P539" t="n">
        <v>0</v>
      </c>
      <c r="Q539" t="n">
        <v>0</v>
      </c>
      <c r="R539" s="2" t="inlineStr"/>
    </row>
    <row r="540" ht="15" customHeight="1">
      <c r="A540" t="inlineStr">
        <is>
          <t>A 16608-2024</t>
        </is>
      </c>
      <c r="B540" s="1" t="n">
        <v>45408</v>
      </c>
      <c r="C540" s="1" t="n">
        <v>45990</v>
      </c>
      <c r="D540" t="inlineStr">
        <is>
          <t>VÄSTERBOTTENS LÄN</t>
        </is>
      </c>
      <c r="E540" t="inlineStr">
        <is>
          <t>VILHELMINA</t>
        </is>
      </c>
      <c r="G540" t="n">
        <v>17.5</v>
      </c>
      <c r="H540" t="n">
        <v>0</v>
      </c>
      <c r="I540" t="n">
        <v>0</v>
      </c>
      <c r="J540" t="n">
        <v>0</v>
      </c>
      <c r="K540" t="n">
        <v>0</v>
      </c>
      <c r="L540" t="n">
        <v>0</v>
      </c>
      <c r="M540" t="n">
        <v>0</v>
      </c>
      <c r="N540" t="n">
        <v>0</v>
      </c>
      <c r="O540" t="n">
        <v>0</v>
      </c>
      <c r="P540" t="n">
        <v>0</v>
      </c>
      <c r="Q540" t="n">
        <v>0</v>
      </c>
      <c r="R540" s="2" t="inlineStr"/>
    </row>
    <row r="541" ht="15" customHeight="1">
      <c r="A541" t="inlineStr">
        <is>
          <t>A 45258-2024</t>
        </is>
      </c>
      <c r="B541" s="1" t="n">
        <v>45576.34444444445</v>
      </c>
      <c r="C541" s="1" t="n">
        <v>45990</v>
      </c>
      <c r="D541" t="inlineStr">
        <is>
          <t>VÄSTERBOTTENS LÄN</t>
        </is>
      </c>
      <c r="E541" t="inlineStr">
        <is>
          <t>VILHELMINA</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38427-2025</t>
        </is>
      </c>
      <c r="B542" s="1" t="n">
        <v>45883.63611111111</v>
      </c>
      <c r="C542" s="1" t="n">
        <v>45990</v>
      </c>
      <c r="D542" t="inlineStr">
        <is>
          <t>VÄSTERBOTTENS LÄN</t>
        </is>
      </c>
      <c r="E542" t="inlineStr">
        <is>
          <t>VILHELMINA</t>
        </is>
      </c>
      <c r="F542" t="inlineStr">
        <is>
          <t>SCA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38387-2025</t>
        </is>
      </c>
      <c r="B543" s="1" t="n">
        <v>45883.57451388889</v>
      </c>
      <c r="C543" s="1" t="n">
        <v>45990</v>
      </c>
      <c r="D543" t="inlineStr">
        <is>
          <t>VÄSTERBOTTENS LÄN</t>
        </is>
      </c>
      <c r="E543" t="inlineStr">
        <is>
          <t>VILHELMINA</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38360-2025</t>
        </is>
      </c>
      <c r="B544" s="1" t="n">
        <v>45883.53290509259</v>
      </c>
      <c r="C544" s="1" t="n">
        <v>45990</v>
      </c>
      <c r="D544" t="inlineStr">
        <is>
          <t>VÄSTERBOTTENS LÄN</t>
        </is>
      </c>
      <c r="E544" t="inlineStr">
        <is>
          <t>VILHELMINA</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21726-2021</t>
        </is>
      </c>
      <c r="B545" s="1" t="n">
        <v>44322</v>
      </c>
      <c r="C545" s="1" t="n">
        <v>45990</v>
      </c>
      <c r="D545" t="inlineStr">
        <is>
          <t>VÄSTERBOTTENS LÄN</t>
        </is>
      </c>
      <c r="E545" t="inlineStr">
        <is>
          <t>VILHELMINA</t>
        </is>
      </c>
      <c r="G545" t="n">
        <v>19.6</v>
      </c>
      <c r="H545" t="n">
        <v>0</v>
      </c>
      <c r="I545" t="n">
        <v>0</v>
      </c>
      <c r="J545" t="n">
        <v>0</v>
      </c>
      <c r="K545" t="n">
        <v>0</v>
      </c>
      <c r="L545" t="n">
        <v>0</v>
      </c>
      <c r="M545" t="n">
        <v>0</v>
      </c>
      <c r="N545" t="n">
        <v>0</v>
      </c>
      <c r="O545" t="n">
        <v>0</v>
      </c>
      <c r="P545" t="n">
        <v>0</v>
      </c>
      <c r="Q545" t="n">
        <v>0</v>
      </c>
      <c r="R545" s="2" t="inlineStr"/>
    </row>
    <row r="546" ht="15" customHeight="1">
      <c r="A546" t="inlineStr">
        <is>
          <t>A 38384-2025</t>
        </is>
      </c>
      <c r="B546" s="1" t="n">
        <v>45883</v>
      </c>
      <c r="C546" s="1" t="n">
        <v>45990</v>
      </c>
      <c r="D546" t="inlineStr">
        <is>
          <t>VÄSTERBOTTENS LÄN</t>
        </is>
      </c>
      <c r="E546" t="inlineStr">
        <is>
          <t>VILHELMINA</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38409-2025</t>
        </is>
      </c>
      <c r="B547" s="1" t="n">
        <v>45883.59429398148</v>
      </c>
      <c r="C547" s="1" t="n">
        <v>45990</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55456-2025</t>
        </is>
      </c>
      <c r="B548" s="1" t="n">
        <v>45971.51086805556</v>
      </c>
      <c r="C548" s="1" t="n">
        <v>45990</v>
      </c>
      <c r="D548" t="inlineStr">
        <is>
          <t>VÄSTERBOTTENS LÄN</t>
        </is>
      </c>
      <c r="E548" t="inlineStr">
        <is>
          <t>VILHELMINA</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55092-2025</t>
        </is>
      </c>
      <c r="B549" s="1" t="n">
        <v>45968.34462962963</v>
      </c>
      <c r="C549" s="1" t="n">
        <v>45990</v>
      </c>
      <c r="D549" t="inlineStr">
        <is>
          <t>VÄSTERBOTTENS LÄN</t>
        </is>
      </c>
      <c r="E549" t="inlineStr">
        <is>
          <t>VILHELMINA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38242-2025</t>
        </is>
      </c>
      <c r="B550" s="1" t="n">
        <v>45883.36547453704</v>
      </c>
      <c r="C550" s="1" t="n">
        <v>45990</v>
      </c>
      <c r="D550" t="inlineStr">
        <is>
          <t>VÄSTERBOTTENS LÄN</t>
        </is>
      </c>
      <c r="E550" t="inlineStr">
        <is>
          <t>VILHELMINA</t>
        </is>
      </c>
      <c r="G550" t="n">
        <v>1.4</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45990</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38356-2025</t>
        </is>
      </c>
      <c r="B552" s="1" t="n">
        <v>45883.53247685185</v>
      </c>
      <c r="C552" s="1" t="n">
        <v>45990</v>
      </c>
      <c r="D552" t="inlineStr">
        <is>
          <t>VÄSTERBOTTENS LÄN</t>
        </is>
      </c>
      <c r="E552" t="inlineStr">
        <is>
          <t>VILHELMINA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46970-2025</t>
        </is>
      </c>
      <c r="B553" s="1" t="n">
        <v>45929.50732638889</v>
      </c>
      <c r="C553" s="1" t="n">
        <v>45990</v>
      </c>
      <c r="D553" t="inlineStr">
        <is>
          <t>VÄSTERBOTTENS LÄN</t>
        </is>
      </c>
      <c r="E553" t="inlineStr">
        <is>
          <t>VILHELMINA</t>
        </is>
      </c>
      <c r="G553" t="n">
        <v>6.4</v>
      </c>
      <c r="H553" t="n">
        <v>0</v>
      </c>
      <c r="I553" t="n">
        <v>0</v>
      </c>
      <c r="J553" t="n">
        <v>0</v>
      </c>
      <c r="K553" t="n">
        <v>0</v>
      </c>
      <c r="L553" t="n">
        <v>0</v>
      </c>
      <c r="M553" t="n">
        <v>0</v>
      </c>
      <c r="N553" t="n">
        <v>0</v>
      </c>
      <c r="O553" t="n">
        <v>0</v>
      </c>
      <c r="P553" t="n">
        <v>0</v>
      </c>
      <c r="Q553" t="n">
        <v>0</v>
      </c>
      <c r="R553" s="2" t="inlineStr"/>
    </row>
    <row r="554" ht="15" customHeight="1">
      <c r="A554" t="inlineStr">
        <is>
          <t>A 38429-2025</t>
        </is>
      </c>
      <c r="B554" s="1" t="n">
        <v>45883.63638888889</v>
      </c>
      <c r="C554" s="1" t="n">
        <v>45990</v>
      </c>
      <c r="D554" t="inlineStr">
        <is>
          <t>VÄSTERBOTTENS LÄN</t>
        </is>
      </c>
      <c r="E554" t="inlineStr">
        <is>
          <t>VILHELMINA</t>
        </is>
      </c>
      <c r="G554" t="n">
        <v>5.5</v>
      </c>
      <c r="H554" t="n">
        <v>0</v>
      </c>
      <c r="I554" t="n">
        <v>0</v>
      </c>
      <c r="J554" t="n">
        <v>0</v>
      </c>
      <c r="K554" t="n">
        <v>0</v>
      </c>
      <c r="L554" t="n">
        <v>0</v>
      </c>
      <c r="M554" t="n">
        <v>0</v>
      </c>
      <c r="N554" t="n">
        <v>0</v>
      </c>
      <c r="O554" t="n">
        <v>0</v>
      </c>
      <c r="P554" t="n">
        <v>0</v>
      </c>
      <c r="Q554" t="n">
        <v>0</v>
      </c>
      <c r="R554" s="2" t="inlineStr"/>
    </row>
    <row r="555" ht="15" customHeight="1">
      <c r="A555" t="inlineStr">
        <is>
          <t>A 5435-2024</t>
        </is>
      </c>
      <c r="B555" s="1" t="n">
        <v>45331</v>
      </c>
      <c r="C555" s="1" t="n">
        <v>45990</v>
      </c>
      <c r="D555" t="inlineStr">
        <is>
          <t>VÄSTERBOTTENS LÄN</t>
        </is>
      </c>
      <c r="E555" t="inlineStr">
        <is>
          <t>VILHELMINA</t>
        </is>
      </c>
      <c r="G555" t="n">
        <v>6</v>
      </c>
      <c r="H555" t="n">
        <v>0</v>
      </c>
      <c r="I555" t="n">
        <v>0</v>
      </c>
      <c r="J555" t="n">
        <v>0</v>
      </c>
      <c r="K555" t="n">
        <v>0</v>
      </c>
      <c r="L555" t="n">
        <v>0</v>
      </c>
      <c r="M555" t="n">
        <v>0</v>
      </c>
      <c r="N555" t="n">
        <v>0</v>
      </c>
      <c r="O555" t="n">
        <v>0</v>
      </c>
      <c r="P555" t="n">
        <v>0</v>
      </c>
      <c r="Q555" t="n">
        <v>0</v>
      </c>
      <c r="R555" s="2" t="inlineStr"/>
    </row>
    <row r="556" ht="15" customHeight="1">
      <c r="A556" t="inlineStr">
        <is>
          <t>A 38355-2025</t>
        </is>
      </c>
      <c r="B556" s="1" t="n">
        <v>45883.53228009259</v>
      </c>
      <c r="C556" s="1" t="n">
        <v>45990</v>
      </c>
      <c r="D556" t="inlineStr">
        <is>
          <t>VÄSTERBOTTENS LÄN</t>
        </is>
      </c>
      <c r="E556" t="inlineStr">
        <is>
          <t>VILHELMINA</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38357-2025</t>
        </is>
      </c>
      <c r="B557" s="1" t="n">
        <v>45883.53263888889</v>
      </c>
      <c r="C557" s="1" t="n">
        <v>45990</v>
      </c>
      <c r="D557" t="inlineStr">
        <is>
          <t>VÄSTERBOTTENS LÄN</t>
        </is>
      </c>
      <c r="E557" t="inlineStr">
        <is>
          <t>VILHELMINA</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38211-2025</t>
        </is>
      </c>
      <c r="B558" s="1" t="n">
        <v>45882.93524305556</v>
      </c>
      <c r="C558" s="1" t="n">
        <v>45990</v>
      </c>
      <c r="D558" t="inlineStr">
        <is>
          <t>VÄSTERBOTTENS LÄN</t>
        </is>
      </c>
      <c r="E558" t="inlineStr">
        <is>
          <t>VILHELMINA</t>
        </is>
      </c>
      <c r="G558" t="n">
        <v>13.8</v>
      </c>
      <c r="H558" t="n">
        <v>0</v>
      </c>
      <c r="I558" t="n">
        <v>0</v>
      </c>
      <c r="J558" t="n">
        <v>0</v>
      </c>
      <c r="K558" t="n">
        <v>0</v>
      </c>
      <c r="L558" t="n">
        <v>0</v>
      </c>
      <c r="M558" t="n">
        <v>0</v>
      </c>
      <c r="N558" t="n">
        <v>0</v>
      </c>
      <c r="O558" t="n">
        <v>0</v>
      </c>
      <c r="P558" t="n">
        <v>0</v>
      </c>
      <c r="Q558" t="n">
        <v>0</v>
      </c>
      <c r="R558" s="2" t="inlineStr"/>
    </row>
    <row r="559" ht="15" customHeight="1">
      <c r="A559" t="inlineStr">
        <is>
          <t>A 38212-2025</t>
        </is>
      </c>
      <c r="B559" s="1" t="n">
        <v>45882.95137731481</v>
      </c>
      <c r="C559" s="1" t="n">
        <v>45990</v>
      </c>
      <c r="D559" t="inlineStr">
        <is>
          <t>VÄSTERBOTTENS LÄN</t>
        </is>
      </c>
      <c r="E559" t="inlineStr">
        <is>
          <t>VILHELMINA</t>
        </is>
      </c>
      <c r="G559" t="n">
        <v>11.7</v>
      </c>
      <c r="H559" t="n">
        <v>0</v>
      </c>
      <c r="I559" t="n">
        <v>0</v>
      </c>
      <c r="J559" t="n">
        <v>0</v>
      </c>
      <c r="K559" t="n">
        <v>0</v>
      </c>
      <c r="L559" t="n">
        <v>0</v>
      </c>
      <c r="M559" t="n">
        <v>0</v>
      </c>
      <c r="N559" t="n">
        <v>0</v>
      </c>
      <c r="O559" t="n">
        <v>0</v>
      </c>
      <c r="P559" t="n">
        <v>0</v>
      </c>
      <c r="Q559" t="n">
        <v>0</v>
      </c>
      <c r="R559" s="2" t="inlineStr"/>
    </row>
    <row r="560" ht="15" customHeight="1">
      <c r="A560" t="inlineStr">
        <is>
          <t>A 40726-2024</t>
        </is>
      </c>
      <c r="B560" s="1" t="n">
        <v>45558</v>
      </c>
      <c r="C560" s="1" t="n">
        <v>45990</v>
      </c>
      <c r="D560" t="inlineStr">
        <is>
          <t>VÄSTERBOTTENS LÄN</t>
        </is>
      </c>
      <c r="E560" t="inlineStr">
        <is>
          <t>VILHELMINA</t>
        </is>
      </c>
      <c r="F560" t="inlineStr">
        <is>
          <t>Allmännings- och besparingsskogar</t>
        </is>
      </c>
      <c r="G560" t="n">
        <v>73.59999999999999</v>
      </c>
      <c r="H560" t="n">
        <v>0</v>
      </c>
      <c r="I560" t="n">
        <v>0</v>
      </c>
      <c r="J560" t="n">
        <v>0</v>
      </c>
      <c r="K560" t="n">
        <v>0</v>
      </c>
      <c r="L560" t="n">
        <v>0</v>
      </c>
      <c r="M560" t="n">
        <v>0</v>
      </c>
      <c r="N560" t="n">
        <v>0</v>
      </c>
      <c r="O560" t="n">
        <v>0</v>
      </c>
      <c r="P560" t="n">
        <v>0</v>
      </c>
      <c r="Q560" t="n">
        <v>0</v>
      </c>
      <c r="R560" s="2" t="inlineStr"/>
    </row>
    <row r="561" ht="15" customHeight="1">
      <c r="A561" t="inlineStr">
        <is>
          <t>A 17432-2025</t>
        </is>
      </c>
      <c r="B561" s="1" t="n">
        <v>45757</v>
      </c>
      <c r="C561" s="1" t="n">
        <v>45990</v>
      </c>
      <c r="D561" t="inlineStr">
        <is>
          <t>VÄSTERBOTTENS LÄN</t>
        </is>
      </c>
      <c r="E561" t="inlineStr">
        <is>
          <t>VILHELMINA</t>
        </is>
      </c>
      <c r="G561" t="n">
        <v>4.6</v>
      </c>
      <c r="H561" t="n">
        <v>0</v>
      </c>
      <c r="I561" t="n">
        <v>0</v>
      </c>
      <c r="J561" t="n">
        <v>0</v>
      </c>
      <c r="K561" t="n">
        <v>0</v>
      </c>
      <c r="L561" t="n">
        <v>0</v>
      </c>
      <c r="M561" t="n">
        <v>0</v>
      </c>
      <c r="N561" t="n">
        <v>0</v>
      </c>
      <c r="O561" t="n">
        <v>0</v>
      </c>
      <c r="P561" t="n">
        <v>0</v>
      </c>
      <c r="Q561" t="n">
        <v>0</v>
      </c>
      <c r="R561" s="2" t="inlineStr"/>
    </row>
    <row r="562" ht="15" customHeight="1">
      <c r="A562" t="inlineStr">
        <is>
          <t>A 58505-2024</t>
        </is>
      </c>
      <c r="B562" s="1" t="n">
        <v>45635</v>
      </c>
      <c r="C562" s="1" t="n">
        <v>45990</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48483-2023</t>
        </is>
      </c>
      <c r="B563" s="1" t="n">
        <v>45206.95854166667</v>
      </c>
      <c r="C563" s="1" t="n">
        <v>45990</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37717-2024</t>
        </is>
      </c>
      <c r="B564" s="1" t="n">
        <v>45541</v>
      </c>
      <c r="C564" s="1" t="n">
        <v>45990</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6638-2025</t>
        </is>
      </c>
      <c r="B565" s="1" t="n">
        <v>45700</v>
      </c>
      <c r="C565" s="1" t="n">
        <v>45990</v>
      </c>
      <c r="D565" t="inlineStr">
        <is>
          <t>VÄSTERBOTTENS LÄN</t>
        </is>
      </c>
      <c r="E565" t="inlineStr">
        <is>
          <t>VILHELMINA</t>
        </is>
      </c>
      <c r="G565" t="n">
        <v>21.5</v>
      </c>
      <c r="H565" t="n">
        <v>0</v>
      </c>
      <c r="I565" t="n">
        <v>0</v>
      </c>
      <c r="J565" t="n">
        <v>0</v>
      </c>
      <c r="K565" t="n">
        <v>0</v>
      </c>
      <c r="L565" t="n">
        <v>0</v>
      </c>
      <c r="M565" t="n">
        <v>0</v>
      </c>
      <c r="N565" t="n">
        <v>0</v>
      </c>
      <c r="O565" t="n">
        <v>0</v>
      </c>
      <c r="P565" t="n">
        <v>0</v>
      </c>
      <c r="Q565" t="n">
        <v>0</v>
      </c>
      <c r="R565" s="2" t="inlineStr"/>
    </row>
    <row r="566" ht="15" customHeight="1">
      <c r="A566" t="inlineStr">
        <is>
          <t>A 58934-2024</t>
        </is>
      </c>
      <c r="B566" s="1" t="n">
        <v>45636</v>
      </c>
      <c r="C566" s="1" t="n">
        <v>45990</v>
      </c>
      <c r="D566" t="inlineStr">
        <is>
          <t>VÄSTERBOTTENS LÄN</t>
        </is>
      </c>
      <c r="E566" t="inlineStr">
        <is>
          <t>VILHELMINA</t>
        </is>
      </c>
      <c r="F566" t="inlineStr">
        <is>
          <t>Allmännings- och besparingsskogar</t>
        </is>
      </c>
      <c r="G566" t="n">
        <v>45.6</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45990</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6669-2021</t>
        </is>
      </c>
      <c r="B568" s="1" t="n">
        <v>44235</v>
      </c>
      <c r="C568" s="1" t="n">
        <v>45990</v>
      </c>
      <c r="D568" t="inlineStr">
        <is>
          <t>VÄSTERBOTTENS LÄN</t>
        </is>
      </c>
      <c r="E568" t="inlineStr">
        <is>
          <t>VILHELMINA</t>
        </is>
      </c>
      <c r="G568" t="n">
        <v>19.8</v>
      </c>
      <c r="H568" t="n">
        <v>0</v>
      </c>
      <c r="I568" t="n">
        <v>0</v>
      </c>
      <c r="J568" t="n">
        <v>0</v>
      </c>
      <c r="K568" t="n">
        <v>0</v>
      </c>
      <c r="L568" t="n">
        <v>0</v>
      </c>
      <c r="M568" t="n">
        <v>0</v>
      </c>
      <c r="N568" t="n">
        <v>0</v>
      </c>
      <c r="O568" t="n">
        <v>0</v>
      </c>
      <c r="P568" t="n">
        <v>0</v>
      </c>
      <c r="Q568" t="n">
        <v>0</v>
      </c>
      <c r="R568" s="2" t="inlineStr"/>
    </row>
    <row r="569" ht="15" customHeight="1">
      <c r="A569" t="inlineStr">
        <is>
          <t>A 6706-2021</t>
        </is>
      </c>
      <c r="B569" s="1" t="n">
        <v>44235</v>
      </c>
      <c r="C569" s="1" t="n">
        <v>45990</v>
      </c>
      <c r="D569" t="inlineStr">
        <is>
          <t>VÄSTERBOTTENS LÄN</t>
        </is>
      </c>
      <c r="E569" t="inlineStr">
        <is>
          <t>VILHELMINA</t>
        </is>
      </c>
      <c r="G569" t="n">
        <v>3.8</v>
      </c>
      <c r="H569" t="n">
        <v>0</v>
      </c>
      <c r="I569" t="n">
        <v>0</v>
      </c>
      <c r="J569" t="n">
        <v>0</v>
      </c>
      <c r="K569" t="n">
        <v>0</v>
      </c>
      <c r="L569" t="n">
        <v>0</v>
      </c>
      <c r="M569" t="n">
        <v>0</v>
      </c>
      <c r="N569" t="n">
        <v>0</v>
      </c>
      <c r="O569" t="n">
        <v>0</v>
      </c>
      <c r="P569" t="n">
        <v>0</v>
      </c>
      <c r="Q569" t="n">
        <v>0</v>
      </c>
      <c r="R569" s="2" t="inlineStr"/>
    </row>
    <row r="570" ht="15" customHeight="1">
      <c r="A570" t="inlineStr">
        <is>
          <t>A 58377-2021</t>
        </is>
      </c>
      <c r="B570" s="1" t="n">
        <v>44488</v>
      </c>
      <c r="C570" s="1" t="n">
        <v>45990</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51947-2025</t>
        </is>
      </c>
      <c r="B571" s="1" t="n">
        <v>45952</v>
      </c>
      <c r="C571" s="1" t="n">
        <v>45990</v>
      </c>
      <c r="D571" t="inlineStr">
        <is>
          <t>VÄSTERBOTTENS LÄN</t>
        </is>
      </c>
      <c r="E571" t="inlineStr">
        <is>
          <t>VILHELMINA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475-2024</t>
        </is>
      </c>
      <c r="B572" s="1" t="n">
        <v>45297.83246527778</v>
      </c>
      <c r="C572" s="1" t="n">
        <v>45990</v>
      </c>
      <c r="D572" t="inlineStr">
        <is>
          <t>VÄSTERBOTTENS LÄN</t>
        </is>
      </c>
      <c r="E572" t="inlineStr">
        <is>
          <t>VILHELMINA</t>
        </is>
      </c>
      <c r="G572" t="n">
        <v>6.1</v>
      </c>
      <c r="H572" t="n">
        <v>0</v>
      </c>
      <c r="I572" t="n">
        <v>0</v>
      </c>
      <c r="J572" t="n">
        <v>0</v>
      </c>
      <c r="K572" t="n">
        <v>0</v>
      </c>
      <c r="L572" t="n">
        <v>0</v>
      </c>
      <c r="M572" t="n">
        <v>0</v>
      </c>
      <c r="N572" t="n">
        <v>0</v>
      </c>
      <c r="O572" t="n">
        <v>0</v>
      </c>
      <c r="P572" t="n">
        <v>0</v>
      </c>
      <c r="Q572" t="n">
        <v>0</v>
      </c>
      <c r="R572" s="2" t="inlineStr"/>
    </row>
    <row r="573" ht="15" customHeight="1">
      <c r="A573" t="inlineStr">
        <is>
          <t>A 14254-2025</t>
        </is>
      </c>
      <c r="B573" s="1" t="n">
        <v>45740.61644675926</v>
      </c>
      <c r="C573" s="1" t="n">
        <v>45990</v>
      </c>
      <c r="D573" t="inlineStr">
        <is>
          <t>VÄSTERBOTTENS LÄN</t>
        </is>
      </c>
      <c r="E573" t="inlineStr">
        <is>
          <t>VILHELMINA</t>
        </is>
      </c>
      <c r="G573" t="n">
        <v>2</v>
      </c>
      <c r="H573" t="n">
        <v>0</v>
      </c>
      <c r="I573" t="n">
        <v>0</v>
      </c>
      <c r="J573" t="n">
        <v>0</v>
      </c>
      <c r="K573" t="n">
        <v>0</v>
      </c>
      <c r="L573" t="n">
        <v>0</v>
      </c>
      <c r="M573" t="n">
        <v>0</v>
      </c>
      <c r="N573" t="n">
        <v>0</v>
      </c>
      <c r="O573" t="n">
        <v>0</v>
      </c>
      <c r="P573" t="n">
        <v>0</v>
      </c>
      <c r="Q573" t="n">
        <v>0</v>
      </c>
      <c r="R573" s="2" t="inlineStr"/>
    </row>
    <row r="574" ht="15" customHeight="1">
      <c r="A574" t="inlineStr">
        <is>
          <t>A 19909-2025</t>
        </is>
      </c>
      <c r="B574" s="1" t="n">
        <v>45771.60482638889</v>
      </c>
      <c r="C574" s="1" t="n">
        <v>45990</v>
      </c>
      <c r="D574" t="inlineStr">
        <is>
          <t>VÄSTERBOTTENS LÄN</t>
        </is>
      </c>
      <c r="E574" t="inlineStr">
        <is>
          <t>VILHELMINA</t>
        </is>
      </c>
      <c r="G574" t="n">
        <v>12.4</v>
      </c>
      <c r="H574" t="n">
        <v>0</v>
      </c>
      <c r="I574" t="n">
        <v>0</v>
      </c>
      <c r="J574" t="n">
        <v>0</v>
      </c>
      <c r="K574" t="n">
        <v>0</v>
      </c>
      <c r="L574" t="n">
        <v>0</v>
      </c>
      <c r="M574" t="n">
        <v>0</v>
      </c>
      <c r="N574" t="n">
        <v>0</v>
      </c>
      <c r="O574" t="n">
        <v>0</v>
      </c>
      <c r="P574" t="n">
        <v>0</v>
      </c>
      <c r="Q574" t="n">
        <v>0</v>
      </c>
      <c r="R574" s="2" t="inlineStr"/>
    </row>
    <row r="575" ht="15" customHeight="1">
      <c r="A575" t="inlineStr">
        <is>
          <t>A 38540-2025</t>
        </is>
      </c>
      <c r="B575" s="1" t="n">
        <v>45884.42768518518</v>
      </c>
      <c r="C575" s="1" t="n">
        <v>45990</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32683-2024</t>
        </is>
      </c>
      <c r="B576" s="1" t="n">
        <v>45515</v>
      </c>
      <c r="C576" s="1" t="n">
        <v>45990</v>
      </c>
      <c r="D576" t="inlineStr">
        <is>
          <t>VÄSTERBOTTENS LÄN</t>
        </is>
      </c>
      <c r="E576" t="inlineStr">
        <is>
          <t>VILHELMINA</t>
        </is>
      </c>
      <c r="G576" t="n">
        <v>6.1</v>
      </c>
      <c r="H576" t="n">
        <v>0</v>
      </c>
      <c r="I576" t="n">
        <v>0</v>
      </c>
      <c r="J576" t="n">
        <v>0</v>
      </c>
      <c r="K576" t="n">
        <v>0</v>
      </c>
      <c r="L576" t="n">
        <v>0</v>
      </c>
      <c r="M576" t="n">
        <v>0</v>
      </c>
      <c r="N576" t="n">
        <v>0</v>
      </c>
      <c r="O576" t="n">
        <v>0</v>
      </c>
      <c r="P576" t="n">
        <v>0</v>
      </c>
      <c r="Q576" t="n">
        <v>0</v>
      </c>
      <c r="R576" s="2" t="inlineStr"/>
    </row>
    <row r="577" ht="15" customHeight="1">
      <c r="A577" t="inlineStr">
        <is>
          <t>A 55742-2025</t>
        </is>
      </c>
      <c r="B577" s="1" t="n">
        <v>45972</v>
      </c>
      <c r="C577" s="1" t="n">
        <v>45990</v>
      </c>
      <c r="D577" t="inlineStr">
        <is>
          <t>VÄSTERBOTTENS LÄN</t>
        </is>
      </c>
      <c r="E577" t="inlineStr">
        <is>
          <t>VILHELMINA</t>
        </is>
      </c>
      <c r="G577" t="n">
        <v>36.2</v>
      </c>
      <c r="H577" t="n">
        <v>0</v>
      </c>
      <c r="I577" t="n">
        <v>0</v>
      </c>
      <c r="J577" t="n">
        <v>0</v>
      </c>
      <c r="K577" t="n">
        <v>0</v>
      </c>
      <c r="L577" t="n">
        <v>0</v>
      </c>
      <c r="M577" t="n">
        <v>0</v>
      </c>
      <c r="N577" t="n">
        <v>0</v>
      </c>
      <c r="O577" t="n">
        <v>0</v>
      </c>
      <c r="P577" t="n">
        <v>0</v>
      </c>
      <c r="Q577" t="n">
        <v>0</v>
      </c>
      <c r="R577" s="2" t="inlineStr"/>
    </row>
    <row r="578" ht="15" customHeight="1">
      <c r="A578" t="inlineStr">
        <is>
          <t>A 8916-2023</t>
        </is>
      </c>
      <c r="B578" s="1" t="n">
        <v>44972</v>
      </c>
      <c r="C578" s="1" t="n">
        <v>45990</v>
      </c>
      <c r="D578" t="inlineStr">
        <is>
          <t>VÄSTERBOTTENS LÄN</t>
        </is>
      </c>
      <c r="E578" t="inlineStr">
        <is>
          <t>VILHELMINA</t>
        </is>
      </c>
      <c r="F578" t="inlineStr">
        <is>
          <t>Allmännings- och besparingsskogar</t>
        </is>
      </c>
      <c r="G578" t="n">
        <v>22.1</v>
      </c>
      <c r="H578" t="n">
        <v>0</v>
      </c>
      <c r="I578" t="n">
        <v>0</v>
      </c>
      <c r="J578" t="n">
        <v>0</v>
      </c>
      <c r="K578" t="n">
        <v>0</v>
      </c>
      <c r="L578" t="n">
        <v>0</v>
      </c>
      <c r="M578" t="n">
        <v>0</v>
      </c>
      <c r="N578" t="n">
        <v>0</v>
      </c>
      <c r="O578" t="n">
        <v>0</v>
      </c>
      <c r="P578" t="n">
        <v>0</v>
      </c>
      <c r="Q578" t="n">
        <v>0</v>
      </c>
      <c r="R578" s="2" t="inlineStr"/>
    </row>
    <row r="579" ht="15" customHeight="1">
      <c r="A579" t="inlineStr">
        <is>
          <t>A 15805-2025</t>
        </is>
      </c>
      <c r="B579" s="1" t="n">
        <v>45748</v>
      </c>
      <c r="C579" s="1" t="n">
        <v>45990</v>
      </c>
      <c r="D579" t="inlineStr">
        <is>
          <t>VÄSTERBOTTENS LÄN</t>
        </is>
      </c>
      <c r="E579" t="inlineStr">
        <is>
          <t>VILHELMINA</t>
        </is>
      </c>
      <c r="G579" t="n">
        <v>1.4</v>
      </c>
      <c r="H579" t="n">
        <v>0</v>
      </c>
      <c r="I579" t="n">
        <v>0</v>
      </c>
      <c r="J579" t="n">
        <v>0</v>
      </c>
      <c r="K579" t="n">
        <v>0</v>
      </c>
      <c r="L579" t="n">
        <v>0</v>
      </c>
      <c r="M579" t="n">
        <v>0</v>
      </c>
      <c r="N579" t="n">
        <v>0</v>
      </c>
      <c r="O579" t="n">
        <v>0</v>
      </c>
      <c r="P579" t="n">
        <v>0</v>
      </c>
      <c r="Q579" t="n">
        <v>0</v>
      </c>
      <c r="R579" s="2" t="inlineStr"/>
    </row>
    <row r="580" ht="15" customHeight="1">
      <c r="A580" t="inlineStr">
        <is>
          <t>A 55634-2025</t>
        </is>
      </c>
      <c r="B580" s="1" t="n">
        <v>45972.34466435185</v>
      </c>
      <c r="C580" s="1" t="n">
        <v>45990</v>
      </c>
      <c r="D580" t="inlineStr">
        <is>
          <t>VÄSTERBOTTENS LÄN</t>
        </is>
      </c>
      <c r="E580" t="inlineStr">
        <is>
          <t>VILHELMINA</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38580-2025</t>
        </is>
      </c>
      <c r="B581" s="1" t="n">
        <v>45884.46951388889</v>
      </c>
      <c r="C581" s="1" t="n">
        <v>45990</v>
      </c>
      <c r="D581" t="inlineStr">
        <is>
          <t>VÄSTERBOTTENS LÄN</t>
        </is>
      </c>
      <c r="E581" t="inlineStr">
        <is>
          <t>VILHELMINA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22457-2025</t>
        </is>
      </c>
      <c r="B582" s="1" t="n">
        <v>45786</v>
      </c>
      <c r="C582" s="1" t="n">
        <v>45990</v>
      </c>
      <c r="D582" t="inlineStr">
        <is>
          <t>VÄSTERBOTTENS LÄN</t>
        </is>
      </c>
      <c r="E582" t="inlineStr">
        <is>
          <t>VILHELMINA</t>
        </is>
      </c>
      <c r="G582" t="n">
        <v>10.8</v>
      </c>
      <c r="H582" t="n">
        <v>0</v>
      </c>
      <c r="I582" t="n">
        <v>0</v>
      </c>
      <c r="J582" t="n">
        <v>0</v>
      </c>
      <c r="K582" t="n">
        <v>0</v>
      </c>
      <c r="L582" t="n">
        <v>0</v>
      </c>
      <c r="M582" t="n">
        <v>0</v>
      </c>
      <c r="N582" t="n">
        <v>0</v>
      </c>
      <c r="O582" t="n">
        <v>0</v>
      </c>
      <c r="P582" t="n">
        <v>0</v>
      </c>
      <c r="Q582" t="n">
        <v>0</v>
      </c>
      <c r="R582" s="2" t="inlineStr"/>
    </row>
    <row r="583" ht="15" customHeight="1">
      <c r="A583" t="inlineStr">
        <is>
          <t>A 2187-2021</t>
        </is>
      </c>
      <c r="B583" s="1" t="n">
        <v>44211</v>
      </c>
      <c r="C583" s="1" t="n">
        <v>45990</v>
      </c>
      <c r="D583" t="inlineStr">
        <is>
          <t>VÄSTERBOTTENS LÄN</t>
        </is>
      </c>
      <c r="E583" t="inlineStr">
        <is>
          <t>VILHELMINA</t>
        </is>
      </c>
      <c r="F583" t="inlineStr">
        <is>
          <t>Allmännings- och besparingsskogar</t>
        </is>
      </c>
      <c r="G583" t="n">
        <v>21.3</v>
      </c>
      <c r="H583" t="n">
        <v>0</v>
      </c>
      <c r="I583" t="n">
        <v>0</v>
      </c>
      <c r="J583" t="n">
        <v>0</v>
      </c>
      <c r="K583" t="n">
        <v>0</v>
      </c>
      <c r="L583" t="n">
        <v>0</v>
      </c>
      <c r="M583" t="n">
        <v>0</v>
      </c>
      <c r="N583" t="n">
        <v>0</v>
      </c>
      <c r="O583" t="n">
        <v>0</v>
      </c>
      <c r="P583" t="n">
        <v>0</v>
      </c>
      <c r="Q583" t="n">
        <v>0</v>
      </c>
      <c r="R583" s="2" t="inlineStr"/>
    </row>
    <row r="584" ht="15" customHeight="1">
      <c r="A584" t="inlineStr">
        <is>
          <t>A 44634-2024</t>
        </is>
      </c>
      <c r="B584" s="1" t="n">
        <v>45574</v>
      </c>
      <c r="C584" s="1" t="n">
        <v>45990</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20846-2025</t>
        </is>
      </c>
      <c r="B585" s="1" t="n">
        <v>45777</v>
      </c>
      <c r="C585" s="1" t="n">
        <v>45990</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52818-2025</t>
        </is>
      </c>
      <c r="B586" s="1" t="n">
        <v>45957</v>
      </c>
      <c r="C586" s="1" t="n">
        <v>45990</v>
      </c>
      <c r="D586" t="inlineStr">
        <is>
          <t>VÄSTERBOTTENS LÄN</t>
        </is>
      </c>
      <c r="E586" t="inlineStr">
        <is>
          <t>VILHELMINA</t>
        </is>
      </c>
      <c r="G586" t="n">
        <v>2.2</v>
      </c>
      <c r="H586" t="n">
        <v>0</v>
      </c>
      <c r="I586" t="n">
        <v>0</v>
      </c>
      <c r="J586" t="n">
        <v>0</v>
      </c>
      <c r="K586" t="n">
        <v>0</v>
      </c>
      <c r="L586" t="n">
        <v>0</v>
      </c>
      <c r="M586" t="n">
        <v>0</v>
      </c>
      <c r="N586" t="n">
        <v>0</v>
      </c>
      <c r="O586" t="n">
        <v>0</v>
      </c>
      <c r="P586" t="n">
        <v>0</v>
      </c>
      <c r="Q586" t="n">
        <v>0</v>
      </c>
      <c r="R586" s="2" t="inlineStr"/>
    </row>
    <row r="587" ht="15" customHeight="1">
      <c r="A587" t="inlineStr">
        <is>
          <t>A 52819-2025</t>
        </is>
      </c>
      <c r="B587" s="1" t="n">
        <v>45957</v>
      </c>
      <c r="C587" s="1" t="n">
        <v>45990</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45990</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45990</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61780-2023</t>
        </is>
      </c>
      <c r="B590" s="1" t="n">
        <v>45265.95685185185</v>
      </c>
      <c r="C590" s="1" t="n">
        <v>45990</v>
      </c>
      <c r="D590" t="inlineStr">
        <is>
          <t>VÄSTERBOTTENS LÄN</t>
        </is>
      </c>
      <c r="E590" t="inlineStr">
        <is>
          <t>VILHELMINA</t>
        </is>
      </c>
      <c r="F590" t="inlineStr">
        <is>
          <t>SCA</t>
        </is>
      </c>
      <c r="G590" t="n">
        <v>4.9</v>
      </c>
      <c r="H590" t="n">
        <v>0</v>
      </c>
      <c r="I590" t="n">
        <v>0</v>
      </c>
      <c r="J590" t="n">
        <v>0</v>
      </c>
      <c r="K590" t="n">
        <v>0</v>
      </c>
      <c r="L590" t="n">
        <v>0</v>
      </c>
      <c r="M590" t="n">
        <v>0</v>
      </c>
      <c r="N590" t="n">
        <v>0</v>
      </c>
      <c r="O590" t="n">
        <v>0</v>
      </c>
      <c r="P590" t="n">
        <v>0</v>
      </c>
      <c r="Q590" t="n">
        <v>0</v>
      </c>
      <c r="R590" s="2" t="inlineStr"/>
    </row>
    <row r="591" ht="15" customHeight="1">
      <c r="A591" t="inlineStr">
        <is>
          <t>A 31868-2024</t>
        </is>
      </c>
      <c r="B591" s="1" t="n">
        <v>45509</v>
      </c>
      <c r="C591" s="1" t="n">
        <v>45990</v>
      </c>
      <c r="D591" t="inlineStr">
        <is>
          <t>VÄSTERBOTTENS LÄN</t>
        </is>
      </c>
      <c r="E591" t="inlineStr">
        <is>
          <t>VILHELMINA</t>
        </is>
      </c>
      <c r="G591" t="n">
        <v>4.5</v>
      </c>
      <c r="H591" t="n">
        <v>0</v>
      </c>
      <c r="I591" t="n">
        <v>0</v>
      </c>
      <c r="J591" t="n">
        <v>0</v>
      </c>
      <c r="K591" t="n">
        <v>0</v>
      </c>
      <c r="L591" t="n">
        <v>0</v>
      </c>
      <c r="M591" t="n">
        <v>0</v>
      </c>
      <c r="N591" t="n">
        <v>0</v>
      </c>
      <c r="O591" t="n">
        <v>0</v>
      </c>
      <c r="P591" t="n">
        <v>0</v>
      </c>
      <c r="Q591" t="n">
        <v>0</v>
      </c>
      <c r="R591" s="2" t="inlineStr"/>
    </row>
    <row r="592" ht="15" customHeight="1">
      <c r="A592" t="inlineStr">
        <is>
          <t>A 52815-2025</t>
        </is>
      </c>
      <c r="B592" s="1" t="n">
        <v>45957</v>
      </c>
      <c r="C592" s="1" t="n">
        <v>45990</v>
      </c>
      <c r="D592" t="inlineStr">
        <is>
          <t>VÄSTERBOTTENS LÄN</t>
        </is>
      </c>
      <c r="E592" t="inlineStr">
        <is>
          <t>VILHELMINA</t>
        </is>
      </c>
      <c r="G592" t="n">
        <v>2.3</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45990</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52827-2025</t>
        </is>
      </c>
      <c r="B594" s="1" t="n">
        <v>45957</v>
      </c>
      <c r="C594" s="1" t="n">
        <v>45990</v>
      </c>
      <c r="D594" t="inlineStr">
        <is>
          <t>VÄSTERBOTTENS LÄN</t>
        </is>
      </c>
      <c r="E594" t="inlineStr">
        <is>
          <t>VILHELMINA</t>
        </is>
      </c>
      <c r="G594" t="n">
        <v>6.3</v>
      </c>
      <c r="H594" t="n">
        <v>0</v>
      </c>
      <c r="I594" t="n">
        <v>0</v>
      </c>
      <c r="J594" t="n">
        <v>0</v>
      </c>
      <c r="K594" t="n">
        <v>0</v>
      </c>
      <c r="L594" t="n">
        <v>0</v>
      </c>
      <c r="M594" t="n">
        <v>0</v>
      </c>
      <c r="N594" t="n">
        <v>0</v>
      </c>
      <c r="O594" t="n">
        <v>0</v>
      </c>
      <c r="P594" t="n">
        <v>0</v>
      </c>
      <c r="Q594" t="n">
        <v>0</v>
      </c>
      <c r="R594" s="2" t="inlineStr"/>
    </row>
    <row r="595" ht="15" customHeight="1">
      <c r="A595" t="inlineStr">
        <is>
          <t>A 52830-2025</t>
        </is>
      </c>
      <c r="B595" s="1" t="n">
        <v>45957</v>
      </c>
      <c r="C595" s="1" t="n">
        <v>45990</v>
      </c>
      <c r="D595" t="inlineStr">
        <is>
          <t>VÄSTERBOTTENS LÄN</t>
        </is>
      </c>
      <c r="E595" t="inlineStr">
        <is>
          <t>VILHELMINA</t>
        </is>
      </c>
      <c r="G595" t="n">
        <v>8.6</v>
      </c>
      <c r="H595" t="n">
        <v>0</v>
      </c>
      <c r="I595" t="n">
        <v>0</v>
      </c>
      <c r="J595" t="n">
        <v>0</v>
      </c>
      <c r="K595" t="n">
        <v>0</v>
      </c>
      <c r="L595" t="n">
        <v>0</v>
      </c>
      <c r="M595" t="n">
        <v>0</v>
      </c>
      <c r="N595" t="n">
        <v>0</v>
      </c>
      <c r="O595" t="n">
        <v>0</v>
      </c>
      <c r="P595" t="n">
        <v>0</v>
      </c>
      <c r="Q595" t="n">
        <v>0</v>
      </c>
      <c r="R595" s="2" t="inlineStr"/>
    </row>
    <row r="596" ht="15" customHeight="1">
      <c r="A596" t="inlineStr">
        <is>
          <t>A 52813-2025</t>
        </is>
      </c>
      <c r="B596" s="1" t="n">
        <v>45957</v>
      </c>
      <c r="C596" s="1" t="n">
        <v>45990</v>
      </c>
      <c r="D596" t="inlineStr">
        <is>
          <t>VÄSTERBOTTENS LÄN</t>
        </is>
      </c>
      <c r="E596" t="inlineStr">
        <is>
          <t>VILHELMINA</t>
        </is>
      </c>
      <c r="G596" t="n">
        <v>3.1</v>
      </c>
      <c r="H596" t="n">
        <v>0</v>
      </c>
      <c r="I596" t="n">
        <v>0</v>
      </c>
      <c r="J596" t="n">
        <v>0</v>
      </c>
      <c r="K596" t="n">
        <v>0</v>
      </c>
      <c r="L596" t="n">
        <v>0</v>
      </c>
      <c r="M596" t="n">
        <v>0</v>
      </c>
      <c r="N596" t="n">
        <v>0</v>
      </c>
      <c r="O596" t="n">
        <v>0</v>
      </c>
      <c r="P596" t="n">
        <v>0</v>
      </c>
      <c r="Q596" t="n">
        <v>0</v>
      </c>
      <c r="R596" s="2" t="inlineStr"/>
    </row>
    <row r="597" ht="15" customHeight="1">
      <c r="A597" t="inlineStr">
        <is>
          <t>A 52814-2025</t>
        </is>
      </c>
      <c r="B597" s="1" t="n">
        <v>45957</v>
      </c>
      <c r="C597" s="1" t="n">
        <v>45990</v>
      </c>
      <c r="D597" t="inlineStr">
        <is>
          <t>VÄSTERBOTTENS LÄN</t>
        </is>
      </c>
      <c r="E597" t="inlineStr">
        <is>
          <t>VILHELMINA</t>
        </is>
      </c>
      <c r="G597" t="n">
        <v>4.1</v>
      </c>
      <c r="H597" t="n">
        <v>0</v>
      </c>
      <c r="I597" t="n">
        <v>0</v>
      </c>
      <c r="J597" t="n">
        <v>0</v>
      </c>
      <c r="K597" t="n">
        <v>0</v>
      </c>
      <c r="L597" t="n">
        <v>0</v>
      </c>
      <c r="M597" t="n">
        <v>0</v>
      </c>
      <c r="N597" t="n">
        <v>0</v>
      </c>
      <c r="O597" t="n">
        <v>0</v>
      </c>
      <c r="P597" t="n">
        <v>0</v>
      </c>
      <c r="Q597" t="n">
        <v>0</v>
      </c>
      <c r="R597" s="2" t="inlineStr"/>
    </row>
    <row r="598" ht="15" customHeight="1">
      <c r="A598" t="inlineStr">
        <is>
          <t>A 52829-2025</t>
        </is>
      </c>
      <c r="B598" s="1" t="n">
        <v>45957</v>
      </c>
      <c r="C598" s="1" t="n">
        <v>45990</v>
      </c>
      <c r="D598" t="inlineStr">
        <is>
          <t>VÄSTERBOTTENS LÄN</t>
        </is>
      </c>
      <c r="E598" t="inlineStr">
        <is>
          <t>VILHELMINA</t>
        </is>
      </c>
      <c r="G598" t="n">
        <v>4.3</v>
      </c>
      <c r="H598" t="n">
        <v>0</v>
      </c>
      <c r="I598" t="n">
        <v>0</v>
      </c>
      <c r="J598" t="n">
        <v>0</v>
      </c>
      <c r="K598" t="n">
        <v>0</v>
      </c>
      <c r="L598" t="n">
        <v>0</v>
      </c>
      <c r="M598" t="n">
        <v>0</v>
      </c>
      <c r="N598" t="n">
        <v>0</v>
      </c>
      <c r="O598" t="n">
        <v>0</v>
      </c>
      <c r="P598" t="n">
        <v>0</v>
      </c>
      <c r="Q598" t="n">
        <v>0</v>
      </c>
      <c r="R598" s="2" t="inlineStr"/>
    </row>
    <row r="599" ht="15" customHeight="1">
      <c r="A599" t="inlineStr">
        <is>
          <t>A 52812-2025</t>
        </is>
      </c>
      <c r="B599" s="1" t="n">
        <v>45957</v>
      </c>
      <c r="C599" s="1" t="n">
        <v>45990</v>
      </c>
      <c r="D599" t="inlineStr">
        <is>
          <t>VÄSTERBOTTENS LÄN</t>
        </is>
      </c>
      <c r="E599" t="inlineStr">
        <is>
          <t>VILHELMINA</t>
        </is>
      </c>
      <c r="G599" t="n">
        <v>2.5</v>
      </c>
      <c r="H599" t="n">
        <v>0</v>
      </c>
      <c r="I599" t="n">
        <v>0</v>
      </c>
      <c r="J599" t="n">
        <v>0</v>
      </c>
      <c r="K599" t="n">
        <v>0</v>
      </c>
      <c r="L599" t="n">
        <v>0</v>
      </c>
      <c r="M599" t="n">
        <v>0</v>
      </c>
      <c r="N599" t="n">
        <v>0</v>
      </c>
      <c r="O599" t="n">
        <v>0</v>
      </c>
      <c r="P599" t="n">
        <v>0</v>
      </c>
      <c r="Q599" t="n">
        <v>0</v>
      </c>
      <c r="R599" s="2" t="inlineStr"/>
    </row>
    <row r="600" ht="15" customHeight="1">
      <c r="A600" t="inlineStr">
        <is>
          <t>A 59693-2024</t>
        </is>
      </c>
      <c r="B600" s="1" t="n">
        <v>45639</v>
      </c>
      <c r="C600" s="1" t="n">
        <v>45990</v>
      </c>
      <c r="D600" t="inlineStr">
        <is>
          <t>VÄSTERBOTTENS LÄN</t>
        </is>
      </c>
      <c r="E600" t="inlineStr">
        <is>
          <t>VILHELMINA</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20324-2025</t>
        </is>
      </c>
      <c r="B601" s="1" t="n">
        <v>45775</v>
      </c>
      <c r="C601" s="1" t="n">
        <v>45990</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45990</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56754-2023</t>
        </is>
      </c>
      <c r="B603" s="1" t="n">
        <v>45238</v>
      </c>
      <c r="C603" s="1" t="n">
        <v>45990</v>
      </c>
      <c r="D603" t="inlineStr">
        <is>
          <t>VÄSTERBOTTENS LÄN</t>
        </is>
      </c>
      <c r="E603" t="inlineStr">
        <is>
          <t>VILHELMINA</t>
        </is>
      </c>
      <c r="F603" t="inlineStr">
        <is>
          <t>Allmännings- och besparingsskogar</t>
        </is>
      </c>
      <c r="G603" t="n">
        <v>18</v>
      </c>
      <c r="H603" t="n">
        <v>0</v>
      </c>
      <c r="I603" t="n">
        <v>0</v>
      </c>
      <c r="J603" t="n">
        <v>0</v>
      </c>
      <c r="K603" t="n">
        <v>0</v>
      </c>
      <c r="L603" t="n">
        <v>0</v>
      </c>
      <c r="M603" t="n">
        <v>0</v>
      </c>
      <c r="N603" t="n">
        <v>0</v>
      </c>
      <c r="O603" t="n">
        <v>0</v>
      </c>
      <c r="P603" t="n">
        <v>0</v>
      </c>
      <c r="Q603" t="n">
        <v>0</v>
      </c>
      <c r="R603" s="2" t="inlineStr"/>
    </row>
    <row r="604" ht="15" customHeight="1">
      <c r="A604" t="inlineStr">
        <is>
          <t>A 31696-2024</t>
        </is>
      </c>
      <c r="B604" s="1" t="n">
        <v>45508</v>
      </c>
      <c r="C604" s="1" t="n">
        <v>45990</v>
      </c>
      <c r="D604" t="inlineStr">
        <is>
          <t>VÄSTERBOTTENS LÄN</t>
        </is>
      </c>
      <c r="E604" t="inlineStr">
        <is>
          <t>VILHELMINA</t>
        </is>
      </c>
      <c r="G604" t="n">
        <v>12.4</v>
      </c>
      <c r="H604" t="n">
        <v>0</v>
      </c>
      <c r="I604" t="n">
        <v>0</v>
      </c>
      <c r="J604" t="n">
        <v>0</v>
      </c>
      <c r="K604" t="n">
        <v>0</v>
      </c>
      <c r="L604" t="n">
        <v>0</v>
      </c>
      <c r="M604" t="n">
        <v>0</v>
      </c>
      <c r="N604" t="n">
        <v>0</v>
      </c>
      <c r="O604" t="n">
        <v>0</v>
      </c>
      <c r="P604" t="n">
        <v>0</v>
      </c>
      <c r="Q604" t="n">
        <v>0</v>
      </c>
      <c r="R604" s="2" t="inlineStr"/>
    </row>
    <row r="605" ht="15" customHeight="1">
      <c r="A605" t="inlineStr">
        <is>
          <t>A 22440-2025</t>
        </is>
      </c>
      <c r="B605" s="1" t="n">
        <v>45786</v>
      </c>
      <c r="C605" s="1" t="n">
        <v>45990</v>
      </c>
      <c r="D605" t="inlineStr">
        <is>
          <t>VÄSTERBOTTENS LÄN</t>
        </is>
      </c>
      <c r="E605" t="inlineStr">
        <is>
          <t>VILHELMINA</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12990-2025</t>
        </is>
      </c>
      <c r="B606" s="1" t="n">
        <v>45734</v>
      </c>
      <c r="C606" s="1" t="n">
        <v>45990</v>
      </c>
      <c r="D606" t="inlineStr">
        <is>
          <t>VÄSTERBOTTENS LÄN</t>
        </is>
      </c>
      <c r="E606" t="inlineStr">
        <is>
          <t>VILHELMINA</t>
        </is>
      </c>
      <c r="G606" t="n">
        <v>11.2</v>
      </c>
      <c r="H606" t="n">
        <v>0</v>
      </c>
      <c r="I606" t="n">
        <v>0</v>
      </c>
      <c r="J606" t="n">
        <v>0</v>
      </c>
      <c r="K606" t="n">
        <v>0</v>
      </c>
      <c r="L606" t="n">
        <v>0</v>
      </c>
      <c r="M606" t="n">
        <v>0</v>
      </c>
      <c r="N606" t="n">
        <v>0</v>
      </c>
      <c r="O606" t="n">
        <v>0</v>
      </c>
      <c r="P606" t="n">
        <v>0</v>
      </c>
      <c r="Q606" t="n">
        <v>0</v>
      </c>
      <c r="R606" s="2" t="inlineStr"/>
    </row>
    <row r="607" ht="15" customHeight="1">
      <c r="A607" t="inlineStr">
        <is>
          <t>A 60151-2024</t>
        </is>
      </c>
      <c r="B607" s="1" t="n">
        <v>45642.61490740741</v>
      </c>
      <c r="C607" s="1" t="n">
        <v>45990</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26553-2023</t>
        </is>
      </c>
      <c r="B608" s="1" t="n">
        <v>45089</v>
      </c>
      <c r="C608" s="1" t="n">
        <v>45990</v>
      </c>
      <c r="D608" t="inlineStr">
        <is>
          <t>VÄSTERBOTTENS LÄN</t>
        </is>
      </c>
      <c r="E608" t="inlineStr">
        <is>
          <t>VILHELMINA</t>
        </is>
      </c>
      <c r="G608" t="n">
        <v>5.5</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45990</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57207-2025</t>
        </is>
      </c>
      <c r="B610" s="1" t="n">
        <v>45979.59443287037</v>
      </c>
      <c r="C610" s="1" t="n">
        <v>45990</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15062-2024</t>
        </is>
      </c>
      <c r="B611" s="1" t="n">
        <v>45399</v>
      </c>
      <c r="C611" s="1" t="n">
        <v>45990</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15066-2024</t>
        </is>
      </c>
      <c r="B612" s="1" t="n">
        <v>45399</v>
      </c>
      <c r="C612" s="1" t="n">
        <v>45990</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48651-2025</t>
        </is>
      </c>
      <c r="B613" s="1" t="n">
        <v>45936.55251157407</v>
      </c>
      <c r="C613" s="1" t="n">
        <v>45990</v>
      </c>
      <c r="D613" t="inlineStr">
        <is>
          <t>VÄSTERBOTTENS LÄN</t>
        </is>
      </c>
      <c r="E613" t="inlineStr">
        <is>
          <t>VILHELMINA</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9197-2023</t>
        </is>
      </c>
      <c r="B614" s="1" t="n">
        <v>44977</v>
      </c>
      <c r="C614" s="1" t="n">
        <v>45990</v>
      </c>
      <c r="D614" t="inlineStr">
        <is>
          <t>VÄSTERBOTTENS LÄN</t>
        </is>
      </c>
      <c r="E614" t="inlineStr">
        <is>
          <t>VILHELMINA</t>
        </is>
      </c>
      <c r="G614" t="n">
        <v>8.9</v>
      </c>
      <c r="H614" t="n">
        <v>0</v>
      </c>
      <c r="I614" t="n">
        <v>0</v>
      </c>
      <c r="J614" t="n">
        <v>0</v>
      </c>
      <c r="K614" t="n">
        <v>0</v>
      </c>
      <c r="L614" t="n">
        <v>0</v>
      </c>
      <c r="M614" t="n">
        <v>0</v>
      </c>
      <c r="N614" t="n">
        <v>0</v>
      </c>
      <c r="O614" t="n">
        <v>0</v>
      </c>
      <c r="P614" t="n">
        <v>0</v>
      </c>
      <c r="Q614" t="n">
        <v>0</v>
      </c>
      <c r="R614" s="2" t="inlineStr"/>
    </row>
    <row r="615" ht="15" customHeight="1">
      <c r="A615" t="inlineStr">
        <is>
          <t>A 57023-2025</t>
        </is>
      </c>
      <c r="B615" s="1" t="n">
        <v>45979.25059027778</v>
      </c>
      <c r="C615" s="1" t="n">
        <v>45990</v>
      </c>
      <c r="D615" t="inlineStr">
        <is>
          <t>VÄSTERBOTTENS LÄN</t>
        </is>
      </c>
      <c r="E615" t="inlineStr">
        <is>
          <t>VILHELMINA</t>
        </is>
      </c>
      <c r="G615" t="n">
        <v>37.7</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45990</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48816-2025</t>
        </is>
      </c>
      <c r="B617" s="1" t="n">
        <v>45937.36527777778</v>
      </c>
      <c r="C617" s="1" t="n">
        <v>45990</v>
      </c>
      <c r="D617" t="inlineStr">
        <is>
          <t>VÄSTERBOTTENS LÄN</t>
        </is>
      </c>
      <c r="E617" t="inlineStr">
        <is>
          <t>VILHELMINA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17732-2024</t>
        </is>
      </c>
      <c r="B618" s="1" t="n">
        <v>45415</v>
      </c>
      <c r="C618" s="1" t="n">
        <v>45990</v>
      </c>
      <c r="D618" t="inlineStr">
        <is>
          <t>VÄSTERBOTTENS LÄN</t>
        </is>
      </c>
      <c r="E618" t="inlineStr">
        <is>
          <t>VILHELMINA</t>
        </is>
      </c>
      <c r="G618" t="n">
        <v>0.6</v>
      </c>
      <c r="H618" t="n">
        <v>0</v>
      </c>
      <c r="I618" t="n">
        <v>0</v>
      </c>
      <c r="J618" t="n">
        <v>0</v>
      </c>
      <c r="K618" t="n">
        <v>0</v>
      </c>
      <c r="L618" t="n">
        <v>0</v>
      </c>
      <c r="M618" t="n">
        <v>0</v>
      </c>
      <c r="N618" t="n">
        <v>0</v>
      </c>
      <c r="O618" t="n">
        <v>0</v>
      </c>
      <c r="P618" t="n">
        <v>0</v>
      </c>
      <c r="Q618" t="n">
        <v>0</v>
      </c>
      <c r="R618" s="2" t="inlineStr"/>
    </row>
    <row r="619" ht="15" customHeight="1">
      <c r="A619" t="inlineStr">
        <is>
          <t>A 19464-2025</t>
        </is>
      </c>
      <c r="B619" s="1" t="n">
        <v>45770</v>
      </c>
      <c r="C619" s="1" t="n">
        <v>45990</v>
      </c>
      <c r="D619" t="inlineStr">
        <is>
          <t>VÄSTERBOTTENS LÄN</t>
        </is>
      </c>
      <c r="E619" t="inlineStr">
        <is>
          <t>VILHELMINA</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54931-2023</t>
        </is>
      </c>
      <c r="B620" s="1" t="n">
        <v>45229</v>
      </c>
      <c r="C620" s="1" t="n">
        <v>45990</v>
      </c>
      <c r="D620" t="inlineStr">
        <is>
          <t>VÄSTERBOTTENS LÄN</t>
        </is>
      </c>
      <c r="E620" t="inlineStr">
        <is>
          <t>VILHELMINA</t>
        </is>
      </c>
      <c r="G620" t="n">
        <v>14.5</v>
      </c>
      <c r="H620" t="n">
        <v>0</v>
      </c>
      <c r="I620" t="n">
        <v>0</v>
      </c>
      <c r="J620" t="n">
        <v>0</v>
      </c>
      <c r="K620" t="n">
        <v>0</v>
      </c>
      <c r="L620" t="n">
        <v>0</v>
      </c>
      <c r="M620" t="n">
        <v>0</v>
      </c>
      <c r="N620" t="n">
        <v>0</v>
      </c>
      <c r="O620" t="n">
        <v>0</v>
      </c>
      <c r="P620" t="n">
        <v>0</v>
      </c>
      <c r="Q620" t="n">
        <v>0</v>
      </c>
      <c r="R620" s="2" t="inlineStr"/>
    </row>
    <row r="621" ht="15" customHeight="1">
      <c r="A621" t="inlineStr">
        <is>
          <t>A 65179-2021</t>
        </is>
      </c>
      <c r="B621" s="1" t="n">
        <v>44515</v>
      </c>
      <c r="C621" s="1" t="n">
        <v>45990</v>
      </c>
      <c r="D621" t="inlineStr">
        <is>
          <t>VÄSTERBOTTENS LÄN</t>
        </is>
      </c>
      <c r="E621" t="inlineStr">
        <is>
          <t>VILHELMINA</t>
        </is>
      </c>
      <c r="G621" t="n">
        <v>8</v>
      </c>
      <c r="H621" t="n">
        <v>0</v>
      </c>
      <c r="I621" t="n">
        <v>0</v>
      </c>
      <c r="J621" t="n">
        <v>0</v>
      </c>
      <c r="K621" t="n">
        <v>0</v>
      </c>
      <c r="L621" t="n">
        <v>0</v>
      </c>
      <c r="M621" t="n">
        <v>0</v>
      </c>
      <c r="N621" t="n">
        <v>0</v>
      </c>
      <c r="O621" t="n">
        <v>0</v>
      </c>
      <c r="P621" t="n">
        <v>0</v>
      </c>
      <c r="Q621" t="n">
        <v>0</v>
      </c>
      <c r="R621" s="2" t="inlineStr"/>
    </row>
    <row r="622" ht="15" customHeight="1">
      <c r="A622" t="inlineStr">
        <is>
          <t>A 8585-2025</t>
        </is>
      </c>
      <c r="B622" s="1" t="n">
        <v>45709</v>
      </c>
      <c r="C622" s="1" t="n">
        <v>45990</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57792-2025</t>
        </is>
      </c>
      <c r="B623" s="1" t="n">
        <v>45981.57957175926</v>
      </c>
      <c r="C623" s="1" t="n">
        <v>45990</v>
      </c>
      <c r="D623" t="inlineStr">
        <is>
          <t>VÄSTERBOTTENS LÄN</t>
        </is>
      </c>
      <c r="E623" t="inlineStr">
        <is>
          <t>VILHELMINA</t>
        </is>
      </c>
      <c r="G623" t="n">
        <v>1.3</v>
      </c>
      <c r="H623" t="n">
        <v>0</v>
      </c>
      <c r="I623" t="n">
        <v>0</v>
      </c>
      <c r="J623" t="n">
        <v>0</v>
      </c>
      <c r="K623" t="n">
        <v>0</v>
      </c>
      <c r="L623" t="n">
        <v>0</v>
      </c>
      <c r="M623" t="n">
        <v>0</v>
      </c>
      <c r="N623" t="n">
        <v>0</v>
      </c>
      <c r="O623" t="n">
        <v>0</v>
      </c>
      <c r="P623" t="n">
        <v>0</v>
      </c>
      <c r="Q623" t="n">
        <v>0</v>
      </c>
      <c r="R623" s="2" t="inlineStr"/>
    </row>
    <row r="624" ht="15" customHeight="1">
      <c r="A624" t="inlineStr">
        <is>
          <t>A 57812-2025</t>
        </is>
      </c>
      <c r="B624" s="1" t="n">
        <v>45981.593125</v>
      </c>
      <c r="C624" s="1" t="n">
        <v>45990</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49680-2025</t>
        </is>
      </c>
      <c r="B625" s="1" t="n">
        <v>45939.65079861111</v>
      </c>
      <c r="C625" s="1" t="n">
        <v>45990</v>
      </c>
      <c r="D625" t="inlineStr">
        <is>
          <t>VÄSTERBOTTENS LÄN</t>
        </is>
      </c>
      <c r="E625" t="inlineStr">
        <is>
          <t>VILHELMINA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36909-2024</t>
        </is>
      </c>
      <c r="B626" s="1" t="n">
        <v>45538.63577546296</v>
      </c>
      <c r="C626" s="1" t="n">
        <v>45990</v>
      </c>
      <c r="D626" t="inlineStr">
        <is>
          <t>VÄSTERBOTTENS LÄN</t>
        </is>
      </c>
      <c r="E626" t="inlineStr">
        <is>
          <t>VILHELMINA</t>
        </is>
      </c>
      <c r="F626" t="inlineStr">
        <is>
          <t>SCA</t>
        </is>
      </c>
      <c r="G626" t="n">
        <v>16.8</v>
      </c>
      <c r="H626" t="n">
        <v>0</v>
      </c>
      <c r="I626" t="n">
        <v>0</v>
      </c>
      <c r="J626" t="n">
        <v>0</v>
      </c>
      <c r="K626" t="n">
        <v>0</v>
      </c>
      <c r="L626" t="n">
        <v>0</v>
      </c>
      <c r="M626" t="n">
        <v>0</v>
      </c>
      <c r="N626" t="n">
        <v>0</v>
      </c>
      <c r="O626" t="n">
        <v>0</v>
      </c>
      <c r="P626" t="n">
        <v>0</v>
      </c>
      <c r="Q626" t="n">
        <v>0</v>
      </c>
      <c r="R626" s="2" t="inlineStr"/>
    </row>
    <row r="627" ht="15" customHeight="1">
      <c r="A627" t="inlineStr">
        <is>
          <t>A 57565-2025</t>
        </is>
      </c>
      <c r="B627" s="1" t="n">
        <v>45980.71736111111</v>
      </c>
      <c r="C627" s="1" t="n">
        <v>45990</v>
      </c>
      <c r="D627" t="inlineStr">
        <is>
          <t>VÄSTERBOTTENS LÄN</t>
        </is>
      </c>
      <c r="E627" t="inlineStr">
        <is>
          <t>VILHELMINA</t>
        </is>
      </c>
      <c r="G627" t="n">
        <v>22.9</v>
      </c>
      <c r="H627" t="n">
        <v>0</v>
      </c>
      <c r="I627" t="n">
        <v>0</v>
      </c>
      <c r="J627" t="n">
        <v>0</v>
      </c>
      <c r="K627" t="n">
        <v>0</v>
      </c>
      <c r="L627" t="n">
        <v>0</v>
      </c>
      <c r="M627" t="n">
        <v>0</v>
      </c>
      <c r="N627" t="n">
        <v>0</v>
      </c>
      <c r="O627" t="n">
        <v>0</v>
      </c>
      <c r="P627" t="n">
        <v>0</v>
      </c>
      <c r="Q627" t="n">
        <v>0</v>
      </c>
      <c r="R627" s="2" t="inlineStr"/>
    </row>
    <row r="628" ht="15" customHeight="1">
      <c r="A628" t="inlineStr">
        <is>
          <t>A 48904-2025</t>
        </is>
      </c>
      <c r="B628" s="1" t="n">
        <v>45937.4828125</v>
      </c>
      <c r="C628" s="1" t="n">
        <v>45990</v>
      </c>
      <c r="D628" t="inlineStr">
        <is>
          <t>VÄSTERBOTTENS LÄN</t>
        </is>
      </c>
      <c r="E628" t="inlineStr">
        <is>
          <t>VILHELMINA</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45990</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45990</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45990</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45990</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50148-2025</t>
        </is>
      </c>
      <c r="B633" s="1" t="n">
        <v>45943.57296296296</v>
      </c>
      <c r="C633" s="1" t="n">
        <v>45990</v>
      </c>
      <c r="D633" t="inlineStr">
        <is>
          <t>VÄSTERBOTTENS LÄN</t>
        </is>
      </c>
      <c r="E633" t="inlineStr">
        <is>
          <t>VILHELMINA</t>
        </is>
      </c>
      <c r="G633" t="n">
        <v>18.9</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45990</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35006-2023</t>
        </is>
      </c>
      <c r="B635" s="1" t="n">
        <v>45142.95103009259</v>
      </c>
      <c r="C635" s="1" t="n">
        <v>45990</v>
      </c>
      <c r="D635" t="inlineStr">
        <is>
          <t>VÄSTERBOTTENS LÄN</t>
        </is>
      </c>
      <c r="E635" t="inlineStr">
        <is>
          <t>VILHELMINA</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20524-2024</t>
        </is>
      </c>
      <c r="B636" s="1" t="n">
        <v>45435.94567129629</v>
      </c>
      <c r="C636" s="1" t="n">
        <v>45990</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50489-2023</t>
        </is>
      </c>
      <c r="B637" s="1" t="n">
        <v>45216.95556712963</v>
      </c>
      <c r="C637" s="1" t="n">
        <v>45990</v>
      </c>
      <c r="D637" t="inlineStr">
        <is>
          <t>VÄSTERBOTTENS LÄN</t>
        </is>
      </c>
      <c r="E637" t="inlineStr">
        <is>
          <t>VILHELMINA</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58300-2025</t>
        </is>
      </c>
      <c r="B638" s="1" t="n">
        <v>45985</v>
      </c>
      <c r="C638" s="1" t="n">
        <v>45990</v>
      </c>
      <c r="D638" t="inlineStr">
        <is>
          <t>VÄSTERBOTTENS LÄN</t>
        </is>
      </c>
      <c r="E638" t="inlineStr">
        <is>
          <t>VILHELMINA</t>
        </is>
      </c>
      <c r="G638" t="n">
        <v>2.4</v>
      </c>
      <c r="H638" t="n">
        <v>0</v>
      </c>
      <c r="I638" t="n">
        <v>0</v>
      </c>
      <c r="J638" t="n">
        <v>0</v>
      </c>
      <c r="K638" t="n">
        <v>0</v>
      </c>
      <c r="L638" t="n">
        <v>0</v>
      </c>
      <c r="M638" t="n">
        <v>0</v>
      </c>
      <c r="N638" t="n">
        <v>0</v>
      </c>
      <c r="O638" t="n">
        <v>0</v>
      </c>
      <c r="P638" t="n">
        <v>0</v>
      </c>
      <c r="Q638" t="n">
        <v>0</v>
      </c>
      <c r="R638" s="2" t="inlineStr"/>
    </row>
    <row r="639" ht="15" customHeight="1">
      <c r="A639" t="inlineStr">
        <is>
          <t>A 58420-2025</t>
        </is>
      </c>
      <c r="B639" s="1" t="n">
        <v>45985.58819444444</v>
      </c>
      <c r="C639" s="1" t="n">
        <v>45990</v>
      </c>
      <c r="D639" t="inlineStr">
        <is>
          <t>VÄSTERBOTTENS LÄN</t>
        </is>
      </c>
      <c r="E639" t="inlineStr">
        <is>
          <t>VILHELMINA</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59011-2024</t>
        </is>
      </c>
      <c r="B640" s="1" t="n">
        <v>45636</v>
      </c>
      <c r="C640" s="1" t="n">
        <v>45990</v>
      </c>
      <c r="D640" t="inlineStr">
        <is>
          <t>VÄSTERBOTTENS LÄN</t>
        </is>
      </c>
      <c r="E640" t="inlineStr">
        <is>
          <t>VILHELMINA</t>
        </is>
      </c>
      <c r="F640" t="inlineStr">
        <is>
          <t>Allmännings- och besparingsskogar</t>
        </is>
      </c>
      <c r="G640" t="n">
        <v>36</v>
      </c>
      <c r="H640" t="n">
        <v>0</v>
      </c>
      <c r="I640" t="n">
        <v>0</v>
      </c>
      <c r="J640" t="n">
        <v>0</v>
      </c>
      <c r="K640" t="n">
        <v>0</v>
      </c>
      <c r="L640" t="n">
        <v>0</v>
      </c>
      <c r="M640" t="n">
        <v>0</v>
      </c>
      <c r="N640" t="n">
        <v>0</v>
      </c>
      <c r="O640" t="n">
        <v>0</v>
      </c>
      <c r="P640" t="n">
        <v>0</v>
      </c>
      <c r="Q640" t="n">
        <v>0</v>
      </c>
      <c r="R640" s="2" t="inlineStr"/>
    </row>
    <row r="641" ht="15" customHeight="1">
      <c r="A641" t="inlineStr">
        <is>
          <t>A 8555-2023</t>
        </is>
      </c>
      <c r="B641" s="1" t="n">
        <v>44972</v>
      </c>
      <c r="C641" s="1" t="n">
        <v>45990</v>
      </c>
      <c r="D641" t="inlineStr">
        <is>
          <t>VÄSTERBOTTENS LÄN</t>
        </is>
      </c>
      <c r="E641" t="inlineStr">
        <is>
          <t>VILHELMINA</t>
        </is>
      </c>
      <c r="F641" t="inlineStr">
        <is>
          <t>Allmännings- och besparingsskogar</t>
        </is>
      </c>
      <c r="G641" t="n">
        <v>39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45990</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9497-2025</t>
        </is>
      </c>
      <c r="B643" s="1" t="n">
        <v>45715.51086805556</v>
      </c>
      <c r="C643" s="1" t="n">
        <v>45990</v>
      </c>
      <c r="D643" t="inlineStr">
        <is>
          <t>VÄSTERBOTTENS LÄN</t>
        </is>
      </c>
      <c r="E643" t="inlineStr">
        <is>
          <t>VILHELMINA</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58471-2025</t>
        </is>
      </c>
      <c r="B644" s="1" t="n">
        <v>45985.63761574074</v>
      </c>
      <c r="C644" s="1" t="n">
        <v>45990</v>
      </c>
      <c r="D644" t="inlineStr">
        <is>
          <t>VÄSTERBOTTENS LÄN</t>
        </is>
      </c>
      <c r="E644" t="inlineStr">
        <is>
          <t>VILHELMINA</t>
        </is>
      </c>
      <c r="G644" t="n">
        <v>4.5</v>
      </c>
      <c r="H644" t="n">
        <v>0</v>
      </c>
      <c r="I644" t="n">
        <v>0</v>
      </c>
      <c r="J644" t="n">
        <v>0</v>
      </c>
      <c r="K644" t="n">
        <v>0</v>
      </c>
      <c r="L644" t="n">
        <v>0</v>
      </c>
      <c r="M644" t="n">
        <v>0</v>
      </c>
      <c r="N644" t="n">
        <v>0</v>
      </c>
      <c r="O644" t="n">
        <v>0</v>
      </c>
      <c r="P644" t="n">
        <v>0</v>
      </c>
      <c r="Q644" t="n">
        <v>0</v>
      </c>
      <c r="R644" s="2" t="inlineStr"/>
    </row>
    <row r="645" ht="15" customHeight="1">
      <c r="A645" t="inlineStr">
        <is>
          <t>A 15176-2022</t>
        </is>
      </c>
      <c r="B645" s="1" t="n">
        <v>44658</v>
      </c>
      <c r="C645" s="1" t="n">
        <v>45990</v>
      </c>
      <c r="D645" t="inlineStr">
        <is>
          <t>VÄSTERBOTTENS LÄN</t>
        </is>
      </c>
      <c r="E645" t="inlineStr">
        <is>
          <t>VILHELMINA</t>
        </is>
      </c>
      <c r="G645" t="n">
        <v>1.6</v>
      </c>
      <c r="H645" t="n">
        <v>0</v>
      </c>
      <c r="I645" t="n">
        <v>0</v>
      </c>
      <c r="J645" t="n">
        <v>0</v>
      </c>
      <c r="K645" t="n">
        <v>0</v>
      </c>
      <c r="L645" t="n">
        <v>0</v>
      </c>
      <c r="M645" t="n">
        <v>0</v>
      </c>
      <c r="N645" t="n">
        <v>0</v>
      </c>
      <c r="O645" t="n">
        <v>0</v>
      </c>
      <c r="P645" t="n">
        <v>0</v>
      </c>
      <c r="Q645" t="n">
        <v>0</v>
      </c>
      <c r="R645" s="2" t="inlineStr"/>
    </row>
    <row r="646" ht="15" customHeight="1">
      <c r="A646" t="inlineStr">
        <is>
          <t>A 56629-2024</t>
        </is>
      </c>
      <c r="B646" s="1" t="n">
        <v>45625</v>
      </c>
      <c r="C646" s="1" t="n">
        <v>45990</v>
      </c>
      <c r="D646" t="inlineStr">
        <is>
          <t>VÄSTERBOTTENS LÄN</t>
        </is>
      </c>
      <c r="E646" t="inlineStr">
        <is>
          <t>VILHELMINA</t>
        </is>
      </c>
      <c r="F646" t="inlineStr">
        <is>
          <t>Allmännings- och besparingsskogar</t>
        </is>
      </c>
      <c r="G646" t="n">
        <v>20</v>
      </c>
      <c r="H646" t="n">
        <v>0</v>
      </c>
      <c r="I646" t="n">
        <v>0</v>
      </c>
      <c r="J646" t="n">
        <v>0</v>
      </c>
      <c r="K646" t="n">
        <v>0</v>
      </c>
      <c r="L646" t="n">
        <v>0</v>
      </c>
      <c r="M646" t="n">
        <v>0</v>
      </c>
      <c r="N646" t="n">
        <v>0</v>
      </c>
      <c r="O646" t="n">
        <v>0</v>
      </c>
      <c r="P646" t="n">
        <v>0</v>
      </c>
      <c r="Q646" t="n">
        <v>0</v>
      </c>
      <c r="R646" s="2" t="inlineStr"/>
    </row>
    <row r="647" ht="15" customHeight="1">
      <c r="A647" t="inlineStr">
        <is>
          <t>A 58999-2024</t>
        </is>
      </c>
      <c r="B647" s="1" t="n">
        <v>45636</v>
      </c>
      <c r="C647" s="1" t="n">
        <v>45990</v>
      </c>
      <c r="D647" t="inlineStr">
        <is>
          <t>VÄSTERBOTTENS LÄN</t>
        </is>
      </c>
      <c r="E647" t="inlineStr">
        <is>
          <t>VILHELMINA</t>
        </is>
      </c>
      <c r="F647" t="inlineStr">
        <is>
          <t>Allmännings- och besparingsskogar</t>
        </is>
      </c>
      <c r="G647" t="n">
        <v>12.3</v>
      </c>
      <c r="H647" t="n">
        <v>0</v>
      </c>
      <c r="I647" t="n">
        <v>0</v>
      </c>
      <c r="J647" t="n">
        <v>0</v>
      </c>
      <c r="K647" t="n">
        <v>0</v>
      </c>
      <c r="L647" t="n">
        <v>0</v>
      </c>
      <c r="M647" t="n">
        <v>0</v>
      </c>
      <c r="N647" t="n">
        <v>0</v>
      </c>
      <c r="O647" t="n">
        <v>0</v>
      </c>
      <c r="P647" t="n">
        <v>0</v>
      </c>
      <c r="Q647" t="n">
        <v>0</v>
      </c>
      <c r="R647" s="2" t="inlineStr"/>
    </row>
    <row r="648" ht="15" customHeight="1">
      <c r="A648" t="inlineStr">
        <is>
          <t>A 59022-2024</t>
        </is>
      </c>
      <c r="B648" s="1" t="n">
        <v>45636</v>
      </c>
      <c r="C648" s="1" t="n">
        <v>45990</v>
      </c>
      <c r="D648" t="inlineStr">
        <is>
          <t>VÄSTERBOTTENS LÄN</t>
        </is>
      </c>
      <c r="E648" t="inlineStr">
        <is>
          <t>VILHELMINA</t>
        </is>
      </c>
      <c r="F648" t="inlineStr">
        <is>
          <t>Allmännings- och besparingsskogar</t>
        </is>
      </c>
      <c r="G648" t="n">
        <v>35</v>
      </c>
      <c r="H648" t="n">
        <v>0</v>
      </c>
      <c r="I648" t="n">
        <v>0</v>
      </c>
      <c r="J648" t="n">
        <v>0</v>
      </c>
      <c r="K648" t="n">
        <v>0</v>
      </c>
      <c r="L648" t="n">
        <v>0</v>
      </c>
      <c r="M648" t="n">
        <v>0</v>
      </c>
      <c r="N648" t="n">
        <v>0</v>
      </c>
      <c r="O648" t="n">
        <v>0</v>
      </c>
      <c r="P648" t="n">
        <v>0</v>
      </c>
      <c r="Q648" t="n">
        <v>0</v>
      </c>
      <c r="R648" s="2" t="inlineStr"/>
    </row>
    <row r="649" ht="15" customHeight="1">
      <c r="A649" t="inlineStr">
        <is>
          <t>A 58943-2024</t>
        </is>
      </c>
      <c r="B649" s="1" t="n">
        <v>45636.5433449074</v>
      </c>
      <c r="C649" s="1" t="n">
        <v>45990</v>
      </c>
      <c r="D649" t="inlineStr">
        <is>
          <t>VÄSTERBOTTENS LÄN</t>
        </is>
      </c>
      <c r="E649" t="inlineStr">
        <is>
          <t>VILHELMINA</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59003-2024</t>
        </is>
      </c>
      <c r="B650" s="1" t="n">
        <v>45636</v>
      </c>
      <c r="C650" s="1" t="n">
        <v>45990</v>
      </c>
      <c r="D650" t="inlineStr">
        <is>
          <t>VÄSTERBOTTENS LÄN</t>
        </is>
      </c>
      <c r="E650" t="inlineStr">
        <is>
          <t>VILHELMINA</t>
        </is>
      </c>
      <c r="F650" t="inlineStr">
        <is>
          <t>Allmännings- och besparingsskogar</t>
        </is>
      </c>
      <c r="G650" t="n">
        <v>22</v>
      </c>
      <c r="H650" t="n">
        <v>0</v>
      </c>
      <c r="I650" t="n">
        <v>0</v>
      </c>
      <c r="J650" t="n">
        <v>0</v>
      </c>
      <c r="K650" t="n">
        <v>0</v>
      </c>
      <c r="L650" t="n">
        <v>0</v>
      </c>
      <c r="M650" t="n">
        <v>0</v>
      </c>
      <c r="N650" t="n">
        <v>0</v>
      </c>
      <c r="O650" t="n">
        <v>0</v>
      </c>
      <c r="P650" t="n">
        <v>0</v>
      </c>
      <c r="Q650" t="n">
        <v>0</v>
      </c>
      <c r="R650" s="2" t="inlineStr"/>
    </row>
    <row r="651" ht="15" customHeight="1">
      <c r="A651" t="inlineStr">
        <is>
          <t>A 46119-2022</t>
        </is>
      </c>
      <c r="B651" s="1" t="n">
        <v>44847</v>
      </c>
      <c r="C651" s="1" t="n">
        <v>45990</v>
      </c>
      <c r="D651" t="inlineStr">
        <is>
          <t>VÄSTERBOTTENS LÄN</t>
        </is>
      </c>
      <c r="E651" t="inlineStr">
        <is>
          <t>VILHELMINA</t>
        </is>
      </c>
      <c r="G651" t="n">
        <v>12.1</v>
      </c>
      <c r="H651" t="n">
        <v>0</v>
      </c>
      <c r="I651" t="n">
        <v>0</v>
      </c>
      <c r="J651" t="n">
        <v>0</v>
      </c>
      <c r="K651" t="n">
        <v>0</v>
      </c>
      <c r="L651" t="n">
        <v>0</v>
      </c>
      <c r="M651" t="n">
        <v>0</v>
      </c>
      <c r="N651" t="n">
        <v>0</v>
      </c>
      <c r="O651" t="n">
        <v>0</v>
      </c>
      <c r="P651" t="n">
        <v>0</v>
      </c>
      <c r="Q651" t="n">
        <v>0</v>
      </c>
      <c r="R651" s="2" t="inlineStr"/>
    </row>
    <row r="652" ht="15" customHeight="1">
      <c r="A652" t="inlineStr">
        <is>
          <t>A 46121-2022</t>
        </is>
      </c>
      <c r="B652" s="1" t="n">
        <v>44847</v>
      </c>
      <c r="C652" s="1" t="n">
        <v>45990</v>
      </c>
      <c r="D652" t="inlineStr">
        <is>
          <t>VÄSTERBOTTENS LÄN</t>
        </is>
      </c>
      <c r="E652" t="inlineStr">
        <is>
          <t>VILHELMINA</t>
        </is>
      </c>
      <c r="G652" t="n">
        <v>2.6</v>
      </c>
      <c r="H652" t="n">
        <v>0</v>
      </c>
      <c r="I652" t="n">
        <v>0</v>
      </c>
      <c r="J652" t="n">
        <v>0</v>
      </c>
      <c r="K652" t="n">
        <v>0</v>
      </c>
      <c r="L652" t="n">
        <v>0</v>
      </c>
      <c r="M652" t="n">
        <v>0</v>
      </c>
      <c r="N652" t="n">
        <v>0</v>
      </c>
      <c r="O652" t="n">
        <v>0</v>
      </c>
      <c r="P652" t="n">
        <v>0</v>
      </c>
      <c r="Q652" t="n">
        <v>0</v>
      </c>
      <c r="R652" s="2" t="inlineStr"/>
    </row>
    <row r="653" ht="15" customHeight="1">
      <c r="A653" t="inlineStr">
        <is>
          <t>A 31485-2025</t>
        </is>
      </c>
      <c r="B653" s="1" t="n">
        <v>45833</v>
      </c>
      <c r="C653" s="1" t="n">
        <v>45990</v>
      </c>
      <c r="D653" t="inlineStr">
        <is>
          <t>VÄSTERBOTTENS LÄN</t>
        </is>
      </c>
      <c r="E653" t="inlineStr">
        <is>
          <t>VILHELMINA</t>
        </is>
      </c>
      <c r="G653" t="n">
        <v>2.8</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45990</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45990</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45990</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50305-2025</t>
        </is>
      </c>
      <c r="B657" s="1" t="n">
        <v>45944.42415509259</v>
      </c>
      <c r="C657" s="1" t="n">
        <v>45990</v>
      </c>
      <c r="D657" t="inlineStr">
        <is>
          <t>VÄSTERBOTTENS LÄN</t>
        </is>
      </c>
      <c r="E657" t="inlineStr">
        <is>
          <t>VILHELMINA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16720-2025</t>
        </is>
      </c>
      <c r="B658" s="1" t="n">
        <v>45754.49039351852</v>
      </c>
      <c r="C658" s="1" t="n">
        <v>45990</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50282-2025</t>
        </is>
      </c>
      <c r="B659" s="1" t="n">
        <v>45944.3862037037</v>
      </c>
      <c r="C659" s="1" t="n">
        <v>45990</v>
      </c>
      <c r="D659" t="inlineStr">
        <is>
          <t>VÄSTERBOTTENS LÄN</t>
        </is>
      </c>
      <c r="E659" t="inlineStr">
        <is>
          <t>VILHELMINA</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12866-2023</t>
        </is>
      </c>
      <c r="B660" s="1" t="n">
        <v>45000</v>
      </c>
      <c r="C660" s="1" t="n">
        <v>45990</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62630-2022</t>
        </is>
      </c>
      <c r="B661" s="1" t="n">
        <v>44917</v>
      </c>
      <c r="C661" s="1" t="n">
        <v>45990</v>
      </c>
      <c r="D661" t="inlineStr">
        <is>
          <t>VÄSTERBOTTENS LÄN</t>
        </is>
      </c>
      <c r="E661" t="inlineStr">
        <is>
          <t>VILHELMINA</t>
        </is>
      </c>
      <c r="G661" t="n">
        <v>0.9</v>
      </c>
      <c r="H661" t="n">
        <v>0</v>
      </c>
      <c r="I661" t="n">
        <v>0</v>
      </c>
      <c r="J661" t="n">
        <v>0</v>
      </c>
      <c r="K661" t="n">
        <v>0</v>
      </c>
      <c r="L661" t="n">
        <v>0</v>
      </c>
      <c r="M661" t="n">
        <v>0</v>
      </c>
      <c r="N661" t="n">
        <v>0</v>
      </c>
      <c r="O661" t="n">
        <v>0</v>
      </c>
      <c r="P661" t="n">
        <v>0</v>
      </c>
      <c r="Q661" t="n">
        <v>0</v>
      </c>
      <c r="R661" s="2" t="inlineStr"/>
    </row>
    <row r="662" ht="15" customHeight="1">
      <c r="A662" t="inlineStr">
        <is>
          <t>A 39677-2024</t>
        </is>
      </c>
      <c r="B662" s="1" t="n">
        <v>45552</v>
      </c>
      <c r="C662" s="1" t="n">
        <v>45990</v>
      </c>
      <c r="D662" t="inlineStr">
        <is>
          <t>VÄSTERBOTTENS LÄN</t>
        </is>
      </c>
      <c r="E662" t="inlineStr">
        <is>
          <t>VILHELMINA</t>
        </is>
      </c>
      <c r="F662" t="inlineStr">
        <is>
          <t>SCA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28695-2024</t>
        </is>
      </c>
      <c r="B663" s="1" t="n">
        <v>45478</v>
      </c>
      <c r="C663" s="1" t="n">
        <v>45990</v>
      </c>
      <c r="D663" t="inlineStr">
        <is>
          <t>VÄSTERBOTTENS LÄN</t>
        </is>
      </c>
      <c r="E663" t="inlineStr">
        <is>
          <t>VILHELMINA</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40468-2021</t>
        </is>
      </c>
      <c r="B664" s="1" t="n">
        <v>44419.94174768519</v>
      </c>
      <c r="C664" s="1" t="n">
        <v>45990</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50922-2025</t>
        </is>
      </c>
      <c r="B665" s="1" t="n">
        <v>45946.67149305555</v>
      </c>
      <c r="C665" s="1" t="n">
        <v>45990</v>
      </c>
      <c r="D665" t="inlineStr">
        <is>
          <t>VÄSTERBOTTENS LÄN</t>
        </is>
      </c>
      <c r="E665" t="inlineStr">
        <is>
          <t>VILHELMINA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55695-2024</t>
        </is>
      </c>
      <c r="B666" s="1" t="n">
        <v>45622</v>
      </c>
      <c r="C666" s="1" t="n">
        <v>45990</v>
      </c>
      <c r="D666" t="inlineStr">
        <is>
          <t>VÄSTERBOTTENS LÄN</t>
        </is>
      </c>
      <c r="E666" t="inlineStr">
        <is>
          <t>VILHELMINA</t>
        </is>
      </c>
      <c r="G666" t="n">
        <v>7</v>
      </c>
      <c r="H666" t="n">
        <v>0</v>
      </c>
      <c r="I666" t="n">
        <v>0</v>
      </c>
      <c r="J666" t="n">
        <v>0</v>
      </c>
      <c r="K666" t="n">
        <v>0</v>
      </c>
      <c r="L666" t="n">
        <v>0</v>
      </c>
      <c r="M666" t="n">
        <v>0</v>
      </c>
      <c r="N666" t="n">
        <v>0</v>
      </c>
      <c r="O666" t="n">
        <v>0</v>
      </c>
      <c r="P666" t="n">
        <v>0</v>
      </c>
      <c r="Q666" t="n">
        <v>0</v>
      </c>
      <c r="R666" s="2" t="inlineStr"/>
    </row>
    <row r="667" ht="15" customHeight="1">
      <c r="A667" t="inlineStr">
        <is>
          <t>A 47010-2024</t>
        </is>
      </c>
      <c r="B667" s="1" t="n">
        <v>45586</v>
      </c>
      <c r="C667" s="1" t="n">
        <v>45990</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52746-2023</t>
        </is>
      </c>
      <c r="B668" s="1" t="n">
        <v>45225.96753472222</v>
      </c>
      <c r="C668" s="1" t="n">
        <v>45990</v>
      </c>
      <c r="D668" t="inlineStr">
        <is>
          <t>VÄSTERBOTTENS LÄN</t>
        </is>
      </c>
      <c r="E668" t="inlineStr">
        <is>
          <t>VILHELMINA</t>
        </is>
      </c>
      <c r="F668" t="inlineStr">
        <is>
          <t>SCA</t>
        </is>
      </c>
      <c r="G668" t="n">
        <v>10.4</v>
      </c>
      <c r="H668" t="n">
        <v>0</v>
      </c>
      <c r="I668" t="n">
        <v>0</v>
      </c>
      <c r="J668" t="n">
        <v>0</v>
      </c>
      <c r="K668" t="n">
        <v>0</v>
      </c>
      <c r="L668" t="n">
        <v>0</v>
      </c>
      <c r="M668" t="n">
        <v>0</v>
      </c>
      <c r="N668" t="n">
        <v>0</v>
      </c>
      <c r="O668" t="n">
        <v>0</v>
      </c>
      <c r="P668" t="n">
        <v>0</v>
      </c>
      <c r="Q668" t="n">
        <v>0</v>
      </c>
      <c r="R668" s="2" t="inlineStr"/>
    </row>
    <row r="669" ht="15" customHeight="1">
      <c r="A669" t="inlineStr">
        <is>
          <t>A 23270-2021</t>
        </is>
      </c>
      <c r="B669" s="1" t="n">
        <v>44328</v>
      </c>
      <c r="C669" s="1" t="n">
        <v>45990</v>
      </c>
      <c r="D669" t="inlineStr">
        <is>
          <t>VÄSTERBOTTENS LÄN</t>
        </is>
      </c>
      <c r="E669" t="inlineStr">
        <is>
          <t>VILHELMINA</t>
        </is>
      </c>
      <c r="F669" t="inlineStr">
        <is>
          <t>Allmännings- och besparingsskogar</t>
        </is>
      </c>
      <c r="G669" t="n">
        <v>14.7</v>
      </c>
      <c r="H669" t="n">
        <v>0</v>
      </c>
      <c r="I669" t="n">
        <v>0</v>
      </c>
      <c r="J669" t="n">
        <v>0</v>
      </c>
      <c r="K669" t="n">
        <v>0</v>
      </c>
      <c r="L669" t="n">
        <v>0</v>
      </c>
      <c r="M669" t="n">
        <v>0</v>
      </c>
      <c r="N669" t="n">
        <v>0</v>
      </c>
      <c r="O669" t="n">
        <v>0</v>
      </c>
      <c r="P669" t="n">
        <v>0</v>
      </c>
      <c r="Q669" t="n">
        <v>0</v>
      </c>
      <c r="R669" s="2" t="inlineStr"/>
    </row>
    <row r="670" ht="15" customHeight="1">
      <c r="A670" t="inlineStr">
        <is>
          <t>A 49241-2024</t>
        </is>
      </c>
      <c r="B670" s="1" t="n">
        <v>45595</v>
      </c>
      <c r="C670" s="1" t="n">
        <v>45990</v>
      </c>
      <c r="D670" t="inlineStr">
        <is>
          <t>VÄSTERBOTTENS LÄN</t>
        </is>
      </c>
      <c r="E670" t="inlineStr">
        <is>
          <t>VILHELMINA</t>
        </is>
      </c>
      <c r="G670" t="n">
        <v>1.4</v>
      </c>
      <c r="H670" t="n">
        <v>0</v>
      </c>
      <c r="I670" t="n">
        <v>0</v>
      </c>
      <c r="J670" t="n">
        <v>0</v>
      </c>
      <c r="K670" t="n">
        <v>0</v>
      </c>
      <c r="L670" t="n">
        <v>0</v>
      </c>
      <c r="M670" t="n">
        <v>0</v>
      </c>
      <c r="N670" t="n">
        <v>0</v>
      </c>
      <c r="O670" t="n">
        <v>0</v>
      </c>
      <c r="P670" t="n">
        <v>0</v>
      </c>
      <c r="Q670" t="n">
        <v>0</v>
      </c>
      <c r="R670" s="2" t="inlineStr"/>
    </row>
    <row r="671" ht="15" customHeight="1">
      <c r="A671" t="inlineStr">
        <is>
          <t>A 10418-2023</t>
        </is>
      </c>
      <c r="B671" s="1" t="n">
        <v>44987</v>
      </c>
      <c r="C671" s="1" t="n">
        <v>45990</v>
      </c>
      <c r="D671" t="inlineStr">
        <is>
          <t>VÄSTERBOTTENS LÄN</t>
        </is>
      </c>
      <c r="E671" t="inlineStr">
        <is>
          <t>VILHELMINA</t>
        </is>
      </c>
      <c r="G671" t="n">
        <v>3.2</v>
      </c>
      <c r="H671" t="n">
        <v>0</v>
      </c>
      <c r="I671" t="n">
        <v>0</v>
      </c>
      <c r="J671" t="n">
        <v>0</v>
      </c>
      <c r="K671" t="n">
        <v>0</v>
      </c>
      <c r="L671" t="n">
        <v>0</v>
      </c>
      <c r="M671" t="n">
        <v>0</v>
      </c>
      <c r="N671" t="n">
        <v>0</v>
      </c>
      <c r="O671" t="n">
        <v>0</v>
      </c>
      <c r="P671" t="n">
        <v>0</v>
      </c>
      <c r="Q671" t="n">
        <v>0</v>
      </c>
      <c r="R671" s="2" t="inlineStr"/>
    </row>
    <row r="672" ht="15" customHeight="1">
      <c r="A672" t="inlineStr">
        <is>
          <t>A 51042-2025</t>
        </is>
      </c>
      <c r="B672" s="1" t="n">
        <v>45947.42334490741</v>
      </c>
      <c r="C672" s="1" t="n">
        <v>45990</v>
      </c>
      <c r="D672" t="inlineStr">
        <is>
          <t>VÄSTERBOTTENS LÄN</t>
        </is>
      </c>
      <c r="E672" t="inlineStr">
        <is>
          <t>VILHELMINA</t>
        </is>
      </c>
      <c r="G672" t="n">
        <v>12.6</v>
      </c>
      <c r="H672" t="n">
        <v>0</v>
      </c>
      <c r="I672" t="n">
        <v>0</v>
      </c>
      <c r="J672" t="n">
        <v>0</v>
      </c>
      <c r="K672" t="n">
        <v>0</v>
      </c>
      <c r="L672" t="n">
        <v>0</v>
      </c>
      <c r="M672" t="n">
        <v>0</v>
      </c>
      <c r="N672" t="n">
        <v>0</v>
      </c>
      <c r="O672" t="n">
        <v>0</v>
      </c>
      <c r="P672" t="n">
        <v>0</v>
      </c>
      <c r="Q672" t="n">
        <v>0</v>
      </c>
      <c r="R672" s="2" t="inlineStr"/>
    </row>
    <row r="673" ht="15" customHeight="1">
      <c r="A673" t="inlineStr">
        <is>
          <t>A 61953-2024</t>
        </is>
      </c>
      <c r="B673" s="1" t="n">
        <v>45653.5150462963</v>
      </c>
      <c r="C673" s="1" t="n">
        <v>45990</v>
      </c>
      <c r="D673" t="inlineStr">
        <is>
          <t>VÄSTERBOTTENS LÄN</t>
        </is>
      </c>
      <c r="E673" t="inlineStr">
        <is>
          <t>VILHELMINA</t>
        </is>
      </c>
      <c r="F673" t="inlineStr">
        <is>
          <t>Kommuner</t>
        </is>
      </c>
      <c r="G673" t="n">
        <v>10.2</v>
      </c>
      <c r="H673" t="n">
        <v>0</v>
      </c>
      <c r="I673" t="n">
        <v>0</v>
      </c>
      <c r="J673" t="n">
        <v>0</v>
      </c>
      <c r="K673" t="n">
        <v>0</v>
      </c>
      <c r="L673" t="n">
        <v>0</v>
      </c>
      <c r="M673" t="n">
        <v>0</v>
      </c>
      <c r="N673" t="n">
        <v>0</v>
      </c>
      <c r="O673" t="n">
        <v>0</v>
      </c>
      <c r="P673" t="n">
        <v>0</v>
      </c>
      <c r="Q673" t="n">
        <v>0</v>
      </c>
      <c r="R673" s="2" t="inlineStr"/>
    </row>
    <row r="674" ht="15" customHeight="1">
      <c r="A674" t="inlineStr">
        <is>
          <t>A 3435-2021</t>
        </is>
      </c>
      <c r="B674" s="1" t="n">
        <v>44216</v>
      </c>
      <c r="C674" s="1" t="n">
        <v>45990</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60682-2022</t>
        </is>
      </c>
      <c r="B675" s="1" t="n">
        <v>44911.94</v>
      </c>
      <c r="C675" s="1" t="n">
        <v>45990</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23536-2024</t>
        </is>
      </c>
      <c r="B676" s="1" t="n">
        <v>45453.95199074074</v>
      </c>
      <c r="C676" s="1" t="n">
        <v>45990</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45990</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45990</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45990</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45990</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45990</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32655-2021</t>
        </is>
      </c>
      <c r="B682" s="1" t="n">
        <v>44371</v>
      </c>
      <c r="C682" s="1" t="n">
        <v>45990</v>
      </c>
      <c r="D682" t="inlineStr">
        <is>
          <t>VÄSTERBOTTENS LÄN</t>
        </is>
      </c>
      <c r="E682" t="inlineStr">
        <is>
          <t>VILHELMINA</t>
        </is>
      </c>
      <c r="G682" t="n">
        <v>0.2</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45990</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55688-2023</t>
        </is>
      </c>
      <c r="B684" s="1" t="n">
        <v>45232</v>
      </c>
      <c r="C684" s="1" t="n">
        <v>45990</v>
      </c>
      <c r="D684" t="inlineStr">
        <is>
          <t>VÄSTERBOTTENS LÄN</t>
        </is>
      </c>
      <c r="E684" t="inlineStr">
        <is>
          <t>VILHELMINA</t>
        </is>
      </c>
      <c r="G684" t="n">
        <v>6.4</v>
      </c>
      <c r="H684" t="n">
        <v>0</v>
      </c>
      <c r="I684" t="n">
        <v>0</v>
      </c>
      <c r="J684" t="n">
        <v>0</v>
      </c>
      <c r="K684" t="n">
        <v>0</v>
      </c>
      <c r="L684" t="n">
        <v>0</v>
      </c>
      <c r="M684" t="n">
        <v>0</v>
      </c>
      <c r="N684" t="n">
        <v>0</v>
      </c>
      <c r="O684" t="n">
        <v>0</v>
      </c>
      <c r="P684" t="n">
        <v>0</v>
      </c>
      <c r="Q684" t="n">
        <v>0</v>
      </c>
      <c r="R684" s="2" t="inlineStr"/>
    </row>
    <row r="685" ht="15" customHeight="1">
      <c r="A685" t="inlineStr">
        <is>
          <t>A 14959-2022</t>
        </is>
      </c>
      <c r="B685" s="1" t="n">
        <v>44657</v>
      </c>
      <c r="C685" s="1" t="n">
        <v>45990</v>
      </c>
      <c r="D685" t="inlineStr">
        <is>
          <t>VÄSTERBOTTENS LÄN</t>
        </is>
      </c>
      <c r="E685" t="inlineStr">
        <is>
          <t>VILHELMINA</t>
        </is>
      </c>
      <c r="G685" t="n">
        <v>71.8</v>
      </c>
      <c r="H685" t="n">
        <v>0</v>
      </c>
      <c r="I685" t="n">
        <v>0</v>
      </c>
      <c r="J685" t="n">
        <v>0</v>
      </c>
      <c r="K685" t="n">
        <v>0</v>
      </c>
      <c r="L685" t="n">
        <v>0</v>
      </c>
      <c r="M685" t="n">
        <v>0</v>
      </c>
      <c r="N685" t="n">
        <v>0</v>
      </c>
      <c r="O685" t="n">
        <v>0</v>
      </c>
      <c r="P685" t="n">
        <v>0</v>
      </c>
      <c r="Q685" t="n">
        <v>0</v>
      </c>
      <c r="R685" s="2" t="inlineStr"/>
    </row>
    <row r="686" ht="15" customHeight="1">
      <c r="A686" t="inlineStr">
        <is>
          <t>A 20769-2024</t>
        </is>
      </c>
      <c r="B686" s="1" t="n">
        <v>45436.94604166667</v>
      </c>
      <c r="C686" s="1" t="n">
        <v>45990</v>
      </c>
      <c r="D686" t="inlineStr">
        <is>
          <t>VÄSTERBOTTENS LÄN</t>
        </is>
      </c>
      <c r="E686" t="inlineStr">
        <is>
          <t>VILHELMINA</t>
        </is>
      </c>
      <c r="F686" t="inlineStr">
        <is>
          <t>SCA</t>
        </is>
      </c>
      <c r="G686" t="n">
        <v>7</v>
      </c>
      <c r="H686" t="n">
        <v>0</v>
      </c>
      <c r="I686" t="n">
        <v>0</v>
      </c>
      <c r="J686" t="n">
        <v>0</v>
      </c>
      <c r="K686" t="n">
        <v>0</v>
      </c>
      <c r="L686" t="n">
        <v>0</v>
      </c>
      <c r="M686" t="n">
        <v>0</v>
      </c>
      <c r="N686" t="n">
        <v>0</v>
      </c>
      <c r="O686" t="n">
        <v>0</v>
      </c>
      <c r="P686" t="n">
        <v>0</v>
      </c>
      <c r="Q686" t="n">
        <v>0</v>
      </c>
      <c r="R686" s="2" t="inlineStr"/>
    </row>
    <row r="687" ht="15" customHeight="1">
      <c r="A687" t="inlineStr">
        <is>
          <t>A 26557-2023</t>
        </is>
      </c>
      <c r="B687" s="1" t="n">
        <v>45089</v>
      </c>
      <c r="C687" s="1" t="n">
        <v>45990</v>
      </c>
      <c r="D687" t="inlineStr">
        <is>
          <t>VÄSTERBOTTENS LÄN</t>
        </is>
      </c>
      <c r="E687" t="inlineStr">
        <is>
          <t>VILHELMINA</t>
        </is>
      </c>
      <c r="G687" t="n">
        <v>0.5</v>
      </c>
      <c r="H687" t="n">
        <v>0</v>
      </c>
      <c r="I687" t="n">
        <v>0</v>
      </c>
      <c r="J687" t="n">
        <v>0</v>
      </c>
      <c r="K687" t="n">
        <v>0</v>
      </c>
      <c r="L687" t="n">
        <v>0</v>
      </c>
      <c r="M687" t="n">
        <v>0</v>
      </c>
      <c r="N687" t="n">
        <v>0</v>
      </c>
      <c r="O687" t="n">
        <v>0</v>
      </c>
      <c r="P687" t="n">
        <v>0</v>
      </c>
      <c r="Q687" t="n">
        <v>0</v>
      </c>
      <c r="R687" s="2" t="inlineStr"/>
    </row>
    <row r="688" ht="15" customHeight="1">
      <c r="A688" t="inlineStr">
        <is>
          <t>A 21844-2024</t>
        </is>
      </c>
      <c r="B688" s="1" t="n">
        <v>45442</v>
      </c>
      <c r="C688" s="1" t="n">
        <v>45990</v>
      </c>
      <c r="D688" t="inlineStr">
        <is>
          <t>VÄSTERBOTTENS LÄN</t>
        </is>
      </c>
      <c r="E688" t="inlineStr">
        <is>
          <t>VILHELMINA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50494-2023</t>
        </is>
      </c>
      <c r="B689" s="1" t="n">
        <v>45216.95604166666</v>
      </c>
      <c r="C689" s="1" t="n">
        <v>45990</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33828-2024</t>
        </is>
      </c>
      <c r="B690" s="1" t="n">
        <v>45520.61695601852</v>
      </c>
      <c r="C690" s="1" t="n">
        <v>45990</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28870-2024</t>
        </is>
      </c>
      <c r="B691" s="1" t="n">
        <v>45478.94733796296</v>
      </c>
      <c r="C691" s="1" t="n">
        <v>45990</v>
      </c>
      <c r="D691" t="inlineStr">
        <is>
          <t>VÄSTERBOTTENS LÄN</t>
        </is>
      </c>
      <c r="E691" t="inlineStr">
        <is>
          <t>VILHELMINA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20523-2024</t>
        </is>
      </c>
      <c r="B692" s="1" t="n">
        <v>45435.94553240741</v>
      </c>
      <c r="C692" s="1" t="n">
        <v>45990</v>
      </c>
      <c r="D692" t="inlineStr">
        <is>
          <t>VÄSTERBOTTENS LÄN</t>
        </is>
      </c>
      <c r="E692" t="inlineStr">
        <is>
          <t>VILHELMINA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15059-2024</t>
        </is>
      </c>
      <c r="B693" s="1" t="n">
        <v>45399</v>
      </c>
      <c r="C693" s="1" t="n">
        <v>45990</v>
      </c>
      <c r="D693" t="inlineStr">
        <is>
          <t>VÄSTERBOTTENS LÄN</t>
        </is>
      </c>
      <c r="E693" t="inlineStr">
        <is>
          <t>VILHELMINA</t>
        </is>
      </c>
      <c r="G693" t="n">
        <v>0.8</v>
      </c>
      <c r="H693" t="n">
        <v>0</v>
      </c>
      <c r="I693" t="n">
        <v>0</v>
      </c>
      <c r="J693" t="n">
        <v>0</v>
      </c>
      <c r="K693" t="n">
        <v>0</v>
      </c>
      <c r="L693" t="n">
        <v>0</v>
      </c>
      <c r="M693" t="n">
        <v>0</v>
      </c>
      <c r="N693" t="n">
        <v>0</v>
      </c>
      <c r="O693" t="n">
        <v>0</v>
      </c>
      <c r="P693" t="n">
        <v>0</v>
      </c>
      <c r="Q693" t="n">
        <v>0</v>
      </c>
      <c r="R693" s="2" t="inlineStr"/>
    </row>
    <row r="694" ht="15" customHeight="1">
      <c r="A694" t="inlineStr">
        <is>
          <t>A 55620-2024</t>
        </is>
      </c>
      <c r="B694" s="1" t="n">
        <v>45622</v>
      </c>
      <c r="C694" s="1" t="n">
        <v>45990</v>
      </c>
      <c r="D694" t="inlineStr">
        <is>
          <t>VÄSTERBOTTENS LÄN</t>
        </is>
      </c>
      <c r="E694" t="inlineStr">
        <is>
          <t>VILHELMINA</t>
        </is>
      </c>
      <c r="F694" t="inlineStr">
        <is>
          <t>SCA</t>
        </is>
      </c>
      <c r="G694" t="n">
        <v>21.4</v>
      </c>
      <c r="H694" t="n">
        <v>0</v>
      </c>
      <c r="I694" t="n">
        <v>0</v>
      </c>
      <c r="J694" t="n">
        <v>0</v>
      </c>
      <c r="K694" t="n">
        <v>0</v>
      </c>
      <c r="L694" t="n">
        <v>0</v>
      </c>
      <c r="M694" t="n">
        <v>0</v>
      </c>
      <c r="N694" t="n">
        <v>0</v>
      </c>
      <c r="O694" t="n">
        <v>0</v>
      </c>
      <c r="P694" t="n">
        <v>0</v>
      </c>
      <c r="Q694" t="n">
        <v>0</v>
      </c>
      <c r="R694" s="2" t="inlineStr"/>
    </row>
    <row r="695" ht="15" customHeight="1">
      <c r="A695" t="inlineStr">
        <is>
          <t>A 30574-2024</t>
        </is>
      </c>
      <c r="B695" s="1" t="n">
        <v>45492.9580324074</v>
      </c>
      <c r="C695" s="1" t="n">
        <v>45990</v>
      </c>
      <c r="D695" t="inlineStr">
        <is>
          <t>VÄSTERBOTTENS LÄN</t>
        </is>
      </c>
      <c r="E695" t="inlineStr">
        <is>
          <t>VILHELMINA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55722-2023</t>
        </is>
      </c>
      <c r="B696" s="1" t="n">
        <v>45232</v>
      </c>
      <c r="C696" s="1" t="n">
        <v>45990</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44371-2023</t>
        </is>
      </c>
      <c r="B697" s="1" t="n">
        <v>45188</v>
      </c>
      <c r="C697" s="1" t="n">
        <v>45990</v>
      </c>
      <c r="D697" t="inlineStr">
        <is>
          <t>VÄSTERBOTTENS LÄN</t>
        </is>
      </c>
      <c r="E697" t="inlineStr">
        <is>
          <t>VILHELMINA</t>
        </is>
      </c>
      <c r="G697" t="n">
        <v>11</v>
      </c>
      <c r="H697" t="n">
        <v>0</v>
      </c>
      <c r="I697" t="n">
        <v>0</v>
      </c>
      <c r="J697" t="n">
        <v>0</v>
      </c>
      <c r="K697" t="n">
        <v>0</v>
      </c>
      <c r="L697" t="n">
        <v>0</v>
      </c>
      <c r="M697" t="n">
        <v>0</v>
      </c>
      <c r="N697" t="n">
        <v>0</v>
      </c>
      <c r="O697" t="n">
        <v>0</v>
      </c>
      <c r="P697" t="n">
        <v>0</v>
      </c>
      <c r="Q697" t="n">
        <v>0</v>
      </c>
      <c r="R697" s="2" t="inlineStr"/>
    </row>
    <row r="698" ht="15" customHeight="1">
      <c r="A698" t="inlineStr">
        <is>
          <t>A 19349-2024</t>
        </is>
      </c>
      <c r="B698" s="1" t="n">
        <v>45428.97231481481</v>
      </c>
      <c r="C698" s="1" t="n">
        <v>45990</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44516-2024</t>
        </is>
      </c>
      <c r="B699" s="1" t="n">
        <v>45574</v>
      </c>
      <c r="C699" s="1" t="n">
        <v>45990</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24457-2024</t>
        </is>
      </c>
      <c r="B700" s="1" t="n">
        <v>45457.96708333334</v>
      </c>
      <c r="C700" s="1" t="n">
        <v>45990</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45990</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16626-2024</t>
        </is>
      </c>
      <c r="B702" s="1" t="n">
        <v>45408</v>
      </c>
      <c r="C702" s="1" t="n">
        <v>45990</v>
      </c>
      <c r="D702" t="inlineStr">
        <is>
          <t>VÄSTERBOTTENS LÄN</t>
        </is>
      </c>
      <c r="E702" t="inlineStr">
        <is>
          <t>VILHELMINA</t>
        </is>
      </c>
      <c r="G702" t="n">
        <v>15.5</v>
      </c>
      <c r="H702" t="n">
        <v>0</v>
      </c>
      <c r="I702" t="n">
        <v>0</v>
      </c>
      <c r="J702" t="n">
        <v>0</v>
      </c>
      <c r="K702" t="n">
        <v>0</v>
      </c>
      <c r="L702" t="n">
        <v>0</v>
      </c>
      <c r="M702" t="n">
        <v>0</v>
      </c>
      <c r="N702" t="n">
        <v>0</v>
      </c>
      <c r="O702" t="n">
        <v>0</v>
      </c>
      <c r="P702" t="n">
        <v>0</v>
      </c>
      <c r="Q702" t="n">
        <v>0</v>
      </c>
      <c r="R702" s="2" t="inlineStr"/>
    </row>
    <row r="703" ht="15" customHeight="1">
      <c r="A703" t="inlineStr">
        <is>
          <t>A 10268-2025</t>
        </is>
      </c>
      <c r="B703" s="1" t="n">
        <v>45720</v>
      </c>
      <c r="C703" s="1" t="n">
        <v>45990</v>
      </c>
      <c r="D703" t="inlineStr">
        <is>
          <t>VÄSTERBOTTENS LÄN</t>
        </is>
      </c>
      <c r="E703" t="inlineStr">
        <is>
          <t>VILHELMINA</t>
        </is>
      </c>
      <c r="G703" t="n">
        <v>1.9</v>
      </c>
      <c r="H703" t="n">
        <v>0</v>
      </c>
      <c r="I703" t="n">
        <v>0</v>
      </c>
      <c r="J703" t="n">
        <v>0</v>
      </c>
      <c r="K703" t="n">
        <v>0</v>
      </c>
      <c r="L703" t="n">
        <v>0</v>
      </c>
      <c r="M703" t="n">
        <v>0</v>
      </c>
      <c r="N703" t="n">
        <v>0</v>
      </c>
      <c r="O703" t="n">
        <v>0</v>
      </c>
      <c r="P703" t="n">
        <v>0</v>
      </c>
      <c r="Q703" t="n">
        <v>0</v>
      </c>
      <c r="R703" s="2" t="inlineStr"/>
    </row>
    <row r="704" ht="15" customHeight="1">
      <c r="A704" t="inlineStr">
        <is>
          <t>A 23543-2024</t>
        </is>
      </c>
      <c r="B704" s="1" t="n">
        <v>45453</v>
      </c>
      <c r="C704" s="1" t="n">
        <v>45990</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22107-2024</t>
        </is>
      </c>
      <c r="B705" s="1" t="n">
        <v>45443</v>
      </c>
      <c r="C705" s="1" t="n">
        <v>45990</v>
      </c>
      <c r="D705" t="inlineStr">
        <is>
          <t>VÄSTERBOTTENS LÄN</t>
        </is>
      </c>
      <c r="E705" t="inlineStr">
        <is>
          <t>VILHELMINA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45990</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13829-2025</t>
        </is>
      </c>
      <c r="B707" s="1" t="n">
        <v>45737</v>
      </c>
      <c r="C707" s="1" t="n">
        <v>45990</v>
      </c>
      <c r="D707" t="inlineStr">
        <is>
          <t>VÄSTERBOTTENS LÄN</t>
        </is>
      </c>
      <c r="E707" t="inlineStr">
        <is>
          <t>VILHELMINA</t>
        </is>
      </c>
      <c r="F707" t="inlineStr">
        <is>
          <t>Övriga statliga verk och myndigheter</t>
        </is>
      </c>
      <c r="G707" t="n">
        <v>39.7</v>
      </c>
      <c r="H707" t="n">
        <v>0</v>
      </c>
      <c r="I707" t="n">
        <v>0</v>
      </c>
      <c r="J707" t="n">
        <v>0</v>
      </c>
      <c r="K707" t="n">
        <v>0</v>
      </c>
      <c r="L707" t="n">
        <v>0</v>
      </c>
      <c r="M707" t="n">
        <v>0</v>
      </c>
      <c r="N707" t="n">
        <v>0</v>
      </c>
      <c r="O707" t="n">
        <v>0</v>
      </c>
      <c r="P707" t="n">
        <v>0</v>
      </c>
      <c r="Q707" t="n">
        <v>0</v>
      </c>
      <c r="R707" s="2" t="inlineStr"/>
    </row>
    <row r="708" ht="15" customHeight="1">
      <c r="A708" t="inlineStr">
        <is>
          <t>A 39670-2024</t>
        </is>
      </c>
      <c r="B708" s="1" t="n">
        <v>45552.5315162037</v>
      </c>
      <c r="C708" s="1" t="n">
        <v>45990</v>
      </c>
      <c r="D708" t="inlineStr">
        <is>
          <t>VÄSTERBOTTENS LÄN</t>
        </is>
      </c>
      <c r="E708" t="inlineStr">
        <is>
          <t>VILHELMINA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45990</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48505-2023</t>
        </is>
      </c>
      <c r="B710" s="1" t="n">
        <v>45207.93900462963</v>
      </c>
      <c r="C710" s="1" t="n">
        <v>45990</v>
      </c>
      <c r="D710" t="inlineStr">
        <is>
          <t>VÄSTERBOTTENS LÄN</t>
        </is>
      </c>
      <c r="E710" t="inlineStr">
        <is>
          <t>VILHELMINA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52749-2023</t>
        </is>
      </c>
      <c r="B711" s="1" t="n">
        <v>45225.9678587963</v>
      </c>
      <c r="C711" s="1" t="n">
        <v>45990</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35984-2023</t>
        </is>
      </c>
      <c r="B712" s="1" t="n">
        <v>45148.96195601852</v>
      </c>
      <c r="C712" s="1" t="n">
        <v>45990</v>
      </c>
      <c r="D712" t="inlineStr">
        <is>
          <t>VÄSTERBOTTENS LÄN</t>
        </is>
      </c>
      <c r="E712" t="inlineStr">
        <is>
          <t>VILHELMINA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48422-2023</t>
        </is>
      </c>
      <c r="B713" s="1" t="n">
        <v>45205</v>
      </c>
      <c r="C713" s="1" t="n">
        <v>45990</v>
      </c>
      <c r="D713" t="inlineStr">
        <is>
          <t>VÄSTERBOTTENS LÄN</t>
        </is>
      </c>
      <c r="E713" t="inlineStr">
        <is>
          <t>VILHELMINA</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53987-2021</t>
        </is>
      </c>
      <c r="B714" s="1" t="n">
        <v>44470.31884259259</v>
      </c>
      <c r="C714" s="1" t="n">
        <v>45990</v>
      </c>
      <c r="D714" t="inlineStr">
        <is>
          <t>VÄSTERBOTTENS LÄN</t>
        </is>
      </c>
      <c r="E714" t="inlineStr">
        <is>
          <t>VILHELMINA</t>
        </is>
      </c>
      <c r="F714" t="inlineStr">
        <is>
          <t>Kommuner</t>
        </is>
      </c>
      <c r="G714" t="n">
        <v>10</v>
      </c>
      <c r="H714" t="n">
        <v>0</v>
      </c>
      <c r="I714" t="n">
        <v>0</v>
      </c>
      <c r="J714" t="n">
        <v>0</v>
      </c>
      <c r="K714" t="n">
        <v>0</v>
      </c>
      <c r="L714" t="n">
        <v>0</v>
      </c>
      <c r="M714" t="n">
        <v>0</v>
      </c>
      <c r="N714" t="n">
        <v>0</v>
      </c>
      <c r="O714" t="n">
        <v>0</v>
      </c>
      <c r="P714" t="n">
        <v>0</v>
      </c>
      <c r="Q714" t="n">
        <v>0</v>
      </c>
      <c r="R714" s="2" t="inlineStr"/>
    </row>
    <row r="715" ht="15" customHeight="1">
      <c r="A715" t="inlineStr">
        <is>
          <t>A 54985-2023</t>
        </is>
      </c>
      <c r="B715" s="1" t="n">
        <v>45236</v>
      </c>
      <c r="C715" s="1" t="n">
        <v>45990</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59030-2022</t>
        </is>
      </c>
      <c r="B716" s="1" t="n">
        <v>44903</v>
      </c>
      <c r="C716" s="1" t="n">
        <v>45990</v>
      </c>
      <c r="D716" t="inlineStr">
        <is>
          <t>VÄSTERBOTTENS LÄN</t>
        </is>
      </c>
      <c r="E716" t="inlineStr">
        <is>
          <t>VILHELMINA</t>
        </is>
      </c>
      <c r="G716" t="n">
        <v>17.8</v>
      </c>
      <c r="H716" t="n">
        <v>0</v>
      </c>
      <c r="I716" t="n">
        <v>0</v>
      </c>
      <c r="J716" t="n">
        <v>0</v>
      </c>
      <c r="K716" t="n">
        <v>0</v>
      </c>
      <c r="L716" t="n">
        <v>0</v>
      </c>
      <c r="M716" t="n">
        <v>0</v>
      </c>
      <c r="N716" t="n">
        <v>0</v>
      </c>
      <c r="O716" t="n">
        <v>0</v>
      </c>
      <c r="P716" t="n">
        <v>0</v>
      </c>
      <c r="Q716" t="n">
        <v>0</v>
      </c>
      <c r="R716" s="2" t="inlineStr"/>
    </row>
    <row r="717" ht="15" customHeight="1">
      <c r="A717" t="inlineStr">
        <is>
          <t>A 9916-2021</t>
        </is>
      </c>
      <c r="B717" s="1" t="n">
        <v>44253</v>
      </c>
      <c r="C717" s="1" t="n">
        <v>45990</v>
      </c>
      <c r="D717" t="inlineStr">
        <is>
          <t>VÄSTERBOTTENS LÄN</t>
        </is>
      </c>
      <c r="E717" t="inlineStr">
        <is>
          <t>VILHELMINA</t>
        </is>
      </c>
      <c r="G717" t="n">
        <v>1</v>
      </c>
      <c r="H717" t="n">
        <v>0</v>
      </c>
      <c r="I717" t="n">
        <v>0</v>
      </c>
      <c r="J717" t="n">
        <v>0</v>
      </c>
      <c r="K717" t="n">
        <v>0</v>
      </c>
      <c r="L717" t="n">
        <v>0</v>
      </c>
      <c r="M717" t="n">
        <v>0</v>
      </c>
      <c r="N717" t="n">
        <v>0</v>
      </c>
      <c r="O717" t="n">
        <v>0</v>
      </c>
      <c r="P717" t="n">
        <v>0</v>
      </c>
      <c r="Q717" t="n">
        <v>0</v>
      </c>
      <c r="R717" s="2" t="inlineStr"/>
    </row>
    <row r="718" ht="15" customHeight="1">
      <c r="A718" t="inlineStr">
        <is>
          <t>A 51825-2023</t>
        </is>
      </c>
      <c r="B718" s="1" t="n">
        <v>45222</v>
      </c>
      <c r="C718" s="1" t="n">
        <v>45990</v>
      </c>
      <c r="D718" t="inlineStr">
        <is>
          <t>VÄSTERBOTTENS LÄN</t>
        </is>
      </c>
      <c r="E718" t="inlineStr">
        <is>
          <t>VILHELMINA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19585-2024</t>
        </is>
      </c>
      <c r="B719" s="1" t="n">
        <v>45429</v>
      </c>
      <c r="C719" s="1" t="n">
        <v>45990</v>
      </c>
      <c r="D719" t="inlineStr">
        <is>
          <t>VÄSTERBOTTENS LÄN</t>
        </is>
      </c>
      <c r="E719" t="inlineStr">
        <is>
          <t>VILHELMINA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45990</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12229-2022</t>
        </is>
      </c>
      <c r="B721" s="1" t="n">
        <v>44637</v>
      </c>
      <c r="C721" s="1" t="n">
        <v>45990</v>
      </c>
      <c r="D721" t="inlineStr">
        <is>
          <t>VÄSTERBOTTENS LÄN</t>
        </is>
      </c>
      <c r="E721" t="inlineStr">
        <is>
          <t>VILHELMINA</t>
        </is>
      </c>
      <c r="G721" t="n">
        <v>5</v>
      </c>
      <c r="H721" t="n">
        <v>0</v>
      </c>
      <c r="I721" t="n">
        <v>0</v>
      </c>
      <c r="J721" t="n">
        <v>0</v>
      </c>
      <c r="K721" t="n">
        <v>0</v>
      </c>
      <c r="L721" t="n">
        <v>0</v>
      </c>
      <c r="M721" t="n">
        <v>0</v>
      </c>
      <c r="N721" t="n">
        <v>0</v>
      </c>
      <c r="O721" t="n">
        <v>0</v>
      </c>
      <c r="P721" t="n">
        <v>0</v>
      </c>
      <c r="Q721" t="n">
        <v>0</v>
      </c>
      <c r="R721" s="2" t="inlineStr"/>
    </row>
    <row r="722" ht="15" customHeight="1">
      <c r="A722" t="inlineStr">
        <is>
          <t>A 27917-2024</t>
        </is>
      </c>
      <c r="B722" s="1" t="n">
        <v>45475.94844907407</v>
      </c>
      <c r="C722" s="1" t="n">
        <v>45990</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45990</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45990</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45990</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45990</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45990</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45990</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45990</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45990</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45990</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34762-2024</t>
        </is>
      </c>
      <c r="B732" s="1" t="n">
        <v>45526.61637731481</v>
      </c>
      <c r="C732" s="1" t="n">
        <v>45990</v>
      </c>
      <c r="D732" t="inlineStr">
        <is>
          <t>VÄSTERBOTTENS LÄN</t>
        </is>
      </c>
      <c r="E732" t="inlineStr">
        <is>
          <t>VILHELMINA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31851-2024</t>
        </is>
      </c>
      <c r="B733" s="1" t="n">
        <v>45509</v>
      </c>
      <c r="C733" s="1" t="n">
        <v>45990</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31896-2024</t>
        </is>
      </c>
      <c r="B734" s="1" t="n">
        <v>45509</v>
      </c>
      <c r="C734" s="1" t="n">
        <v>45990</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43251-2024</t>
        </is>
      </c>
      <c r="B735" s="1" t="n">
        <v>45568.34429398148</v>
      </c>
      <c r="C735" s="1" t="n">
        <v>45990</v>
      </c>
      <c r="D735" t="inlineStr">
        <is>
          <t>VÄSTERBOTTENS LÄN</t>
        </is>
      </c>
      <c r="E735" t="inlineStr">
        <is>
          <t>VILHELMINA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70849-2021</t>
        </is>
      </c>
      <c r="B736" s="1" t="n">
        <v>44532</v>
      </c>
      <c r="C736" s="1" t="n">
        <v>45990</v>
      </c>
      <c r="D736" t="inlineStr">
        <is>
          <t>VÄSTERBOTTENS LÄN</t>
        </is>
      </c>
      <c r="E736" t="inlineStr">
        <is>
          <t>VILHELMINA</t>
        </is>
      </c>
      <c r="G736" t="n">
        <v>21.4</v>
      </c>
      <c r="H736" t="n">
        <v>0</v>
      </c>
      <c r="I736" t="n">
        <v>0</v>
      </c>
      <c r="J736" t="n">
        <v>0</v>
      </c>
      <c r="K736" t="n">
        <v>0</v>
      </c>
      <c r="L736" t="n">
        <v>0</v>
      </c>
      <c r="M736" t="n">
        <v>0</v>
      </c>
      <c r="N736" t="n">
        <v>0</v>
      </c>
      <c r="O736" t="n">
        <v>0</v>
      </c>
      <c r="P736" t="n">
        <v>0</v>
      </c>
      <c r="Q736" t="n">
        <v>0</v>
      </c>
      <c r="R736" s="2" t="inlineStr"/>
    </row>
    <row r="737" ht="15" customHeight="1">
      <c r="A737" t="inlineStr">
        <is>
          <t>A 12043-2023</t>
        </is>
      </c>
      <c r="B737" s="1" t="n">
        <v>44995</v>
      </c>
      <c r="C737" s="1" t="n">
        <v>45990</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57108-2023</t>
        </is>
      </c>
      <c r="B738" s="1" t="n">
        <v>45239</v>
      </c>
      <c r="C738" s="1" t="n">
        <v>45990</v>
      </c>
      <c r="D738" t="inlineStr">
        <is>
          <t>VÄSTERBOTTENS LÄN</t>
        </is>
      </c>
      <c r="E738" t="inlineStr">
        <is>
          <t>VILHELMINA</t>
        </is>
      </c>
      <c r="G738" t="n">
        <v>0.6</v>
      </c>
      <c r="H738" t="n">
        <v>0</v>
      </c>
      <c r="I738" t="n">
        <v>0</v>
      </c>
      <c r="J738" t="n">
        <v>0</v>
      </c>
      <c r="K738" t="n">
        <v>0</v>
      </c>
      <c r="L738" t="n">
        <v>0</v>
      </c>
      <c r="M738" t="n">
        <v>0</v>
      </c>
      <c r="N738" t="n">
        <v>0</v>
      </c>
      <c r="O738" t="n">
        <v>0</v>
      </c>
      <c r="P738" t="n">
        <v>0</v>
      </c>
      <c r="Q738" t="n">
        <v>0</v>
      </c>
      <c r="R738" s="2" t="inlineStr"/>
    </row>
    <row r="739" ht="15" customHeight="1">
      <c r="A739" t="inlineStr">
        <is>
          <t>A 54727-2022</t>
        </is>
      </c>
      <c r="B739" s="1" t="n">
        <v>44881</v>
      </c>
      <c r="C739" s="1" t="n">
        <v>45990</v>
      </c>
      <c r="D739" t="inlineStr">
        <is>
          <t>VÄSTERBOTTENS LÄN</t>
        </is>
      </c>
      <c r="E739" t="inlineStr">
        <is>
          <t>VILHELMINA</t>
        </is>
      </c>
      <c r="G739" t="n">
        <v>4.3</v>
      </c>
      <c r="H739" t="n">
        <v>0</v>
      </c>
      <c r="I739" t="n">
        <v>0</v>
      </c>
      <c r="J739" t="n">
        <v>0</v>
      </c>
      <c r="K739" t="n">
        <v>0</v>
      </c>
      <c r="L739" t="n">
        <v>0</v>
      </c>
      <c r="M739" t="n">
        <v>0</v>
      </c>
      <c r="N739" t="n">
        <v>0</v>
      </c>
      <c r="O739" t="n">
        <v>0</v>
      </c>
      <c r="P739" t="n">
        <v>0</v>
      </c>
      <c r="Q739" t="n">
        <v>0</v>
      </c>
      <c r="R739" s="2" t="inlineStr"/>
    </row>
    <row r="740" ht="15" customHeight="1">
      <c r="A740" t="inlineStr">
        <is>
          <t>A 50506-2023</t>
        </is>
      </c>
      <c r="B740" s="1" t="n">
        <v>45216.9580787037</v>
      </c>
      <c r="C740" s="1" t="n">
        <v>45990</v>
      </c>
      <c r="D740" t="inlineStr">
        <is>
          <t>VÄSTERBOTTENS LÄN</t>
        </is>
      </c>
      <c r="E740" t="inlineStr">
        <is>
          <t>VILHELMINA</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29922-2024</t>
        </is>
      </c>
      <c r="B741" s="1" t="n">
        <v>45487.9563425926</v>
      </c>
      <c r="C741" s="1" t="n">
        <v>45990</v>
      </c>
      <c r="D741" t="inlineStr">
        <is>
          <t>VÄSTERBOTTENS LÄN</t>
        </is>
      </c>
      <c r="E741" t="inlineStr">
        <is>
          <t>VILHELMINA</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17302-2025</t>
        </is>
      </c>
      <c r="B742" s="1" t="n">
        <v>45756</v>
      </c>
      <c r="C742" s="1" t="n">
        <v>45990</v>
      </c>
      <c r="D742" t="inlineStr">
        <is>
          <t>VÄSTERBOTTENS LÄN</t>
        </is>
      </c>
      <c r="E742" t="inlineStr">
        <is>
          <t>VILHELMINA</t>
        </is>
      </c>
      <c r="G742" t="n">
        <v>6.6</v>
      </c>
      <c r="H742" t="n">
        <v>0</v>
      </c>
      <c r="I742" t="n">
        <v>0</v>
      </c>
      <c r="J742" t="n">
        <v>0</v>
      </c>
      <c r="K742" t="n">
        <v>0</v>
      </c>
      <c r="L742" t="n">
        <v>0</v>
      </c>
      <c r="M742" t="n">
        <v>0</v>
      </c>
      <c r="N742" t="n">
        <v>0</v>
      </c>
      <c r="O742" t="n">
        <v>0</v>
      </c>
      <c r="P742" t="n">
        <v>0</v>
      </c>
      <c r="Q742" t="n">
        <v>0</v>
      </c>
      <c r="R742" s="2" t="inlineStr"/>
    </row>
    <row r="743" ht="15" customHeight="1">
      <c r="A743" t="inlineStr">
        <is>
          <t>A 17307-2025</t>
        </is>
      </c>
      <c r="B743" s="1" t="n">
        <v>45756</v>
      </c>
      <c r="C743" s="1" t="n">
        <v>45990</v>
      </c>
      <c r="D743" t="inlineStr">
        <is>
          <t>VÄSTERBOTTENS LÄN</t>
        </is>
      </c>
      <c r="E743" t="inlineStr">
        <is>
          <t>VILHELMINA</t>
        </is>
      </c>
      <c r="G743" t="n">
        <v>11.2</v>
      </c>
      <c r="H743" t="n">
        <v>0</v>
      </c>
      <c r="I743" t="n">
        <v>0</v>
      </c>
      <c r="J743" t="n">
        <v>0</v>
      </c>
      <c r="K743" t="n">
        <v>0</v>
      </c>
      <c r="L743" t="n">
        <v>0</v>
      </c>
      <c r="M743" t="n">
        <v>0</v>
      </c>
      <c r="N743" t="n">
        <v>0</v>
      </c>
      <c r="O743" t="n">
        <v>0</v>
      </c>
      <c r="P743" t="n">
        <v>0</v>
      </c>
      <c r="Q743" t="n">
        <v>0</v>
      </c>
      <c r="R743" s="2" t="inlineStr"/>
    </row>
    <row r="744" ht="15" customHeight="1">
      <c r="A744" t="inlineStr">
        <is>
          <t>A 17314-2025</t>
        </is>
      </c>
      <c r="B744" s="1" t="n">
        <v>45756</v>
      </c>
      <c r="C744" s="1" t="n">
        <v>45990</v>
      </c>
      <c r="D744" t="inlineStr">
        <is>
          <t>VÄSTERBOTTENS LÄN</t>
        </is>
      </c>
      <c r="E744" t="inlineStr">
        <is>
          <t>VILHELMINA</t>
        </is>
      </c>
      <c r="G744" t="n">
        <v>3.4</v>
      </c>
      <c r="H744" t="n">
        <v>0</v>
      </c>
      <c r="I744" t="n">
        <v>0</v>
      </c>
      <c r="J744" t="n">
        <v>0</v>
      </c>
      <c r="K744" t="n">
        <v>0</v>
      </c>
      <c r="L744" t="n">
        <v>0</v>
      </c>
      <c r="M744" t="n">
        <v>0</v>
      </c>
      <c r="N744" t="n">
        <v>0</v>
      </c>
      <c r="O744" t="n">
        <v>0</v>
      </c>
      <c r="P744" t="n">
        <v>0</v>
      </c>
      <c r="Q744" t="n">
        <v>0</v>
      </c>
      <c r="R744" s="2" t="inlineStr"/>
    </row>
    <row r="745" ht="15" customHeight="1">
      <c r="A745" t="inlineStr">
        <is>
          <t>A 8745-2023</t>
        </is>
      </c>
      <c r="B745" s="1" t="n">
        <v>44972</v>
      </c>
      <c r="C745" s="1" t="n">
        <v>45990</v>
      </c>
      <c r="D745" t="inlineStr">
        <is>
          <t>VÄSTERBOTTENS LÄN</t>
        </is>
      </c>
      <c r="E745" t="inlineStr">
        <is>
          <t>VILHELMINA</t>
        </is>
      </c>
      <c r="F745" t="inlineStr">
        <is>
          <t>Allmännings- och besparingsskogar</t>
        </is>
      </c>
      <c r="G745" t="n">
        <v>41</v>
      </c>
      <c r="H745" t="n">
        <v>0</v>
      </c>
      <c r="I745" t="n">
        <v>0</v>
      </c>
      <c r="J745" t="n">
        <v>0</v>
      </c>
      <c r="K745" t="n">
        <v>0</v>
      </c>
      <c r="L745" t="n">
        <v>0</v>
      </c>
      <c r="M745" t="n">
        <v>0</v>
      </c>
      <c r="N745" t="n">
        <v>0</v>
      </c>
      <c r="O745" t="n">
        <v>0</v>
      </c>
      <c r="P745" t="n">
        <v>0</v>
      </c>
      <c r="Q745" t="n">
        <v>0</v>
      </c>
      <c r="R745" s="2" t="inlineStr"/>
    </row>
    <row r="746" ht="15" customHeight="1">
      <c r="A746" t="inlineStr">
        <is>
          <t>A 8229-2022</t>
        </is>
      </c>
      <c r="B746" s="1" t="n">
        <v>44609</v>
      </c>
      <c r="C746" s="1" t="n">
        <v>45990</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252-2025</t>
        </is>
      </c>
      <c r="B747" s="1" t="n">
        <v>45660.42734953704</v>
      </c>
      <c r="C747" s="1" t="n">
        <v>45990</v>
      </c>
      <c r="D747" t="inlineStr">
        <is>
          <t>VÄSTERBOTTENS LÄN</t>
        </is>
      </c>
      <c r="E747" t="inlineStr">
        <is>
          <t>VILHELMINA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296-2025</t>
        </is>
      </c>
      <c r="B748" s="1" t="n">
        <v>45660.53215277778</v>
      </c>
      <c r="C748" s="1" t="n">
        <v>45990</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36219-2023</t>
        </is>
      </c>
      <c r="B749" s="1" t="n">
        <v>45149.95310185185</v>
      </c>
      <c r="C749" s="1" t="n">
        <v>45990</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54727-2024</t>
        </is>
      </c>
      <c r="B750" s="1" t="n">
        <v>45618.43804398148</v>
      </c>
      <c r="C750" s="1" t="n">
        <v>45990</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45990</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45990</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37937-2023</t>
        </is>
      </c>
      <c r="B753" s="1" t="n">
        <v>45159</v>
      </c>
      <c r="C753" s="1" t="n">
        <v>45990</v>
      </c>
      <c r="D753" t="inlineStr">
        <is>
          <t>VÄSTERBOTTENS LÄN</t>
        </is>
      </c>
      <c r="E753" t="inlineStr">
        <is>
          <t>VILHELMINA</t>
        </is>
      </c>
      <c r="G753" t="n">
        <v>2.2</v>
      </c>
      <c r="H753" t="n">
        <v>0</v>
      </c>
      <c r="I753" t="n">
        <v>0</v>
      </c>
      <c r="J753" t="n">
        <v>0</v>
      </c>
      <c r="K753" t="n">
        <v>0</v>
      </c>
      <c r="L753" t="n">
        <v>0</v>
      </c>
      <c r="M753" t="n">
        <v>0</v>
      </c>
      <c r="N753" t="n">
        <v>0</v>
      </c>
      <c r="O753" t="n">
        <v>0</v>
      </c>
      <c r="P753" t="n">
        <v>0</v>
      </c>
      <c r="Q753" t="n">
        <v>0</v>
      </c>
      <c r="R753" s="2" t="inlineStr"/>
    </row>
    <row r="754" ht="15" customHeight="1">
      <c r="A754" t="inlineStr">
        <is>
          <t>A 46177-2023</t>
        </is>
      </c>
      <c r="B754" s="1" t="n">
        <v>45190</v>
      </c>
      <c r="C754" s="1" t="n">
        <v>45990</v>
      </c>
      <c r="D754" t="inlineStr">
        <is>
          <t>VÄSTERBOTTENS LÄN</t>
        </is>
      </c>
      <c r="E754" t="inlineStr">
        <is>
          <t>VILHELMINA</t>
        </is>
      </c>
      <c r="F754" t="inlineStr">
        <is>
          <t>Övriga Aktiebolag</t>
        </is>
      </c>
      <c r="G754" t="n">
        <v>7.7</v>
      </c>
      <c r="H754" t="n">
        <v>0</v>
      </c>
      <c r="I754" t="n">
        <v>0</v>
      </c>
      <c r="J754" t="n">
        <v>0</v>
      </c>
      <c r="K754" t="n">
        <v>0</v>
      </c>
      <c r="L754" t="n">
        <v>0</v>
      </c>
      <c r="M754" t="n">
        <v>0</v>
      </c>
      <c r="N754" t="n">
        <v>0</v>
      </c>
      <c r="O754" t="n">
        <v>0</v>
      </c>
      <c r="P754" t="n">
        <v>0</v>
      </c>
      <c r="Q754" t="n">
        <v>0</v>
      </c>
      <c r="R754" s="2" t="inlineStr"/>
    </row>
    <row r="755" ht="15" customHeight="1">
      <c r="A755" t="inlineStr">
        <is>
          <t>A 468-2024</t>
        </is>
      </c>
      <c r="B755" s="1" t="n">
        <v>45297</v>
      </c>
      <c r="C755" s="1" t="n">
        <v>45990</v>
      </c>
      <c r="D755" t="inlineStr">
        <is>
          <t>VÄSTERBOTTENS LÄN</t>
        </is>
      </c>
      <c r="E755" t="inlineStr">
        <is>
          <t>VILHELMINA</t>
        </is>
      </c>
      <c r="G755" t="n">
        <v>6.7</v>
      </c>
      <c r="H755" t="n">
        <v>0</v>
      </c>
      <c r="I755" t="n">
        <v>0</v>
      </c>
      <c r="J755" t="n">
        <v>0</v>
      </c>
      <c r="K755" t="n">
        <v>0</v>
      </c>
      <c r="L755" t="n">
        <v>0</v>
      </c>
      <c r="M755" t="n">
        <v>0</v>
      </c>
      <c r="N755" t="n">
        <v>0</v>
      </c>
      <c r="O755" t="n">
        <v>0</v>
      </c>
      <c r="P755" t="n">
        <v>0</v>
      </c>
      <c r="Q755" t="n">
        <v>0</v>
      </c>
      <c r="R755" s="2" t="inlineStr"/>
    </row>
    <row r="756" ht="15" customHeight="1">
      <c r="A756" t="inlineStr">
        <is>
          <t>A 9181-2023</t>
        </is>
      </c>
      <c r="B756" s="1" t="n">
        <v>44972</v>
      </c>
      <c r="C756" s="1" t="n">
        <v>45990</v>
      </c>
      <c r="D756" t="inlineStr">
        <is>
          <t>VÄSTERBOTTENS LÄN</t>
        </is>
      </c>
      <c r="E756" t="inlineStr">
        <is>
          <t>VILHELMINA</t>
        </is>
      </c>
      <c r="F756" t="inlineStr">
        <is>
          <t>Allmännings- och besparingsskogar</t>
        </is>
      </c>
      <c r="G756" t="n">
        <v>220.1</v>
      </c>
      <c r="H756" t="n">
        <v>0</v>
      </c>
      <c r="I756" t="n">
        <v>0</v>
      </c>
      <c r="J756" t="n">
        <v>0</v>
      </c>
      <c r="K756" t="n">
        <v>0</v>
      </c>
      <c r="L756" t="n">
        <v>0</v>
      </c>
      <c r="M756" t="n">
        <v>0</v>
      </c>
      <c r="N756" t="n">
        <v>0</v>
      </c>
      <c r="O756" t="n">
        <v>0</v>
      </c>
      <c r="P756" t="n">
        <v>0</v>
      </c>
      <c r="Q756" t="n">
        <v>0</v>
      </c>
      <c r="R756" s="2" t="inlineStr"/>
    </row>
    <row r="757" ht="15" customHeight="1">
      <c r="A757" t="inlineStr">
        <is>
          <t>A 33412-2023</t>
        </is>
      </c>
      <c r="B757" s="1" t="n">
        <v>45117</v>
      </c>
      <c r="C757" s="1" t="n">
        <v>45990</v>
      </c>
      <c r="D757" t="inlineStr">
        <is>
          <t>VÄSTERBOTTENS LÄN</t>
        </is>
      </c>
      <c r="E757" t="inlineStr">
        <is>
          <t>VILHELMINA</t>
        </is>
      </c>
      <c r="F757" t="inlineStr">
        <is>
          <t>Övriga Aktiebolag</t>
        </is>
      </c>
      <c r="G757" t="n">
        <v>0.3</v>
      </c>
      <c r="H757" t="n">
        <v>0</v>
      </c>
      <c r="I757" t="n">
        <v>0</v>
      </c>
      <c r="J757" t="n">
        <v>0</v>
      </c>
      <c r="K757" t="n">
        <v>0</v>
      </c>
      <c r="L757" t="n">
        <v>0</v>
      </c>
      <c r="M757" t="n">
        <v>0</v>
      </c>
      <c r="N757" t="n">
        <v>0</v>
      </c>
      <c r="O757" t="n">
        <v>0</v>
      </c>
      <c r="P757" t="n">
        <v>0</v>
      </c>
      <c r="Q757" t="n">
        <v>0</v>
      </c>
      <c r="R757" s="2" t="inlineStr"/>
    </row>
    <row r="758" ht="15" customHeight="1">
      <c r="A758" t="inlineStr">
        <is>
          <t>A 11139-2022</t>
        </is>
      </c>
      <c r="B758" s="1" t="n">
        <v>44628</v>
      </c>
      <c r="C758" s="1" t="n">
        <v>45990</v>
      </c>
      <c r="D758" t="inlineStr">
        <is>
          <t>VÄSTERBOTTENS LÄN</t>
        </is>
      </c>
      <c r="E758" t="inlineStr">
        <is>
          <t>VILHELMINA</t>
        </is>
      </c>
      <c r="G758" t="n">
        <v>13.6</v>
      </c>
      <c r="H758" t="n">
        <v>0</v>
      </c>
      <c r="I758" t="n">
        <v>0</v>
      </c>
      <c r="J758" t="n">
        <v>0</v>
      </c>
      <c r="K758" t="n">
        <v>0</v>
      </c>
      <c r="L758" t="n">
        <v>0</v>
      </c>
      <c r="M758" t="n">
        <v>0</v>
      </c>
      <c r="N758" t="n">
        <v>0</v>
      </c>
      <c r="O758" t="n">
        <v>0</v>
      </c>
      <c r="P758" t="n">
        <v>0</v>
      </c>
      <c r="Q758" t="n">
        <v>0</v>
      </c>
      <c r="R758" s="2" t="inlineStr"/>
    </row>
    <row r="759" ht="15" customHeight="1">
      <c r="A759" t="inlineStr">
        <is>
          <t>A 29347-2021</t>
        </is>
      </c>
      <c r="B759" s="1" t="n">
        <v>44361</v>
      </c>
      <c r="C759" s="1" t="n">
        <v>45990</v>
      </c>
      <c r="D759" t="inlineStr">
        <is>
          <t>VÄSTERBOTTENS LÄN</t>
        </is>
      </c>
      <c r="E759" t="inlineStr">
        <is>
          <t>VILHELMINA</t>
        </is>
      </c>
      <c r="F759" t="inlineStr">
        <is>
          <t>Allmännings- och besparingsskogar</t>
        </is>
      </c>
      <c r="G759" t="n">
        <v>52</v>
      </c>
      <c r="H759" t="n">
        <v>0</v>
      </c>
      <c r="I759" t="n">
        <v>0</v>
      </c>
      <c r="J759" t="n">
        <v>0</v>
      </c>
      <c r="K759" t="n">
        <v>0</v>
      </c>
      <c r="L759" t="n">
        <v>0</v>
      </c>
      <c r="M759" t="n">
        <v>0</v>
      </c>
      <c r="N759" t="n">
        <v>0</v>
      </c>
      <c r="O759" t="n">
        <v>0</v>
      </c>
      <c r="P759" t="n">
        <v>0</v>
      </c>
      <c r="Q759" t="n">
        <v>0</v>
      </c>
      <c r="R759" s="2" t="inlineStr"/>
    </row>
    <row r="760" ht="15" customHeight="1">
      <c r="A760" t="inlineStr">
        <is>
          <t>A 29722-2024</t>
        </is>
      </c>
      <c r="B760" s="1" t="n">
        <v>45485</v>
      </c>
      <c r="C760" s="1" t="n">
        <v>45990</v>
      </c>
      <c r="D760" t="inlineStr">
        <is>
          <t>VÄSTERBOTTENS LÄN</t>
        </is>
      </c>
      <c r="E760" t="inlineStr">
        <is>
          <t>VILHELMINA</t>
        </is>
      </c>
      <c r="G760" t="n">
        <v>2.5</v>
      </c>
      <c r="H760" t="n">
        <v>0</v>
      </c>
      <c r="I760" t="n">
        <v>0</v>
      </c>
      <c r="J760" t="n">
        <v>0</v>
      </c>
      <c r="K760" t="n">
        <v>0</v>
      </c>
      <c r="L760" t="n">
        <v>0</v>
      </c>
      <c r="M760" t="n">
        <v>0</v>
      </c>
      <c r="N760" t="n">
        <v>0</v>
      </c>
      <c r="O760" t="n">
        <v>0</v>
      </c>
      <c r="P760" t="n">
        <v>0</v>
      </c>
      <c r="Q760" t="n">
        <v>0</v>
      </c>
      <c r="R760" s="2" t="inlineStr"/>
    </row>
    <row r="761" ht="15" customHeight="1">
      <c r="A761" t="inlineStr">
        <is>
          <t>A 33318-2024</t>
        </is>
      </c>
      <c r="B761" s="1" t="n">
        <v>45518.97211805556</v>
      </c>
      <c r="C761" s="1" t="n">
        <v>45990</v>
      </c>
      <c r="D761" t="inlineStr">
        <is>
          <t>VÄSTERBOTTENS LÄN</t>
        </is>
      </c>
      <c r="E761" t="inlineStr">
        <is>
          <t>VILHELMINA</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34807-2023</t>
        </is>
      </c>
      <c r="B762" s="1" t="n">
        <v>45140</v>
      </c>
      <c r="C762" s="1" t="n">
        <v>45990</v>
      </c>
      <c r="D762" t="inlineStr">
        <is>
          <t>VÄSTERBOTTENS LÄN</t>
        </is>
      </c>
      <c r="E762" t="inlineStr">
        <is>
          <t>VILHELMINA</t>
        </is>
      </c>
      <c r="G762" t="n">
        <v>8.1</v>
      </c>
      <c r="H762" t="n">
        <v>0</v>
      </c>
      <c r="I762" t="n">
        <v>0</v>
      </c>
      <c r="J762" t="n">
        <v>0</v>
      </c>
      <c r="K762" t="n">
        <v>0</v>
      </c>
      <c r="L762" t="n">
        <v>0</v>
      </c>
      <c r="M762" t="n">
        <v>0</v>
      </c>
      <c r="N762" t="n">
        <v>0</v>
      </c>
      <c r="O762" t="n">
        <v>0</v>
      </c>
      <c r="P762" t="n">
        <v>0</v>
      </c>
      <c r="Q762" t="n">
        <v>0</v>
      </c>
      <c r="R762" s="2" t="inlineStr"/>
    </row>
    <row r="763" ht="15" customHeight="1">
      <c r="A763" t="inlineStr">
        <is>
          <t>A 26663-2023</t>
        </is>
      </c>
      <c r="B763" s="1" t="n">
        <v>45092.94042824074</v>
      </c>
      <c r="C763" s="1" t="n">
        <v>45990</v>
      </c>
      <c r="D763" t="inlineStr">
        <is>
          <t>VÄSTERBOTTENS LÄN</t>
        </is>
      </c>
      <c r="E763" t="inlineStr">
        <is>
          <t>VILHELMINA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20322-2022</t>
        </is>
      </c>
      <c r="B764" s="1" t="n">
        <v>44698</v>
      </c>
      <c r="C764" s="1" t="n">
        <v>45990</v>
      </c>
      <c r="D764" t="inlineStr">
        <is>
          <t>VÄSTERBOTTENS LÄN</t>
        </is>
      </c>
      <c r="E764" t="inlineStr">
        <is>
          <t>VILHELMINA</t>
        </is>
      </c>
      <c r="G764" t="n">
        <v>10.5</v>
      </c>
      <c r="H764" t="n">
        <v>0</v>
      </c>
      <c r="I764" t="n">
        <v>0</v>
      </c>
      <c r="J764" t="n">
        <v>0</v>
      </c>
      <c r="K764" t="n">
        <v>0</v>
      </c>
      <c r="L764" t="n">
        <v>0</v>
      </c>
      <c r="M764" t="n">
        <v>0</v>
      </c>
      <c r="N764" t="n">
        <v>0</v>
      </c>
      <c r="O764" t="n">
        <v>0</v>
      </c>
      <c r="P764" t="n">
        <v>0</v>
      </c>
      <c r="Q764" t="n">
        <v>0</v>
      </c>
      <c r="R764" s="2" t="inlineStr"/>
    </row>
    <row r="765" ht="15" customHeight="1">
      <c r="A765" t="inlineStr">
        <is>
          <t>A 38222-2024</t>
        </is>
      </c>
      <c r="B765" s="1" t="n">
        <v>45545.53619212963</v>
      </c>
      <c r="C765" s="1" t="n">
        <v>45990</v>
      </c>
      <c r="D765" t="inlineStr">
        <is>
          <t>VÄSTERBOTTENS LÄN</t>
        </is>
      </c>
      <c r="E765" t="inlineStr">
        <is>
          <t>VILHELMINA</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56747-2023</t>
        </is>
      </c>
      <c r="B766" s="1" t="n">
        <v>45238</v>
      </c>
      <c r="C766" s="1" t="n">
        <v>45990</v>
      </c>
      <c r="D766" t="inlineStr">
        <is>
          <t>VÄSTERBOTTENS LÄN</t>
        </is>
      </c>
      <c r="E766" t="inlineStr">
        <is>
          <t>VILHELMINA</t>
        </is>
      </c>
      <c r="F766" t="inlineStr">
        <is>
          <t>Allmännings- och besparingsskogar</t>
        </is>
      </c>
      <c r="G766" t="n">
        <v>16.2</v>
      </c>
      <c r="H766" t="n">
        <v>0</v>
      </c>
      <c r="I766" t="n">
        <v>0</v>
      </c>
      <c r="J766" t="n">
        <v>0</v>
      </c>
      <c r="K766" t="n">
        <v>0</v>
      </c>
      <c r="L766" t="n">
        <v>0</v>
      </c>
      <c r="M766" t="n">
        <v>0</v>
      </c>
      <c r="N766" t="n">
        <v>0</v>
      </c>
      <c r="O766" t="n">
        <v>0</v>
      </c>
      <c r="P766" t="n">
        <v>0</v>
      </c>
      <c r="Q766" t="n">
        <v>0</v>
      </c>
      <c r="R766" s="2" t="inlineStr"/>
    </row>
    <row r="767" ht="15" customHeight="1">
      <c r="A767" t="inlineStr">
        <is>
          <t>A 56758-2023</t>
        </is>
      </c>
      <c r="B767" s="1" t="n">
        <v>45238</v>
      </c>
      <c r="C767" s="1" t="n">
        <v>45990</v>
      </c>
      <c r="D767" t="inlineStr">
        <is>
          <t>VÄSTERBOTTENS LÄN</t>
        </is>
      </c>
      <c r="E767" t="inlineStr">
        <is>
          <t>VILHELMINA</t>
        </is>
      </c>
      <c r="F767" t="inlineStr">
        <is>
          <t>Allmännings- och besparingsskogar</t>
        </is>
      </c>
      <c r="G767" t="n">
        <v>371.4</v>
      </c>
      <c r="H767" t="n">
        <v>0</v>
      </c>
      <c r="I767" t="n">
        <v>0</v>
      </c>
      <c r="J767" t="n">
        <v>0</v>
      </c>
      <c r="K767" t="n">
        <v>0</v>
      </c>
      <c r="L767" t="n">
        <v>0</v>
      </c>
      <c r="M767" t="n">
        <v>0</v>
      </c>
      <c r="N767" t="n">
        <v>0</v>
      </c>
      <c r="O767" t="n">
        <v>0</v>
      </c>
      <c r="P767" t="n">
        <v>0</v>
      </c>
      <c r="Q767" t="n">
        <v>0</v>
      </c>
      <c r="R767" s="2" t="inlineStr"/>
    </row>
    <row r="768" ht="15" customHeight="1">
      <c r="A768" t="inlineStr">
        <is>
          <t>A 12118-2024</t>
        </is>
      </c>
      <c r="B768" s="1" t="n">
        <v>45376</v>
      </c>
      <c r="C768" s="1" t="n">
        <v>45990</v>
      </c>
      <c r="D768" t="inlineStr">
        <is>
          <t>VÄSTERBOTTENS LÄN</t>
        </is>
      </c>
      <c r="E768" t="inlineStr">
        <is>
          <t>VILHELMINA</t>
        </is>
      </c>
      <c r="G768" t="n">
        <v>3.6</v>
      </c>
      <c r="H768" t="n">
        <v>0</v>
      </c>
      <c r="I768" t="n">
        <v>0</v>
      </c>
      <c r="J768" t="n">
        <v>0</v>
      </c>
      <c r="K768" t="n">
        <v>0</v>
      </c>
      <c r="L768" t="n">
        <v>0</v>
      </c>
      <c r="M768" t="n">
        <v>0</v>
      </c>
      <c r="N768" t="n">
        <v>0</v>
      </c>
      <c r="O768" t="n">
        <v>0</v>
      </c>
      <c r="P768" t="n">
        <v>0</v>
      </c>
      <c r="Q768" t="n">
        <v>0</v>
      </c>
      <c r="R768" s="2" t="inlineStr"/>
    </row>
    <row r="769" ht="15" customHeight="1">
      <c r="A769" t="inlineStr">
        <is>
          <t>A 15326-2024</t>
        </is>
      </c>
      <c r="B769" s="1" t="n">
        <v>45400</v>
      </c>
      <c r="C769" s="1" t="n">
        <v>45990</v>
      </c>
      <c r="D769" t="inlineStr">
        <is>
          <t>VÄSTERBOTTENS LÄN</t>
        </is>
      </c>
      <c r="E769" t="inlineStr">
        <is>
          <t>VILHELMINA</t>
        </is>
      </c>
      <c r="G769" t="n">
        <v>4.7</v>
      </c>
      <c r="H769" t="n">
        <v>0</v>
      </c>
      <c r="I769" t="n">
        <v>0</v>
      </c>
      <c r="J769" t="n">
        <v>0</v>
      </c>
      <c r="K769" t="n">
        <v>0</v>
      </c>
      <c r="L769" t="n">
        <v>0</v>
      </c>
      <c r="M769" t="n">
        <v>0</v>
      </c>
      <c r="N769" t="n">
        <v>0</v>
      </c>
      <c r="O769" t="n">
        <v>0</v>
      </c>
      <c r="P769" t="n">
        <v>0</v>
      </c>
      <c r="Q769" t="n">
        <v>0</v>
      </c>
      <c r="R769" s="2" t="inlineStr"/>
    </row>
    <row r="770" ht="15" customHeight="1">
      <c r="A770" t="inlineStr">
        <is>
          <t>A 48472-2023</t>
        </is>
      </c>
      <c r="B770" s="1" t="n">
        <v>45206.95761574074</v>
      </c>
      <c r="C770" s="1" t="n">
        <v>45990</v>
      </c>
      <c r="D770" t="inlineStr">
        <is>
          <t>VÄSTERBOTTENS LÄN</t>
        </is>
      </c>
      <c r="E770" t="inlineStr">
        <is>
          <t>VILHELMINA</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52740-2023</t>
        </is>
      </c>
      <c r="B771" s="1" t="n">
        <v>45225</v>
      </c>
      <c r="C771" s="1" t="n">
        <v>45990</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66952-2021</t>
        </is>
      </c>
      <c r="B772" s="1" t="n">
        <v>44522</v>
      </c>
      <c r="C772" s="1" t="n">
        <v>45990</v>
      </c>
      <c r="D772" t="inlineStr">
        <is>
          <t>VÄSTERBOTTENS LÄN</t>
        </is>
      </c>
      <c r="E772" t="inlineStr">
        <is>
          <t>VILHELMINA</t>
        </is>
      </c>
      <c r="F772" t="inlineStr">
        <is>
          <t>Allmännings- och besparingsskogar</t>
        </is>
      </c>
      <c r="G772" t="n">
        <v>70</v>
      </c>
      <c r="H772" t="n">
        <v>0</v>
      </c>
      <c r="I772" t="n">
        <v>0</v>
      </c>
      <c r="J772" t="n">
        <v>0</v>
      </c>
      <c r="K772" t="n">
        <v>0</v>
      </c>
      <c r="L772" t="n">
        <v>0</v>
      </c>
      <c r="M772" t="n">
        <v>0</v>
      </c>
      <c r="N772" t="n">
        <v>0</v>
      </c>
      <c r="O772" t="n">
        <v>0</v>
      </c>
      <c r="P772" t="n">
        <v>0</v>
      </c>
      <c r="Q772" t="n">
        <v>0</v>
      </c>
      <c r="R772" s="2" t="inlineStr"/>
    </row>
    <row r="773" ht="15" customHeight="1">
      <c r="A773" t="inlineStr">
        <is>
          <t>A 24828-2023</t>
        </is>
      </c>
      <c r="B773" s="1" t="n">
        <v>45084</v>
      </c>
      <c r="C773" s="1" t="n">
        <v>45990</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36972-2023</t>
        </is>
      </c>
      <c r="B774" s="1" t="n">
        <v>45154</v>
      </c>
      <c r="C774" s="1" t="n">
        <v>45990</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30575-2024</t>
        </is>
      </c>
      <c r="B775" s="1" t="n">
        <v>45492.95818287037</v>
      </c>
      <c r="C775" s="1" t="n">
        <v>45990</v>
      </c>
      <c r="D775" t="inlineStr">
        <is>
          <t>VÄSTERBOTTENS LÄN</t>
        </is>
      </c>
      <c r="E775" t="inlineStr">
        <is>
          <t>VILHELMINA</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30578-2024</t>
        </is>
      </c>
      <c r="B776" s="1" t="n">
        <v>45492.95939814814</v>
      </c>
      <c r="C776" s="1" t="n">
        <v>45990</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30580-2024</t>
        </is>
      </c>
      <c r="B777" s="1" t="n">
        <v>45492.95981481481</v>
      </c>
      <c r="C777" s="1" t="n">
        <v>45990</v>
      </c>
      <c r="D777" t="inlineStr">
        <is>
          <t>VÄSTERBOTTENS LÄN</t>
        </is>
      </c>
      <c r="E777" t="inlineStr">
        <is>
          <t>VILHELMINA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26381-2024</t>
        </is>
      </c>
      <c r="B778" s="1" t="n">
        <v>45469</v>
      </c>
      <c r="C778" s="1" t="n">
        <v>45990</v>
      </c>
      <c r="D778" t="inlineStr">
        <is>
          <t>VÄSTERBOTTENS LÄN</t>
        </is>
      </c>
      <c r="E778" t="inlineStr">
        <is>
          <t>VILHELMINA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36288-2021</t>
        </is>
      </c>
      <c r="B779" s="1" t="n">
        <v>44389</v>
      </c>
      <c r="C779" s="1" t="n">
        <v>45990</v>
      </c>
      <c r="D779" t="inlineStr">
        <is>
          <t>VÄSTERBOTTENS LÄN</t>
        </is>
      </c>
      <c r="E779" t="inlineStr">
        <is>
          <t>VILHELMINA</t>
        </is>
      </c>
      <c r="G779" t="n">
        <v>20.5</v>
      </c>
      <c r="H779" t="n">
        <v>0</v>
      </c>
      <c r="I779" t="n">
        <v>0</v>
      </c>
      <c r="J779" t="n">
        <v>0</v>
      </c>
      <c r="K779" t="n">
        <v>0</v>
      </c>
      <c r="L779" t="n">
        <v>0</v>
      </c>
      <c r="M779" t="n">
        <v>0</v>
      </c>
      <c r="N779" t="n">
        <v>0</v>
      </c>
      <c r="O779" t="n">
        <v>0</v>
      </c>
      <c r="P779" t="n">
        <v>0</v>
      </c>
      <c r="Q779" t="n">
        <v>0</v>
      </c>
      <c r="R779" s="2" t="inlineStr"/>
    </row>
    <row r="780" ht="15" customHeight="1">
      <c r="A780" t="inlineStr">
        <is>
          <t>A 16719-2025</t>
        </is>
      </c>
      <c r="B780" s="1" t="n">
        <v>45754.49008101852</v>
      </c>
      <c r="C780" s="1" t="n">
        <v>45990</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54457-2024</t>
        </is>
      </c>
      <c r="B781" s="1" t="n">
        <v>45617</v>
      </c>
      <c r="C781" s="1" t="n">
        <v>45990</v>
      </c>
      <c r="D781" t="inlineStr">
        <is>
          <t>VÄSTERBOTTENS LÄN</t>
        </is>
      </c>
      <c r="E781" t="inlineStr">
        <is>
          <t>VILHELMINA</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26000-2023</t>
        </is>
      </c>
      <c r="B782" s="1" t="n">
        <v>45090</v>
      </c>
      <c r="C782" s="1" t="n">
        <v>45990</v>
      </c>
      <c r="D782" t="inlineStr">
        <is>
          <t>VÄSTERBOTTENS LÄN</t>
        </is>
      </c>
      <c r="E782" t="inlineStr">
        <is>
          <t>VILHELMINA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37716-2024</t>
        </is>
      </c>
      <c r="B783" s="1" t="n">
        <v>45541.63592592593</v>
      </c>
      <c r="C783" s="1" t="n">
        <v>45990</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36376-2023</t>
        </is>
      </c>
      <c r="B784" s="1" t="n">
        <v>45152</v>
      </c>
      <c r="C784" s="1" t="n">
        <v>45990</v>
      </c>
      <c r="D784" t="inlineStr">
        <is>
          <t>VÄSTERBOTTENS LÄN</t>
        </is>
      </c>
      <c r="E784" t="inlineStr">
        <is>
          <t>VILHELMINA</t>
        </is>
      </c>
      <c r="G784" t="n">
        <v>12.7</v>
      </c>
      <c r="H784" t="n">
        <v>0</v>
      </c>
      <c r="I784" t="n">
        <v>0</v>
      </c>
      <c r="J784" t="n">
        <v>0</v>
      </c>
      <c r="K784" t="n">
        <v>0</v>
      </c>
      <c r="L784" t="n">
        <v>0</v>
      </c>
      <c r="M784" t="n">
        <v>0</v>
      </c>
      <c r="N784" t="n">
        <v>0</v>
      </c>
      <c r="O784" t="n">
        <v>0</v>
      </c>
      <c r="P784" t="n">
        <v>0</v>
      </c>
      <c r="Q784" t="n">
        <v>0</v>
      </c>
      <c r="R784" s="2" t="inlineStr"/>
    </row>
    <row r="785" ht="15" customHeight="1">
      <c r="A785" t="inlineStr">
        <is>
          <t>A 54984-2023</t>
        </is>
      </c>
      <c r="B785" s="1" t="n">
        <v>45236</v>
      </c>
      <c r="C785" s="1" t="n">
        <v>45990</v>
      </c>
      <c r="D785" t="inlineStr">
        <is>
          <t>VÄSTERBOTTENS LÄN</t>
        </is>
      </c>
      <c r="E785" t="inlineStr">
        <is>
          <t>VILHELMINA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10956-2023</t>
        </is>
      </c>
      <c r="B786" s="1" t="n">
        <v>44985</v>
      </c>
      <c r="C786" s="1" t="n">
        <v>45990</v>
      </c>
      <c r="D786" t="inlineStr">
        <is>
          <t>VÄSTERBOTTENS LÄN</t>
        </is>
      </c>
      <c r="E786" t="inlineStr">
        <is>
          <t>VILHELMINA</t>
        </is>
      </c>
      <c r="G786" t="n">
        <v>3.3</v>
      </c>
      <c r="H786" t="n">
        <v>0</v>
      </c>
      <c r="I786" t="n">
        <v>0</v>
      </c>
      <c r="J786" t="n">
        <v>0</v>
      </c>
      <c r="K786" t="n">
        <v>0</v>
      </c>
      <c r="L786" t="n">
        <v>0</v>
      </c>
      <c r="M786" t="n">
        <v>0</v>
      </c>
      <c r="N786" t="n">
        <v>0</v>
      </c>
      <c r="O786" t="n">
        <v>0</v>
      </c>
      <c r="P786" t="n">
        <v>0</v>
      </c>
      <c r="Q786" t="n">
        <v>0</v>
      </c>
      <c r="R786" s="2" t="inlineStr"/>
    </row>
    <row r="787" ht="15" customHeight="1">
      <c r="A787" t="inlineStr">
        <is>
          <t>A 2054-2023</t>
        </is>
      </c>
      <c r="B787" s="1" t="n">
        <v>44939</v>
      </c>
      <c r="C787" s="1" t="n">
        <v>45990</v>
      </c>
      <c r="D787" t="inlineStr">
        <is>
          <t>VÄSTERBOTTENS LÄN</t>
        </is>
      </c>
      <c r="E787" t="inlineStr">
        <is>
          <t>VILHELMINA</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44505-2024</t>
        </is>
      </c>
      <c r="B788" s="1" t="n">
        <v>45574.40974537037</v>
      </c>
      <c r="C788" s="1" t="n">
        <v>45990</v>
      </c>
      <c r="D788" t="inlineStr">
        <is>
          <t>VÄSTERBOTTENS LÄN</t>
        </is>
      </c>
      <c r="E788" t="inlineStr">
        <is>
          <t>VILHELMINA</t>
        </is>
      </c>
      <c r="G788" t="n">
        <v>15.5</v>
      </c>
      <c r="H788" t="n">
        <v>0</v>
      </c>
      <c r="I788" t="n">
        <v>0</v>
      </c>
      <c r="J788" t="n">
        <v>0</v>
      </c>
      <c r="K788" t="n">
        <v>0</v>
      </c>
      <c r="L788" t="n">
        <v>0</v>
      </c>
      <c r="M788" t="n">
        <v>0</v>
      </c>
      <c r="N788" t="n">
        <v>0</v>
      </c>
      <c r="O788" t="n">
        <v>0</v>
      </c>
      <c r="P788" t="n">
        <v>0</v>
      </c>
      <c r="Q788" t="n">
        <v>0</v>
      </c>
      <c r="R788" s="2" t="inlineStr"/>
    </row>
    <row r="789" ht="15" customHeight="1">
      <c r="A789" t="inlineStr">
        <is>
          <t>A 23180-2024</t>
        </is>
      </c>
      <c r="B789" s="1" t="n">
        <v>45450.9444212963</v>
      </c>
      <c r="C789" s="1" t="n">
        <v>45990</v>
      </c>
      <c r="D789" t="inlineStr">
        <is>
          <t>VÄSTERBOTTENS LÄN</t>
        </is>
      </c>
      <c r="E789" t="inlineStr">
        <is>
          <t>VILHELMINA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63877-2023</t>
        </is>
      </c>
      <c r="B790" s="1" t="n">
        <v>45278</v>
      </c>
      <c r="C790" s="1" t="n">
        <v>45990</v>
      </c>
      <c r="D790" t="inlineStr">
        <is>
          <t>VÄSTERBOTTENS LÄN</t>
        </is>
      </c>
      <c r="E790" t="inlineStr">
        <is>
          <t>VILHELMINA</t>
        </is>
      </c>
      <c r="G790" t="n">
        <v>1.2</v>
      </c>
      <c r="H790" t="n">
        <v>0</v>
      </c>
      <c r="I790" t="n">
        <v>0</v>
      </c>
      <c r="J790" t="n">
        <v>0</v>
      </c>
      <c r="K790" t="n">
        <v>0</v>
      </c>
      <c r="L790" t="n">
        <v>0</v>
      </c>
      <c r="M790" t="n">
        <v>0</v>
      </c>
      <c r="N790" t="n">
        <v>0</v>
      </c>
      <c r="O790" t="n">
        <v>0</v>
      </c>
      <c r="P790" t="n">
        <v>0</v>
      </c>
      <c r="Q790" t="n">
        <v>0</v>
      </c>
      <c r="R790" s="2" t="inlineStr"/>
    </row>
    <row r="791" ht="15" customHeight="1">
      <c r="A791" t="inlineStr">
        <is>
          <t>A 3096-2021</t>
        </is>
      </c>
      <c r="B791" s="1" t="n">
        <v>44216.93865740741</v>
      </c>
      <c r="C791" s="1" t="n">
        <v>45990</v>
      </c>
      <c r="D791" t="inlineStr">
        <is>
          <t>VÄSTERBOTTENS LÄN</t>
        </is>
      </c>
      <c r="E791" t="inlineStr">
        <is>
          <t>VILHELMINA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8003-2021</t>
        </is>
      </c>
      <c r="B792" s="1" t="n">
        <v>44243</v>
      </c>
      <c r="C792" s="1" t="n">
        <v>45990</v>
      </c>
      <c r="D792" t="inlineStr">
        <is>
          <t>VÄSTERBOTTENS LÄN</t>
        </is>
      </c>
      <c r="E792" t="inlineStr">
        <is>
          <t>VILHELMINA</t>
        </is>
      </c>
      <c r="G792" t="n">
        <v>5.1</v>
      </c>
      <c r="H792" t="n">
        <v>0</v>
      </c>
      <c r="I792" t="n">
        <v>0</v>
      </c>
      <c r="J792" t="n">
        <v>0</v>
      </c>
      <c r="K792" t="n">
        <v>0</v>
      </c>
      <c r="L792" t="n">
        <v>0</v>
      </c>
      <c r="M792" t="n">
        <v>0</v>
      </c>
      <c r="N792" t="n">
        <v>0</v>
      </c>
      <c r="O792" t="n">
        <v>0</v>
      </c>
      <c r="P792" t="n">
        <v>0</v>
      </c>
      <c r="Q792" t="n">
        <v>0</v>
      </c>
      <c r="R792" s="2" t="inlineStr"/>
    </row>
    <row r="793" ht="15" customHeight="1">
      <c r="A793" t="inlineStr">
        <is>
          <t>A 15782-2025</t>
        </is>
      </c>
      <c r="B793" s="1" t="n">
        <v>45748</v>
      </c>
      <c r="C793" s="1" t="n">
        <v>45990</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42478-2024</t>
        </is>
      </c>
      <c r="B794" s="1" t="n">
        <v>45565.4912962963</v>
      </c>
      <c r="C794" s="1" t="n">
        <v>45990</v>
      </c>
      <c r="D794" t="inlineStr">
        <is>
          <t>VÄSTERBOTTENS LÄN</t>
        </is>
      </c>
      <c r="E794" t="inlineStr">
        <is>
          <t>VILHELMINA</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27881-2022</t>
        </is>
      </c>
      <c r="B795" s="1" t="n">
        <v>44743</v>
      </c>
      <c r="C795" s="1" t="n">
        <v>45990</v>
      </c>
      <c r="D795" t="inlineStr">
        <is>
          <t>VÄSTERBOTTENS LÄN</t>
        </is>
      </c>
      <c r="E795" t="inlineStr">
        <is>
          <t>VILHELMINA</t>
        </is>
      </c>
      <c r="F795" t="inlineStr">
        <is>
          <t>Sveaskog</t>
        </is>
      </c>
      <c r="G795" t="n">
        <v>14.3</v>
      </c>
      <c r="H795" t="n">
        <v>0</v>
      </c>
      <c r="I795" t="n">
        <v>0</v>
      </c>
      <c r="J795" t="n">
        <v>0</v>
      </c>
      <c r="K795" t="n">
        <v>0</v>
      </c>
      <c r="L795" t="n">
        <v>0</v>
      </c>
      <c r="M795" t="n">
        <v>0</v>
      </c>
      <c r="N795" t="n">
        <v>0</v>
      </c>
      <c r="O795" t="n">
        <v>0</v>
      </c>
      <c r="P795" t="n">
        <v>0</v>
      </c>
      <c r="Q795" t="n">
        <v>0</v>
      </c>
      <c r="R795" s="2" t="inlineStr"/>
    </row>
    <row r="796" ht="15" customHeight="1">
      <c r="A796" t="inlineStr">
        <is>
          <t>A 45673-2023</t>
        </is>
      </c>
      <c r="B796" s="1" t="n">
        <v>45194</v>
      </c>
      <c r="C796" s="1" t="n">
        <v>45990</v>
      </c>
      <c r="D796" t="inlineStr">
        <is>
          <t>VÄSTERBOTTENS LÄN</t>
        </is>
      </c>
      <c r="E796" t="inlineStr">
        <is>
          <t>VILHELMINA</t>
        </is>
      </c>
      <c r="G796" t="n">
        <v>13.4</v>
      </c>
      <c r="H796" t="n">
        <v>0</v>
      </c>
      <c r="I796" t="n">
        <v>0</v>
      </c>
      <c r="J796" t="n">
        <v>0</v>
      </c>
      <c r="K796" t="n">
        <v>0</v>
      </c>
      <c r="L796" t="n">
        <v>0</v>
      </c>
      <c r="M796" t="n">
        <v>0</v>
      </c>
      <c r="N796" t="n">
        <v>0</v>
      </c>
      <c r="O796" t="n">
        <v>0</v>
      </c>
      <c r="P796" t="n">
        <v>0</v>
      </c>
      <c r="Q796" t="n">
        <v>0</v>
      </c>
      <c r="R796" s="2" t="inlineStr"/>
    </row>
    <row r="797" ht="15" customHeight="1">
      <c r="A797" t="inlineStr">
        <is>
          <t>A 367-2024</t>
        </is>
      </c>
      <c r="B797" s="1" t="n">
        <v>45295</v>
      </c>
      <c r="C797" s="1" t="n">
        <v>45990</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45990</v>
      </c>
      <c r="D798" t="inlineStr">
        <is>
          <t>VÄSTERBOTTENS LÄN</t>
        </is>
      </c>
      <c r="E798" t="inlineStr">
        <is>
          <t>VILHELMINA</t>
        </is>
      </c>
      <c r="F798" t="inlineStr">
        <is>
          <t>Allmännings- och besparingsskogar</t>
        </is>
      </c>
      <c r="G798" t="n">
        <v>50</v>
      </c>
      <c r="H798" t="n">
        <v>0</v>
      </c>
      <c r="I798" t="n">
        <v>0</v>
      </c>
      <c r="J798" t="n">
        <v>0</v>
      </c>
      <c r="K798" t="n">
        <v>0</v>
      </c>
      <c r="L798" t="n">
        <v>0</v>
      </c>
      <c r="M798" t="n">
        <v>0</v>
      </c>
      <c r="N798" t="n">
        <v>0</v>
      </c>
      <c r="O798" t="n">
        <v>0</v>
      </c>
      <c r="P798" t="n">
        <v>0</v>
      </c>
      <c r="Q798" t="n">
        <v>0</v>
      </c>
      <c r="R798" s="2" t="inlineStr"/>
    </row>
    <row r="799" ht="15" customHeight="1">
      <c r="A799" t="inlineStr">
        <is>
          <t>A 38125-2024</t>
        </is>
      </c>
      <c r="B799" s="1" t="n">
        <v>45545.40717592592</v>
      </c>
      <c r="C799" s="1" t="n">
        <v>45990</v>
      </c>
      <c r="D799" t="inlineStr">
        <is>
          <t>VÄSTERBOTTENS LÄN</t>
        </is>
      </c>
      <c r="E799" t="inlineStr">
        <is>
          <t>VILHELMINA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38126-2024</t>
        </is>
      </c>
      <c r="B800" s="1" t="n">
        <v>45545</v>
      </c>
      <c r="C800" s="1" t="n">
        <v>45990</v>
      </c>
      <c r="D800" t="inlineStr">
        <is>
          <t>VÄSTERBOTTENS LÄN</t>
        </is>
      </c>
      <c r="E800" t="inlineStr">
        <is>
          <t>VILHELMINA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38130-2024</t>
        </is>
      </c>
      <c r="B801" s="1" t="n">
        <v>45545</v>
      </c>
      <c r="C801" s="1" t="n">
        <v>45990</v>
      </c>
      <c r="D801" t="inlineStr">
        <is>
          <t>VÄSTERBOTTENS LÄN</t>
        </is>
      </c>
      <c r="E801" t="inlineStr">
        <is>
          <t>VILHELMINA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41330-2022</t>
        </is>
      </c>
      <c r="B802" s="1" t="n">
        <v>44826</v>
      </c>
      <c r="C802" s="1" t="n">
        <v>45990</v>
      </c>
      <c r="D802" t="inlineStr">
        <is>
          <t>VÄSTERBOTTENS LÄN</t>
        </is>
      </c>
      <c r="E802" t="inlineStr">
        <is>
          <t>VILHELMINA</t>
        </is>
      </c>
      <c r="G802" t="n">
        <v>3.4</v>
      </c>
      <c r="H802" t="n">
        <v>0</v>
      </c>
      <c r="I802" t="n">
        <v>0</v>
      </c>
      <c r="J802" t="n">
        <v>0</v>
      </c>
      <c r="K802" t="n">
        <v>0</v>
      </c>
      <c r="L802" t="n">
        <v>0</v>
      </c>
      <c r="M802" t="n">
        <v>0</v>
      </c>
      <c r="N802" t="n">
        <v>0</v>
      </c>
      <c r="O802" t="n">
        <v>0</v>
      </c>
      <c r="P802" t="n">
        <v>0</v>
      </c>
      <c r="Q802" t="n">
        <v>0</v>
      </c>
      <c r="R802" s="2" t="inlineStr"/>
    </row>
    <row r="803" ht="15" customHeight="1">
      <c r="A803" t="inlineStr">
        <is>
          <t>A 12825-2023</t>
        </is>
      </c>
      <c r="B803" s="1" t="n">
        <v>45000</v>
      </c>
      <c r="C803" s="1" t="n">
        <v>45990</v>
      </c>
      <c r="D803" t="inlineStr">
        <is>
          <t>VÄSTERBOTTENS LÄN</t>
        </is>
      </c>
      <c r="E803" t="inlineStr">
        <is>
          <t>VILHELMINA</t>
        </is>
      </c>
      <c r="G803" t="n">
        <v>22.4</v>
      </c>
      <c r="H803" t="n">
        <v>0</v>
      </c>
      <c r="I803" t="n">
        <v>0</v>
      </c>
      <c r="J803" t="n">
        <v>0</v>
      </c>
      <c r="K803" t="n">
        <v>0</v>
      </c>
      <c r="L803" t="n">
        <v>0</v>
      </c>
      <c r="M803" t="n">
        <v>0</v>
      </c>
      <c r="N803" t="n">
        <v>0</v>
      </c>
      <c r="O803" t="n">
        <v>0</v>
      </c>
      <c r="P803" t="n">
        <v>0</v>
      </c>
      <c r="Q803" t="n">
        <v>0</v>
      </c>
      <c r="R803" s="2" t="inlineStr"/>
    </row>
    <row r="804" ht="15" customHeight="1">
      <c r="A804" t="inlineStr">
        <is>
          <t>A 20510-2024</t>
        </is>
      </c>
      <c r="B804" s="1" t="n">
        <v>45435.94324074074</v>
      </c>
      <c r="C804" s="1" t="n">
        <v>45990</v>
      </c>
      <c r="D804" t="inlineStr">
        <is>
          <t>VÄSTERBOTTENS LÄN</t>
        </is>
      </c>
      <c r="E804" t="inlineStr">
        <is>
          <t>VILHELMINA</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2488-2023</t>
        </is>
      </c>
      <c r="B805" s="1" t="n">
        <v>44943</v>
      </c>
      <c r="C805" s="1" t="n">
        <v>45990</v>
      </c>
      <c r="D805" t="inlineStr">
        <is>
          <t>VÄSTERBOTTENS LÄN</t>
        </is>
      </c>
      <c r="E805" t="inlineStr">
        <is>
          <t>VILHELMINA</t>
        </is>
      </c>
      <c r="G805" t="n">
        <v>69.3</v>
      </c>
      <c r="H805" t="n">
        <v>0</v>
      </c>
      <c r="I805" t="n">
        <v>0</v>
      </c>
      <c r="J805" t="n">
        <v>0</v>
      </c>
      <c r="K805" t="n">
        <v>0</v>
      </c>
      <c r="L805" t="n">
        <v>0</v>
      </c>
      <c r="M805" t="n">
        <v>0</v>
      </c>
      <c r="N805" t="n">
        <v>0</v>
      </c>
      <c r="O805" t="n">
        <v>0</v>
      </c>
      <c r="P805" t="n">
        <v>0</v>
      </c>
      <c r="Q805" t="n">
        <v>0</v>
      </c>
      <c r="R805" s="2" t="inlineStr"/>
    </row>
    <row r="806" ht="15" customHeight="1">
      <c r="A806" t="inlineStr">
        <is>
          <t>A 6653-2021</t>
        </is>
      </c>
      <c r="B806" s="1" t="n">
        <v>44235</v>
      </c>
      <c r="C806" s="1" t="n">
        <v>45990</v>
      </c>
      <c r="D806" t="inlineStr">
        <is>
          <t>VÄSTERBOTTENS LÄN</t>
        </is>
      </c>
      <c r="E806" t="inlineStr">
        <is>
          <t>VILHELMINA</t>
        </is>
      </c>
      <c r="G806" t="n">
        <v>18</v>
      </c>
      <c r="H806" t="n">
        <v>0</v>
      </c>
      <c r="I806" t="n">
        <v>0</v>
      </c>
      <c r="J806" t="n">
        <v>0</v>
      </c>
      <c r="K806" t="n">
        <v>0</v>
      </c>
      <c r="L806" t="n">
        <v>0</v>
      </c>
      <c r="M806" t="n">
        <v>0</v>
      </c>
      <c r="N806" t="n">
        <v>0</v>
      </c>
      <c r="O806" t="n">
        <v>0</v>
      </c>
      <c r="P806" t="n">
        <v>0</v>
      </c>
      <c r="Q806" t="n">
        <v>0</v>
      </c>
      <c r="R806" s="2" t="inlineStr"/>
    </row>
    <row r="807" ht="15" customHeight="1">
      <c r="A807" t="inlineStr">
        <is>
          <t>A 706-2024</t>
        </is>
      </c>
      <c r="B807" s="1" t="n">
        <v>45300</v>
      </c>
      <c r="C807" s="1" t="n">
        <v>45990</v>
      </c>
      <c r="D807" t="inlineStr">
        <is>
          <t>VÄSTERBOTTENS LÄN</t>
        </is>
      </c>
      <c r="E807" t="inlineStr">
        <is>
          <t>VILHELMINA</t>
        </is>
      </c>
      <c r="G807" t="n">
        <v>2.8</v>
      </c>
      <c r="H807" t="n">
        <v>0</v>
      </c>
      <c r="I807" t="n">
        <v>0</v>
      </c>
      <c r="J807" t="n">
        <v>0</v>
      </c>
      <c r="K807" t="n">
        <v>0</v>
      </c>
      <c r="L807" t="n">
        <v>0</v>
      </c>
      <c r="M807" t="n">
        <v>0</v>
      </c>
      <c r="N807" t="n">
        <v>0</v>
      </c>
      <c r="O807" t="n">
        <v>0</v>
      </c>
      <c r="P807" t="n">
        <v>0</v>
      </c>
      <c r="Q807" t="n">
        <v>0</v>
      </c>
      <c r="R807" s="2" t="inlineStr"/>
    </row>
    <row r="808" ht="15" customHeight="1">
      <c r="A808" t="inlineStr">
        <is>
          <t>A 11114-2022</t>
        </is>
      </c>
      <c r="B808" s="1" t="n">
        <v>44628.925625</v>
      </c>
      <c r="C808" s="1" t="n">
        <v>45990</v>
      </c>
      <c r="D808" t="inlineStr">
        <is>
          <t>VÄSTERBOTTENS LÄN</t>
        </is>
      </c>
      <c r="E808" t="inlineStr">
        <is>
          <t>VILHELMINA</t>
        </is>
      </c>
      <c r="G808" t="n">
        <v>8.6</v>
      </c>
      <c r="H808" t="n">
        <v>0</v>
      </c>
      <c r="I808" t="n">
        <v>0</v>
      </c>
      <c r="J808" t="n">
        <v>0</v>
      </c>
      <c r="K808" t="n">
        <v>0</v>
      </c>
      <c r="L808" t="n">
        <v>0</v>
      </c>
      <c r="M808" t="n">
        <v>0</v>
      </c>
      <c r="N808" t="n">
        <v>0</v>
      </c>
      <c r="O808" t="n">
        <v>0</v>
      </c>
      <c r="P808" t="n">
        <v>0</v>
      </c>
      <c r="Q808" t="n">
        <v>0</v>
      </c>
      <c r="R808" s="2" t="inlineStr"/>
    </row>
    <row r="809" ht="15" customHeight="1">
      <c r="A809" t="inlineStr">
        <is>
          <t>A 18692-2023</t>
        </is>
      </c>
      <c r="B809" s="1" t="n">
        <v>45042</v>
      </c>
      <c r="C809" s="1" t="n">
        <v>45990</v>
      </c>
      <c r="D809" t="inlineStr">
        <is>
          <t>VÄSTERBOTTENS LÄN</t>
        </is>
      </c>
      <c r="E809" t="inlineStr">
        <is>
          <t>VILHELMINA</t>
        </is>
      </c>
      <c r="F809" t="inlineStr">
        <is>
          <t>Allmännings- och besparingsskogar</t>
        </is>
      </c>
      <c r="G809" t="n">
        <v>0.6</v>
      </c>
      <c r="H809" t="n">
        <v>0</v>
      </c>
      <c r="I809" t="n">
        <v>0</v>
      </c>
      <c r="J809" t="n">
        <v>0</v>
      </c>
      <c r="K809" t="n">
        <v>0</v>
      </c>
      <c r="L809" t="n">
        <v>0</v>
      </c>
      <c r="M809" t="n">
        <v>0</v>
      </c>
      <c r="N809" t="n">
        <v>0</v>
      </c>
      <c r="O809" t="n">
        <v>0</v>
      </c>
      <c r="P809" t="n">
        <v>0</v>
      </c>
      <c r="Q809" t="n">
        <v>0</v>
      </c>
      <c r="R809" s="2" t="inlineStr"/>
    </row>
    <row r="810" ht="15" customHeight="1">
      <c r="A810" t="inlineStr">
        <is>
          <t>A 51826-2023</t>
        </is>
      </c>
      <c r="B810" s="1" t="n">
        <v>45222.9678125</v>
      </c>
      <c r="C810" s="1" t="n">
        <v>45990</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6664-2021</t>
        </is>
      </c>
      <c r="B811" s="1" t="n">
        <v>44235</v>
      </c>
      <c r="C811" s="1" t="n">
        <v>45990</v>
      </c>
      <c r="D811" t="inlineStr">
        <is>
          <t>VÄSTERBOTTENS LÄN</t>
        </is>
      </c>
      <c r="E811" t="inlineStr">
        <is>
          <t>VILHELMINA</t>
        </is>
      </c>
      <c r="G811" t="n">
        <v>2.5</v>
      </c>
      <c r="H811" t="n">
        <v>0</v>
      </c>
      <c r="I811" t="n">
        <v>0</v>
      </c>
      <c r="J811" t="n">
        <v>0</v>
      </c>
      <c r="K811" t="n">
        <v>0</v>
      </c>
      <c r="L811" t="n">
        <v>0</v>
      </c>
      <c r="M811" t="n">
        <v>0</v>
      </c>
      <c r="N811" t="n">
        <v>0</v>
      </c>
      <c r="O811" t="n">
        <v>0</v>
      </c>
      <c r="P811" t="n">
        <v>0</v>
      </c>
      <c r="Q811" t="n">
        <v>0</v>
      </c>
      <c r="R811" s="2" t="inlineStr"/>
    </row>
    <row r="812" ht="15" customHeight="1">
      <c r="A812" t="inlineStr">
        <is>
          <t>A 62405-2022</t>
        </is>
      </c>
      <c r="B812" s="1" t="n">
        <v>44923</v>
      </c>
      <c r="C812" s="1" t="n">
        <v>45990</v>
      </c>
      <c r="D812" t="inlineStr">
        <is>
          <t>VÄSTERBOTTENS LÄN</t>
        </is>
      </c>
      <c r="E812" t="inlineStr">
        <is>
          <t>VILHELMINA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48424-2023</t>
        </is>
      </c>
      <c r="B813" s="1" t="n">
        <v>45205</v>
      </c>
      <c r="C813" s="1" t="n">
        <v>45990</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17996-2024</t>
        </is>
      </c>
      <c r="B814" s="1" t="n">
        <v>45419</v>
      </c>
      <c r="C814" s="1" t="n">
        <v>45990</v>
      </c>
      <c r="D814" t="inlineStr">
        <is>
          <t>VÄSTERBOTTENS LÄN</t>
        </is>
      </c>
      <c r="E814" t="inlineStr">
        <is>
          <t>VILHELMINA</t>
        </is>
      </c>
      <c r="G814" t="n">
        <v>5.3</v>
      </c>
      <c r="H814" t="n">
        <v>0</v>
      </c>
      <c r="I814" t="n">
        <v>0</v>
      </c>
      <c r="J814" t="n">
        <v>0</v>
      </c>
      <c r="K814" t="n">
        <v>0</v>
      </c>
      <c r="L814" t="n">
        <v>0</v>
      </c>
      <c r="M814" t="n">
        <v>0</v>
      </c>
      <c r="N814" t="n">
        <v>0</v>
      </c>
      <c r="O814" t="n">
        <v>0</v>
      </c>
      <c r="P814" t="n">
        <v>0</v>
      </c>
      <c r="Q814" t="n">
        <v>0</v>
      </c>
      <c r="R814" s="2" t="inlineStr"/>
    </row>
    <row r="815" ht="15" customHeight="1">
      <c r="A815" t="inlineStr">
        <is>
          <t>A 54387-2024</t>
        </is>
      </c>
      <c r="B815" s="1" t="n">
        <v>45617</v>
      </c>
      <c r="C815" s="1" t="n">
        <v>45990</v>
      </c>
      <c r="D815" t="inlineStr">
        <is>
          <t>VÄSTERBOTTENS LÄN</t>
        </is>
      </c>
      <c r="E815" t="inlineStr">
        <is>
          <t>VILHELMINA</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34135-2024</t>
        </is>
      </c>
      <c r="B816" s="1" t="n">
        <v>45524.35605324074</v>
      </c>
      <c r="C816" s="1" t="n">
        <v>45990</v>
      </c>
      <c r="D816" t="inlineStr">
        <is>
          <t>VÄSTERBOTTENS LÄN</t>
        </is>
      </c>
      <c r="E816" t="inlineStr">
        <is>
          <t>VILHELMINA</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210-2022</t>
        </is>
      </c>
      <c r="B817" s="1" t="n">
        <v>44564.80189814815</v>
      </c>
      <c r="C817" s="1" t="n">
        <v>45990</v>
      </c>
      <c r="D817" t="inlineStr">
        <is>
          <t>VÄSTERBOTTENS LÄN</t>
        </is>
      </c>
      <c r="E817" t="inlineStr">
        <is>
          <t>VILHELMINA</t>
        </is>
      </c>
      <c r="G817" t="n">
        <v>2</v>
      </c>
      <c r="H817" t="n">
        <v>0</v>
      </c>
      <c r="I817" t="n">
        <v>0</v>
      </c>
      <c r="J817" t="n">
        <v>0</v>
      </c>
      <c r="K817" t="n">
        <v>0</v>
      </c>
      <c r="L817" t="n">
        <v>0</v>
      </c>
      <c r="M817" t="n">
        <v>0</v>
      </c>
      <c r="N817" t="n">
        <v>0</v>
      </c>
      <c r="O817" t="n">
        <v>0</v>
      </c>
      <c r="P817" t="n">
        <v>0</v>
      </c>
      <c r="Q817" t="n">
        <v>0</v>
      </c>
      <c r="R817" s="2" t="inlineStr"/>
    </row>
    <row r="818" ht="15" customHeight="1">
      <c r="A818" t="inlineStr">
        <is>
          <t>A 44714-2021</t>
        </is>
      </c>
      <c r="B818" s="1" t="n">
        <v>44435</v>
      </c>
      <c r="C818" s="1" t="n">
        <v>45990</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8652-2023</t>
        </is>
      </c>
      <c r="B819" s="1" t="n">
        <v>44977.98401620371</v>
      </c>
      <c r="C819" s="1" t="n">
        <v>45990</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8653-2023</t>
        </is>
      </c>
      <c r="B820" s="1" t="n">
        <v>44977</v>
      </c>
      <c r="C820" s="1" t="n">
        <v>45990</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48117-2022</t>
        </is>
      </c>
      <c r="B821" s="1" t="n">
        <v>44857</v>
      </c>
      <c r="C821" s="1" t="n">
        <v>45990</v>
      </c>
      <c r="D821" t="inlineStr">
        <is>
          <t>VÄSTERBOTTENS LÄN</t>
        </is>
      </c>
      <c r="E821" t="inlineStr">
        <is>
          <t>VILHELMINA</t>
        </is>
      </c>
      <c r="G821" t="n">
        <v>5.6</v>
      </c>
      <c r="H821" t="n">
        <v>0</v>
      </c>
      <c r="I821" t="n">
        <v>0</v>
      </c>
      <c r="J821" t="n">
        <v>0</v>
      </c>
      <c r="K821" t="n">
        <v>0</v>
      </c>
      <c r="L821" t="n">
        <v>0</v>
      </c>
      <c r="M821" t="n">
        <v>0</v>
      </c>
      <c r="N821" t="n">
        <v>0</v>
      </c>
      <c r="O821" t="n">
        <v>0</v>
      </c>
      <c r="P821" t="n">
        <v>0</v>
      </c>
      <c r="Q821" t="n">
        <v>0</v>
      </c>
      <c r="R821" s="2" t="inlineStr"/>
    </row>
    <row r="822" ht="15" customHeight="1">
      <c r="A822" t="inlineStr">
        <is>
          <t>A 7777-2024</t>
        </is>
      </c>
      <c r="B822" s="1" t="n">
        <v>45349</v>
      </c>
      <c r="C822" s="1" t="n">
        <v>45990</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9162-2022</t>
        </is>
      </c>
      <c r="B823" s="1" t="n">
        <v>44615</v>
      </c>
      <c r="C823" s="1" t="n">
        <v>45990</v>
      </c>
      <c r="D823" t="inlineStr">
        <is>
          <t>VÄSTERBOTTENS LÄN</t>
        </is>
      </c>
      <c r="E823" t="inlineStr">
        <is>
          <t>VILHELMINA</t>
        </is>
      </c>
      <c r="G823" t="n">
        <v>7.2</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45990</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26401-2022</t>
        </is>
      </c>
      <c r="B825" s="1" t="n">
        <v>44735</v>
      </c>
      <c r="C825" s="1" t="n">
        <v>45990</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58363-2021</t>
        </is>
      </c>
      <c r="B826" s="1" t="n">
        <v>44488</v>
      </c>
      <c r="C826" s="1" t="n">
        <v>45990</v>
      </c>
      <c r="D826" t="inlineStr">
        <is>
          <t>VÄSTERBOTTENS LÄN</t>
        </is>
      </c>
      <c r="E826" t="inlineStr">
        <is>
          <t>VILHELMINA</t>
        </is>
      </c>
      <c r="G826" t="n">
        <v>7.3</v>
      </c>
      <c r="H826" t="n">
        <v>0</v>
      </c>
      <c r="I826" t="n">
        <v>0</v>
      </c>
      <c r="J826" t="n">
        <v>0</v>
      </c>
      <c r="K826" t="n">
        <v>0</v>
      </c>
      <c r="L826" t="n">
        <v>0</v>
      </c>
      <c r="M826" t="n">
        <v>0</v>
      </c>
      <c r="N826" t="n">
        <v>0</v>
      </c>
      <c r="O826" t="n">
        <v>0</v>
      </c>
      <c r="P826" t="n">
        <v>0</v>
      </c>
      <c r="Q826" t="n">
        <v>0</v>
      </c>
      <c r="R826" s="2" t="inlineStr"/>
    </row>
    <row r="827" ht="15" customHeight="1">
      <c r="A827" t="inlineStr">
        <is>
          <t>A 23544-2024</t>
        </is>
      </c>
      <c r="B827" s="1" t="n">
        <v>45453.95314814815</v>
      </c>
      <c r="C827" s="1" t="n">
        <v>45990</v>
      </c>
      <c r="D827" t="inlineStr">
        <is>
          <t>VÄSTERBOTTENS LÄN</t>
        </is>
      </c>
      <c r="E827" t="inlineStr">
        <is>
          <t>VILHELMINA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23545-2024</t>
        </is>
      </c>
      <c r="B828" s="1" t="n">
        <v>45453.95326388889</v>
      </c>
      <c r="C828" s="1" t="n">
        <v>45990</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12365-2025</t>
        </is>
      </c>
      <c r="B829" s="1" t="n">
        <v>45730.37549768519</v>
      </c>
      <c r="C829" s="1" t="n">
        <v>45990</v>
      </c>
      <c r="D829" t="inlineStr">
        <is>
          <t>VÄSTERBOTTENS LÄN</t>
        </is>
      </c>
      <c r="E829" t="inlineStr">
        <is>
          <t>VILHELMINA</t>
        </is>
      </c>
      <c r="F829" t="inlineStr">
        <is>
          <t>Övriga statliga verk och myndigheter</t>
        </is>
      </c>
      <c r="G829" t="n">
        <v>11.5</v>
      </c>
      <c r="H829" t="n">
        <v>0</v>
      </c>
      <c r="I829" t="n">
        <v>0</v>
      </c>
      <c r="J829" t="n">
        <v>0</v>
      </c>
      <c r="K829" t="n">
        <v>0</v>
      </c>
      <c r="L829" t="n">
        <v>0</v>
      </c>
      <c r="M829" t="n">
        <v>0</v>
      </c>
      <c r="N829" t="n">
        <v>0</v>
      </c>
      <c r="O829" t="n">
        <v>0</v>
      </c>
      <c r="P829" t="n">
        <v>0</v>
      </c>
      <c r="Q829" t="n">
        <v>0</v>
      </c>
      <c r="R829" s="2" t="inlineStr"/>
    </row>
    <row r="830" ht="15" customHeight="1">
      <c r="A830" t="inlineStr">
        <is>
          <t>A 12370-2025</t>
        </is>
      </c>
      <c r="B830" s="1" t="n">
        <v>45730.37681712963</v>
      </c>
      <c r="C830" s="1" t="n">
        <v>45990</v>
      </c>
      <c r="D830" t="inlineStr">
        <is>
          <t>VÄSTERBOTTENS LÄN</t>
        </is>
      </c>
      <c r="E830" t="inlineStr">
        <is>
          <t>VILHELMINA</t>
        </is>
      </c>
      <c r="F830" t="inlineStr">
        <is>
          <t>Övriga statliga verk och myndigheter</t>
        </is>
      </c>
      <c r="G830" t="n">
        <v>8.9</v>
      </c>
      <c r="H830" t="n">
        <v>0</v>
      </c>
      <c r="I830" t="n">
        <v>0</v>
      </c>
      <c r="J830" t="n">
        <v>0</v>
      </c>
      <c r="K830" t="n">
        <v>0</v>
      </c>
      <c r="L830" t="n">
        <v>0</v>
      </c>
      <c r="M830" t="n">
        <v>0</v>
      </c>
      <c r="N830" t="n">
        <v>0</v>
      </c>
      <c r="O830" t="n">
        <v>0</v>
      </c>
      <c r="P830" t="n">
        <v>0</v>
      </c>
      <c r="Q830" t="n">
        <v>0</v>
      </c>
      <c r="R830" s="2" t="inlineStr"/>
    </row>
    <row r="831" ht="15" customHeight="1">
      <c r="A831" t="inlineStr">
        <is>
          <t>A 19221-2025</t>
        </is>
      </c>
      <c r="B831" s="1" t="n">
        <v>45769</v>
      </c>
      <c r="C831" s="1" t="n">
        <v>45990</v>
      </c>
      <c r="D831" t="inlineStr">
        <is>
          <t>VÄSTERBOTTENS LÄN</t>
        </is>
      </c>
      <c r="E831" t="inlineStr">
        <is>
          <t>VILHELMINA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34130-2024</t>
        </is>
      </c>
      <c r="B832" s="1" t="n">
        <v>45524.34668981482</v>
      </c>
      <c r="C832" s="1" t="n">
        <v>45990</v>
      </c>
      <c r="D832" t="inlineStr">
        <is>
          <t>VÄSTERBOTTENS LÄN</t>
        </is>
      </c>
      <c r="E832" t="inlineStr">
        <is>
          <t>VILHELMINA</t>
        </is>
      </c>
      <c r="F832" t="inlineStr">
        <is>
          <t>Sveaskog</t>
        </is>
      </c>
      <c r="G832" t="n">
        <v>3.7</v>
      </c>
      <c r="H832" t="n">
        <v>0</v>
      </c>
      <c r="I832" t="n">
        <v>0</v>
      </c>
      <c r="J832" t="n">
        <v>0</v>
      </c>
      <c r="K832" t="n">
        <v>0</v>
      </c>
      <c r="L832" t="n">
        <v>0</v>
      </c>
      <c r="M832" t="n">
        <v>0</v>
      </c>
      <c r="N832" t="n">
        <v>0</v>
      </c>
      <c r="O832" t="n">
        <v>0</v>
      </c>
      <c r="P832" t="n">
        <v>0</v>
      </c>
      <c r="Q832" t="n">
        <v>0</v>
      </c>
      <c r="R832" s="2" t="inlineStr"/>
    </row>
    <row r="833" ht="15" customHeight="1">
      <c r="A833" t="inlineStr">
        <is>
          <t>A 56763-2023</t>
        </is>
      </c>
      <c r="B833" s="1" t="n">
        <v>45238</v>
      </c>
      <c r="C833" s="1" t="n">
        <v>45990</v>
      </c>
      <c r="D833" t="inlineStr">
        <is>
          <t>VÄSTERBOTTENS LÄN</t>
        </is>
      </c>
      <c r="E833" t="inlineStr">
        <is>
          <t>VILHELMINA</t>
        </is>
      </c>
      <c r="F833" t="inlineStr">
        <is>
          <t>Allmännings- och besparingsskogar</t>
        </is>
      </c>
      <c r="G833" t="n">
        <v>77</v>
      </c>
      <c r="H833" t="n">
        <v>0</v>
      </c>
      <c r="I833" t="n">
        <v>0</v>
      </c>
      <c r="J833" t="n">
        <v>0</v>
      </c>
      <c r="K833" t="n">
        <v>0</v>
      </c>
      <c r="L833" t="n">
        <v>0</v>
      </c>
      <c r="M833" t="n">
        <v>0</v>
      </c>
      <c r="N833" t="n">
        <v>0</v>
      </c>
      <c r="O833" t="n">
        <v>0</v>
      </c>
      <c r="P833" t="n">
        <v>0</v>
      </c>
      <c r="Q833" t="n">
        <v>0</v>
      </c>
      <c r="R833" s="2" t="inlineStr"/>
    </row>
    <row r="834" ht="15" customHeight="1">
      <c r="A834" t="inlineStr">
        <is>
          <t>A 45007-2024</t>
        </is>
      </c>
      <c r="B834" s="1" t="n">
        <v>45575.49100694444</v>
      </c>
      <c r="C834" s="1" t="n">
        <v>45990</v>
      </c>
      <c r="D834" t="inlineStr">
        <is>
          <t>VÄSTERBOTTENS LÄN</t>
        </is>
      </c>
      <c r="E834" t="inlineStr">
        <is>
          <t>VILHELMINA</t>
        </is>
      </c>
      <c r="F834" t="inlineStr">
        <is>
          <t>SCA</t>
        </is>
      </c>
      <c r="G834" t="n">
        <v>14.8</v>
      </c>
      <c r="H834" t="n">
        <v>0</v>
      </c>
      <c r="I834" t="n">
        <v>0</v>
      </c>
      <c r="J834" t="n">
        <v>0</v>
      </c>
      <c r="K834" t="n">
        <v>0</v>
      </c>
      <c r="L834" t="n">
        <v>0</v>
      </c>
      <c r="M834" t="n">
        <v>0</v>
      </c>
      <c r="N834" t="n">
        <v>0</v>
      </c>
      <c r="O834" t="n">
        <v>0</v>
      </c>
      <c r="P834" t="n">
        <v>0</v>
      </c>
      <c r="Q834" t="n">
        <v>0</v>
      </c>
      <c r="R834" s="2" t="inlineStr"/>
    </row>
    <row r="835" ht="15" customHeight="1">
      <c r="A835" t="inlineStr">
        <is>
          <t>A 33786-2024</t>
        </is>
      </c>
      <c r="B835" s="1" t="n">
        <v>45520.58966435185</v>
      </c>
      <c r="C835" s="1" t="n">
        <v>45990</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18781-2021</t>
        </is>
      </c>
      <c r="B836" s="1" t="n">
        <v>44307</v>
      </c>
      <c r="C836" s="1" t="n">
        <v>45990</v>
      </c>
      <c r="D836" t="inlineStr">
        <is>
          <t>VÄSTERBOTTENS LÄN</t>
        </is>
      </c>
      <c r="E836" t="inlineStr">
        <is>
          <t>VILHELMINA</t>
        </is>
      </c>
      <c r="G836" t="n">
        <v>3.5</v>
      </c>
      <c r="H836" t="n">
        <v>0</v>
      </c>
      <c r="I836" t="n">
        <v>0</v>
      </c>
      <c r="J836" t="n">
        <v>0</v>
      </c>
      <c r="K836" t="n">
        <v>0</v>
      </c>
      <c r="L836" t="n">
        <v>0</v>
      </c>
      <c r="M836" t="n">
        <v>0</v>
      </c>
      <c r="N836" t="n">
        <v>0</v>
      </c>
      <c r="O836" t="n">
        <v>0</v>
      </c>
      <c r="P836" t="n">
        <v>0</v>
      </c>
      <c r="Q836" t="n">
        <v>0</v>
      </c>
      <c r="R836" s="2" t="inlineStr"/>
    </row>
    <row r="837" ht="15" customHeight="1">
      <c r="A837" t="inlineStr">
        <is>
          <t>A 18790-2021</t>
        </is>
      </c>
      <c r="B837" s="1" t="n">
        <v>44307</v>
      </c>
      <c r="C837" s="1" t="n">
        <v>45990</v>
      </c>
      <c r="D837" t="inlineStr">
        <is>
          <t>VÄSTERBOTTENS LÄN</t>
        </is>
      </c>
      <c r="E837" t="inlineStr">
        <is>
          <t>VILHELMINA</t>
        </is>
      </c>
      <c r="G837" t="n">
        <v>1.1</v>
      </c>
      <c r="H837" t="n">
        <v>0</v>
      </c>
      <c r="I837" t="n">
        <v>0</v>
      </c>
      <c r="J837" t="n">
        <v>0</v>
      </c>
      <c r="K837" t="n">
        <v>0</v>
      </c>
      <c r="L837" t="n">
        <v>0</v>
      </c>
      <c r="M837" t="n">
        <v>0</v>
      </c>
      <c r="N837" t="n">
        <v>0</v>
      </c>
      <c r="O837" t="n">
        <v>0</v>
      </c>
      <c r="P837" t="n">
        <v>0</v>
      </c>
      <c r="Q837" t="n">
        <v>0</v>
      </c>
      <c r="R837" s="2" t="inlineStr"/>
    </row>
    <row r="838" ht="15" customHeight="1">
      <c r="A838" t="inlineStr">
        <is>
          <t>A 59671-2023</t>
        </is>
      </c>
      <c r="B838" s="1" t="n">
        <v>45254.96524305556</v>
      </c>
      <c r="C838" s="1" t="n">
        <v>45990</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14993-2025</t>
        </is>
      </c>
      <c r="B839" s="1" t="n">
        <v>45743</v>
      </c>
      <c r="C839" s="1" t="n">
        <v>45990</v>
      </c>
      <c r="D839" t="inlineStr">
        <is>
          <t>VÄSTERBOTTENS LÄN</t>
        </is>
      </c>
      <c r="E839" t="inlineStr">
        <is>
          <t>VILHELMINA</t>
        </is>
      </c>
      <c r="G839" t="n">
        <v>2.1</v>
      </c>
      <c r="H839" t="n">
        <v>0</v>
      </c>
      <c r="I839" t="n">
        <v>0</v>
      </c>
      <c r="J839" t="n">
        <v>0</v>
      </c>
      <c r="K839" t="n">
        <v>0</v>
      </c>
      <c r="L839" t="n">
        <v>0</v>
      </c>
      <c r="M839" t="n">
        <v>0</v>
      </c>
      <c r="N839" t="n">
        <v>0</v>
      </c>
      <c r="O839" t="n">
        <v>0</v>
      </c>
      <c r="P839" t="n">
        <v>0</v>
      </c>
      <c r="Q839" t="n">
        <v>0</v>
      </c>
      <c r="R839" s="2" t="inlineStr"/>
    </row>
    <row r="840" ht="15" customHeight="1">
      <c r="A840" t="inlineStr">
        <is>
          <t>A 60227-2022</t>
        </is>
      </c>
      <c r="B840" s="1" t="n">
        <v>44903</v>
      </c>
      <c r="C840" s="1" t="n">
        <v>45990</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20591-2025</t>
        </is>
      </c>
      <c r="B841" s="1" t="n">
        <v>45775</v>
      </c>
      <c r="C841" s="1" t="n">
        <v>45990</v>
      </c>
      <c r="D841" t="inlineStr">
        <is>
          <t>VÄSTERBOTTENS LÄN</t>
        </is>
      </c>
      <c r="E841" t="inlineStr">
        <is>
          <t>VILHELMINA</t>
        </is>
      </c>
      <c r="F841" t="inlineStr">
        <is>
          <t>SCA</t>
        </is>
      </c>
      <c r="G841" t="n">
        <v>27.4</v>
      </c>
      <c r="H841" t="n">
        <v>0</v>
      </c>
      <c r="I841" t="n">
        <v>0</v>
      </c>
      <c r="J841" t="n">
        <v>0</v>
      </c>
      <c r="K841" t="n">
        <v>0</v>
      </c>
      <c r="L841" t="n">
        <v>0</v>
      </c>
      <c r="M841" t="n">
        <v>0</v>
      </c>
      <c r="N841" t="n">
        <v>0</v>
      </c>
      <c r="O841" t="n">
        <v>0</v>
      </c>
      <c r="P841" t="n">
        <v>0</v>
      </c>
      <c r="Q841" t="n">
        <v>0</v>
      </c>
      <c r="R841" s="2" t="inlineStr"/>
    </row>
    <row r="842" ht="15" customHeight="1">
      <c r="A842" t="inlineStr">
        <is>
          <t>A 15786-2025</t>
        </is>
      </c>
      <c r="B842" s="1" t="n">
        <v>45748.62240740741</v>
      </c>
      <c r="C842" s="1" t="n">
        <v>45990</v>
      </c>
      <c r="D842" t="inlineStr">
        <is>
          <t>VÄSTERBOTTENS LÄN</t>
        </is>
      </c>
      <c r="E842" t="inlineStr">
        <is>
          <t>VILHELMINA</t>
        </is>
      </c>
      <c r="G842" t="n">
        <v>1.1</v>
      </c>
      <c r="H842" t="n">
        <v>0</v>
      </c>
      <c r="I842" t="n">
        <v>0</v>
      </c>
      <c r="J842" t="n">
        <v>0</v>
      </c>
      <c r="K842" t="n">
        <v>0</v>
      </c>
      <c r="L842" t="n">
        <v>0</v>
      </c>
      <c r="M842" t="n">
        <v>0</v>
      </c>
      <c r="N842" t="n">
        <v>0</v>
      </c>
      <c r="O842" t="n">
        <v>0</v>
      </c>
      <c r="P842" t="n">
        <v>0</v>
      </c>
      <c r="Q842" t="n">
        <v>0</v>
      </c>
      <c r="R842" s="2" t="inlineStr"/>
    </row>
    <row r="843" ht="15" customHeight="1">
      <c r="A843" t="inlineStr">
        <is>
          <t>A 49236-2024</t>
        </is>
      </c>
      <c r="B843" s="1" t="n">
        <v>45595</v>
      </c>
      <c r="C843" s="1" t="n">
        <v>45990</v>
      </c>
      <c r="D843" t="inlineStr">
        <is>
          <t>VÄSTERBOTTENS LÄN</t>
        </is>
      </c>
      <c r="E843" t="inlineStr">
        <is>
          <t>VILHELMINA</t>
        </is>
      </c>
      <c r="G843" t="n">
        <v>4.1</v>
      </c>
      <c r="H843" t="n">
        <v>0</v>
      </c>
      <c r="I843" t="n">
        <v>0</v>
      </c>
      <c r="J843" t="n">
        <v>0</v>
      </c>
      <c r="K843" t="n">
        <v>0</v>
      </c>
      <c r="L843" t="n">
        <v>0</v>
      </c>
      <c r="M843" t="n">
        <v>0</v>
      </c>
      <c r="N843" t="n">
        <v>0</v>
      </c>
      <c r="O843" t="n">
        <v>0</v>
      </c>
      <c r="P843" t="n">
        <v>0</v>
      </c>
      <c r="Q843" t="n">
        <v>0</v>
      </c>
      <c r="R843" s="2" t="inlineStr"/>
    </row>
    <row r="844" ht="15" customHeight="1">
      <c r="A844" t="inlineStr">
        <is>
          <t>A 49246-2024</t>
        </is>
      </c>
      <c r="B844" s="1" t="n">
        <v>45595.4618287037</v>
      </c>
      <c r="C844" s="1" t="n">
        <v>45990</v>
      </c>
      <c r="D844" t="inlineStr">
        <is>
          <t>VÄSTERBOTTENS LÄN</t>
        </is>
      </c>
      <c r="E844" t="inlineStr">
        <is>
          <t>VILHELMINA</t>
        </is>
      </c>
      <c r="G844" t="n">
        <v>0.9</v>
      </c>
      <c r="H844" t="n">
        <v>0</v>
      </c>
      <c r="I844" t="n">
        <v>0</v>
      </c>
      <c r="J844" t="n">
        <v>0</v>
      </c>
      <c r="K844" t="n">
        <v>0</v>
      </c>
      <c r="L844" t="n">
        <v>0</v>
      </c>
      <c r="M844" t="n">
        <v>0</v>
      </c>
      <c r="N844" t="n">
        <v>0</v>
      </c>
      <c r="O844" t="n">
        <v>0</v>
      </c>
      <c r="P844" t="n">
        <v>0</v>
      </c>
      <c r="Q844" t="n">
        <v>0</v>
      </c>
      <c r="R844" s="2" t="inlineStr"/>
    </row>
    <row r="845" ht="15" customHeight="1">
      <c r="A845" t="inlineStr">
        <is>
          <t>A 44368-2024</t>
        </is>
      </c>
      <c r="B845" s="1" t="n">
        <v>45573</v>
      </c>
      <c r="C845" s="1" t="n">
        <v>45990</v>
      </c>
      <c r="D845" t="inlineStr">
        <is>
          <t>VÄSTERBOTTENS LÄN</t>
        </is>
      </c>
      <c r="E845" t="inlineStr">
        <is>
          <t>VILHELMINA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49599-2022</t>
        </is>
      </c>
      <c r="B846" s="1" t="n">
        <v>44859</v>
      </c>
      <c r="C846" s="1" t="n">
        <v>45990</v>
      </c>
      <c r="D846" t="inlineStr">
        <is>
          <t>VÄSTERBOTTENS LÄN</t>
        </is>
      </c>
      <c r="E846" t="inlineStr">
        <is>
          <t>VILHELMINA</t>
        </is>
      </c>
      <c r="G846" t="n">
        <v>3.6</v>
      </c>
      <c r="H846" t="n">
        <v>0</v>
      </c>
      <c r="I846" t="n">
        <v>0</v>
      </c>
      <c r="J846" t="n">
        <v>0</v>
      </c>
      <c r="K846" t="n">
        <v>0</v>
      </c>
      <c r="L846" t="n">
        <v>0</v>
      </c>
      <c r="M846" t="n">
        <v>0</v>
      </c>
      <c r="N846" t="n">
        <v>0</v>
      </c>
      <c r="O846" t="n">
        <v>0</v>
      </c>
      <c r="P846" t="n">
        <v>0</v>
      </c>
      <c r="Q846" t="n">
        <v>0</v>
      </c>
      <c r="R846" s="2" t="inlineStr"/>
    </row>
    <row r="847" ht="15" customHeight="1">
      <c r="A847" t="inlineStr">
        <is>
          <t>A 3237-2024</t>
        </is>
      </c>
      <c r="B847" s="1" t="n">
        <v>45316.9474537037</v>
      </c>
      <c r="C847" s="1" t="n">
        <v>45990</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13768-2024</t>
        </is>
      </c>
      <c r="B848" s="1" t="n">
        <v>45390.95230324074</v>
      </c>
      <c r="C848" s="1" t="n">
        <v>45990</v>
      </c>
      <c r="D848" t="inlineStr">
        <is>
          <t>VÄSTERBOTTENS LÄN</t>
        </is>
      </c>
      <c r="E848" t="inlineStr">
        <is>
          <t>VILHELMINA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12371-2025</t>
        </is>
      </c>
      <c r="B849" s="1" t="n">
        <v>45730</v>
      </c>
      <c r="C849" s="1" t="n">
        <v>45990</v>
      </c>
      <c r="D849" t="inlineStr">
        <is>
          <t>VÄSTERBOTTENS LÄN</t>
        </is>
      </c>
      <c r="E849" t="inlineStr">
        <is>
          <t>VILHELMINA</t>
        </is>
      </c>
      <c r="F849" t="inlineStr">
        <is>
          <t>Övriga statliga verk och myndigheter</t>
        </is>
      </c>
      <c r="G849" t="n">
        <v>37.1</v>
      </c>
      <c r="H849" t="n">
        <v>0</v>
      </c>
      <c r="I849" t="n">
        <v>0</v>
      </c>
      <c r="J849" t="n">
        <v>0</v>
      </c>
      <c r="K849" t="n">
        <v>0</v>
      </c>
      <c r="L849" t="n">
        <v>0</v>
      </c>
      <c r="M849" t="n">
        <v>0</v>
      </c>
      <c r="N849" t="n">
        <v>0</v>
      </c>
      <c r="O849" t="n">
        <v>0</v>
      </c>
      <c r="P849" t="n">
        <v>0</v>
      </c>
      <c r="Q849" t="n">
        <v>0</v>
      </c>
      <c r="R849" s="2" t="inlineStr"/>
    </row>
    <row r="850" ht="15" customHeight="1">
      <c r="A850" t="inlineStr">
        <is>
          <t>A 12593-2022</t>
        </is>
      </c>
      <c r="B850" s="1" t="n">
        <v>44640</v>
      </c>
      <c r="C850" s="1" t="n">
        <v>45990</v>
      </c>
      <c r="D850" t="inlineStr">
        <is>
          <t>VÄSTERBOTTENS LÄN</t>
        </is>
      </c>
      <c r="E850" t="inlineStr">
        <is>
          <t>VILHELMINA</t>
        </is>
      </c>
      <c r="G850" t="n">
        <v>10.4</v>
      </c>
      <c r="H850" t="n">
        <v>0</v>
      </c>
      <c r="I850" t="n">
        <v>0</v>
      </c>
      <c r="J850" t="n">
        <v>0</v>
      </c>
      <c r="K850" t="n">
        <v>0</v>
      </c>
      <c r="L850" t="n">
        <v>0</v>
      </c>
      <c r="M850" t="n">
        <v>0</v>
      </c>
      <c r="N850" t="n">
        <v>0</v>
      </c>
      <c r="O850" t="n">
        <v>0</v>
      </c>
      <c r="P850" t="n">
        <v>0</v>
      </c>
      <c r="Q850" t="n">
        <v>0</v>
      </c>
      <c r="R850" s="2" t="inlineStr"/>
    </row>
    <row r="851" ht="15" customHeight="1">
      <c r="A851" t="inlineStr">
        <is>
          <t>A 64028-2023</t>
        </is>
      </c>
      <c r="B851" s="1" t="n">
        <v>45278.94263888889</v>
      </c>
      <c r="C851" s="1" t="n">
        <v>45990</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35758-2023</t>
        </is>
      </c>
      <c r="B852" s="1" t="n">
        <v>45147.95452546296</v>
      </c>
      <c r="C852" s="1" t="n">
        <v>45990</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36348-2024</t>
        </is>
      </c>
      <c r="B853" s="1" t="n">
        <v>45534.64422453703</v>
      </c>
      <c r="C853" s="1" t="n">
        <v>45990</v>
      </c>
      <c r="D853" t="inlineStr">
        <is>
          <t>VÄSTERBOTTENS LÄN</t>
        </is>
      </c>
      <c r="E853" t="inlineStr">
        <is>
          <t>VILHELMINA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36355-2024</t>
        </is>
      </c>
      <c r="B854" s="1" t="n">
        <v>45534.64508101852</v>
      </c>
      <c r="C854" s="1" t="n">
        <v>45990</v>
      </c>
      <c r="D854" t="inlineStr">
        <is>
          <t>VÄSTERBOTTENS LÄN</t>
        </is>
      </c>
      <c r="E854" t="inlineStr">
        <is>
          <t>VILHELMINA</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6699-2021</t>
        </is>
      </c>
      <c r="B855" s="1" t="n">
        <v>44235</v>
      </c>
      <c r="C855" s="1" t="n">
        <v>45990</v>
      </c>
      <c r="D855" t="inlineStr">
        <is>
          <t>VÄSTERBOTTENS LÄN</t>
        </is>
      </c>
      <c r="E855" t="inlineStr">
        <is>
          <t>VILHELMINA</t>
        </is>
      </c>
      <c r="G855" t="n">
        <v>6.9</v>
      </c>
      <c r="H855" t="n">
        <v>0</v>
      </c>
      <c r="I855" t="n">
        <v>0</v>
      </c>
      <c r="J855" t="n">
        <v>0</v>
      </c>
      <c r="K855" t="n">
        <v>0</v>
      </c>
      <c r="L855" t="n">
        <v>0</v>
      </c>
      <c r="M855" t="n">
        <v>0</v>
      </c>
      <c r="N855" t="n">
        <v>0</v>
      </c>
      <c r="O855" t="n">
        <v>0</v>
      </c>
      <c r="P855" t="n">
        <v>0</v>
      </c>
      <c r="Q855" t="n">
        <v>0</v>
      </c>
      <c r="R855" s="2" t="inlineStr"/>
    </row>
    <row r="856" ht="15" customHeight="1">
      <c r="A856" t="inlineStr">
        <is>
          <t>A 8566-2025</t>
        </is>
      </c>
      <c r="B856" s="1" t="n">
        <v>45709</v>
      </c>
      <c r="C856" s="1" t="n">
        <v>45990</v>
      </c>
      <c r="D856" t="inlineStr">
        <is>
          <t>VÄSTERBOTTENS LÄN</t>
        </is>
      </c>
      <c r="E856" t="inlineStr">
        <is>
          <t>VILHELMINA</t>
        </is>
      </c>
      <c r="G856" t="n">
        <v>10.5</v>
      </c>
      <c r="H856" t="n">
        <v>0</v>
      </c>
      <c r="I856" t="n">
        <v>0</v>
      </c>
      <c r="J856" t="n">
        <v>0</v>
      </c>
      <c r="K856" t="n">
        <v>0</v>
      </c>
      <c r="L856" t="n">
        <v>0</v>
      </c>
      <c r="M856" t="n">
        <v>0</v>
      </c>
      <c r="N856" t="n">
        <v>0</v>
      </c>
      <c r="O856" t="n">
        <v>0</v>
      </c>
      <c r="P856" t="n">
        <v>0</v>
      </c>
      <c r="Q856" t="n">
        <v>0</v>
      </c>
      <c r="R856" s="2" t="inlineStr"/>
    </row>
    <row r="857" ht="15" customHeight="1">
      <c r="A857" t="inlineStr">
        <is>
          <t>A 37514-2024</t>
        </is>
      </c>
      <c r="B857" s="1" t="n">
        <v>45541.38586805556</v>
      </c>
      <c r="C857" s="1" t="n">
        <v>45990</v>
      </c>
      <c r="D857" t="inlineStr">
        <is>
          <t>VÄSTERBOTTENS LÄN</t>
        </is>
      </c>
      <c r="E857" t="inlineStr">
        <is>
          <t>VILHELMINA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9815-2024</t>
        </is>
      </c>
      <c r="B858" s="1" t="n">
        <v>45362.96927083333</v>
      </c>
      <c r="C858" s="1" t="n">
        <v>45990</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34630-2024</t>
        </is>
      </c>
      <c r="B859" s="1" t="n">
        <v>45526.46234953704</v>
      </c>
      <c r="C859" s="1" t="n">
        <v>45990</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55720-2023</t>
        </is>
      </c>
      <c r="B860" s="1" t="n">
        <v>45232</v>
      </c>
      <c r="C860" s="1" t="n">
        <v>45990</v>
      </c>
      <c r="D860" t="inlineStr">
        <is>
          <t>VÄSTERBOTTENS LÄN</t>
        </is>
      </c>
      <c r="E860" t="inlineStr">
        <is>
          <t>VILHELMINA</t>
        </is>
      </c>
      <c r="G860" t="n">
        <v>0.8</v>
      </c>
      <c r="H860" t="n">
        <v>0</v>
      </c>
      <c r="I860" t="n">
        <v>0</v>
      </c>
      <c r="J860" t="n">
        <v>0</v>
      </c>
      <c r="K860" t="n">
        <v>0</v>
      </c>
      <c r="L860" t="n">
        <v>0</v>
      </c>
      <c r="M860" t="n">
        <v>0</v>
      </c>
      <c r="N860" t="n">
        <v>0</v>
      </c>
      <c r="O860" t="n">
        <v>0</v>
      </c>
      <c r="P860" t="n">
        <v>0</v>
      </c>
      <c r="Q860" t="n">
        <v>0</v>
      </c>
      <c r="R860" s="2" t="inlineStr"/>
    </row>
    <row r="861" ht="15" customHeight="1">
      <c r="A861" t="inlineStr">
        <is>
          <t>A 12189-2024</t>
        </is>
      </c>
      <c r="B861" s="1" t="n">
        <v>45377.94945601852</v>
      </c>
      <c r="C861" s="1" t="n">
        <v>45990</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58450-2024</t>
        </is>
      </c>
      <c r="B862" s="1" t="n">
        <v>45635.34425925926</v>
      </c>
      <c r="C862" s="1" t="n">
        <v>45990</v>
      </c>
      <c r="D862" t="inlineStr">
        <is>
          <t>VÄSTERBOTTENS LÄN</t>
        </is>
      </c>
      <c r="E862" t="inlineStr">
        <is>
          <t>VILHELMINA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8759-2023</t>
        </is>
      </c>
      <c r="B863" s="1" t="n">
        <v>44972</v>
      </c>
      <c r="C863" s="1" t="n">
        <v>45990</v>
      </c>
      <c r="D863" t="inlineStr">
        <is>
          <t>VÄSTERBOTTENS LÄN</t>
        </is>
      </c>
      <c r="E863" t="inlineStr">
        <is>
          <t>VILHELMINA</t>
        </is>
      </c>
      <c r="F863" t="inlineStr">
        <is>
          <t>Allmännings- och besparingsskogar</t>
        </is>
      </c>
      <c r="G863" t="n">
        <v>23.4</v>
      </c>
      <c r="H863" t="n">
        <v>0</v>
      </c>
      <c r="I863" t="n">
        <v>0</v>
      </c>
      <c r="J863" t="n">
        <v>0</v>
      </c>
      <c r="K863" t="n">
        <v>0</v>
      </c>
      <c r="L863" t="n">
        <v>0</v>
      </c>
      <c r="M863" t="n">
        <v>0</v>
      </c>
      <c r="N863" t="n">
        <v>0</v>
      </c>
      <c r="O863" t="n">
        <v>0</v>
      </c>
      <c r="P863" t="n">
        <v>0</v>
      </c>
      <c r="Q863" t="n">
        <v>0</v>
      </c>
      <c r="R863" s="2" t="inlineStr"/>
    </row>
    <row r="864" ht="15" customHeight="1">
      <c r="A864" t="inlineStr">
        <is>
          <t>A 32921-2024</t>
        </is>
      </c>
      <c r="B864" s="1" t="n">
        <v>45516.9525462963</v>
      </c>
      <c r="C864" s="1" t="n">
        <v>45990</v>
      </c>
      <c r="D864" t="inlineStr">
        <is>
          <t>VÄSTERBOTTENS LÄN</t>
        </is>
      </c>
      <c r="E864" t="inlineStr">
        <is>
          <t>VILHELMINA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237-2025</t>
        </is>
      </c>
      <c r="B865" s="1" t="n">
        <v>45660.40270833333</v>
      </c>
      <c r="C865" s="1" t="n">
        <v>45990</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242-2025</t>
        </is>
      </c>
      <c r="B866" s="1" t="n">
        <v>45660.41033564815</v>
      </c>
      <c r="C866" s="1" t="n">
        <v>45990</v>
      </c>
      <c r="D866" t="inlineStr">
        <is>
          <t>VÄSTERBOTTENS LÄN</t>
        </is>
      </c>
      <c r="E866" t="inlineStr">
        <is>
          <t>VILHELMINA</t>
        </is>
      </c>
      <c r="G866" t="n">
        <v>2.7</v>
      </c>
      <c r="H866" t="n">
        <v>0</v>
      </c>
      <c r="I866" t="n">
        <v>0</v>
      </c>
      <c r="J866" t="n">
        <v>0</v>
      </c>
      <c r="K866" t="n">
        <v>0</v>
      </c>
      <c r="L866" t="n">
        <v>0</v>
      </c>
      <c r="M866" t="n">
        <v>0</v>
      </c>
      <c r="N866" t="n">
        <v>0</v>
      </c>
      <c r="O866" t="n">
        <v>0</v>
      </c>
      <c r="P866" t="n">
        <v>0</v>
      </c>
      <c r="Q866" t="n">
        <v>0</v>
      </c>
      <c r="R866" s="2" t="inlineStr"/>
    </row>
    <row r="867" ht="15" customHeight="1">
      <c r="A867" t="inlineStr">
        <is>
          <t>A 55870-2022</t>
        </is>
      </c>
      <c r="B867" s="1" t="n">
        <v>44888</v>
      </c>
      <c r="C867" s="1" t="n">
        <v>45990</v>
      </c>
      <c r="D867" t="inlineStr">
        <is>
          <t>VÄSTERBOTTENS LÄN</t>
        </is>
      </c>
      <c r="E867" t="inlineStr">
        <is>
          <t>VILHELMINA</t>
        </is>
      </c>
      <c r="G867" t="n">
        <v>13.6</v>
      </c>
      <c r="H867" t="n">
        <v>0</v>
      </c>
      <c r="I867" t="n">
        <v>0</v>
      </c>
      <c r="J867" t="n">
        <v>0</v>
      </c>
      <c r="K867" t="n">
        <v>0</v>
      </c>
      <c r="L867" t="n">
        <v>0</v>
      </c>
      <c r="M867" t="n">
        <v>0</v>
      </c>
      <c r="N867" t="n">
        <v>0</v>
      </c>
      <c r="O867" t="n">
        <v>0</v>
      </c>
      <c r="P867" t="n">
        <v>0</v>
      </c>
      <c r="Q867" t="n">
        <v>0</v>
      </c>
      <c r="R867" s="2" t="inlineStr"/>
    </row>
    <row r="868" ht="15" customHeight="1">
      <c r="A868" t="inlineStr">
        <is>
          <t>A 19401-2023</t>
        </is>
      </c>
      <c r="B868" s="1" t="n">
        <v>45048</v>
      </c>
      <c r="C868" s="1" t="n">
        <v>45990</v>
      </c>
      <c r="D868" t="inlineStr">
        <is>
          <t>VÄSTERBOTTENS LÄN</t>
        </is>
      </c>
      <c r="E868" t="inlineStr">
        <is>
          <t>VILHELMINA</t>
        </is>
      </c>
      <c r="G868" t="n">
        <v>5.4</v>
      </c>
      <c r="H868" t="n">
        <v>0</v>
      </c>
      <c r="I868" t="n">
        <v>0</v>
      </c>
      <c r="J868" t="n">
        <v>0</v>
      </c>
      <c r="K868" t="n">
        <v>0</v>
      </c>
      <c r="L868" t="n">
        <v>0</v>
      </c>
      <c r="M868" t="n">
        <v>0</v>
      </c>
      <c r="N868" t="n">
        <v>0</v>
      </c>
      <c r="O868" t="n">
        <v>0</v>
      </c>
      <c r="P868" t="n">
        <v>0</v>
      </c>
      <c r="Q868" t="n">
        <v>0</v>
      </c>
      <c r="R868" s="2" t="inlineStr"/>
    </row>
    <row r="869" ht="15" customHeight="1">
      <c r="A869" t="inlineStr">
        <is>
          <t>A 16721-2025</t>
        </is>
      </c>
      <c r="B869" s="1" t="n">
        <v>45754.49045138889</v>
      </c>
      <c r="C869" s="1" t="n">
        <v>45990</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28486-2022</t>
        </is>
      </c>
      <c r="B870" s="1" t="n">
        <v>44747</v>
      </c>
      <c r="C870" s="1" t="n">
        <v>45990</v>
      </c>
      <c r="D870" t="inlineStr">
        <is>
          <t>VÄSTERBOTTENS LÄN</t>
        </is>
      </c>
      <c r="E870" t="inlineStr">
        <is>
          <t>VILHELMINA</t>
        </is>
      </c>
      <c r="F870" t="inlineStr">
        <is>
          <t>SCA</t>
        </is>
      </c>
      <c r="G870" t="n">
        <v>7.9</v>
      </c>
      <c r="H870" t="n">
        <v>0</v>
      </c>
      <c r="I870" t="n">
        <v>0</v>
      </c>
      <c r="J870" t="n">
        <v>0</v>
      </c>
      <c r="K870" t="n">
        <v>0</v>
      </c>
      <c r="L870" t="n">
        <v>0</v>
      </c>
      <c r="M870" t="n">
        <v>0</v>
      </c>
      <c r="N870" t="n">
        <v>0</v>
      </c>
      <c r="O870" t="n">
        <v>0</v>
      </c>
      <c r="P870" t="n">
        <v>0</v>
      </c>
      <c r="Q870" t="n">
        <v>0</v>
      </c>
      <c r="R870" s="2" t="inlineStr"/>
    </row>
    <row r="871" ht="15" customHeight="1">
      <c r="A871" t="inlineStr">
        <is>
          <t>A 12763-2025</t>
        </is>
      </c>
      <c r="B871" s="1" t="n">
        <v>45733</v>
      </c>
      <c r="C871" s="1" t="n">
        <v>45990</v>
      </c>
      <c r="D871" t="inlineStr">
        <is>
          <t>VÄSTERBOTTENS LÄN</t>
        </is>
      </c>
      <c r="E871" t="inlineStr">
        <is>
          <t>VILHELMINA</t>
        </is>
      </c>
      <c r="F871" t="inlineStr">
        <is>
          <t>SCA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32925-2024</t>
        </is>
      </c>
      <c r="B872" s="1" t="n">
        <v>45516.95302083333</v>
      </c>
      <c r="C872" s="1" t="n">
        <v>45990</v>
      </c>
      <c r="D872" t="inlineStr">
        <is>
          <t>VÄSTERBOTTENS LÄN</t>
        </is>
      </c>
      <c r="E872" t="inlineStr">
        <is>
          <t>VILHELMINA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32926-2024</t>
        </is>
      </c>
      <c r="B873" s="1" t="n">
        <v>45516.95311342592</v>
      </c>
      <c r="C873" s="1" t="n">
        <v>45990</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34719-2024</t>
        </is>
      </c>
      <c r="B874" s="1" t="n">
        <v>45526.56435185186</v>
      </c>
      <c r="C874" s="1" t="n">
        <v>45990</v>
      </c>
      <c r="D874" t="inlineStr">
        <is>
          <t>VÄSTERBOTTENS LÄN</t>
        </is>
      </c>
      <c r="E874" t="inlineStr">
        <is>
          <t>VILHELMINA</t>
        </is>
      </c>
      <c r="G874" t="n">
        <v>1.7</v>
      </c>
      <c r="H874" t="n">
        <v>0</v>
      </c>
      <c r="I874" t="n">
        <v>0</v>
      </c>
      <c r="J874" t="n">
        <v>0</v>
      </c>
      <c r="K874" t="n">
        <v>0</v>
      </c>
      <c r="L874" t="n">
        <v>0</v>
      </c>
      <c r="M874" t="n">
        <v>0</v>
      </c>
      <c r="N874" t="n">
        <v>0</v>
      </c>
      <c r="O874" t="n">
        <v>0</v>
      </c>
      <c r="P874" t="n">
        <v>0</v>
      </c>
      <c r="Q874" t="n">
        <v>0</v>
      </c>
      <c r="R874" s="2" t="inlineStr"/>
    </row>
    <row r="875" ht="15" customHeight="1">
      <c r="A875" t="inlineStr">
        <is>
          <t>A 18394-2025</t>
        </is>
      </c>
      <c r="B875" s="1" t="n">
        <v>45762</v>
      </c>
      <c r="C875" s="1" t="n">
        <v>45990</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35755-2023</t>
        </is>
      </c>
      <c r="B876" s="1" t="n">
        <v>45147.9540625</v>
      </c>
      <c r="C876" s="1" t="n">
        <v>45990</v>
      </c>
      <c r="D876" t="inlineStr">
        <is>
          <t>VÄSTERBOTTENS LÄN</t>
        </is>
      </c>
      <c r="E876" t="inlineStr">
        <is>
          <t>VILHELMINA</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5947-2023</t>
        </is>
      </c>
      <c r="B877" s="1" t="n">
        <v>44963.92259259259</v>
      </c>
      <c r="C877" s="1" t="n">
        <v>45990</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15050-2024</t>
        </is>
      </c>
      <c r="B878" s="1" t="n">
        <v>45399</v>
      </c>
      <c r="C878" s="1" t="n">
        <v>45990</v>
      </c>
      <c r="D878" t="inlineStr">
        <is>
          <t>VÄSTERBOTTENS LÄN</t>
        </is>
      </c>
      <c r="E878" t="inlineStr">
        <is>
          <t>VILHELMINA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28380-2023</t>
        </is>
      </c>
      <c r="B879" s="1" t="n">
        <v>45099</v>
      </c>
      <c r="C879" s="1" t="n">
        <v>45990</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36957-2023</t>
        </is>
      </c>
      <c r="B880" s="1" t="n">
        <v>45154.92628472222</v>
      </c>
      <c r="C880" s="1" t="n">
        <v>45990</v>
      </c>
      <c r="D880" t="inlineStr">
        <is>
          <t>VÄSTERBOTTENS LÄN</t>
        </is>
      </c>
      <c r="E880" t="inlineStr">
        <is>
          <t>VILHELMINA</t>
        </is>
      </c>
      <c r="G880" t="n">
        <v>0.5</v>
      </c>
      <c r="H880" t="n">
        <v>0</v>
      </c>
      <c r="I880" t="n">
        <v>0</v>
      </c>
      <c r="J880" t="n">
        <v>0</v>
      </c>
      <c r="K880" t="n">
        <v>0</v>
      </c>
      <c r="L880" t="n">
        <v>0</v>
      </c>
      <c r="M880" t="n">
        <v>0</v>
      </c>
      <c r="N880" t="n">
        <v>0</v>
      </c>
      <c r="O880" t="n">
        <v>0</v>
      </c>
      <c r="P880" t="n">
        <v>0</v>
      </c>
      <c r="Q880" t="n">
        <v>0</v>
      </c>
      <c r="R880" s="2" t="inlineStr"/>
    </row>
    <row r="881" ht="15" customHeight="1">
      <c r="A881" t="inlineStr">
        <is>
          <t>A 37505-2023</t>
        </is>
      </c>
      <c r="B881" s="1" t="n">
        <v>45158.31186342592</v>
      </c>
      <c r="C881" s="1" t="n">
        <v>45990</v>
      </c>
      <c r="D881" t="inlineStr">
        <is>
          <t>VÄSTERBOTTENS LÄN</t>
        </is>
      </c>
      <c r="E881" t="inlineStr">
        <is>
          <t>VILHELMINA</t>
        </is>
      </c>
      <c r="G881" t="n">
        <v>10.5</v>
      </c>
      <c r="H881" t="n">
        <v>0</v>
      </c>
      <c r="I881" t="n">
        <v>0</v>
      </c>
      <c r="J881" t="n">
        <v>0</v>
      </c>
      <c r="K881" t="n">
        <v>0</v>
      </c>
      <c r="L881" t="n">
        <v>0</v>
      </c>
      <c r="M881" t="n">
        <v>0</v>
      </c>
      <c r="N881" t="n">
        <v>0</v>
      </c>
      <c r="O881" t="n">
        <v>0</v>
      </c>
      <c r="P881" t="n">
        <v>0</v>
      </c>
      <c r="Q881" t="n">
        <v>0</v>
      </c>
      <c r="R881" s="2" t="inlineStr"/>
    </row>
    <row r="882" ht="15" customHeight="1">
      <c r="A882" t="inlineStr">
        <is>
          <t>A 61801-2024</t>
        </is>
      </c>
      <c r="B882" s="1" t="n">
        <v>45649.56392361111</v>
      </c>
      <c r="C882" s="1" t="n">
        <v>45990</v>
      </c>
      <c r="D882" t="inlineStr">
        <is>
          <t>VÄSTERBOTTENS LÄN</t>
        </is>
      </c>
      <c r="E882" t="inlineStr">
        <is>
          <t>VILHELMINA</t>
        </is>
      </c>
      <c r="G882" t="n">
        <v>2.5</v>
      </c>
      <c r="H882" t="n">
        <v>0</v>
      </c>
      <c r="I882" t="n">
        <v>0</v>
      </c>
      <c r="J882" t="n">
        <v>0</v>
      </c>
      <c r="K882" t="n">
        <v>0</v>
      </c>
      <c r="L882" t="n">
        <v>0</v>
      </c>
      <c r="M882" t="n">
        <v>0</v>
      </c>
      <c r="N882" t="n">
        <v>0</v>
      </c>
      <c r="O882" t="n">
        <v>0</v>
      </c>
      <c r="P882" t="n">
        <v>0</v>
      </c>
      <c r="Q882" t="n">
        <v>0</v>
      </c>
      <c r="R882" s="2" t="inlineStr"/>
    </row>
    <row r="883" ht="15" customHeight="1">
      <c r="A883" t="inlineStr">
        <is>
          <t>A 64254-2020</t>
        </is>
      </c>
      <c r="B883" s="1" t="n">
        <v>44168</v>
      </c>
      <c r="C883" s="1" t="n">
        <v>45990</v>
      </c>
      <c r="D883" t="inlineStr">
        <is>
          <t>VÄSTERBOTTENS LÄN</t>
        </is>
      </c>
      <c r="E883" t="inlineStr">
        <is>
          <t>VILHELMINA</t>
        </is>
      </c>
      <c r="G883" t="n">
        <v>17.6</v>
      </c>
      <c r="H883" t="n">
        <v>0</v>
      </c>
      <c r="I883" t="n">
        <v>0</v>
      </c>
      <c r="J883" t="n">
        <v>0</v>
      </c>
      <c r="K883" t="n">
        <v>0</v>
      </c>
      <c r="L883" t="n">
        <v>0</v>
      </c>
      <c r="M883" t="n">
        <v>0</v>
      </c>
      <c r="N883" t="n">
        <v>0</v>
      </c>
      <c r="O883" t="n">
        <v>0</v>
      </c>
      <c r="P883" t="n">
        <v>0</v>
      </c>
      <c r="Q883" t="n">
        <v>0</v>
      </c>
      <c r="R883" s="2" t="inlineStr"/>
    </row>
    <row r="884" ht="15" customHeight="1">
      <c r="A884" t="inlineStr">
        <is>
          <t>A 19423-2022</t>
        </is>
      </c>
      <c r="B884" s="1" t="n">
        <v>44693.32515046297</v>
      </c>
      <c r="C884" s="1" t="n">
        <v>45990</v>
      </c>
      <c r="D884" t="inlineStr">
        <is>
          <t>VÄSTERBOTTENS LÄN</t>
        </is>
      </c>
      <c r="E884" t="inlineStr">
        <is>
          <t>VILHELMINA</t>
        </is>
      </c>
      <c r="G884" t="n">
        <v>1.9</v>
      </c>
      <c r="H884" t="n">
        <v>0</v>
      </c>
      <c r="I884" t="n">
        <v>0</v>
      </c>
      <c r="J884" t="n">
        <v>0</v>
      </c>
      <c r="K884" t="n">
        <v>0</v>
      </c>
      <c r="L884" t="n">
        <v>0</v>
      </c>
      <c r="M884" t="n">
        <v>0</v>
      </c>
      <c r="N884" t="n">
        <v>0</v>
      </c>
      <c r="O884" t="n">
        <v>0</v>
      </c>
      <c r="P884" t="n">
        <v>0</v>
      </c>
      <c r="Q884" t="n">
        <v>0</v>
      </c>
      <c r="R884" s="2" t="inlineStr"/>
    </row>
    <row r="885" ht="15" customHeight="1">
      <c r="A885" t="inlineStr">
        <is>
          <t>A 12190-2024</t>
        </is>
      </c>
      <c r="B885" s="1" t="n">
        <v>45377.94954861111</v>
      </c>
      <c r="C885" s="1" t="n">
        <v>45990</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61779-2023</t>
        </is>
      </c>
      <c r="B886" s="1" t="n">
        <v>45265.95677083333</v>
      </c>
      <c r="C886" s="1" t="n">
        <v>45990</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61270-2022</t>
        </is>
      </c>
      <c r="B887" s="1" t="n">
        <v>44909</v>
      </c>
      <c r="C887" s="1" t="n">
        <v>45990</v>
      </c>
      <c r="D887" t="inlineStr">
        <is>
          <t>VÄSTERBOTTENS LÄN</t>
        </is>
      </c>
      <c r="E887" t="inlineStr">
        <is>
          <t>VILHELMINA</t>
        </is>
      </c>
      <c r="G887" t="n">
        <v>8.9</v>
      </c>
      <c r="H887" t="n">
        <v>0</v>
      </c>
      <c r="I887" t="n">
        <v>0</v>
      </c>
      <c r="J887" t="n">
        <v>0</v>
      </c>
      <c r="K887" t="n">
        <v>0</v>
      </c>
      <c r="L887" t="n">
        <v>0</v>
      </c>
      <c r="M887" t="n">
        <v>0</v>
      </c>
      <c r="N887" t="n">
        <v>0</v>
      </c>
      <c r="O887" t="n">
        <v>0</v>
      </c>
      <c r="P887" t="n">
        <v>0</v>
      </c>
      <c r="Q887" t="n">
        <v>0</v>
      </c>
      <c r="R887" s="2" t="inlineStr"/>
    </row>
    <row r="888" ht="15" customHeight="1">
      <c r="A888" t="inlineStr">
        <is>
          <t>A 12373-2024</t>
        </is>
      </c>
      <c r="B888" s="1" t="n">
        <v>45378</v>
      </c>
      <c r="C888" s="1" t="n">
        <v>45990</v>
      </c>
      <c r="D888" t="inlineStr">
        <is>
          <t>VÄSTERBOTTENS LÄN</t>
        </is>
      </c>
      <c r="E888" t="inlineStr">
        <is>
          <t>VILHELMINA</t>
        </is>
      </c>
      <c r="G888" t="n">
        <v>0.7</v>
      </c>
      <c r="H888" t="n">
        <v>0</v>
      </c>
      <c r="I888" t="n">
        <v>0</v>
      </c>
      <c r="J888" t="n">
        <v>0</v>
      </c>
      <c r="K888" t="n">
        <v>0</v>
      </c>
      <c r="L888" t="n">
        <v>0</v>
      </c>
      <c r="M888" t="n">
        <v>0</v>
      </c>
      <c r="N888" t="n">
        <v>0</v>
      </c>
      <c r="O888" t="n">
        <v>0</v>
      </c>
      <c r="P888" t="n">
        <v>0</v>
      </c>
      <c r="Q888" t="n">
        <v>0</v>
      </c>
      <c r="R888" s="2" t="inlineStr"/>
    </row>
    <row r="889" ht="15" customHeight="1">
      <c r="A889" t="inlineStr">
        <is>
          <t>A 21843-2024</t>
        </is>
      </c>
      <c r="B889" s="1" t="n">
        <v>45442.96064814815</v>
      </c>
      <c r="C889" s="1" t="n">
        <v>45990</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21069-2025</t>
        </is>
      </c>
      <c r="B890" s="1" t="n">
        <v>45777.59427083333</v>
      </c>
      <c r="C890" s="1" t="n">
        <v>45990</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21035-2025</t>
        </is>
      </c>
      <c r="B891" s="1" t="n">
        <v>45777.53157407408</v>
      </c>
      <c r="C891" s="1" t="n">
        <v>45990</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30583-2024</t>
        </is>
      </c>
      <c r="B892" s="1" t="n">
        <v>45492.96108796296</v>
      </c>
      <c r="C892" s="1" t="n">
        <v>45990</v>
      </c>
      <c r="D892" t="inlineStr">
        <is>
          <t>VÄSTERBOTTENS LÄN</t>
        </is>
      </c>
      <c r="E892" t="inlineStr">
        <is>
          <t>VILHELMINA</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21205-2025</t>
        </is>
      </c>
      <c r="B893" s="1" t="n">
        <v>45779</v>
      </c>
      <c r="C893" s="1" t="n">
        <v>45990</v>
      </c>
      <c r="D893" t="inlineStr">
        <is>
          <t>VÄSTERBOTTENS LÄN</t>
        </is>
      </c>
      <c r="E893" t="inlineStr">
        <is>
          <t>VILHELMINA</t>
        </is>
      </c>
      <c r="F893" t="inlineStr">
        <is>
          <t>Allmännings- och besparingsskogar</t>
        </is>
      </c>
      <c r="G893" t="n">
        <v>6.2</v>
      </c>
      <c r="H893" t="n">
        <v>0</v>
      </c>
      <c r="I893" t="n">
        <v>0</v>
      </c>
      <c r="J893" t="n">
        <v>0</v>
      </c>
      <c r="K893" t="n">
        <v>0</v>
      </c>
      <c r="L893" t="n">
        <v>0</v>
      </c>
      <c r="M893" t="n">
        <v>0</v>
      </c>
      <c r="N893" t="n">
        <v>0</v>
      </c>
      <c r="O893" t="n">
        <v>0</v>
      </c>
      <c r="P893" t="n">
        <v>0</v>
      </c>
      <c r="Q893" t="n">
        <v>0</v>
      </c>
      <c r="R893" s="2" t="inlineStr"/>
    </row>
    <row r="894" ht="15" customHeight="1">
      <c r="A894" t="inlineStr">
        <is>
          <t>A 3745-2023</t>
        </is>
      </c>
      <c r="B894" s="1" t="n">
        <v>44949</v>
      </c>
      <c r="C894" s="1" t="n">
        <v>45990</v>
      </c>
      <c r="D894" t="inlineStr">
        <is>
          <t>VÄSTERBOTTENS LÄN</t>
        </is>
      </c>
      <c r="E894" t="inlineStr">
        <is>
          <t>VILHELMINA</t>
        </is>
      </c>
      <c r="G894" t="n">
        <v>36.6</v>
      </c>
      <c r="H894" t="n">
        <v>0</v>
      </c>
      <c r="I894" t="n">
        <v>0</v>
      </c>
      <c r="J894" t="n">
        <v>0</v>
      </c>
      <c r="K894" t="n">
        <v>0</v>
      </c>
      <c r="L894" t="n">
        <v>0</v>
      </c>
      <c r="M894" t="n">
        <v>0</v>
      </c>
      <c r="N894" t="n">
        <v>0</v>
      </c>
      <c r="O894" t="n">
        <v>0</v>
      </c>
      <c r="P894" t="n">
        <v>0</v>
      </c>
      <c r="Q894" t="n">
        <v>0</v>
      </c>
      <c r="R894" s="2" t="inlineStr"/>
    </row>
    <row r="895" ht="15" customHeight="1">
      <c r="A895" t="inlineStr">
        <is>
          <t>A 21204-2025</t>
        </is>
      </c>
      <c r="B895" s="1" t="n">
        <v>45779</v>
      </c>
      <c r="C895" s="1" t="n">
        <v>45990</v>
      </c>
      <c r="D895" t="inlineStr">
        <is>
          <t>VÄSTERBOTTENS LÄN</t>
        </is>
      </c>
      <c r="E895" t="inlineStr">
        <is>
          <t>VILHELMINA</t>
        </is>
      </c>
      <c r="F895" t="inlineStr">
        <is>
          <t>Allmännings- och besparingsskogar</t>
        </is>
      </c>
      <c r="G895" t="n">
        <v>0.9</v>
      </c>
      <c r="H895" t="n">
        <v>0</v>
      </c>
      <c r="I895" t="n">
        <v>0</v>
      </c>
      <c r="J895" t="n">
        <v>0</v>
      </c>
      <c r="K895" t="n">
        <v>0</v>
      </c>
      <c r="L895" t="n">
        <v>0</v>
      </c>
      <c r="M895" t="n">
        <v>0</v>
      </c>
      <c r="N895" t="n">
        <v>0</v>
      </c>
      <c r="O895" t="n">
        <v>0</v>
      </c>
      <c r="P895" t="n">
        <v>0</v>
      </c>
      <c r="Q895" t="n">
        <v>0</v>
      </c>
      <c r="R895" s="2" t="inlineStr"/>
    </row>
    <row r="896" ht="15" customHeight="1">
      <c r="A896" t="inlineStr">
        <is>
          <t>A 21410-2025</t>
        </is>
      </c>
      <c r="B896" s="1" t="n">
        <v>45782</v>
      </c>
      <c r="C896" s="1" t="n">
        <v>45990</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21448-2025</t>
        </is>
      </c>
      <c r="B897" s="1" t="n">
        <v>45782.55241898148</v>
      </c>
      <c r="C897" s="1" t="n">
        <v>45990</v>
      </c>
      <c r="D897" t="inlineStr">
        <is>
          <t>VÄSTERBOTTENS LÄN</t>
        </is>
      </c>
      <c r="E897" t="inlineStr">
        <is>
          <t>VILHELMINA</t>
        </is>
      </c>
      <c r="F897" t="inlineStr">
        <is>
          <t>SCA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21623-2025</t>
        </is>
      </c>
      <c r="B898" s="1" t="n">
        <v>45783</v>
      </c>
      <c r="C898" s="1" t="n">
        <v>45990</v>
      </c>
      <c r="D898" t="inlineStr">
        <is>
          <t>VÄSTERBOTTENS LÄN</t>
        </is>
      </c>
      <c r="E898" t="inlineStr">
        <is>
          <t>VILHELMINA</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21670-2025</t>
        </is>
      </c>
      <c r="B899" s="1" t="n">
        <v>45783.46917824074</v>
      </c>
      <c r="C899" s="1" t="n">
        <v>45990</v>
      </c>
      <c r="D899" t="inlineStr">
        <is>
          <t>VÄSTERBOTTENS LÄN</t>
        </is>
      </c>
      <c r="E899" t="inlineStr">
        <is>
          <t>VILHELMINA</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21950-2025</t>
        </is>
      </c>
      <c r="B900" s="1" t="n">
        <v>45784.59418981482</v>
      </c>
      <c r="C900" s="1" t="n">
        <v>45990</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50482-2023</t>
        </is>
      </c>
      <c r="B901" s="1" t="n">
        <v>45216</v>
      </c>
      <c r="C901" s="1" t="n">
        <v>45990</v>
      </c>
      <c r="D901" t="inlineStr">
        <is>
          <t>VÄSTERBOTTENS LÄN</t>
        </is>
      </c>
      <c r="E901" t="inlineStr">
        <is>
          <t>VILHELMINA</t>
        </is>
      </c>
      <c r="G901" t="n">
        <v>3.5</v>
      </c>
      <c r="H901" t="n">
        <v>0</v>
      </c>
      <c r="I901" t="n">
        <v>0</v>
      </c>
      <c r="J901" t="n">
        <v>0</v>
      </c>
      <c r="K901" t="n">
        <v>0</v>
      </c>
      <c r="L901" t="n">
        <v>0</v>
      </c>
      <c r="M901" t="n">
        <v>0</v>
      </c>
      <c r="N901" t="n">
        <v>0</v>
      </c>
      <c r="O901" t="n">
        <v>0</v>
      </c>
      <c r="P901" t="n">
        <v>0</v>
      </c>
      <c r="Q901" t="n">
        <v>0</v>
      </c>
      <c r="R901" s="2" t="inlineStr"/>
    </row>
    <row r="902" ht="15" customHeight="1">
      <c r="A902" t="inlineStr">
        <is>
          <t>A 22048-2025</t>
        </is>
      </c>
      <c r="B902" s="1" t="n">
        <v>45785.3443287037</v>
      </c>
      <c r="C902" s="1" t="n">
        <v>45990</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21972-2025</t>
        </is>
      </c>
      <c r="B903" s="1" t="n">
        <v>45784.63592592593</v>
      </c>
      <c r="C903" s="1" t="n">
        <v>45990</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34809-2023</t>
        </is>
      </c>
      <c r="B904" s="1" t="n">
        <v>45140</v>
      </c>
      <c r="C904" s="1" t="n">
        <v>45990</v>
      </c>
      <c r="D904" t="inlineStr">
        <is>
          <t>VÄSTERBOTTENS LÄN</t>
        </is>
      </c>
      <c r="E904" t="inlineStr">
        <is>
          <t>VILHELMINA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21999-2025</t>
        </is>
      </c>
      <c r="B905" s="1" t="n">
        <v>45784</v>
      </c>
      <c r="C905" s="1" t="n">
        <v>45990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21924-2025</t>
        </is>
      </c>
      <c r="B906" s="1" t="n">
        <v>45784</v>
      </c>
      <c r="C906" s="1" t="n">
        <v>45990</v>
      </c>
      <c r="D906" t="inlineStr">
        <is>
          <t>VÄSTERBOTTENS LÄN</t>
        </is>
      </c>
      <c r="E906" t="inlineStr">
        <is>
          <t>VILHELMINA</t>
        </is>
      </c>
      <c r="G906" t="n">
        <v>10.2</v>
      </c>
      <c r="H906" t="n">
        <v>0</v>
      </c>
      <c r="I906" t="n">
        <v>0</v>
      </c>
      <c r="J906" t="n">
        <v>0</v>
      </c>
      <c r="K906" t="n">
        <v>0</v>
      </c>
      <c r="L906" t="n">
        <v>0</v>
      </c>
      <c r="M906" t="n">
        <v>0</v>
      </c>
      <c r="N906" t="n">
        <v>0</v>
      </c>
      <c r="O906" t="n">
        <v>0</v>
      </c>
      <c r="P906" t="n">
        <v>0</v>
      </c>
      <c r="Q906" t="n">
        <v>0</v>
      </c>
      <c r="R906" s="2" t="inlineStr"/>
    </row>
    <row r="907" ht="15" customHeight="1">
      <c r="A907" t="inlineStr">
        <is>
          <t>A 23281-2025</t>
        </is>
      </c>
      <c r="B907" s="1" t="n">
        <v>45791.57324074074</v>
      </c>
      <c r="C907" s="1" t="n">
        <v>45990</v>
      </c>
      <c r="D907" t="inlineStr">
        <is>
          <t>VÄSTERBOTTENS LÄN</t>
        </is>
      </c>
      <c r="E907" t="inlineStr">
        <is>
          <t>VILHELMINA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19873-2024</t>
        </is>
      </c>
      <c r="B908" s="1" t="n">
        <v>45433</v>
      </c>
      <c r="C908" s="1" t="n">
        <v>45990</v>
      </c>
      <c r="D908" t="inlineStr">
        <is>
          <t>VÄSTERBOTTENS LÄN</t>
        </is>
      </c>
      <c r="E908" t="inlineStr">
        <is>
          <t>VILHELMINA</t>
        </is>
      </c>
      <c r="G908" t="n">
        <v>8.6</v>
      </c>
      <c r="H908" t="n">
        <v>0</v>
      </c>
      <c r="I908" t="n">
        <v>0</v>
      </c>
      <c r="J908" t="n">
        <v>0</v>
      </c>
      <c r="K908" t="n">
        <v>0</v>
      </c>
      <c r="L908" t="n">
        <v>0</v>
      </c>
      <c r="M908" t="n">
        <v>0</v>
      </c>
      <c r="N908" t="n">
        <v>0</v>
      </c>
      <c r="O908" t="n">
        <v>0</v>
      </c>
      <c r="P908" t="n">
        <v>0</v>
      </c>
      <c r="Q908" t="n">
        <v>0</v>
      </c>
      <c r="R908" s="2" t="inlineStr"/>
    </row>
    <row r="909" ht="15" customHeight="1">
      <c r="A909" t="inlineStr">
        <is>
          <t>A 47242-2024</t>
        </is>
      </c>
      <c r="B909" s="1" t="n">
        <v>45586</v>
      </c>
      <c r="C909" s="1" t="n">
        <v>45990</v>
      </c>
      <c r="D909" t="inlineStr">
        <is>
          <t>VÄSTERBOTTENS LÄN</t>
        </is>
      </c>
      <c r="E909" t="inlineStr">
        <is>
          <t>VILHELMINA</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23826-2025</t>
        </is>
      </c>
      <c r="B910" s="1" t="n">
        <v>45793.59461805555</v>
      </c>
      <c r="C910" s="1" t="n">
        <v>45990</v>
      </c>
      <c r="D910" t="inlineStr">
        <is>
          <t>VÄSTERBOTTENS LÄN</t>
        </is>
      </c>
      <c r="E910" t="inlineStr">
        <is>
          <t>VILHELMINA</t>
        </is>
      </c>
      <c r="F910" t="inlineStr">
        <is>
          <t>SCA</t>
        </is>
      </c>
      <c r="G910" t="n">
        <v>5.9</v>
      </c>
      <c r="H910" t="n">
        <v>0</v>
      </c>
      <c r="I910" t="n">
        <v>0</v>
      </c>
      <c r="J910" t="n">
        <v>0</v>
      </c>
      <c r="K910" t="n">
        <v>0</v>
      </c>
      <c r="L910" t="n">
        <v>0</v>
      </c>
      <c r="M910" t="n">
        <v>0</v>
      </c>
      <c r="N910" t="n">
        <v>0</v>
      </c>
      <c r="O910" t="n">
        <v>0</v>
      </c>
      <c r="P910" t="n">
        <v>0</v>
      </c>
      <c r="Q910" t="n">
        <v>0</v>
      </c>
      <c r="R910" s="2" t="inlineStr"/>
    </row>
    <row r="911" ht="15" customHeight="1">
      <c r="A911" t="inlineStr">
        <is>
          <t>A 23686-2025</t>
        </is>
      </c>
      <c r="B911" s="1" t="n">
        <v>45793</v>
      </c>
      <c r="C911" s="1" t="n">
        <v>45990</v>
      </c>
      <c r="D911" t="inlineStr">
        <is>
          <t>VÄSTERBOTTENS LÄN</t>
        </is>
      </c>
      <c r="E911" t="inlineStr">
        <is>
          <t>VILHELMINA</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47440-2024</t>
        </is>
      </c>
      <c r="B912" s="1" t="n">
        <v>45587</v>
      </c>
      <c r="C912" s="1" t="n">
        <v>45990</v>
      </c>
      <c r="D912" t="inlineStr">
        <is>
          <t>VÄSTERBOTTENS LÄN</t>
        </is>
      </c>
      <c r="E912" t="inlineStr">
        <is>
          <t>VILHELMINA</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23764-2025</t>
        </is>
      </c>
      <c r="B913" s="1" t="n">
        <v>45793</v>
      </c>
      <c r="C913" s="1" t="n">
        <v>45990</v>
      </c>
      <c r="D913" t="inlineStr">
        <is>
          <t>VÄSTERBOTTENS LÄN</t>
        </is>
      </c>
      <c r="E913" t="inlineStr">
        <is>
          <t>VILHELMINA</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146-2025</t>
        </is>
      </c>
      <c r="B914" s="1" t="n">
        <v>45659</v>
      </c>
      <c r="C914" s="1" t="n">
        <v>45990</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25308-2025</t>
        </is>
      </c>
      <c r="B915" s="1" t="n">
        <v>45800</v>
      </c>
      <c r="C915" s="1" t="n">
        <v>45990</v>
      </c>
      <c r="D915" t="inlineStr">
        <is>
          <t>VÄSTERBOTTENS LÄN</t>
        </is>
      </c>
      <c r="E915" t="inlineStr">
        <is>
          <t>VILHELMINA</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48088-2024</t>
        </is>
      </c>
      <c r="B916" s="1" t="n">
        <v>45589</v>
      </c>
      <c r="C916" s="1" t="n">
        <v>45990</v>
      </c>
      <c r="D916" t="inlineStr">
        <is>
          <t>VÄSTERBOTTENS LÄN</t>
        </is>
      </c>
      <c r="E916" t="inlineStr">
        <is>
          <t>VILHELMINA</t>
        </is>
      </c>
      <c r="F916" t="inlineStr">
        <is>
          <t>SCA</t>
        </is>
      </c>
      <c r="G916" t="n">
        <v>6.9</v>
      </c>
      <c r="H916" t="n">
        <v>0</v>
      </c>
      <c r="I916" t="n">
        <v>0</v>
      </c>
      <c r="J916" t="n">
        <v>0</v>
      </c>
      <c r="K916" t="n">
        <v>0</v>
      </c>
      <c r="L916" t="n">
        <v>0</v>
      </c>
      <c r="M916" t="n">
        <v>0</v>
      </c>
      <c r="N916" t="n">
        <v>0</v>
      </c>
      <c r="O916" t="n">
        <v>0</v>
      </c>
      <c r="P916" t="n">
        <v>0</v>
      </c>
      <c r="Q916" t="n">
        <v>0</v>
      </c>
      <c r="R916" s="2" t="inlineStr"/>
    </row>
    <row r="917" ht="15" customHeight="1">
      <c r="A917" t="inlineStr">
        <is>
          <t>A 39035-2024</t>
        </is>
      </c>
      <c r="B917" s="1" t="n">
        <v>45548.46918981482</v>
      </c>
      <c r="C917" s="1" t="n">
        <v>45990</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17467-2025</t>
        </is>
      </c>
      <c r="B918" s="1" t="n">
        <v>45757</v>
      </c>
      <c r="C918" s="1" t="n">
        <v>45990</v>
      </c>
      <c r="D918" t="inlineStr">
        <is>
          <t>VÄSTERBOTTENS LÄN</t>
        </is>
      </c>
      <c r="E918" t="inlineStr">
        <is>
          <t>VILHELMINA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23415-2025</t>
        </is>
      </c>
      <c r="B919" s="1" t="n">
        <v>45792.34643518519</v>
      </c>
      <c r="C919" s="1" t="n">
        <v>45990</v>
      </c>
      <c r="D919" t="inlineStr">
        <is>
          <t>VÄSTERBOTTENS LÄN</t>
        </is>
      </c>
      <c r="E919" t="inlineStr">
        <is>
          <t>VILHELMINA</t>
        </is>
      </c>
      <c r="F919" t="inlineStr">
        <is>
          <t>SCA</t>
        </is>
      </c>
      <c r="G919" t="n">
        <v>36.9</v>
      </c>
      <c r="H919" t="n">
        <v>0</v>
      </c>
      <c r="I919" t="n">
        <v>0</v>
      </c>
      <c r="J919" t="n">
        <v>0</v>
      </c>
      <c r="K919" t="n">
        <v>0</v>
      </c>
      <c r="L919" t="n">
        <v>0</v>
      </c>
      <c r="M919" t="n">
        <v>0</v>
      </c>
      <c r="N919" t="n">
        <v>0</v>
      </c>
      <c r="O919" t="n">
        <v>0</v>
      </c>
      <c r="P919" t="n">
        <v>0</v>
      </c>
      <c r="Q919" t="n">
        <v>0</v>
      </c>
      <c r="R919" s="2" t="inlineStr"/>
    </row>
    <row r="920" ht="15" customHeight="1">
      <c r="A920" t="inlineStr">
        <is>
          <t>A 23406-2025</t>
        </is>
      </c>
      <c r="B920" s="1" t="n">
        <v>45792.34540509259</v>
      </c>
      <c r="C920" s="1" t="n">
        <v>45990</v>
      </c>
      <c r="D920" t="inlineStr">
        <is>
          <t>VÄSTERBOTTENS LÄN</t>
        </is>
      </c>
      <c r="E920" t="inlineStr">
        <is>
          <t>VILHELMINA</t>
        </is>
      </c>
      <c r="F920" t="inlineStr">
        <is>
          <t>SCA</t>
        </is>
      </c>
      <c r="G920" t="n">
        <v>15.4</v>
      </c>
      <c r="H920" t="n">
        <v>0</v>
      </c>
      <c r="I920" t="n">
        <v>0</v>
      </c>
      <c r="J920" t="n">
        <v>0</v>
      </c>
      <c r="K920" t="n">
        <v>0</v>
      </c>
      <c r="L920" t="n">
        <v>0</v>
      </c>
      <c r="M920" t="n">
        <v>0</v>
      </c>
      <c r="N920" t="n">
        <v>0</v>
      </c>
      <c r="O920" t="n">
        <v>0</v>
      </c>
      <c r="P920" t="n">
        <v>0</v>
      </c>
      <c r="Q920" t="n">
        <v>0</v>
      </c>
      <c r="R920" s="2" t="inlineStr"/>
    </row>
    <row r="921" ht="15" customHeight="1">
      <c r="A921" t="inlineStr">
        <is>
          <t>A 23459-2025</t>
        </is>
      </c>
      <c r="B921" s="1" t="n">
        <v>45792</v>
      </c>
      <c r="C921" s="1" t="n">
        <v>45990</v>
      </c>
      <c r="D921" t="inlineStr">
        <is>
          <t>VÄSTERBOTTENS LÄN</t>
        </is>
      </c>
      <c r="E921" t="inlineStr">
        <is>
          <t>VILHELMINA</t>
        </is>
      </c>
      <c r="F921" t="inlineStr">
        <is>
          <t>SCA</t>
        </is>
      </c>
      <c r="G921" t="n">
        <v>7.4</v>
      </c>
      <c r="H921" t="n">
        <v>0</v>
      </c>
      <c r="I921" t="n">
        <v>0</v>
      </c>
      <c r="J921" t="n">
        <v>0</v>
      </c>
      <c r="K921" t="n">
        <v>0</v>
      </c>
      <c r="L921" t="n">
        <v>0</v>
      </c>
      <c r="M921" t="n">
        <v>0</v>
      </c>
      <c r="N921" t="n">
        <v>0</v>
      </c>
      <c r="O921" t="n">
        <v>0</v>
      </c>
      <c r="P921" t="n">
        <v>0</v>
      </c>
      <c r="Q921" t="n">
        <v>0</v>
      </c>
      <c r="R921" s="2" t="inlineStr"/>
    </row>
    <row r="922" ht="15" customHeight="1">
      <c r="A922" t="inlineStr">
        <is>
          <t>A 23461-2025</t>
        </is>
      </c>
      <c r="B922" s="1" t="n">
        <v>45792</v>
      </c>
      <c r="C922" s="1" t="n">
        <v>45990</v>
      </c>
      <c r="D922" t="inlineStr">
        <is>
          <t>VÄSTERBOTTENS LÄN</t>
        </is>
      </c>
      <c r="E922" t="inlineStr">
        <is>
          <t>VILHELMINA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48062-2024</t>
        </is>
      </c>
      <c r="B923" s="1" t="n">
        <v>45589</v>
      </c>
      <c r="C923" s="1" t="n">
        <v>45990</v>
      </c>
      <c r="D923" t="inlineStr">
        <is>
          <t>VÄSTERBOTTENS LÄN</t>
        </is>
      </c>
      <c r="E923" t="inlineStr">
        <is>
          <t>VILHELMINA</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47548-2024</t>
        </is>
      </c>
      <c r="B924" s="1" t="n">
        <v>45587</v>
      </c>
      <c r="C924" s="1" t="n">
        <v>45990</v>
      </c>
      <c r="D924" t="inlineStr">
        <is>
          <t>VÄSTERBOTTENS LÄN</t>
        </is>
      </c>
      <c r="E924" t="inlineStr">
        <is>
          <t>VILHELMINA</t>
        </is>
      </c>
      <c r="F924" t="inlineStr">
        <is>
          <t>SCA</t>
        </is>
      </c>
      <c r="G924" t="n">
        <v>7.7</v>
      </c>
      <c r="H924" t="n">
        <v>0</v>
      </c>
      <c r="I924" t="n">
        <v>0</v>
      </c>
      <c r="J924" t="n">
        <v>0</v>
      </c>
      <c r="K924" t="n">
        <v>0</v>
      </c>
      <c r="L924" t="n">
        <v>0</v>
      </c>
      <c r="M924" t="n">
        <v>0</v>
      </c>
      <c r="N924" t="n">
        <v>0</v>
      </c>
      <c r="O924" t="n">
        <v>0</v>
      </c>
      <c r="P924" t="n">
        <v>0</v>
      </c>
      <c r="Q924" t="n">
        <v>0</v>
      </c>
      <c r="R924" s="2" t="inlineStr"/>
    </row>
    <row r="925">
      <c r="A925" t="inlineStr">
        <is>
          <t>A 10548-2022</t>
        </is>
      </c>
      <c r="B925" s="1" t="n">
        <v>44623</v>
      </c>
      <c r="C925" s="1" t="n">
        <v>45990</v>
      </c>
      <c r="D925" t="inlineStr">
        <is>
          <t>VÄSTERBOTTENS LÄN</t>
        </is>
      </c>
      <c r="E925" t="inlineStr">
        <is>
          <t>VILHELMINA</t>
        </is>
      </c>
      <c r="F925" t="inlineStr">
        <is>
          <t>SCA</t>
        </is>
      </c>
      <c r="G925" t="n">
        <v>11.5</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2025-11-29T10:23:11Z</dcterms:created>
  <dcterms:modified xmlns:dcterms="http://purl.org/dc/terms/" xmlns:xsi="http://www.w3.org/2001/XMLSchema-instance" xsi:type="dcterms:W3CDTF">2025-11-29T10:23:12Z</dcterms:modified>
</cp:coreProperties>
</file>