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45351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45351</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45351</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52678-2020</t>
        </is>
      </c>
      <c r="B5" s="1" t="n">
        <v>44118</v>
      </c>
      <c r="C5" s="1" t="n">
        <v>45351</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c r="Z5">
        <f>HYPERLINK("https://klasma.github.io/Logging_2462/fåglar/A 52678-2020 prioriterade fågelarter.docx", "A 52678-2020")</f>
        <v/>
      </c>
    </row>
    <row r="6" ht="15" customHeight="1">
      <c r="A6" t="inlineStr">
        <is>
          <t>A 60433-2021</t>
        </is>
      </c>
      <c r="B6" s="1" t="n">
        <v>44494</v>
      </c>
      <c r="C6" s="1" t="n">
        <v>45351</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45351</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13322-2022</t>
        </is>
      </c>
      <c r="B8" s="1" t="n">
        <v>44644</v>
      </c>
      <c r="C8" s="1" t="n">
        <v>45351</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c r="Z8">
        <f>HYPERLINK("https://klasma.github.io/Logging_2462/fåglar/A 13322-2022 prioriterade fågelarter.docx", "A 13322-2022")</f>
        <v/>
      </c>
    </row>
    <row r="9" ht="15" customHeight="1">
      <c r="A9" t="inlineStr">
        <is>
          <t>A 45751-2022</t>
        </is>
      </c>
      <c r="B9" s="1" t="n">
        <v>44838</v>
      </c>
      <c r="C9" s="1" t="n">
        <v>45351</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c r="Z9">
        <f>HYPERLINK("https://klasma.github.io/Logging_2462/fåglar/A 45751-2022 prioriterade fågelarter.docx", "A 45751-2022")</f>
        <v/>
      </c>
    </row>
    <row r="10" ht="15" customHeight="1">
      <c r="A10" t="inlineStr">
        <is>
          <t>A 41836-2020</t>
        </is>
      </c>
      <c r="B10" s="1" t="n">
        <v>44074</v>
      </c>
      <c r="C10" s="1" t="n">
        <v>45351</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c r="Z10">
        <f>HYPERLINK("https://klasma.github.io/Logging_2462/fåglar/A 41836-2020 prioriterade fågelarter.docx", "A 41836-2020")</f>
        <v/>
      </c>
    </row>
    <row r="11" ht="15" customHeight="1">
      <c r="A11" t="inlineStr">
        <is>
          <t>A 27113-2021</t>
        </is>
      </c>
      <c r="B11" s="1" t="n">
        <v>44350</v>
      </c>
      <c r="C11" s="1" t="n">
        <v>45351</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c r="Z11">
        <f>HYPERLINK("https://klasma.github.io/Logging_2462/fåglar/A 27113-2021 prioriterade fågelarter.docx", "A 27113-2021")</f>
        <v/>
      </c>
    </row>
    <row r="12" ht="15" customHeight="1">
      <c r="A12" t="inlineStr">
        <is>
          <t>A 34086-2023</t>
        </is>
      </c>
      <c r="B12" s="1" t="n">
        <v>45125</v>
      </c>
      <c r="C12" s="1" t="n">
        <v>45351</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c r="Z12">
        <f>HYPERLINK("https://klasma.github.io/Logging_2462/fåglar/A 34086-2023 prioriterade fågelarter.docx", "A 34086-2023")</f>
        <v/>
      </c>
    </row>
    <row r="13" ht="15" customHeight="1">
      <c r="A13" t="inlineStr">
        <is>
          <t>A 60375-2021</t>
        </is>
      </c>
      <c r="B13" s="1" t="n">
        <v>44494</v>
      </c>
      <c r="C13" s="1" t="n">
        <v>45351</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c r="Z13">
        <f>HYPERLINK("https://klasma.github.io/Logging_2462/fåglar/A 60375-2021 prioriterade fågelarter.docx", "A 60375-2021")</f>
        <v/>
      </c>
    </row>
    <row r="14" ht="15" customHeight="1">
      <c r="A14" t="inlineStr">
        <is>
          <t>A 51906-2019</t>
        </is>
      </c>
      <c r="B14" s="1" t="n">
        <v>43741</v>
      </c>
      <c r="C14" s="1" t="n">
        <v>45351</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c r="Z14">
        <f>HYPERLINK("https://klasma.github.io/Logging_2462/fåglar/A 51906-2019 prioriterade fågelarter.docx", "A 51906-2019")</f>
        <v/>
      </c>
    </row>
    <row r="15" ht="15" customHeight="1">
      <c r="A15" t="inlineStr">
        <is>
          <t>A 36958-2023</t>
        </is>
      </c>
      <c r="B15" s="1" t="n">
        <v>45154</v>
      </c>
      <c r="C15" s="1" t="n">
        <v>45351</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c r="Z15">
        <f>HYPERLINK("https://klasma.github.io/Logging_2462/fåglar/A 36958-2023 prioriterade fågelarter.docx", "A 36958-2023")</f>
        <v/>
      </c>
    </row>
    <row r="16" ht="15" customHeight="1">
      <c r="A16" t="inlineStr">
        <is>
          <t>A 11974-2021</t>
        </is>
      </c>
      <c r="B16" s="1" t="n">
        <v>44266</v>
      </c>
      <c r="C16" s="1" t="n">
        <v>45351</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c r="Z16">
        <f>HYPERLINK("https://klasma.github.io/Logging_2462/fåglar/A 11974-2021 prioriterade fågelarter.docx", "A 11974-2021")</f>
        <v/>
      </c>
    </row>
    <row r="17" ht="15" customHeight="1">
      <c r="A17" t="inlineStr">
        <is>
          <t>A 13462-2022</t>
        </is>
      </c>
      <c r="B17" s="1" t="n">
        <v>44645</v>
      </c>
      <c r="C17" s="1" t="n">
        <v>45351</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c r="Z17">
        <f>HYPERLINK("https://klasma.github.io/Logging_2462/fåglar/A 13462-2022 prioriterade fågelarter.docx", "A 13462-2022")</f>
        <v/>
      </c>
    </row>
    <row r="18" ht="15" customHeight="1">
      <c r="A18" t="inlineStr">
        <is>
          <t>A 54734-2022</t>
        </is>
      </c>
      <c r="B18" s="1" t="n">
        <v>44881</v>
      </c>
      <c r="C18" s="1" t="n">
        <v>45351</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c r="Z18">
        <f>HYPERLINK("https://klasma.github.io/Logging_2462/fåglar/A 54734-2022 prioriterade fågelarter.docx", "A 54734-2022")</f>
        <v/>
      </c>
    </row>
    <row r="19" ht="15" customHeight="1">
      <c r="A19" t="inlineStr">
        <is>
          <t>A 33668-2023</t>
        </is>
      </c>
      <c r="B19" s="1" t="n">
        <v>45119</v>
      </c>
      <c r="C19" s="1" t="n">
        <v>45351</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c r="Z19">
        <f>HYPERLINK("https://klasma.github.io/Logging_2462/fåglar/A 33668-2023 prioriterade fågelarter.docx", "A 33668-2023")</f>
        <v/>
      </c>
    </row>
    <row r="20" ht="15" customHeight="1">
      <c r="A20" t="inlineStr">
        <is>
          <t>A 50028-2019</t>
        </is>
      </c>
      <c r="B20" s="1" t="n">
        <v>43731</v>
      </c>
      <c r="C20" s="1" t="n">
        <v>45351</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c r="Z20">
        <f>HYPERLINK("https://klasma.github.io/Logging_2462/fåglar/A 50028-2019 prioriterade fågelarter.docx", "A 50028-2019")</f>
        <v/>
      </c>
    </row>
    <row r="21" ht="15" customHeight="1">
      <c r="A21" t="inlineStr">
        <is>
          <t>A 11282-2021</t>
        </is>
      </c>
      <c r="B21" s="1" t="n">
        <v>44263</v>
      </c>
      <c r="C21" s="1" t="n">
        <v>45351</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c r="Z21">
        <f>HYPERLINK("https://klasma.github.io/Logging_2462/fåglar/A 11282-2021 prioriterade fågelarter.docx", "A 11282-2021")</f>
        <v/>
      </c>
    </row>
    <row r="22" ht="15" customHeight="1">
      <c r="A22" t="inlineStr">
        <is>
          <t>A 39168-2021</t>
        </is>
      </c>
      <c r="B22" s="1" t="n">
        <v>44412</v>
      </c>
      <c r="C22" s="1" t="n">
        <v>45351</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c r="Z22">
        <f>HYPERLINK("https://klasma.github.io/Logging_2462/fåglar/A 39168-2021 prioriterade fågelarter.docx", "A 39168-2021")</f>
        <v/>
      </c>
    </row>
    <row r="23" ht="15" customHeight="1">
      <c r="A23" t="inlineStr">
        <is>
          <t>A 19721-2023</t>
        </is>
      </c>
      <c r="B23" s="1" t="n">
        <v>45050</v>
      </c>
      <c r="C23" s="1" t="n">
        <v>45351</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c r="Z23">
        <f>HYPERLINK("https://klasma.github.io/Logging_2462/fåglar/A 19721-2023 prioriterade fågelarter.docx", "A 19721-2023")</f>
        <v/>
      </c>
    </row>
    <row r="24" ht="15" customHeight="1">
      <c r="A24" t="inlineStr">
        <is>
          <t>A 6982-2023</t>
        </is>
      </c>
      <c r="B24" s="1" t="n">
        <v>44964</v>
      </c>
      <c r="C24" s="1" t="n">
        <v>45351</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43595-2023</t>
        </is>
      </c>
      <c r="B25" s="1" t="n">
        <v>45181</v>
      </c>
      <c r="C25" s="1" t="n">
        <v>45351</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c r="Z25">
        <f>HYPERLINK("https://klasma.github.io/Logging_2462/fåglar/A 43595-2023 prioriterade fågelarter.docx", "A 43595-2023")</f>
        <v/>
      </c>
    </row>
    <row r="26" ht="15" customHeight="1">
      <c r="A26" t="inlineStr">
        <is>
          <t>A 48190-2023</t>
        </is>
      </c>
      <c r="B26" s="1" t="n">
        <v>45201</v>
      </c>
      <c r="C26" s="1" t="n">
        <v>45351</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c r="Z26">
        <f>HYPERLINK("https://klasma.github.io/Logging_2462/fåglar/A 48190-2023 prioriterade fågelarter.docx", "A 48190-2023")</f>
        <v/>
      </c>
    </row>
    <row r="27" ht="15" customHeight="1">
      <c r="A27" t="inlineStr">
        <is>
          <t>A 9057-2023</t>
        </is>
      </c>
      <c r="B27" s="1" t="n">
        <v>44972</v>
      </c>
      <c r="C27" s="1" t="n">
        <v>45351</v>
      </c>
      <c r="D27" t="inlineStr">
        <is>
          <t>VÄSTERBOTTENS LÄN</t>
        </is>
      </c>
      <c r="E27" t="inlineStr">
        <is>
          <t>VILHELMINA</t>
        </is>
      </c>
      <c r="F27" t="inlineStr">
        <is>
          <t>Allmännings- och besparingsskogar</t>
        </is>
      </c>
      <c r="G27" t="n">
        <v>391.6</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17055-2023</t>
        </is>
      </c>
      <c r="B28" s="1" t="n">
        <v>45030</v>
      </c>
      <c r="C28" s="1" t="n">
        <v>45351</v>
      </c>
      <c r="D28" t="inlineStr">
        <is>
          <t>VÄSTERBOTTENS LÄN</t>
        </is>
      </c>
      <c r="E28" t="inlineStr">
        <is>
          <t>VILHELMINA</t>
        </is>
      </c>
      <c r="F28" t="inlineStr">
        <is>
          <t>Allmännings- och besparingsskogar</t>
        </is>
      </c>
      <c r="G28" t="n">
        <v>17.1</v>
      </c>
      <c r="H28" t="n">
        <v>2</v>
      </c>
      <c r="I28" t="n">
        <v>2</v>
      </c>
      <c r="J28" t="n">
        <v>13</v>
      </c>
      <c r="K28" t="n">
        <v>3</v>
      </c>
      <c r="L28" t="n">
        <v>0</v>
      </c>
      <c r="M28" t="n">
        <v>0</v>
      </c>
      <c r="N28" t="n">
        <v>0</v>
      </c>
      <c r="O28" t="n">
        <v>16</v>
      </c>
      <c r="P28" t="n">
        <v>3</v>
      </c>
      <c r="Q28" t="n">
        <v>18</v>
      </c>
      <c r="R28" s="2" t="inlineStr">
        <is>
          <t>Blackticka
Grantickeporing
Tajgaskinn
Doftskinn
Gammelgransskål
Garnlav
Granticka
Gränsticka
Harticka
Järpe
Knottrig blåslav
Rosenticka
Stjärntagging
Tretåig hackspett
Ullticka
Vitgrynig nållav
Stuplav
Vedticka</t>
        </is>
      </c>
      <c r="S28">
        <f>HYPERLINK("https://klasma.github.io/Logging_2462/artfynd/A 17055-2023 artfynd.xlsx", "A 17055-2023")</f>
        <v/>
      </c>
      <c r="T28">
        <f>HYPERLINK("https://klasma.github.io/Logging_2462/kartor/A 17055-2023 karta.png", "A 17055-2023")</f>
        <v/>
      </c>
      <c r="V28">
        <f>HYPERLINK("https://klasma.github.io/Logging_2462/klagomål/A 17055-2023 FSC-klagomål.docx", "A 17055-2023")</f>
        <v/>
      </c>
      <c r="W28">
        <f>HYPERLINK("https://klasma.github.io/Logging_2462/klagomålsmail/A 17055-2023 FSC-klagomål mail.docx", "A 17055-2023")</f>
        <v/>
      </c>
      <c r="X28">
        <f>HYPERLINK("https://klasma.github.io/Logging_2462/tillsyn/A 17055-2023 tillsynsbegäran.docx", "A 17055-2023")</f>
        <v/>
      </c>
      <c r="Y28">
        <f>HYPERLINK("https://klasma.github.io/Logging_2462/tillsynsmail/A 17055-2023 tillsynsbegäran mail.docx", "A 17055-2023")</f>
        <v/>
      </c>
      <c r="Z28">
        <f>HYPERLINK("https://klasma.github.io/Logging_2462/fåglar/A 17055-2023 prioriterade fågelarter.docx", "A 17055-2023")</f>
        <v/>
      </c>
    </row>
    <row r="29" ht="15" customHeight="1">
      <c r="A29" t="inlineStr">
        <is>
          <t>A 17045-2023</t>
        </is>
      </c>
      <c r="B29" s="1" t="n">
        <v>45030</v>
      </c>
      <c r="C29" s="1" t="n">
        <v>45351</v>
      </c>
      <c r="D29" t="inlineStr">
        <is>
          <t>VÄSTERBOTTENS LÄN</t>
        </is>
      </c>
      <c r="E29" t="inlineStr">
        <is>
          <t>VILHELMINA</t>
        </is>
      </c>
      <c r="F29" t="inlineStr">
        <is>
          <t>Allmännings- och besparingsskogar</t>
        </is>
      </c>
      <c r="G29" t="n">
        <v>20</v>
      </c>
      <c r="H29" t="n">
        <v>1</v>
      </c>
      <c r="I29" t="n">
        <v>5</v>
      </c>
      <c r="J29" t="n">
        <v>11</v>
      </c>
      <c r="K29" t="n">
        <v>2</v>
      </c>
      <c r="L29" t="n">
        <v>0</v>
      </c>
      <c r="M29" t="n">
        <v>0</v>
      </c>
      <c r="N29" t="n">
        <v>0</v>
      </c>
      <c r="O29" t="n">
        <v>13</v>
      </c>
      <c r="P29" t="n">
        <v>2</v>
      </c>
      <c r="Q29" t="n">
        <v>18</v>
      </c>
      <c r="R29" s="2" t="inlineStr">
        <is>
          <t>Grantickeporing
Rynkskinn
Brunpudrad nållav
Doftskinn
Gammelgransskål
Garnlav
Granticka
Gränsticka
Harticka
Knottrig blåslav
Skrovellav
Tretåig hackspett
Vitgrynig nållav
Bårdlav
Luddlav
Stuplav
Trådticka
Ögonpyrola</t>
        </is>
      </c>
      <c r="S29">
        <f>HYPERLINK("https://klasma.github.io/Logging_2462/artfynd/A 17045-2023 artfynd.xlsx", "A 17045-2023")</f>
        <v/>
      </c>
      <c r="T29">
        <f>HYPERLINK("https://klasma.github.io/Logging_2462/kartor/A 17045-2023 karta.png", "A 17045-2023")</f>
        <v/>
      </c>
      <c r="V29">
        <f>HYPERLINK("https://klasma.github.io/Logging_2462/klagomål/A 17045-2023 FSC-klagomål.docx", "A 17045-2023")</f>
        <v/>
      </c>
      <c r="W29">
        <f>HYPERLINK("https://klasma.github.io/Logging_2462/klagomålsmail/A 17045-2023 FSC-klagomål mail.docx", "A 17045-2023")</f>
        <v/>
      </c>
      <c r="X29">
        <f>HYPERLINK("https://klasma.github.io/Logging_2462/tillsyn/A 17045-2023 tillsynsbegäran.docx", "A 17045-2023")</f>
        <v/>
      </c>
      <c r="Y29">
        <f>HYPERLINK("https://klasma.github.io/Logging_2462/tillsynsmail/A 17045-2023 tillsynsbegäran mail.docx", "A 17045-2023")</f>
        <v/>
      </c>
      <c r="Z29">
        <f>HYPERLINK("https://klasma.github.io/Logging_2462/fåglar/A 17045-2023 prioriterade fågelarter.docx", "A 17045-2023")</f>
        <v/>
      </c>
    </row>
    <row r="30" ht="15" customHeight="1">
      <c r="A30" t="inlineStr">
        <is>
          <t>A 66998-2021</t>
        </is>
      </c>
      <c r="B30" s="1" t="n">
        <v>44522</v>
      </c>
      <c r="C30" s="1" t="n">
        <v>45351</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49183-2023</t>
        </is>
      </c>
      <c r="B31" s="1" t="n">
        <v>45205</v>
      </c>
      <c r="C31" s="1" t="n">
        <v>45351</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c r="Z31">
        <f>HYPERLINK("https://klasma.github.io/Logging_2462/fåglar/A 49183-2023 prioriterade fågelarter.docx", "A 49183-2023")</f>
        <v/>
      </c>
    </row>
    <row r="32" ht="15" customHeight="1">
      <c r="A32" t="inlineStr">
        <is>
          <t>A 44065-2022</t>
        </is>
      </c>
      <c r="B32" s="1" t="n">
        <v>44838</v>
      </c>
      <c r="C32" s="1" t="n">
        <v>45351</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c r="Z32">
        <f>HYPERLINK("https://klasma.github.io/Logging_2462/fåglar/A 44065-2022 prioriterade fågelarter.docx", "A 44065-2022")</f>
        <v/>
      </c>
    </row>
    <row r="33" ht="15" customHeight="1">
      <c r="A33" t="inlineStr">
        <is>
          <t>A 20418-2023</t>
        </is>
      </c>
      <c r="B33" s="1" t="n">
        <v>45054</v>
      </c>
      <c r="C33" s="1" t="n">
        <v>45351</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48244-2023</t>
        </is>
      </c>
      <c r="B34" s="1" t="n">
        <v>45201</v>
      </c>
      <c r="C34" s="1" t="n">
        <v>45351</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c r="Z34">
        <f>HYPERLINK("https://klasma.github.io/Logging_2462/fåglar/A 48244-2023 prioriterade fågelarter.docx", "A 48244-2023")</f>
        <v/>
      </c>
    </row>
    <row r="35" ht="15" customHeight="1">
      <c r="A35" t="inlineStr">
        <is>
          <t>A 66026-2019</t>
        </is>
      </c>
      <c r="B35" s="1" t="n">
        <v>43805</v>
      </c>
      <c r="C35" s="1" t="n">
        <v>45351</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c r="Z35">
        <f>HYPERLINK("https://klasma.github.io/Logging_2462/fåglar/A 66026-2019 prioriterade fågelarter.docx", "A 66026-2019")</f>
        <v/>
      </c>
    </row>
    <row r="36" ht="15" customHeight="1">
      <c r="A36" t="inlineStr">
        <is>
          <t>A 47881-2020</t>
        </is>
      </c>
      <c r="B36" s="1" t="n">
        <v>44095</v>
      </c>
      <c r="C36" s="1" t="n">
        <v>45351</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c r="Z36">
        <f>HYPERLINK("https://klasma.github.io/Logging_2462/fåglar/A 47881-2020 prioriterade fågelarter.docx", "A 47881-2020")</f>
        <v/>
      </c>
    </row>
    <row r="37" ht="15" customHeight="1">
      <c r="A37" t="inlineStr">
        <is>
          <t>A 54843-2021</t>
        </is>
      </c>
      <c r="B37" s="1" t="n">
        <v>44474</v>
      </c>
      <c r="C37" s="1" t="n">
        <v>45351</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c r="Z37">
        <f>HYPERLINK("https://klasma.github.io/Logging_2462/fåglar/A 54843-2021 prioriterade fågelarter.docx", "A 54843-2021")</f>
        <v/>
      </c>
    </row>
    <row r="38" ht="15" customHeight="1">
      <c r="A38" t="inlineStr">
        <is>
          <t>A 45775-2022</t>
        </is>
      </c>
      <c r="B38" s="1" t="n">
        <v>44838</v>
      </c>
      <c r="C38" s="1" t="n">
        <v>45351</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c r="Z38">
        <f>HYPERLINK("https://klasma.github.io/Logging_2462/fåglar/A 45775-2022 prioriterade fågelarter.docx", "A 45775-2022")</f>
        <v/>
      </c>
    </row>
    <row r="39" ht="15" customHeight="1">
      <c r="A39" t="inlineStr">
        <is>
          <t>A 3140-2023</t>
        </is>
      </c>
      <c r="B39" s="1" t="n">
        <v>44945</v>
      </c>
      <c r="C39" s="1" t="n">
        <v>45351</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37775-2023</t>
        </is>
      </c>
      <c r="B40" s="1" t="n">
        <v>45156</v>
      </c>
      <c r="C40" s="1" t="n">
        <v>45351</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c r="Z40">
        <f>HYPERLINK("https://klasma.github.io/Logging_2462/fåglar/A 37775-2023 prioriterade fågelarter.docx", "A 37775-2023")</f>
        <v/>
      </c>
    </row>
    <row r="41" ht="15" customHeight="1">
      <c r="A41" t="inlineStr">
        <is>
          <t>A 48227-2023</t>
        </is>
      </c>
      <c r="B41" s="1" t="n">
        <v>45201</v>
      </c>
      <c r="C41" s="1" t="n">
        <v>45351</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c r="Z41">
        <f>HYPERLINK("https://klasma.github.io/Logging_2462/fåglar/A 48227-2023 prioriterade fågelarter.docx", "A 48227-2023")</f>
        <v/>
      </c>
    </row>
    <row r="42" ht="15" customHeight="1">
      <c r="A42" t="inlineStr">
        <is>
          <t>A 45782-2022</t>
        </is>
      </c>
      <c r="B42" s="1" t="n">
        <v>44838</v>
      </c>
      <c r="C42" s="1" t="n">
        <v>45351</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c r="Z42">
        <f>HYPERLINK("https://klasma.github.io/Logging_2462/fåglar/A 45782-2022 prioriterade fågelarter.docx", "A 45782-2022")</f>
        <v/>
      </c>
    </row>
    <row r="43" ht="15" customHeight="1">
      <c r="A43" t="inlineStr">
        <is>
          <t>A 38412-2018</t>
        </is>
      </c>
      <c r="B43" s="1" t="n">
        <v>43336</v>
      </c>
      <c r="C43" s="1" t="n">
        <v>45351</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c r="Z43">
        <f>HYPERLINK("https://klasma.github.io/Logging_2462/fåglar/A 38412-2018 prioriterade fågelarter.docx", "A 38412-2018")</f>
        <v/>
      </c>
    </row>
    <row r="44" ht="15" customHeight="1">
      <c r="A44" t="inlineStr">
        <is>
          <t>A 48034-2020</t>
        </is>
      </c>
      <c r="B44" s="1" t="n">
        <v>44095</v>
      </c>
      <c r="C44" s="1" t="n">
        <v>45351</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c r="Z44">
        <f>HYPERLINK("https://klasma.github.io/Logging_2462/fåglar/A 48034-2020 prioriterade fågelarter.docx", "A 48034-2020")</f>
        <v/>
      </c>
    </row>
    <row r="45" ht="15" customHeight="1">
      <c r="A45" t="inlineStr">
        <is>
          <t>A 12014-2021</t>
        </is>
      </c>
      <c r="B45" s="1" t="n">
        <v>44266</v>
      </c>
      <c r="C45" s="1" t="n">
        <v>45351</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c r="Z45">
        <f>HYPERLINK("https://klasma.github.io/Logging_2462/fåglar/A 12014-2021 prioriterade fågelarter.docx", "A 12014-2021")</f>
        <v/>
      </c>
    </row>
    <row r="46" ht="15" customHeight="1">
      <c r="A46" t="inlineStr">
        <is>
          <t>A 45743-2022</t>
        </is>
      </c>
      <c r="B46" s="1" t="n">
        <v>44838</v>
      </c>
      <c r="C46" s="1" t="n">
        <v>45351</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c r="Z46">
        <f>HYPERLINK("https://klasma.github.io/Logging_2462/fåglar/A 45743-2022 prioriterade fågelarter.docx", "A 45743-2022")</f>
        <v/>
      </c>
    </row>
    <row r="47" ht="15" customHeight="1">
      <c r="A47" t="inlineStr">
        <is>
          <t>A 33664-2023</t>
        </is>
      </c>
      <c r="B47" s="1" t="n">
        <v>45119</v>
      </c>
      <c r="C47" s="1" t="n">
        <v>45351</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45351</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c r="Z48">
        <f>HYPERLINK("https://klasma.github.io/Logging_2462/fåglar/A 48216-2023 prioriterade fågelarter.docx", "A 48216-2023")</f>
        <v/>
      </c>
    </row>
    <row r="49" ht="15" customHeight="1">
      <c r="A49" t="inlineStr">
        <is>
          <t>A 48248-2023</t>
        </is>
      </c>
      <c r="B49" s="1" t="n">
        <v>45201</v>
      </c>
      <c r="C49" s="1" t="n">
        <v>45351</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60592-2019</t>
        </is>
      </c>
      <c r="B50" s="1" t="n">
        <v>43781</v>
      </c>
      <c r="C50" s="1" t="n">
        <v>45351</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c r="Z50">
        <f>HYPERLINK("https://klasma.github.io/Logging_2462/fåglar/A 60592-2019 prioriterade fågelarter.docx", "A 60592-2019")</f>
        <v/>
      </c>
    </row>
    <row r="51" ht="15" customHeight="1">
      <c r="A51" t="inlineStr">
        <is>
          <t>A 29360-2021</t>
        </is>
      </c>
      <c r="B51" s="1" t="n">
        <v>44361</v>
      </c>
      <c r="C51" s="1" t="n">
        <v>45351</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33672-2023</t>
        </is>
      </c>
      <c r="B52" s="1" t="n">
        <v>45119</v>
      </c>
      <c r="C52" s="1" t="n">
        <v>45351</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c r="Z52">
        <f>HYPERLINK("https://klasma.github.io/Logging_2462/fåglar/A 33672-2023 prioriterade fågelarter.docx", "A 33672-2023")</f>
        <v/>
      </c>
    </row>
    <row r="53" ht="15" customHeight="1">
      <c r="A53" t="inlineStr">
        <is>
          <t>A 48247-2023</t>
        </is>
      </c>
      <c r="B53" s="1" t="n">
        <v>45201</v>
      </c>
      <c r="C53" s="1" t="n">
        <v>45351</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c r="Z53">
        <f>HYPERLINK("https://klasma.github.io/Logging_2462/fåglar/A 48247-2023 prioriterade fågelarter.docx", "A 48247-2023")</f>
        <v/>
      </c>
    </row>
    <row r="54" ht="15" customHeight="1">
      <c r="A54" t="inlineStr">
        <is>
          <t>A 49141-2023</t>
        </is>
      </c>
      <c r="B54" s="1" t="n">
        <v>45205</v>
      </c>
      <c r="C54" s="1" t="n">
        <v>45351</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50025-2019</t>
        </is>
      </c>
      <c r="B55" s="1" t="n">
        <v>43731</v>
      </c>
      <c r="C55" s="1" t="n">
        <v>45351</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45351</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c r="Z56">
        <f>HYPERLINK("https://klasma.github.io/Logging_2462/fåglar/A 17204-2022 prioriterade fågelarter.docx", "A 17204-2022")</f>
        <v/>
      </c>
    </row>
    <row r="57" ht="15" customHeight="1">
      <c r="A57" t="inlineStr">
        <is>
          <t>A 48183-2023</t>
        </is>
      </c>
      <c r="B57" s="1" t="n">
        <v>45201</v>
      </c>
      <c r="C57" s="1" t="n">
        <v>45351</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c r="Z57">
        <f>HYPERLINK("https://klasma.github.io/Logging_2462/fåglar/A 48183-2023 prioriterade fågelarter.docx", "A 48183-2023")</f>
        <v/>
      </c>
    </row>
    <row r="58" ht="15" customHeight="1">
      <c r="A58" t="inlineStr">
        <is>
          <t>A 49174-2023</t>
        </is>
      </c>
      <c r="B58" s="1" t="n">
        <v>45205</v>
      </c>
      <c r="C58" s="1" t="n">
        <v>45351</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c r="Z58">
        <f>HYPERLINK("https://klasma.github.io/Logging_2462/fåglar/A 49174-2023 prioriterade fågelarter.docx", "A 49174-2023")</f>
        <v/>
      </c>
    </row>
    <row r="59" ht="15" customHeight="1">
      <c r="A59" t="inlineStr">
        <is>
          <t>A 56840-2023</t>
        </is>
      </c>
      <c r="B59" s="1" t="n">
        <v>45238</v>
      </c>
      <c r="C59" s="1" t="n">
        <v>45351</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45351</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c r="Z60">
        <f>HYPERLINK("https://klasma.github.io/Logging_2462/fåglar/A 38406-2018 prioriterade fågelarter.docx", "A 38406-2018")</f>
        <v/>
      </c>
    </row>
    <row r="61" ht="15" customHeight="1">
      <c r="A61" t="inlineStr">
        <is>
          <t>A 25504-2020</t>
        </is>
      </c>
      <c r="B61" s="1" t="n">
        <v>43983</v>
      </c>
      <c r="C61" s="1" t="n">
        <v>45351</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c r="Z61">
        <f>HYPERLINK("https://klasma.github.io/Logging_2462/fåglar/A 25504-2020 prioriterade fågelarter.docx", "A 25504-2020")</f>
        <v/>
      </c>
    </row>
    <row r="62" ht="15" customHeight="1">
      <c r="A62" t="inlineStr">
        <is>
          <t>A 172-2021</t>
        </is>
      </c>
      <c r="B62" s="1" t="n">
        <v>44199</v>
      </c>
      <c r="C62" s="1" t="n">
        <v>45351</v>
      </c>
      <c r="D62" t="inlineStr">
        <is>
          <t>VÄSTERBOTTENS LÄN</t>
        </is>
      </c>
      <c r="E62" t="inlineStr">
        <is>
          <t>VILHELMINA</t>
        </is>
      </c>
      <c r="G62" t="n">
        <v>16.6</v>
      </c>
      <c r="H62" t="n">
        <v>3</v>
      </c>
      <c r="I62" t="n">
        <v>0</v>
      </c>
      <c r="J62" t="n">
        <v>7</v>
      </c>
      <c r="K62" t="n">
        <v>0</v>
      </c>
      <c r="L62" t="n">
        <v>0</v>
      </c>
      <c r="M62" t="n">
        <v>0</v>
      </c>
      <c r="N62" t="n">
        <v>0</v>
      </c>
      <c r="O62" t="n">
        <v>7</v>
      </c>
      <c r="P62" t="n">
        <v>0</v>
      </c>
      <c r="Q62" t="n">
        <v>8</v>
      </c>
      <c r="R62" s="2" t="inlineStr">
        <is>
          <t>Gammelgransskål
Garnlav
Granticka
Talltita
Tretåig hackspett
Ullticka
Vitgrynig nållav
Orre</t>
        </is>
      </c>
      <c r="S62">
        <f>HYPERLINK("https://klasma.github.io/Logging_2462/artfynd/A 172-2021 artfynd.xlsx", "A 172-2021")</f>
        <v/>
      </c>
      <c r="T62">
        <f>HYPERLINK("https://klasma.github.io/Logging_2462/kartor/A 172-2021 karta.png", "A 172-2021")</f>
        <v/>
      </c>
      <c r="V62">
        <f>HYPERLINK("https://klasma.github.io/Logging_2462/klagomål/A 172-2021 FSC-klagomål.docx", "A 172-2021")</f>
        <v/>
      </c>
      <c r="W62">
        <f>HYPERLINK("https://klasma.github.io/Logging_2462/klagomålsmail/A 172-2021 FSC-klagomål mail.docx", "A 172-2021")</f>
        <v/>
      </c>
      <c r="X62">
        <f>HYPERLINK("https://klasma.github.io/Logging_2462/tillsyn/A 172-2021 tillsynsbegäran.docx", "A 172-2021")</f>
        <v/>
      </c>
      <c r="Y62">
        <f>HYPERLINK("https://klasma.github.io/Logging_2462/tillsynsmail/A 172-2021 tillsynsbegäran mail.docx", "A 172-2021")</f>
        <v/>
      </c>
      <c r="Z62">
        <f>HYPERLINK("https://klasma.github.io/Logging_2462/fåglar/A 172-2021 prioriterade fågelarter.docx", "A 172-2021")</f>
        <v/>
      </c>
    </row>
    <row r="63" ht="15" customHeight="1">
      <c r="A63" t="inlineStr">
        <is>
          <t>A 2196-2021</t>
        </is>
      </c>
      <c r="B63" s="1" t="n">
        <v>44211</v>
      </c>
      <c r="C63" s="1" t="n">
        <v>45351</v>
      </c>
      <c r="D63" t="inlineStr">
        <is>
          <t>VÄSTERBOTTENS LÄN</t>
        </is>
      </c>
      <c r="E63" t="inlineStr">
        <is>
          <t>VILHELMINA</t>
        </is>
      </c>
      <c r="F63" t="inlineStr">
        <is>
          <t>Allmännings- och besparingsskogar</t>
        </is>
      </c>
      <c r="G63" t="n">
        <v>20.3</v>
      </c>
      <c r="H63" t="n">
        <v>0</v>
      </c>
      <c r="I63" t="n">
        <v>0</v>
      </c>
      <c r="J63" t="n">
        <v>5</v>
      </c>
      <c r="K63" t="n">
        <v>3</v>
      </c>
      <c r="L63" t="n">
        <v>0</v>
      </c>
      <c r="M63" t="n">
        <v>0</v>
      </c>
      <c r="N63" t="n">
        <v>0</v>
      </c>
      <c r="O63" t="n">
        <v>8</v>
      </c>
      <c r="P63" t="n">
        <v>3</v>
      </c>
      <c r="Q63" t="n">
        <v>8</v>
      </c>
      <c r="R63" s="2" t="inlineStr">
        <is>
          <t>Lappticka
Rynkskinn
Tajgaskinn
Doftskinn
Gränsticka
Rosenticka
Skrovellav
Ullticka</t>
        </is>
      </c>
      <c r="S63">
        <f>HYPERLINK("https://klasma.github.io/Logging_2462/artfynd/A 2196-2021 artfynd.xlsx", "A 2196-2021")</f>
        <v/>
      </c>
      <c r="T63">
        <f>HYPERLINK("https://klasma.github.io/Logging_2462/kartor/A 2196-2021 karta.png", "A 2196-2021")</f>
        <v/>
      </c>
      <c r="V63">
        <f>HYPERLINK("https://klasma.github.io/Logging_2462/klagomål/A 2196-2021 FSC-klagomål.docx", "A 2196-2021")</f>
        <v/>
      </c>
      <c r="W63">
        <f>HYPERLINK("https://klasma.github.io/Logging_2462/klagomålsmail/A 2196-2021 FSC-klagomål mail.docx", "A 2196-2021")</f>
        <v/>
      </c>
      <c r="X63">
        <f>HYPERLINK("https://klasma.github.io/Logging_2462/tillsyn/A 2196-2021 tillsynsbegäran.docx", "A 2196-2021")</f>
        <v/>
      </c>
      <c r="Y63">
        <f>HYPERLINK("https://klasma.github.io/Logging_2462/tillsynsmail/A 2196-2021 tillsynsbegäran mail.docx", "A 2196-2021")</f>
        <v/>
      </c>
    </row>
    <row r="64" ht="15" customHeight="1">
      <c r="A64" t="inlineStr">
        <is>
          <t>A 36220-2023</t>
        </is>
      </c>
      <c r="B64" s="1" t="n">
        <v>45149</v>
      </c>
      <c r="C64" s="1" t="n">
        <v>45351</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51814-2018</t>
        </is>
      </c>
      <c r="B65" s="1" t="n">
        <v>43381</v>
      </c>
      <c r="C65" s="1" t="n">
        <v>45351</v>
      </c>
      <c r="D65" t="inlineStr">
        <is>
          <t>VÄSTERBOTTENS LÄN</t>
        </is>
      </c>
      <c r="E65" t="inlineStr">
        <is>
          <t>VILHELMINA</t>
        </is>
      </c>
      <c r="F65" t="inlineStr">
        <is>
          <t>Allmännings- och besparingsskogar</t>
        </is>
      </c>
      <c r="G65" t="n">
        <v>11.8</v>
      </c>
      <c r="H65" t="n">
        <v>1</v>
      </c>
      <c r="I65" t="n">
        <v>2</v>
      </c>
      <c r="J65" t="n">
        <v>4</v>
      </c>
      <c r="K65" t="n">
        <v>1</v>
      </c>
      <c r="L65" t="n">
        <v>0</v>
      </c>
      <c r="M65" t="n">
        <v>0</v>
      </c>
      <c r="N65" t="n">
        <v>0</v>
      </c>
      <c r="O65" t="n">
        <v>5</v>
      </c>
      <c r="P65" t="n">
        <v>1</v>
      </c>
      <c r="Q65" t="n">
        <v>7</v>
      </c>
      <c r="R65" s="2" t="inlineStr">
        <is>
          <t>Tajgaskinn
Granticka
Gränsticka
Skrovellav
Tretåig hackspett
Bårdlav
Stuplav</t>
        </is>
      </c>
      <c r="S65">
        <f>HYPERLINK("https://klasma.github.io/Logging_2462/artfynd/A 51814-2018 artfynd.xlsx", "A 51814-2018")</f>
        <v/>
      </c>
      <c r="T65">
        <f>HYPERLINK("https://klasma.github.io/Logging_2462/kartor/A 51814-2018 karta.png", "A 51814-2018")</f>
        <v/>
      </c>
      <c r="V65">
        <f>HYPERLINK("https://klasma.github.io/Logging_2462/klagomål/A 51814-2018 FSC-klagomål.docx", "A 51814-2018")</f>
        <v/>
      </c>
      <c r="W65">
        <f>HYPERLINK("https://klasma.github.io/Logging_2462/klagomålsmail/A 51814-2018 FSC-klagomål mail.docx", "A 51814-2018")</f>
        <v/>
      </c>
      <c r="X65">
        <f>HYPERLINK("https://klasma.github.io/Logging_2462/tillsyn/A 51814-2018 tillsynsbegäran.docx", "A 51814-2018")</f>
        <v/>
      </c>
      <c r="Y65">
        <f>HYPERLINK("https://klasma.github.io/Logging_2462/tillsynsmail/A 51814-2018 tillsynsbegäran mail.docx", "A 51814-2018")</f>
        <v/>
      </c>
      <c r="Z65">
        <f>HYPERLINK("https://klasma.github.io/Logging_2462/fåglar/A 51814-2018 prioriterade fågelarter.docx", "A 51814-2018")</f>
        <v/>
      </c>
    </row>
    <row r="66" ht="15" customHeight="1">
      <c r="A66" t="inlineStr">
        <is>
          <t>A 37271-2019</t>
        </is>
      </c>
      <c r="B66" s="1" t="n">
        <v>43677</v>
      </c>
      <c r="C66" s="1" t="n">
        <v>45351</v>
      </c>
      <c r="D66" t="inlineStr">
        <is>
          <t>VÄSTERBOTTENS LÄN</t>
        </is>
      </c>
      <c r="E66" t="inlineStr">
        <is>
          <t>VILHELMINA</t>
        </is>
      </c>
      <c r="F66" t="inlineStr">
        <is>
          <t>Holmen skog AB</t>
        </is>
      </c>
      <c r="G66" t="n">
        <v>5</v>
      </c>
      <c r="H66" t="n">
        <v>1</v>
      </c>
      <c r="I66" t="n">
        <v>0</v>
      </c>
      <c r="J66" t="n">
        <v>7</v>
      </c>
      <c r="K66" t="n">
        <v>0</v>
      </c>
      <c r="L66" t="n">
        <v>0</v>
      </c>
      <c r="M66" t="n">
        <v>0</v>
      </c>
      <c r="N66" t="n">
        <v>0</v>
      </c>
      <c r="O66" t="n">
        <v>7</v>
      </c>
      <c r="P66" t="n">
        <v>0</v>
      </c>
      <c r="Q66" t="n">
        <v>7</v>
      </c>
      <c r="R66" s="2" t="inlineStr">
        <is>
          <t>Gammelgransskål
Garnlav
Granticka
Gränsticka
Harticka
Tretåig hackspett
Vitgrynig nållav</t>
        </is>
      </c>
      <c r="S66">
        <f>HYPERLINK("https://klasma.github.io/Logging_2462/artfynd/A 37271-2019 artfynd.xlsx", "A 37271-2019")</f>
        <v/>
      </c>
      <c r="T66">
        <f>HYPERLINK("https://klasma.github.io/Logging_2462/kartor/A 37271-2019 karta.png", "A 37271-2019")</f>
        <v/>
      </c>
      <c r="V66">
        <f>HYPERLINK("https://klasma.github.io/Logging_2462/klagomål/A 37271-2019 FSC-klagomål.docx", "A 37271-2019")</f>
        <v/>
      </c>
      <c r="W66">
        <f>HYPERLINK("https://klasma.github.io/Logging_2462/klagomålsmail/A 37271-2019 FSC-klagomål mail.docx", "A 37271-2019")</f>
        <v/>
      </c>
      <c r="X66">
        <f>HYPERLINK("https://klasma.github.io/Logging_2462/tillsyn/A 37271-2019 tillsynsbegäran.docx", "A 37271-2019")</f>
        <v/>
      </c>
      <c r="Y66">
        <f>HYPERLINK("https://klasma.github.io/Logging_2462/tillsynsmail/A 37271-2019 tillsynsbegäran mail.docx", "A 37271-2019")</f>
        <v/>
      </c>
      <c r="Z66">
        <f>HYPERLINK("https://klasma.github.io/Logging_2462/fåglar/A 37271-2019 prioriterade fågelarter.docx", "A 37271-2019")</f>
        <v/>
      </c>
    </row>
    <row r="67" ht="15" customHeight="1">
      <c r="A67" t="inlineStr">
        <is>
          <t>A 29245-2020</t>
        </is>
      </c>
      <c r="B67" s="1" t="n">
        <v>44000</v>
      </c>
      <c r="C67" s="1" t="n">
        <v>45351</v>
      </c>
      <c r="D67" t="inlineStr">
        <is>
          <t>VÄSTERBOTTENS LÄN</t>
        </is>
      </c>
      <c r="E67" t="inlineStr">
        <is>
          <t>VILHELMINA</t>
        </is>
      </c>
      <c r="G67" t="n">
        <v>53</v>
      </c>
      <c r="H67" t="n">
        <v>4</v>
      </c>
      <c r="I67" t="n">
        <v>0</v>
      </c>
      <c r="J67" t="n">
        <v>4</v>
      </c>
      <c r="K67" t="n">
        <v>2</v>
      </c>
      <c r="L67" t="n">
        <v>0</v>
      </c>
      <c r="M67" t="n">
        <v>0</v>
      </c>
      <c r="N67" t="n">
        <v>0</v>
      </c>
      <c r="O67" t="n">
        <v>6</v>
      </c>
      <c r="P67" t="n">
        <v>2</v>
      </c>
      <c r="Q67" t="n">
        <v>7</v>
      </c>
      <c r="R67" s="2" t="inlineStr">
        <is>
          <t>Hussvala
Knärot
Garnlav
Granticka
Knottrig blåslav
Tretåig hackspett
Fläcknycklar</t>
        </is>
      </c>
      <c r="S67">
        <f>HYPERLINK("https://klasma.github.io/Logging_2462/artfynd/A 29245-2020 artfynd.xlsx", "A 29245-2020")</f>
        <v/>
      </c>
      <c r="T67">
        <f>HYPERLINK("https://klasma.github.io/Logging_2462/kartor/A 29245-2020 karta.png", "A 29245-2020")</f>
        <v/>
      </c>
      <c r="U67">
        <f>HYPERLINK("https://klasma.github.io/Logging_2462/knärot/A 29245-2020 karta knärot.png", "A 29245-2020")</f>
        <v/>
      </c>
      <c r="V67">
        <f>HYPERLINK("https://klasma.github.io/Logging_2462/klagomål/A 29245-2020 FSC-klagomål.docx", "A 29245-2020")</f>
        <v/>
      </c>
      <c r="W67">
        <f>HYPERLINK("https://klasma.github.io/Logging_2462/klagomålsmail/A 29245-2020 FSC-klagomål mail.docx", "A 29245-2020")</f>
        <v/>
      </c>
      <c r="X67">
        <f>HYPERLINK("https://klasma.github.io/Logging_2462/tillsyn/A 29245-2020 tillsynsbegäran.docx", "A 29245-2020")</f>
        <v/>
      </c>
      <c r="Y67">
        <f>HYPERLINK("https://klasma.github.io/Logging_2462/tillsynsmail/A 29245-2020 tillsynsbegäran mail.docx", "A 29245-2020")</f>
        <v/>
      </c>
      <c r="Z67">
        <f>HYPERLINK("https://klasma.github.io/Logging_2462/fåglar/A 29245-2020 prioriterade fågelarter.docx", "A 29245-2020")</f>
        <v/>
      </c>
    </row>
    <row r="68" ht="15" customHeight="1">
      <c r="A68" t="inlineStr">
        <is>
          <t>A 15852-2022</t>
        </is>
      </c>
      <c r="B68" s="1" t="n">
        <v>44664</v>
      </c>
      <c r="C68" s="1" t="n">
        <v>45351</v>
      </c>
      <c r="D68" t="inlineStr">
        <is>
          <t>VÄSTERBOTTENS LÄN</t>
        </is>
      </c>
      <c r="E68" t="inlineStr">
        <is>
          <t>VILHELMINA</t>
        </is>
      </c>
      <c r="G68" t="n">
        <v>9.300000000000001</v>
      </c>
      <c r="H68" t="n">
        <v>1</v>
      </c>
      <c r="I68" t="n">
        <v>2</v>
      </c>
      <c r="J68" t="n">
        <v>5</v>
      </c>
      <c r="K68" t="n">
        <v>0</v>
      </c>
      <c r="L68" t="n">
        <v>0</v>
      </c>
      <c r="M68" t="n">
        <v>0</v>
      </c>
      <c r="N68" t="n">
        <v>0</v>
      </c>
      <c r="O68" t="n">
        <v>5</v>
      </c>
      <c r="P68" t="n">
        <v>0</v>
      </c>
      <c r="Q68" t="n">
        <v>7</v>
      </c>
      <c r="R68" s="2" t="inlineStr">
        <is>
          <t>Granticka
Harticka
Lunglav
Skrovellav
Ullticka
Spindelblomster
Stuplav</t>
        </is>
      </c>
      <c r="S68">
        <f>HYPERLINK("https://klasma.github.io/Logging_2462/artfynd/A 15852-2022 artfynd.xlsx", "A 15852-2022")</f>
        <v/>
      </c>
      <c r="T68">
        <f>HYPERLINK("https://klasma.github.io/Logging_2462/kartor/A 15852-2022 karta.png", "A 15852-2022")</f>
        <v/>
      </c>
      <c r="V68">
        <f>HYPERLINK("https://klasma.github.io/Logging_2462/klagomål/A 15852-2022 FSC-klagomål.docx", "A 15852-2022")</f>
        <v/>
      </c>
      <c r="W68">
        <f>HYPERLINK("https://klasma.github.io/Logging_2462/klagomålsmail/A 15852-2022 FSC-klagomål mail.docx", "A 15852-2022")</f>
        <v/>
      </c>
      <c r="X68">
        <f>HYPERLINK("https://klasma.github.io/Logging_2462/tillsyn/A 15852-2022 tillsynsbegäran.docx", "A 15852-2022")</f>
        <v/>
      </c>
      <c r="Y68">
        <f>HYPERLINK("https://klasma.github.io/Logging_2462/tillsynsmail/A 15852-2022 tillsynsbegäran mail.docx", "A 15852-2022")</f>
        <v/>
      </c>
    </row>
    <row r="69" ht="15" customHeight="1">
      <c r="A69" t="inlineStr">
        <is>
          <t>A 34091-2023</t>
        </is>
      </c>
      <c r="B69" s="1" t="n">
        <v>45125</v>
      </c>
      <c r="C69" s="1" t="n">
        <v>45351</v>
      </c>
      <c r="D69" t="inlineStr">
        <is>
          <t>VÄSTERBOTTENS LÄN</t>
        </is>
      </c>
      <c r="E69" t="inlineStr">
        <is>
          <t>VILHELMINA</t>
        </is>
      </c>
      <c r="G69" t="n">
        <v>18.4</v>
      </c>
      <c r="H69" t="n">
        <v>1</v>
      </c>
      <c r="I69" t="n">
        <v>1</v>
      </c>
      <c r="J69" t="n">
        <v>6</v>
      </c>
      <c r="K69" t="n">
        <v>0</v>
      </c>
      <c r="L69" t="n">
        <v>0</v>
      </c>
      <c r="M69" t="n">
        <v>0</v>
      </c>
      <c r="N69" t="n">
        <v>0</v>
      </c>
      <c r="O69" t="n">
        <v>6</v>
      </c>
      <c r="P69" t="n">
        <v>0</v>
      </c>
      <c r="Q69" t="n">
        <v>7</v>
      </c>
      <c r="R69" s="2" t="inlineStr">
        <is>
          <t>Doftskinn
Garnlav
Granticka
Gränsticka
Skrovellav
Tretåig hackspett
Trådticka</t>
        </is>
      </c>
      <c r="S69">
        <f>HYPERLINK("https://klasma.github.io/Logging_2462/artfynd/A 34091-2023 artfynd.xlsx", "A 34091-2023")</f>
        <v/>
      </c>
      <c r="T69">
        <f>HYPERLINK("https://klasma.github.io/Logging_2462/kartor/A 34091-2023 karta.png", "A 34091-2023")</f>
        <v/>
      </c>
      <c r="V69">
        <f>HYPERLINK("https://klasma.github.io/Logging_2462/klagomål/A 34091-2023 FSC-klagomål.docx", "A 34091-2023")</f>
        <v/>
      </c>
      <c r="W69">
        <f>HYPERLINK("https://klasma.github.io/Logging_2462/klagomålsmail/A 34091-2023 FSC-klagomål mail.docx", "A 34091-2023")</f>
        <v/>
      </c>
      <c r="X69">
        <f>HYPERLINK("https://klasma.github.io/Logging_2462/tillsyn/A 34091-2023 tillsynsbegäran.docx", "A 34091-2023")</f>
        <v/>
      </c>
      <c r="Y69">
        <f>HYPERLINK("https://klasma.github.io/Logging_2462/tillsynsmail/A 34091-2023 tillsynsbegäran mail.docx", "A 34091-2023")</f>
        <v/>
      </c>
      <c r="Z69">
        <f>HYPERLINK("https://klasma.github.io/Logging_2462/fåglar/A 34091-2023 prioriterade fågelarter.docx", "A 34091-2023")</f>
        <v/>
      </c>
    </row>
    <row r="70" ht="15" customHeight="1">
      <c r="A70" t="inlineStr">
        <is>
          <t>A 34418-2023</t>
        </is>
      </c>
      <c r="B70" s="1" t="n">
        <v>45132</v>
      </c>
      <c r="C70" s="1" t="n">
        <v>45351</v>
      </c>
      <c r="D70" t="inlineStr">
        <is>
          <t>VÄSTERBOTTENS LÄN</t>
        </is>
      </c>
      <c r="E70" t="inlineStr">
        <is>
          <t>VILHELMINA</t>
        </is>
      </c>
      <c r="F70" t="inlineStr">
        <is>
          <t>Allmännings- och besparingsskogar</t>
        </is>
      </c>
      <c r="G70" t="n">
        <v>18.3</v>
      </c>
      <c r="H70" t="n">
        <v>1</v>
      </c>
      <c r="I70" t="n">
        <v>0</v>
      </c>
      <c r="J70" t="n">
        <v>6</v>
      </c>
      <c r="K70" t="n">
        <v>1</v>
      </c>
      <c r="L70" t="n">
        <v>0</v>
      </c>
      <c r="M70" t="n">
        <v>0</v>
      </c>
      <c r="N70" t="n">
        <v>0</v>
      </c>
      <c r="O70" t="n">
        <v>7</v>
      </c>
      <c r="P70" t="n">
        <v>1</v>
      </c>
      <c r="Q70" t="n">
        <v>7</v>
      </c>
      <c r="R70" s="2" t="inlineStr">
        <is>
          <t>Ostticka
Gammelgransskål
Garnlav
Gränsticka
Knottrig blåslav
Rödbrun blekspik
Tretåig hackspett</t>
        </is>
      </c>
      <c r="S70">
        <f>HYPERLINK("https://klasma.github.io/Logging_2462/artfynd/A 34418-2023 artfynd.xlsx", "A 34418-2023")</f>
        <v/>
      </c>
      <c r="T70">
        <f>HYPERLINK("https://klasma.github.io/Logging_2462/kartor/A 34418-2023 karta.png", "A 34418-2023")</f>
        <v/>
      </c>
      <c r="V70">
        <f>HYPERLINK("https://klasma.github.io/Logging_2462/klagomål/A 34418-2023 FSC-klagomål.docx", "A 34418-2023")</f>
        <v/>
      </c>
      <c r="W70">
        <f>HYPERLINK("https://klasma.github.io/Logging_2462/klagomålsmail/A 34418-2023 FSC-klagomål mail.docx", "A 34418-2023")</f>
        <v/>
      </c>
      <c r="X70">
        <f>HYPERLINK("https://klasma.github.io/Logging_2462/tillsyn/A 34418-2023 tillsynsbegäran.docx", "A 34418-2023")</f>
        <v/>
      </c>
      <c r="Y70">
        <f>HYPERLINK("https://klasma.github.io/Logging_2462/tillsynsmail/A 34418-2023 tillsynsbegäran mail.docx", "A 34418-2023")</f>
        <v/>
      </c>
      <c r="Z70">
        <f>HYPERLINK("https://klasma.github.io/Logging_2462/fåglar/A 34418-2023 prioriterade fågelarter.docx", "A 34418-2023")</f>
        <v/>
      </c>
    </row>
    <row r="71" ht="15" customHeight="1">
      <c r="A71" t="inlineStr">
        <is>
          <t>A 49135-2023</t>
        </is>
      </c>
      <c r="B71" s="1" t="n">
        <v>45205</v>
      </c>
      <c r="C71" s="1" t="n">
        <v>45351</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c r="Z71">
        <f>HYPERLINK("https://klasma.github.io/Logging_2462/fåglar/A 49135-2023 prioriterade fågelarter.docx", "A 49135-2023")</f>
        <v/>
      </c>
    </row>
    <row r="72" ht="15" customHeight="1">
      <c r="A72" t="inlineStr">
        <is>
          <t>A 49977-2023</t>
        </is>
      </c>
      <c r="B72" s="1" t="n">
        <v>45208</v>
      </c>
      <c r="C72" s="1" t="n">
        <v>45351</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26888-2019</t>
        </is>
      </c>
      <c r="B73" s="1" t="n">
        <v>43608</v>
      </c>
      <c r="C73" s="1" t="n">
        <v>45351</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c r="Z73">
        <f>HYPERLINK("https://klasma.github.io/Logging_2462/fåglar/A 26888-2019 prioriterade fågelarter.docx", "A 26888-2019")</f>
        <v/>
      </c>
    </row>
    <row r="74" ht="15" customHeight="1">
      <c r="A74" t="inlineStr">
        <is>
          <t>A 48237-2019</t>
        </is>
      </c>
      <c r="B74" s="1" t="n">
        <v>43726</v>
      </c>
      <c r="C74" s="1" t="n">
        <v>45351</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45351</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45351</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c r="Z76">
        <f>HYPERLINK("https://klasma.github.io/Logging_2462/fåglar/A 19727-2023 prioriterade fågelarter.docx", "A 19727-2023")</f>
        <v/>
      </c>
    </row>
    <row r="77" ht="15" customHeight="1">
      <c r="A77" t="inlineStr">
        <is>
          <t>A 29234-2020</t>
        </is>
      </c>
      <c r="B77" s="1" t="n">
        <v>44000</v>
      </c>
      <c r="C77" s="1" t="n">
        <v>45351</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45351</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45351</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45351</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45351</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45351</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45351</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45351</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45351</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45351</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54609-2023</t>
        </is>
      </c>
      <c r="B87" s="1" t="n">
        <v>45233</v>
      </c>
      <c r="C87" s="1" t="n">
        <v>45351</v>
      </c>
      <c r="D87" t="inlineStr">
        <is>
          <t>VÄSTERBOTTENS LÄN</t>
        </is>
      </c>
      <c r="E87" t="inlineStr">
        <is>
          <t>VILHELMINA</t>
        </is>
      </c>
      <c r="F87" t="inlineStr">
        <is>
          <t>SCA</t>
        </is>
      </c>
      <c r="G87" t="n">
        <v>3.3</v>
      </c>
      <c r="H87" t="n">
        <v>3</v>
      </c>
      <c r="I87" t="n">
        <v>0</v>
      </c>
      <c r="J87" t="n">
        <v>2</v>
      </c>
      <c r="K87" t="n">
        <v>0</v>
      </c>
      <c r="L87" t="n">
        <v>0</v>
      </c>
      <c r="M87" t="n">
        <v>0</v>
      </c>
      <c r="N87" t="n">
        <v>0</v>
      </c>
      <c r="O87" t="n">
        <v>2</v>
      </c>
      <c r="P87" t="n">
        <v>0</v>
      </c>
      <c r="Q87" t="n">
        <v>3</v>
      </c>
      <c r="R87" s="2" t="inlineStr">
        <is>
          <t>Buskskvätta
Svartvit flugsnappare
Gråspett</t>
        </is>
      </c>
      <c r="S87">
        <f>HYPERLINK("https://klasma.github.io/Logging_2462/artfynd/A 54609-2023 artfynd.xlsx", "A 54609-2023")</f>
        <v/>
      </c>
      <c r="T87">
        <f>HYPERLINK("https://klasma.github.io/Logging_2462/kartor/A 54609-2023 karta.png", "A 54609-2023")</f>
        <v/>
      </c>
      <c r="V87">
        <f>HYPERLINK("https://klasma.github.io/Logging_2462/klagomål/A 54609-2023 FSC-klagomål.docx", "A 54609-2023")</f>
        <v/>
      </c>
      <c r="W87">
        <f>HYPERLINK("https://klasma.github.io/Logging_2462/klagomålsmail/A 54609-2023 FSC-klagomål mail.docx", "A 54609-2023")</f>
        <v/>
      </c>
      <c r="X87">
        <f>HYPERLINK("https://klasma.github.io/Logging_2462/tillsyn/A 54609-2023 tillsynsbegäran.docx", "A 54609-2023")</f>
        <v/>
      </c>
      <c r="Y87">
        <f>HYPERLINK("https://klasma.github.io/Logging_2462/tillsynsmail/A 54609-2023 tillsynsbegäran mail.docx", "A 54609-2023")</f>
        <v/>
      </c>
      <c r="Z87">
        <f>HYPERLINK("https://klasma.github.io/Logging_2462/fåglar/A 54609-2023 prioriterade fågelarter.docx", "A 54609-2023")</f>
        <v/>
      </c>
    </row>
    <row r="88" ht="15" customHeight="1">
      <c r="A88" t="inlineStr">
        <is>
          <t>A 12533-2019</t>
        </is>
      </c>
      <c r="B88" s="1" t="n">
        <v>43523</v>
      </c>
      <c r="C88" s="1" t="n">
        <v>45351</v>
      </c>
      <c r="D88" t="inlineStr">
        <is>
          <t>VÄSTERBOTTENS LÄN</t>
        </is>
      </c>
      <c r="E88" t="inlineStr">
        <is>
          <t>VILHELMINA</t>
        </is>
      </c>
      <c r="F88" t="inlineStr">
        <is>
          <t>Allmännings- och besparingsskogar</t>
        </is>
      </c>
      <c r="G88" t="n">
        <v>15</v>
      </c>
      <c r="H88" t="n">
        <v>0</v>
      </c>
      <c r="I88" t="n">
        <v>0</v>
      </c>
      <c r="J88" t="n">
        <v>1</v>
      </c>
      <c r="K88" t="n">
        <v>1</v>
      </c>
      <c r="L88" t="n">
        <v>0</v>
      </c>
      <c r="M88" t="n">
        <v>0</v>
      </c>
      <c r="N88" t="n">
        <v>0</v>
      </c>
      <c r="O88" t="n">
        <v>2</v>
      </c>
      <c r="P88" t="n">
        <v>1</v>
      </c>
      <c r="Q88" t="n">
        <v>2</v>
      </c>
      <c r="R88" s="2" t="inlineStr">
        <is>
          <t>Grantickeporing
Granticka</t>
        </is>
      </c>
      <c r="S88">
        <f>HYPERLINK("https://klasma.github.io/Logging_2462/artfynd/A 12533-2019 artfynd.xlsx", "A 12533-2019")</f>
        <v/>
      </c>
      <c r="T88">
        <f>HYPERLINK("https://klasma.github.io/Logging_2462/kartor/A 12533-2019 karta.png", "A 12533-2019")</f>
        <v/>
      </c>
      <c r="V88">
        <f>HYPERLINK("https://klasma.github.io/Logging_2462/klagomål/A 12533-2019 FSC-klagomål.docx", "A 12533-2019")</f>
        <v/>
      </c>
      <c r="W88">
        <f>HYPERLINK("https://klasma.github.io/Logging_2462/klagomålsmail/A 12533-2019 FSC-klagomål mail.docx", "A 12533-2019")</f>
        <v/>
      </c>
      <c r="X88">
        <f>HYPERLINK("https://klasma.github.io/Logging_2462/tillsyn/A 12533-2019 tillsynsbegäran.docx", "A 12533-2019")</f>
        <v/>
      </c>
      <c r="Y88">
        <f>HYPERLINK("https://klasma.github.io/Logging_2462/tillsynsmail/A 12533-2019 tillsynsbegäran mail.docx", "A 12533-2019")</f>
        <v/>
      </c>
    </row>
    <row r="89" ht="15" customHeight="1">
      <c r="A89" t="inlineStr">
        <is>
          <t>A 34784-2019</t>
        </is>
      </c>
      <c r="B89" s="1" t="n">
        <v>43658</v>
      </c>
      <c r="C89" s="1" t="n">
        <v>45351</v>
      </c>
      <c r="D89" t="inlineStr">
        <is>
          <t>VÄSTERBOTTENS LÄN</t>
        </is>
      </c>
      <c r="E89" t="inlineStr">
        <is>
          <t>VILHELMINA</t>
        </is>
      </c>
      <c r="F89" t="inlineStr">
        <is>
          <t>Sveaskog</t>
        </is>
      </c>
      <c r="G89" t="n">
        <v>1.8</v>
      </c>
      <c r="H89" t="n">
        <v>0</v>
      </c>
      <c r="I89" t="n">
        <v>0</v>
      </c>
      <c r="J89" t="n">
        <v>2</v>
      </c>
      <c r="K89" t="n">
        <v>0</v>
      </c>
      <c r="L89" t="n">
        <v>0</v>
      </c>
      <c r="M89" t="n">
        <v>0</v>
      </c>
      <c r="N89" t="n">
        <v>0</v>
      </c>
      <c r="O89" t="n">
        <v>2</v>
      </c>
      <c r="P89" t="n">
        <v>0</v>
      </c>
      <c r="Q89" t="n">
        <v>2</v>
      </c>
      <c r="R89" s="2" t="inlineStr">
        <is>
          <t>Granticka
Tallticka</t>
        </is>
      </c>
      <c r="S89">
        <f>HYPERLINK("https://klasma.github.io/Logging_2462/artfynd/A 34784-2019 artfynd.xlsx", "A 34784-2019")</f>
        <v/>
      </c>
      <c r="T89">
        <f>HYPERLINK("https://klasma.github.io/Logging_2462/kartor/A 34784-2019 karta.png", "A 34784-2019")</f>
        <v/>
      </c>
      <c r="V89">
        <f>HYPERLINK("https://klasma.github.io/Logging_2462/klagomål/A 34784-2019 FSC-klagomål.docx", "A 34784-2019")</f>
        <v/>
      </c>
      <c r="W89">
        <f>HYPERLINK("https://klasma.github.io/Logging_2462/klagomålsmail/A 34784-2019 FSC-klagomål mail.docx", "A 34784-2019")</f>
        <v/>
      </c>
      <c r="X89">
        <f>HYPERLINK("https://klasma.github.io/Logging_2462/tillsyn/A 34784-2019 tillsynsbegäran.docx", "A 34784-2019")</f>
        <v/>
      </c>
      <c r="Y89">
        <f>HYPERLINK("https://klasma.github.io/Logging_2462/tillsynsmail/A 34784-2019 tillsynsbegäran mail.docx", "A 34784-2019")</f>
        <v/>
      </c>
    </row>
    <row r="90" ht="15" customHeight="1">
      <c r="A90" t="inlineStr">
        <is>
          <t>A 50020-2019</t>
        </is>
      </c>
      <c r="B90" s="1" t="n">
        <v>43731</v>
      </c>
      <c r="C90" s="1" t="n">
        <v>45351</v>
      </c>
      <c r="D90" t="inlineStr">
        <is>
          <t>VÄSTERBOTTENS LÄN</t>
        </is>
      </c>
      <c r="E90" t="inlineStr">
        <is>
          <t>VILHELMINA</t>
        </is>
      </c>
      <c r="F90" t="inlineStr">
        <is>
          <t>Allmännings- och besparingsskogar</t>
        </is>
      </c>
      <c r="G90" t="n">
        <v>4</v>
      </c>
      <c r="H90" t="n">
        <v>0</v>
      </c>
      <c r="I90" t="n">
        <v>0</v>
      </c>
      <c r="J90" t="n">
        <v>2</v>
      </c>
      <c r="K90" t="n">
        <v>0</v>
      </c>
      <c r="L90" t="n">
        <v>0</v>
      </c>
      <c r="M90" t="n">
        <v>0</v>
      </c>
      <c r="N90" t="n">
        <v>0</v>
      </c>
      <c r="O90" t="n">
        <v>2</v>
      </c>
      <c r="P90" t="n">
        <v>0</v>
      </c>
      <c r="Q90" t="n">
        <v>2</v>
      </c>
      <c r="R90" s="2" t="inlineStr">
        <is>
          <t>Harticka
Rödbrun blekspik</t>
        </is>
      </c>
      <c r="S90">
        <f>HYPERLINK("https://klasma.github.io/Logging_2462/artfynd/A 50020-2019 artfynd.xlsx", "A 50020-2019")</f>
        <v/>
      </c>
      <c r="T90">
        <f>HYPERLINK("https://klasma.github.io/Logging_2462/kartor/A 50020-2019 karta.png", "A 50020-2019")</f>
        <v/>
      </c>
      <c r="V90">
        <f>HYPERLINK("https://klasma.github.io/Logging_2462/klagomål/A 50020-2019 FSC-klagomål.docx", "A 50020-2019")</f>
        <v/>
      </c>
      <c r="W90">
        <f>HYPERLINK("https://klasma.github.io/Logging_2462/klagomålsmail/A 50020-2019 FSC-klagomål mail.docx", "A 50020-2019")</f>
        <v/>
      </c>
      <c r="X90">
        <f>HYPERLINK("https://klasma.github.io/Logging_2462/tillsyn/A 50020-2019 tillsynsbegäran.docx", "A 50020-2019")</f>
        <v/>
      </c>
      <c r="Y90">
        <f>HYPERLINK("https://klasma.github.io/Logging_2462/tillsynsmail/A 50020-2019 tillsynsbegäran mail.docx", "A 50020-2019")</f>
        <v/>
      </c>
    </row>
    <row r="91" ht="15" customHeight="1">
      <c r="A91" t="inlineStr">
        <is>
          <t>A 17776-2020</t>
        </is>
      </c>
      <c r="B91" s="1" t="n">
        <v>43923</v>
      </c>
      <c r="C91" s="1" t="n">
        <v>45351</v>
      </c>
      <c r="D91" t="inlineStr">
        <is>
          <t>VÄSTERBOTTENS LÄN</t>
        </is>
      </c>
      <c r="E91" t="inlineStr">
        <is>
          <t>VILHELMINA</t>
        </is>
      </c>
      <c r="F91" t="inlineStr">
        <is>
          <t>Allmännings- och besparingsskogar</t>
        </is>
      </c>
      <c r="G91" t="n">
        <v>1</v>
      </c>
      <c r="H91" t="n">
        <v>0</v>
      </c>
      <c r="I91" t="n">
        <v>0</v>
      </c>
      <c r="J91" t="n">
        <v>2</v>
      </c>
      <c r="K91" t="n">
        <v>0</v>
      </c>
      <c r="L91" t="n">
        <v>0</v>
      </c>
      <c r="M91" t="n">
        <v>0</v>
      </c>
      <c r="N91" t="n">
        <v>0</v>
      </c>
      <c r="O91" t="n">
        <v>2</v>
      </c>
      <c r="P91" t="n">
        <v>0</v>
      </c>
      <c r="Q91" t="n">
        <v>2</v>
      </c>
      <c r="R91" s="2" t="inlineStr">
        <is>
          <t>Lunglav
Skrovellav</t>
        </is>
      </c>
      <c r="S91">
        <f>HYPERLINK("https://klasma.github.io/Logging_2462/artfynd/A 17776-2020 artfynd.xlsx", "A 17776-2020")</f>
        <v/>
      </c>
      <c r="T91">
        <f>HYPERLINK("https://klasma.github.io/Logging_2462/kartor/A 17776-2020 karta.png", "A 17776-2020")</f>
        <v/>
      </c>
      <c r="V91">
        <f>HYPERLINK("https://klasma.github.io/Logging_2462/klagomål/A 17776-2020 FSC-klagomål.docx", "A 17776-2020")</f>
        <v/>
      </c>
      <c r="W91">
        <f>HYPERLINK("https://klasma.github.io/Logging_2462/klagomålsmail/A 17776-2020 FSC-klagomål mail.docx", "A 17776-2020")</f>
        <v/>
      </c>
      <c r="X91">
        <f>HYPERLINK("https://klasma.github.io/Logging_2462/tillsyn/A 17776-2020 tillsynsbegäran.docx", "A 17776-2020")</f>
        <v/>
      </c>
      <c r="Y91">
        <f>HYPERLINK("https://klasma.github.io/Logging_2462/tillsynsmail/A 17776-2020 tillsynsbegäran mail.docx", "A 17776-2020")</f>
        <v/>
      </c>
    </row>
    <row r="92" ht="15" customHeight="1">
      <c r="A92" t="inlineStr">
        <is>
          <t>A 17910-2020</t>
        </is>
      </c>
      <c r="B92" s="1" t="n">
        <v>43924</v>
      </c>
      <c r="C92" s="1" t="n">
        <v>45351</v>
      </c>
      <c r="D92" t="inlineStr">
        <is>
          <t>VÄSTERBOTTENS LÄN</t>
        </is>
      </c>
      <c r="E92" t="inlineStr">
        <is>
          <t>VILHELMINA</t>
        </is>
      </c>
      <c r="F92" t="inlineStr">
        <is>
          <t>SCA</t>
        </is>
      </c>
      <c r="G92" t="n">
        <v>6.8</v>
      </c>
      <c r="H92" t="n">
        <v>0</v>
      </c>
      <c r="I92" t="n">
        <v>0</v>
      </c>
      <c r="J92" t="n">
        <v>2</v>
      </c>
      <c r="K92" t="n">
        <v>0</v>
      </c>
      <c r="L92" t="n">
        <v>0</v>
      </c>
      <c r="M92" t="n">
        <v>0</v>
      </c>
      <c r="N92" t="n">
        <v>0</v>
      </c>
      <c r="O92" t="n">
        <v>2</v>
      </c>
      <c r="P92" t="n">
        <v>0</v>
      </c>
      <c r="Q92" t="n">
        <v>2</v>
      </c>
      <c r="R92" s="2" t="inlineStr">
        <is>
          <t>Lunglav
Skrovellav</t>
        </is>
      </c>
      <c r="S92">
        <f>HYPERLINK("https://klasma.github.io/Logging_2462/artfynd/A 17910-2020 artfynd.xlsx", "A 17910-2020")</f>
        <v/>
      </c>
      <c r="T92">
        <f>HYPERLINK("https://klasma.github.io/Logging_2462/kartor/A 17910-2020 karta.png", "A 17910-2020")</f>
        <v/>
      </c>
      <c r="V92">
        <f>HYPERLINK("https://klasma.github.io/Logging_2462/klagomål/A 17910-2020 FSC-klagomål.docx", "A 17910-2020")</f>
        <v/>
      </c>
      <c r="W92">
        <f>HYPERLINK("https://klasma.github.io/Logging_2462/klagomålsmail/A 17910-2020 FSC-klagomål mail.docx", "A 17910-2020")</f>
        <v/>
      </c>
      <c r="X92">
        <f>HYPERLINK("https://klasma.github.io/Logging_2462/tillsyn/A 17910-2020 tillsynsbegäran.docx", "A 17910-2020")</f>
        <v/>
      </c>
      <c r="Y92">
        <f>HYPERLINK("https://klasma.github.io/Logging_2462/tillsynsmail/A 17910-2020 tillsynsbegäran mail.docx", "A 17910-2020")</f>
        <v/>
      </c>
    </row>
    <row r="93" ht="15" customHeight="1">
      <c r="A93" t="inlineStr">
        <is>
          <t>A 69626-2020</t>
        </is>
      </c>
      <c r="B93" s="1" t="n">
        <v>44195</v>
      </c>
      <c r="C93" s="1" t="n">
        <v>45351</v>
      </c>
      <c r="D93" t="inlineStr">
        <is>
          <t>VÄSTERBOTTENS LÄN</t>
        </is>
      </c>
      <c r="E93" t="inlineStr">
        <is>
          <t>VILHELMINA</t>
        </is>
      </c>
      <c r="G93" t="n">
        <v>10.2</v>
      </c>
      <c r="H93" t="n">
        <v>2</v>
      </c>
      <c r="I93" t="n">
        <v>0</v>
      </c>
      <c r="J93" t="n">
        <v>2</v>
      </c>
      <c r="K93" t="n">
        <v>0</v>
      </c>
      <c r="L93" t="n">
        <v>0</v>
      </c>
      <c r="M93" t="n">
        <v>0</v>
      </c>
      <c r="N93" t="n">
        <v>0</v>
      </c>
      <c r="O93" t="n">
        <v>2</v>
      </c>
      <c r="P93" t="n">
        <v>0</v>
      </c>
      <c r="Q93" t="n">
        <v>2</v>
      </c>
      <c r="R93" s="2" t="inlineStr">
        <is>
          <t>Duvhök
Tretåig hackspett</t>
        </is>
      </c>
      <c r="S93">
        <f>HYPERLINK("https://klasma.github.io/Logging_2462/artfynd/A 69626-2020 artfynd.xlsx", "A 69626-2020")</f>
        <v/>
      </c>
      <c r="T93">
        <f>HYPERLINK("https://klasma.github.io/Logging_2462/kartor/A 69626-2020 karta.png", "A 69626-2020")</f>
        <v/>
      </c>
      <c r="V93">
        <f>HYPERLINK("https://klasma.github.io/Logging_2462/klagomål/A 69626-2020 FSC-klagomål.docx", "A 69626-2020")</f>
        <v/>
      </c>
      <c r="W93">
        <f>HYPERLINK("https://klasma.github.io/Logging_2462/klagomålsmail/A 69626-2020 FSC-klagomål mail.docx", "A 69626-2020")</f>
        <v/>
      </c>
      <c r="X93">
        <f>HYPERLINK("https://klasma.github.io/Logging_2462/tillsyn/A 69626-2020 tillsynsbegäran.docx", "A 69626-2020")</f>
        <v/>
      </c>
      <c r="Y93">
        <f>HYPERLINK("https://klasma.github.io/Logging_2462/tillsynsmail/A 69626-2020 tillsynsbegäran mail.docx", "A 69626-2020")</f>
        <v/>
      </c>
      <c r="Z93">
        <f>HYPERLINK("https://klasma.github.io/Logging_2462/fåglar/A 69626-2020 prioriterade fågelarter.docx", "A 69626-2020")</f>
        <v/>
      </c>
    </row>
    <row r="94" ht="15" customHeight="1">
      <c r="A94" t="inlineStr">
        <is>
          <t>A 6704-2021</t>
        </is>
      </c>
      <c r="B94" s="1" t="n">
        <v>44235</v>
      </c>
      <c r="C94" s="1" t="n">
        <v>45351</v>
      </c>
      <c r="D94" t="inlineStr">
        <is>
          <t>VÄSTERBOTTENS LÄN</t>
        </is>
      </c>
      <c r="E94" t="inlineStr">
        <is>
          <t>VILHELMINA</t>
        </is>
      </c>
      <c r="G94" t="n">
        <v>14.5</v>
      </c>
      <c r="H94" t="n">
        <v>1</v>
      </c>
      <c r="I94" t="n">
        <v>1</v>
      </c>
      <c r="J94" t="n">
        <v>1</v>
      </c>
      <c r="K94" t="n">
        <v>0</v>
      </c>
      <c r="L94" t="n">
        <v>0</v>
      </c>
      <c r="M94" t="n">
        <v>0</v>
      </c>
      <c r="N94" t="n">
        <v>0</v>
      </c>
      <c r="O94" t="n">
        <v>1</v>
      </c>
      <c r="P94" t="n">
        <v>0</v>
      </c>
      <c r="Q94" t="n">
        <v>2</v>
      </c>
      <c r="R94" s="2" t="inlineStr">
        <is>
          <t>Tretåig hackspett
Trådticka</t>
        </is>
      </c>
      <c r="S94">
        <f>HYPERLINK("https://klasma.github.io/Logging_2462/artfynd/A 6704-2021 artfynd.xlsx", "A 6704-2021")</f>
        <v/>
      </c>
      <c r="T94">
        <f>HYPERLINK("https://klasma.github.io/Logging_2462/kartor/A 6704-2021 karta.png", "A 6704-2021")</f>
        <v/>
      </c>
      <c r="V94">
        <f>HYPERLINK("https://klasma.github.io/Logging_2462/klagomål/A 6704-2021 FSC-klagomål.docx", "A 6704-2021")</f>
        <v/>
      </c>
      <c r="W94">
        <f>HYPERLINK("https://klasma.github.io/Logging_2462/klagomålsmail/A 6704-2021 FSC-klagomål mail.docx", "A 6704-2021")</f>
        <v/>
      </c>
      <c r="X94">
        <f>HYPERLINK("https://klasma.github.io/Logging_2462/tillsyn/A 6704-2021 tillsynsbegäran.docx", "A 6704-2021")</f>
        <v/>
      </c>
      <c r="Y94">
        <f>HYPERLINK("https://klasma.github.io/Logging_2462/tillsynsmail/A 6704-2021 tillsynsbegäran mail.docx", "A 6704-2021")</f>
        <v/>
      </c>
      <c r="Z94">
        <f>HYPERLINK("https://klasma.github.io/Logging_2462/fåglar/A 6704-2021 prioriterade fågelarter.docx", "A 6704-2021")</f>
        <v/>
      </c>
    </row>
    <row r="95" ht="15" customHeight="1">
      <c r="A95" t="inlineStr">
        <is>
          <t>A 19234-2021</t>
        </is>
      </c>
      <c r="B95" s="1" t="n">
        <v>44309</v>
      </c>
      <c r="C95" s="1" t="n">
        <v>45351</v>
      </c>
      <c r="D95" t="inlineStr">
        <is>
          <t>VÄSTERBOTTENS LÄN</t>
        </is>
      </c>
      <c r="E95" t="inlineStr">
        <is>
          <t>VILHELMINA</t>
        </is>
      </c>
      <c r="F95" t="inlineStr">
        <is>
          <t>Övriga Aktiebolag</t>
        </is>
      </c>
      <c r="G95" t="n">
        <v>12</v>
      </c>
      <c r="H95" t="n">
        <v>0</v>
      </c>
      <c r="I95" t="n">
        <v>0</v>
      </c>
      <c r="J95" t="n">
        <v>2</v>
      </c>
      <c r="K95" t="n">
        <v>0</v>
      </c>
      <c r="L95" t="n">
        <v>0</v>
      </c>
      <c r="M95" t="n">
        <v>0</v>
      </c>
      <c r="N95" t="n">
        <v>0</v>
      </c>
      <c r="O95" t="n">
        <v>2</v>
      </c>
      <c r="P95" t="n">
        <v>0</v>
      </c>
      <c r="Q95" t="n">
        <v>2</v>
      </c>
      <c r="R95" s="2" t="inlineStr">
        <is>
          <t>Granticka
Harticka</t>
        </is>
      </c>
      <c r="S95">
        <f>HYPERLINK("https://klasma.github.io/Logging_2462/artfynd/A 19234-2021 artfynd.xlsx", "A 19234-2021")</f>
        <v/>
      </c>
      <c r="T95">
        <f>HYPERLINK("https://klasma.github.io/Logging_2462/kartor/A 19234-2021 karta.png", "A 19234-2021")</f>
        <v/>
      </c>
      <c r="V95">
        <f>HYPERLINK("https://klasma.github.io/Logging_2462/klagomål/A 19234-2021 FSC-klagomål.docx", "A 19234-2021")</f>
        <v/>
      </c>
      <c r="W95">
        <f>HYPERLINK("https://klasma.github.io/Logging_2462/klagomålsmail/A 19234-2021 FSC-klagomål mail.docx", "A 19234-2021")</f>
        <v/>
      </c>
      <c r="X95">
        <f>HYPERLINK("https://klasma.github.io/Logging_2462/tillsyn/A 19234-2021 tillsynsbegäran.docx", "A 19234-2021")</f>
        <v/>
      </c>
      <c r="Y95">
        <f>HYPERLINK("https://klasma.github.io/Logging_2462/tillsynsmail/A 19234-2021 tillsynsbegäran mail.docx", "A 19234-2021")</f>
        <v/>
      </c>
    </row>
    <row r="96" ht="15" customHeight="1">
      <c r="A96" t="inlineStr">
        <is>
          <t>A 37785-2021</t>
        </is>
      </c>
      <c r="B96" s="1" t="n">
        <v>44401</v>
      </c>
      <c r="C96" s="1" t="n">
        <v>45351</v>
      </c>
      <c r="D96" t="inlineStr">
        <is>
          <t>VÄSTERBOTTENS LÄN</t>
        </is>
      </c>
      <c r="E96" t="inlineStr">
        <is>
          <t>VILHELMINA</t>
        </is>
      </c>
      <c r="G96" t="n">
        <v>51.5</v>
      </c>
      <c r="H96" t="n">
        <v>1</v>
      </c>
      <c r="I96" t="n">
        <v>0</v>
      </c>
      <c r="J96" t="n">
        <v>1</v>
      </c>
      <c r="K96" t="n">
        <v>0</v>
      </c>
      <c r="L96" t="n">
        <v>0</v>
      </c>
      <c r="M96" t="n">
        <v>0</v>
      </c>
      <c r="N96" t="n">
        <v>0</v>
      </c>
      <c r="O96" t="n">
        <v>1</v>
      </c>
      <c r="P96" t="n">
        <v>0</v>
      </c>
      <c r="Q96" t="n">
        <v>2</v>
      </c>
      <c r="R96" s="2" t="inlineStr">
        <is>
          <t>Ullticka
Fläcknycklar</t>
        </is>
      </c>
      <c r="S96">
        <f>HYPERLINK("https://klasma.github.io/Logging_2462/artfynd/A 37785-2021 artfynd.xlsx", "A 37785-2021")</f>
        <v/>
      </c>
      <c r="T96">
        <f>HYPERLINK("https://klasma.github.io/Logging_2462/kartor/A 37785-2021 karta.png", "A 37785-2021")</f>
        <v/>
      </c>
      <c r="V96">
        <f>HYPERLINK("https://klasma.github.io/Logging_2462/klagomål/A 37785-2021 FSC-klagomål.docx", "A 37785-2021")</f>
        <v/>
      </c>
      <c r="W96">
        <f>HYPERLINK("https://klasma.github.io/Logging_2462/klagomålsmail/A 37785-2021 FSC-klagomål mail.docx", "A 37785-2021")</f>
        <v/>
      </c>
      <c r="X96">
        <f>HYPERLINK("https://klasma.github.io/Logging_2462/tillsyn/A 37785-2021 tillsynsbegäran.docx", "A 37785-2021")</f>
        <v/>
      </c>
      <c r="Y96">
        <f>HYPERLINK("https://klasma.github.io/Logging_2462/tillsynsmail/A 37785-2021 tillsynsbegäran mail.docx", "A 37785-2021")</f>
        <v/>
      </c>
    </row>
    <row r="97" ht="15" customHeight="1">
      <c r="A97" t="inlineStr">
        <is>
          <t>A 65586-2021</t>
        </is>
      </c>
      <c r="B97" s="1" t="n">
        <v>44518</v>
      </c>
      <c r="C97" s="1" t="n">
        <v>45351</v>
      </c>
      <c r="D97" t="inlineStr">
        <is>
          <t>VÄSTERBOTTENS LÄN</t>
        </is>
      </c>
      <c r="E97" t="inlineStr">
        <is>
          <t>VILHELMINA</t>
        </is>
      </c>
      <c r="G97" t="n">
        <v>38</v>
      </c>
      <c r="H97" t="n">
        <v>2</v>
      </c>
      <c r="I97" t="n">
        <v>0</v>
      </c>
      <c r="J97" t="n">
        <v>1</v>
      </c>
      <c r="K97" t="n">
        <v>1</v>
      </c>
      <c r="L97" t="n">
        <v>0</v>
      </c>
      <c r="M97" t="n">
        <v>0</v>
      </c>
      <c r="N97" t="n">
        <v>0</v>
      </c>
      <c r="O97" t="n">
        <v>2</v>
      </c>
      <c r="P97" t="n">
        <v>1</v>
      </c>
      <c r="Q97" t="n">
        <v>2</v>
      </c>
      <c r="R97" s="2" t="inlineStr">
        <is>
          <t>Lappuggla
Tretåig hackspett</t>
        </is>
      </c>
      <c r="S97">
        <f>HYPERLINK("https://klasma.github.io/Logging_2462/artfynd/A 65586-2021 artfynd.xlsx", "A 65586-2021")</f>
        <v/>
      </c>
      <c r="T97">
        <f>HYPERLINK("https://klasma.github.io/Logging_2462/kartor/A 65586-2021 karta.png", "A 65586-2021")</f>
        <v/>
      </c>
      <c r="V97">
        <f>HYPERLINK("https://klasma.github.io/Logging_2462/klagomål/A 65586-2021 FSC-klagomål.docx", "A 65586-2021")</f>
        <v/>
      </c>
      <c r="W97">
        <f>HYPERLINK("https://klasma.github.io/Logging_2462/klagomålsmail/A 65586-2021 FSC-klagomål mail.docx", "A 65586-2021")</f>
        <v/>
      </c>
      <c r="X97">
        <f>HYPERLINK("https://klasma.github.io/Logging_2462/tillsyn/A 65586-2021 tillsynsbegäran.docx", "A 65586-2021")</f>
        <v/>
      </c>
      <c r="Y97">
        <f>HYPERLINK("https://klasma.github.io/Logging_2462/tillsynsmail/A 65586-2021 tillsynsbegäran mail.docx", "A 65586-2021")</f>
        <v/>
      </c>
      <c r="Z97">
        <f>HYPERLINK("https://klasma.github.io/Logging_2462/fåglar/A 65586-2021 prioriterade fågelarter.docx", "A 65586-2021")</f>
        <v/>
      </c>
    </row>
    <row r="98" ht="15" customHeight="1">
      <c r="A98" t="inlineStr">
        <is>
          <t>A 13604-2022</t>
        </is>
      </c>
      <c r="B98" s="1" t="n">
        <v>44648</v>
      </c>
      <c r="C98" s="1" t="n">
        <v>45351</v>
      </c>
      <c r="D98" t="inlineStr">
        <is>
          <t>VÄSTERBOTTENS LÄN</t>
        </is>
      </c>
      <c r="E98" t="inlineStr">
        <is>
          <t>VILHELMINA</t>
        </is>
      </c>
      <c r="G98" t="n">
        <v>17.4</v>
      </c>
      <c r="H98" t="n">
        <v>1</v>
      </c>
      <c r="I98" t="n">
        <v>1</v>
      </c>
      <c r="J98" t="n">
        <v>0</v>
      </c>
      <c r="K98" t="n">
        <v>0</v>
      </c>
      <c r="L98" t="n">
        <v>0</v>
      </c>
      <c r="M98" t="n">
        <v>0</v>
      </c>
      <c r="N98" t="n">
        <v>0</v>
      </c>
      <c r="O98" t="n">
        <v>0</v>
      </c>
      <c r="P98" t="n">
        <v>0</v>
      </c>
      <c r="Q98" t="n">
        <v>2</v>
      </c>
      <c r="R98" s="2" t="inlineStr">
        <is>
          <t>Maskfingersvamp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row>
    <row r="99" ht="15" customHeight="1">
      <c r="A99" t="inlineStr">
        <is>
          <t>A 32253-2022</t>
        </is>
      </c>
      <c r="B99" s="1" t="n">
        <v>44781</v>
      </c>
      <c r="C99" s="1" t="n">
        <v>45351</v>
      </c>
      <c r="D99" t="inlineStr">
        <is>
          <t>VÄSTERBOTTENS LÄN</t>
        </is>
      </c>
      <c r="E99" t="inlineStr">
        <is>
          <t>VILHELMINA</t>
        </is>
      </c>
      <c r="G99" t="n">
        <v>10.8</v>
      </c>
      <c r="H99" t="n">
        <v>0</v>
      </c>
      <c r="I99" t="n">
        <v>0</v>
      </c>
      <c r="J99" t="n">
        <v>1</v>
      </c>
      <c r="K99" t="n">
        <v>1</v>
      </c>
      <c r="L99" t="n">
        <v>0</v>
      </c>
      <c r="M99" t="n">
        <v>0</v>
      </c>
      <c r="N99" t="n">
        <v>0</v>
      </c>
      <c r="O99" t="n">
        <v>2</v>
      </c>
      <c r="P99" t="n">
        <v>1</v>
      </c>
      <c r="Q99" t="n">
        <v>2</v>
      </c>
      <c r="R99" s="2" t="inlineStr">
        <is>
          <t>Ostticka
Garnlav</t>
        </is>
      </c>
      <c r="S99">
        <f>HYPERLINK("https://klasma.github.io/Logging_2462/artfynd/A 32253-2022 artfynd.xlsx", "A 32253-2022")</f>
        <v/>
      </c>
      <c r="T99">
        <f>HYPERLINK("https://klasma.github.io/Logging_2462/kartor/A 32253-2022 karta.png", "A 32253-2022")</f>
        <v/>
      </c>
      <c r="V99">
        <f>HYPERLINK("https://klasma.github.io/Logging_2462/klagomål/A 32253-2022 FSC-klagomål.docx", "A 32253-2022")</f>
        <v/>
      </c>
      <c r="W99">
        <f>HYPERLINK("https://klasma.github.io/Logging_2462/klagomålsmail/A 32253-2022 FSC-klagomål mail.docx", "A 32253-2022")</f>
        <v/>
      </c>
      <c r="X99">
        <f>HYPERLINK("https://klasma.github.io/Logging_2462/tillsyn/A 32253-2022 tillsynsbegäran.docx", "A 32253-2022")</f>
        <v/>
      </c>
      <c r="Y99">
        <f>HYPERLINK("https://klasma.github.io/Logging_2462/tillsynsmail/A 32253-2022 tillsynsbegäran mail.docx", "A 32253-2022")</f>
        <v/>
      </c>
    </row>
    <row r="100" ht="15" customHeight="1">
      <c r="A100" t="inlineStr">
        <is>
          <t>A 28013-2023</t>
        </is>
      </c>
      <c r="B100" s="1" t="n">
        <v>45098</v>
      </c>
      <c r="C100" s="1" t="n">
        <v>45351</v>
      </c>
      <c r="D100" t="inlineStr">
        <is>
          <t>VÄSTERBOTTENS LÄN</t>
        </is>
      </c>
      <c r="E100" t="inlineStr">
        <is>
          <t>VILHELMINA</t>
        </is>
      </c>
      <c r="F100" t="inlineStr">
        <is>
          <t>SCA</t>
        </is>
      </c>
      <c r="G100" t="n">
        <v>7.8</v>
      </c>
      <c r="H100" t="n">
        <v>0</v>
      </c>
      <c r="I100" t="n">
        <v>0</v>
      </c>
      <c r="J100" t="n">
        <v>1</v>
      </c>
      <c r="K100" t="n">
        <v>1</v>
      </c>
      <c r="L100" t="n">
        <v>0</v>
      </c>
      <c r="M100" t="n">
        <v>0</v>
      </c>
      <c r="N100" t="n">
        <v>0</v>
      </c>
      <c r="O100" t="n">
        <v>2</v>
      </c>
      <c r="P100" t="n">
        <v>1</v>
      </c>
      <c r="Q100" t="n">
        <v>2</v>
      </c>
      <c r="R100" s="2" t="inlineStr">
        <is>
          <t>Tajgaskinn
Granticka</t>
        </is>
      </c>
      <c r="S100">
        <f>HYPERLINK("https://klasma.github.io/Logging_2462/artfynd/A 28013-2023 artfynd.xlsx", "A 28013-2023")</f>
        <v/>
      </c>
      <c r="T100">
        <f>HYPERLINK("https://klasma.github.io/Logging_2462/kartor/A 28013-2023 karta.png", "A 28013-2023")</f>
        <v/>
      </c>
      <c r="V100">
        <f>HYPERLINK("https://klasma.github.io/Logging_2462/klagomål/A 28013-2023 FSC-klagomål.docx", "A 28013-2023")</f>
        <v/>
      </c>
      <c r="W100">
        <f>HYPERLINK("https://klasma.github.io/Logging_2462/klagomålsmail/A 28013-2023 FSC-klagomål mail.docx", "A 28013-2023")</f>
        <v/>
      </c>
      <c r="X100">
        <f>HYPERLINK("https://klasma.github.io/Logging_2462/tillsyn/A 28013-2023 tillsynsbegäran.docx", "A 28013-2023")</f>
        <v/>
      </c>
      <c r="Y100">
        <f>HYPERLINK("https://klasma.github.io/Logging_2462/tillsynsmail/A 28013-2023 tillsynsbegäran mail.docx", "A 28013-2023")</f>
        <v/>
      </c>
    </row>
    <row r="101" ht="15" customHeight="1">
      <c r="A101" t="inlineStr">
        <is>
          <t>A 30717-2023</t>
        </is>
      </c>
      <c r="B101" s="1" t="n">
        <v>45112</v>
      </c>
      <c r="C101" s="1" t="n">
        <v>45351</v>
      </c>
      <c r="D101" t="inlineStr">
        <is>
          <t>VÄSTERBOTTENS LÄN</t>
        </is>
      </c>
      <c r="E101" t="inlineStr">
        <is>
          <t>VILHELMINA</t>
        </is>
      </c>
      <c r="G101" t="n">
        <v>22.7</v>
      </c>
      <c r="H101" t="n">
        <v>0</v>
      </c>
      <c r="I101" t="n">
        <v>0</v>
      </c>
      <c r="J101" t="n">
        <v>2</v>
      </c>
      <c r="K101" t="n">
        <v>0</v>
      </c>
      <c r="L101" t="n">
        <v>0</v>
      </c>
      <c r="M101" t="n">
        <v>0</v>
      </c>
      <c r="N101" t="n">
        <v>0</v>
      </c>
      <c r="O101" t="n">
        <v>2</v>
      </c>
      <c r="P101" t="n">
        <v>0</v>
      </c>
      <c r="Q101" t="n">
        <v>2</v>
      </c>
      <c r="R101" s="2" t="inlineStr">
        <is>
          <t>Garnlav
Ullticka</t>
        </is>
      </c>
      <c r="S101">
        <f>HYPERLINK("https://klasma.github.io/Logging_2462/artfynd/A 30717-2023 artfynd.xlsx", "A 30717-2023")</f>
        <v/>
      </c>
      <c r="T101">
        <f>HYPERLINK("https://klasma.github.io/Logging_2462/kartor/A 30717-2023 karta.png", "A 30717-2023")</f>
        <v/>
      </c>
      <c r="V101">
        <f>HYPERLINK("https://klasma.github.io/Logging_2462/klagomål/A 30717-2023 FSC-klagomål.docx", "A 30717-2023")</f>
        <v/>
      </c>
      <c r="W101">
        <f>HYPERLINK("https://klasma.github.io/Logging_2462/klagomålsmail/A 30717-2023 FSC-klagomål mail.docx", "A 30717-2023")</f>
        <v/>
      </c>
      <c r="X101">
        <f>HYPERLINK("https://klasma.github.io/Logging_2462/tillsyn/A 30717-2023 tillsynsbegäran.docx", "A 30717-2023")</f>
        <v/>
      </c>
      <c r="Y101">
        <f>HYPERLINK("https://klasma.github.io/Logging_2462/tillsynsmail/A 30717-2023 tillsynsbegäran mail.docx", "A 30717-2023")</f>
        <v/>
      </c>
    </row>
    <row r="102" ht="15" customHeight="1">
      <c r="A102" t="inlineStr">
        <is>
          <t>A 34089-2023</t>
        </is>
      </c>
      <c r="B102" s="1" t="n">
        <v>45125</v>
      </c>
      <c r="C102" s="1" t="n">
        <v>45351</v>
      </c>
      <c r="D102" t="inlineStr">
        <is>
          <t>VÄSTERBOTTENS LÄN</t>
        </is>
      </c>
      <c r="E102" t="inlineStr">
        <is>
          <t>VILHELMINA</t>
        </is>
      </c>
      <c r="G102" t="n">
        <v>24.1</v>
      </c>
      <c r="H102" t="n">
        <v>1</v>
      </c>
      <c r="I102" t="n">
        <v>0</v>
      </c>
      <c r="J102" t="n">
        <v>2</v>
      </c>
      <c r="K102" t="n">
        <v>0</v>
      </c>
      <c r="L102" t="n">
        <v>0</v>
      </c>
      <c r="M102" t="n">
        <v>0</v>
      </c>
      <c r="N102" t="n">
        <v>0</v>
      </c>
      <c r="O102" t="n">
        <v>2</v>
      </c>
      <c r="P102" t="n">
        <v>0</v>
      </c>
      <c r="Q102" t="n">
        <v>2</v>
      </c>
      <c r="R102" s="2" t="inlineStr">
        <is>
          <t>Garnlav
Tretåig hackspett</t>
        </is>
      </c>
      <c r="S102">
        <f>HYPERLINK("https://klasma.github.io/Logging_2462/artfynd/A 34089-2023 artfynd.xlsx", "A 34089-2023")</f>
        <v/>
      </c>
      <c r="T102">
        <f>HYPERLINK("https://klasma.github.io/Logging_2462/kartor/A 34089-2023 karta.png", "A 34089-2023")</f>
        <v/>
      </c>
      <c r="V102">
        <f>HYPERLINK("https://klasma.github.io/Logging_2462/klagomål/A 34089-2023 FSC-klagomål.docx", "A 34089-2023")</f>
        <v/>
      </c>
      <c r="W102">
        <f>HYPERLINK("https://klasma.github.io/Logging_2462/klagomålsmail/A 34089-2023 FSC-klagomål mail.docx", "A 34089-2023")</f>
        <v/>
      </c>
      <c r="X102">
        <f>HYPERLINK("https://klasma.github.io/Logging_2462/tillsyn/A 34089-2023 tillsynsbegäran.docx", "A 34089-2023")</f>
        <v/>
      </c>
      <c r="Y102">
        <f>HYPERLINK("https://klasma.github.io/Logging_2462/tillsynsmail/A 34089-2023 tillsynsbegäran mail.docx", "A 34089-2023")</f>
        <v/>
      </c>
      <c r="Z102">
        <f>HYPERLINK("https://klasma.github.io/Logging_2462/fåglar/A 34089-2023 prioriterade fågelarter.docx", "A 34089-2023")</f>
        <v/>
      </c>
    </row>
    <row r="103" ht="15" customHeight="1">
      <c r="A103" t="inlineStr">
        <is>
          <t>A 51774-2019</t>
        </is>
      </c>
      <c r="B103" s="1" t="n">
        <v>43741</v>
      </c>
      <c r="C103" s="1" t="n">
        <v>45351</v>
      </c>
      <c r="D103" t="inlineStr">
        <is>
          <t>VÄSTERBOTTENS LÄN</t>
        </is>
      </c>
      <c r="E103" t="inlineStr">
        <is>
          <t>VILHELMINA</t>
        </is>
      </c>
      <c r="F103" t="inlineStr">
        <is>
          <t>Allmännings- och besparingsskogar</t>
        </is>
      </c>
      <c r="G103" t="n">
        <v>19.9</v>
      </c>
      <c r="H103" t="n">
        <v>1</v>
      </c>
      <c r="I103" t="n">
        <v>0</v>
      </c>
      <c r="J103" t="n">
        <v>1</v>
      </c>
      <c r="K103" t="n">
        <v>0</v>
      </c>
      <c r="L103" t="n">
        <v>0</v>
      </c>
      <c r="M103" t="n">
        <v>0</v>
      </c>
      <c r="N103" t="n">
        <v>0</v>
      </c>
      <c r="O103" t="n">
        <v>1</v>
      </c>
      <c r="P103" t="n">
        <v>0</v>
      </c>
      <c r="Q103" t="n">
        <v>1</v>
      </c>
      <c r="R103" s="2" t="inlineStr">
        <is>
          <t>Tretåig hackspett</t>
        </is>
      </c>
      <c r="S103">
        <f>HYPERLINK("https://klasma.github.io/Logging_2462/artfynd/A 51774-2019 artfynd.xlsx", "A 51774-2019")</f>
        <v/>
      </c>
      <c r="T103">
        <f>HYPERLINK("https://klasma.github.io/Logging_2462/kartor/A 51774-2019 karta.png", "A 51774-2019")</f>
        <v/>
      </c>
      <c r="V103">
        <f>HYPERLINK("https://klasma.github.io/Logging_2462/klagomål/A 51774-2019 FSC-klagomål.docx", "A 51774-2019")</f>
        <v/>
      </c>
      <c r="W103">
        <f>HYPERLINK("https://klasma.github.io/Logging_2462/klagomålsmail/A 51774-2019 FSC-klagomål mail.docx", "A 51774-2019")</f>
        <v/>
      </c>
      <c r="X103">
        <f>HYPERLINK("https://klasma.github.io/Logging_2462/tillsyn/A 51774-2019 tillsynsbegäran.docx", "A 51774-2019")</f>
        <v/>
      </c>
      <c r="Y103">
        <f>HYPERLINK("https://klasma.github.io/Logging_2462/tillsynsmail/A 51774-2019 tillsynsbegäran mail.docx", "A 51774-2019")</f>
        <v/>
      </c>
      <c r="Z103">
        <f>HYPERLINK("https://klasma.github.io/Logging_2462/fåglar/A 51774-2019 prioriterade fågelarter.docx", "A 51774-2019")</f>
        <v/>
      </c>
    </row>
    <row r="104" ht="15" customHeight="1">
      <c r="A104" t="inlineStr">
        <is>
          <t>A 59424-2019</t>
        </is>
      </c>
      <c r="B104" s="1" t="n">
        <v>43775</v>
      </c>
      <c r="C104" s="1" t="n">
        <v>45351</v>
      </c>
      <c r="D104" t="inlineStr">
        <is>
          <t>VÄSTERBOTTENS LÄN</t>
        </is>
      </c>
      <c r="E104" t="inlineStr">
        <is>
          <t>VILHELMINA</t>
        </is>
      </c>
      <c r="G104" t="n">
        <v>17.4</v>
      </c>
      <c r="H104" t="n">
        <v>0</v>
      </c>
      <c r="I104" t="n">
        <v>0</v>
      </c>
      <c r="J104" t="n">
        <v>1</v>
      </c>
      <c r="K104" t="n">
        <v>0</v>
      </c>
      <c r="L104" t="n">
        <v>0</v>
      </c>
      <c r="M104" t="n">
        <v>0</v>
      </c>
      <c r="N104" t="n">
        <v>0</v>
      </c>
      <c r="O104" t="n">
        <v>1</v>
      </c>
      <c r="P104" t="n">
        <v>0</v>
      </c>
      <c r="Q104" t="n">
        <v>1</v>
      </c>
      <c r="R104" s="2" t="inlineStr">
        <is>
          <t>Granticka</t>
        </is>
      </c>
      <c r="S104">
        <f>HYPERLINK("https://klasma.github.io/Logging_2462/artfynd/A 59424-2019 artfynd.xlsx", "A 59424-2019")</f>
        <v/>
      </c>
      <c r="T104">
        <f>HYPERLINK("https://klasma.github.io/Logging_2462/kartor/A 59424-2019 karta.png", "A 59424-2019")</f>
        <v/>
      </c>
      <c r="V104">
        <f>HYPERLINK("https://klasma.github.io/Logging_2462/klagomål/A 59424-2019 FSC-klagomål.docx", "A 59424-2019")</f>
        <v/>
      </c>
      <c r="W104">
        <f>HYPERLINK("https://klasma.github.io/Logging_2462/klagomålsmail/A 59424-2019 FSC-klagomål mail.docx", "A 59424-2019")</f>
        <v/>
      </c>
      <c r="X104">
        <f>HYPERLINK("https://klasma.github.io/Logging_2462/tillsyn/A 59424-2019 tillsynsbegäran.docx", "A 59424-2019")</f>
        <v/>
      </c>
      <c r="Y104">
        <f>HYPERLINK("https://klasma.github.io/Logging_2462/tillsynsmail/A 59424-2019 tillsynsbegäran mail.docx", "A 59424-2019")</f>
        <v/>
      </c>
    </row>
    <row r="105" ht="15" customHeight="1">
      <c r="A105" t="inlineStr">
        <is>
          <t>A 220-2020</t>
        </is>
      </c>
      <c r="B105" s="1" t="n">
        <v>43833</v>
      </c>
      <c r="C105" s="1" t="n">
        <v>45351</v>
      </c>
      <c r="D105" t="inlineStr">
        <is>
          <t>VÄSTERBOTTENS LÄN</t>
        </is>
      </c>
      <c r="E105" t="inlineStr">
        <is>
          <t>VILHELMINA</t>
        </is>
      </c>
      <c r="F105" t="inlineStr">
        <is>
          <t>SCA</t>
        </is>
      </c>
      <c r="G105" t="n">
        <v>3.2</v>
      </c>
      <c r="H105" t="n">
        <v>0</v>
      </c>
      <c r="I105" t="n">
        <v>0</v>
      </c>
      <c r="J105" t="n">
        <v>1</v>
      </c>
      <c r="K105" t="n">
        <v>0</v>
      </c>
      <c r="L105" t="n">
        <v>0</v>
      </c>
      <c r="M105" t="n">
        <v>0</v>
      </c>
      <c r="N105" t="n">
        <v>0</v>
      </c>
      <c r="O105" t="n">
        <v>1</v>
      </c>
      <c r="P105" t="n">
        <v>0</v>
      </c>
      <c r="Q105" t="n">
        <v>1</v>
      </c>
      <c r="R105" s="2" t="inlineStr">
        <is>
          <t>Vedskivlav</t>
        </is>
      </c>
      <c r="S105">
        <f>HYPERLINK("https://klasma.github.io/Logging_2462/artfynd/A 220-2020 artfynd.xlsx", "A 220-2020")</f>
        <v/>
      </c>
      <c r="T105">
        <f>HYPERLINK("https://klasma.github.io/Logging_2462/kartor/A 220-2020 karta.png", "A 220-2020")</f>
        <v/>
      </c>
      <c r="V105">
        <f>HYPERLINK("https://klasma.github.io/Logging_2462/klagomål/A 220-2020 FSC-klagomål.docx", "A 220-2020")</f>
        <v/>
      </c>
      <c r="W105">
        <f>HYPERLINK("https://klasma.github.io/Logging_2462/klagomålsmail/A 220-2020 FSC-klagomål mail.docx", "A 220-2020")</f>
        <v/>
      </c>
      <c r="X105">
        <f>HYPERLINK("https://klasma.github.io/Logging_2462/tillsyn/A 220-2020 tillsynsbegäran.docx", "A 220-2020")</f>
        <v/>
      </c>
      <c r="Y105">
        <f>HYPERLINK("https://klasma.github.io/Logging_2462/tillsynsmail/A 220-2020 tillsynsbegäran mail.docx", "A 220-2020")</f>
        <v/>
      </c>
    </row>
    <row r="106" ht="15" customHeight="1">
      <c r="A106" t="inlineStr">
        <is>
          <t>A 546-2020</t>
        </is>
      </c>
      <c r="B106" s="1" t="n">
        <v>43837</v>
      </c>
      <c r="C106" s="1" t="n">
        <v>45351</v>
      </c>
      <c r="D106" t="inlineStr">
        <is>
          <t>VÄSTERBOTTENS LÄN</t>
        </is>
      </c>
      <c r="E106" t="inlineStr">
        <is>
          <t>VILHELMINA</t>
        </is>
      </c>
      <c r="F106" t="inlineStr">
        <is>
          <t>SCA</t>
        </is>
      </c>
      <c r="G106" t="n">
        <v>3.1</v>
      </c>
      <c r="H106" t="n">
        <v>0</v>
      </c>
      <c r="I106" t="n">
        <v>0</v>
      </c>
      <c r="J106" t="n">
        <v>1</v>
      </c>
      <c r="K106" t="n">
        <v>0</v>
      </c>
      <c r="L106" t="n">
        <v>0</v>
      </c>
      <c r="M106" t="n">
        <v>0</v>
      </c>
      <c r="N106" t="n">
        <v>0</v>
      </c>
      <c r="O106" t="n">
        <v>1</v>
      </c>
      <c r="P106" t="n">
        <v>0</v>
      </c>
      <c r="Q106" t="n">
        <v>1</v>
      </c>
      <c r="R106" s="2" t="inlineStr">
        <is>
          <t>Vedskivlav</t>
        </is>
      </c>
      <c r="S106">
        <f>HYPERLINK("https://klasma.github.io/Logging_2462/artfynd/A 546-2020 artfynd.xlsx", "A 546-2020")</f>
        <v/>
      </c>
      <c r="T106">
        <f>HYPERLINK("https://klasma.github.io/Logging_2462/kartor/A 546-2020 karta.png", "A 546-2020")</f>
        <v/>
      </c>
      <c r="V106">
        <f>HYPERLINK("https://klasma.github.io/Logging_2462/klagomål/A 546-2020 FSC-klagomål.docx", "A 546-2020")</f>
        <v/>
      </c>
      <c r="W106">
        <f>HYPERLINK("https://klasma.github.io/Logging_2462/klagomålsmail/A 546-2020 FSC-klagomål mail.docx", "A 546-2020")</f>
        <v/>
      </c>
      <c r="X106">
        <f>HYPERLINK("https://klasma.github.io/Logging_2462/tillsyn/A 546-2020 tillsynsbegäran.docx", "A 546-2020")</f>
        <v/>
      </c>
      <c r="Y106">
        <f>HYPERLINK("https://klasma.github.io/Logging_2462/tillsynsmail/A 546-2020 tillsynsbegäran mail.docx", "A 546-2020")</f>
        <v/>
      </c>
    </row>
    <row r="107" ht="15" customHeight="1">
      <c r="A107" t="inlineStr">
        <is>
          <t>A 57861-2020</t>
        </is>
      </c>
      <c r="B107" s="1" t="n">
        <v>44141</v>
      </c>
      <c r="C107" s="1" t="n">
        <v>45351</v>
      </c>
      <c r="D107" t="inlineStr">
        <is>
          <t>VÄSTERBOTTENS LÄN</t>
        </is>
      </c>
      <c r="E107" t="inlineStr">
        <is>
          <t>VILHELMINA</t>
        </is>
      </c>
      <c r="F107" t="inlineStr">
        <is>
          <t>Sveaskog</t>
        </is>
      </c>
      <c r="G107" t="n">
        <v>11.9</v>
      </c>
      <c r="H107" t="n">
        <v>0</v>
      </c>
      <c r="I107" t="n">
        <v>0</v>
      </c>
      <c r="J107" t="n">
        <v>0</v>
      </c>
      <c r="K107" t="n">
        <v>1</v>
      </c>
      <c r="L107" t="n">
        <v>0</v>
      </c>
      <c r="M107" t="n">
        <v>0</v>
      </c>
      <c r="N107" t="n">
        <v>0</v>
      </c>
      <c r="O107" t="n">
        <v>1</v>
      </c>
      <c r="P107" t="n">
        <v>1</v>
      </c>
      <c r="Q107" t="n">
        <v>1</v>
      </c>
      <c r="R107" s="2" t="inlineStr">
        <is>
          <t>Fläckporing</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29376-2021</t>
        </is>
      </c>
      <c r="B108" s="1" t="n">
        <v>44361</v>
      </c>
      <c r="C108" s="1" t="n">
        <v>45351</v>
      </c>
      <c r="D108" t="inlineStr">
        <is>
          <t>VÄSTERBOTTENS LÄN</t>
        </is>
      </c>
      <c r="E108" t="inlineStr">
        <is>
          <t>VILHELMINA</t>
        </is>
      </c>
      <c r="F108" t="inlineStr">
        <is>
          <t>Allmännings- och besparingsskogar</t>
        </is>
      </c>
      <c r="G108" t="n">
        <v>110.8</v>
      </c>
      <c r="H108" t="n">
        <v>1</v>
      </c>
      <c r="I108" t="n">
        <v>0</v>
      </c>
      <c r="J108" t="n">
        <v>0</v>
      </c>
      <c r="K108" t="n">
        <v>0</v>
      </c>
      <c r="L108" t="n">
        <v>0</v>
      </c>
      <c r="M108" t="n">
        <v>0</v>
      </c>
      <c r="N108" t="n">
        <v>0</v>
      </c>
      <c r="O108" t="n">
        <v>0</v>
      </c>
      <c r="P108" t="n">
        <v>0</v>
      </c>
      <c r="Q108" t="n">
        <v>1</v>
      </c>
      <c r="R108" s="2" t="inlineStr">
        <is>
          <t>Lavskrika</t>
        </is>
      </c>
      <c r="S108">
        <f>HYPERLINK("https://klasma.github.io/Logging_2462/artfynd/A 29376-2021 artfynd.xlsx", "A 29376-2021")</f>
        <v/>
      </c>
      <c r="T108">
        <f>HYPERLINK("https://klasma.github.io/Logging_2462/kartor/A 29376-2021 karta.png", "A 29376-2021")</f>
        <v/>
      </c>
      <c r="V108">
        <f>HYPERLINK("https://klasma.github.io/Logging_2462/klagomål/A 29376-2021 FSC-klagomål.docx", "A 29376-2021")</f>
        <v/>
      </c>
      <c r="W108">
        <f>HYPERLINK("https://klasma.github.io/Logging_2462/klagomålsmail/A 29376-2021 FSC-klagomål mail.docx", "A 29376-2021")</f>
        <v/>
      </c>
      <c r="X108">
        <f>HYPERLINK("https://klasma.github.io/Logging_2462/tillsyn/A 29376-2021 tillsynsbegäran.docx", "A 29376-2021")</f>
        <v/>
      </c>
      <c r="Y108">
        <f>HYPERLINK("https://klasma.github.io/Logging_2462/tillsynsmail/A 29376-2021 tillsynsbegäran mail.docx", "A 29376-2021")</f>
        <v/>
      </c>
      <c r="Z108">
        <f>HYPERLINK("https://klasma.github.io/Logging_2462/fåglar/A 29376-2021 prioriterade fågelarter.docx", "A 29376-2021")</f>
        <v/>
      </c>
    </row>
    <row r="109" ht="15" customHeight="1">
      <c r="A109" t="inlineStr">
        <is>
          <t>A 32677-2021</t>
        </is>
      </c>
      <c r="B109" s="1" t="n">
        <v>44371</v>
      </c>
      <c r="C109" s="1" t="n">
        <v>45351</v>
      </c>
      <c r="D109" t="inlineStr">
        <is>
          <t>VÄSTERBOTTENS LÄN</t>
        </is>
      </c>
      <c r="E109" t="inlineStr">
        <is>
          <t>VILHELMINA</t>
        </is>
      </c>
      <c r="G109" t="n">
        <v>9.699999999999999</v>
      </c>
      <c r="H109" t="n">
        <v>1</v>
      </c>
      <c r="I109" t="n">
        <v>0</v>
      </c>
      <c r="J109" t="n">
        <v>1</v>
      </c>
      <c r="K109" t="n">
        <v>0</v>
      </c>
      <c r="L109" t="n">
        <v>0</v>
      </c>
      <c r="M109" t="n">
        <v>0</v>
      </c>
      <c r="N109" t="n">
        <v>0</v>
      </c>
      <c r="O109" t="n">
        <v>1</v>
      </c>
      <c r="P109" t="n">
        <v>0</v>
      </c>
      <c r="Q109" t="n">
        <v>1</v>
      </c>
      <c r="R109" s="2" t="inlineStr">
        <is>
          <t>Tretåig hackspett</t>
        </is>
      </c>
      <c r="S109">
        <f>HYPERLINK("https://klasma.github.io/Logging_2462/artfynd/A 32677-2021 artfynd.xlsx", "A 32677-2021")</f>
        <v/>
      </c>
      <c r="T109">
        <f>HYPERLINK("https://klasma.github.io/Logging_2462/kartor/A 32677-2021 karta.png", "A 32677-2021")</f>
        <v/>
      </c>
      <c r="V109">
        <f>HYPERLINK("https://klasma.github.io/Logging_2462/klagomål/A 32677-2021 FSC-klagomål.docx", "A 32677-2021")</f>
        <v/>
      </c>
      <c r="W109">
        <f>HYPERLINK("https://klasma.github.io/Logging_2462/klagomålsmail/A 32677-2021 FSC-klagomål mail.docx", "A 32677-2021")</f>
        <v/>
      </c>
      <c r="X109">
        <f>HYPERLINK("https://klasma.github.io/Logging_2462/tillsyn/A 32677-2021 tillsynsbegäran.docx", "A 32677-2021")</f>
        <v/>
      </c>
      <c r="Y109">
        <f>HYPERLINK("https://klasma.github.io/Logging_2462/tillsynsmail/A 32677-2021 tillsynsbegäran mail.docx", "A 32677-2021")</f>
        <v/>
      </c>
      <c r="Z109">
        <f>HYPERLINK("https://klasma.github.io/Logging_2462/fåglar/A 32677-2021 prioriterade fågelarter.docx", "A 32677-2021")</f>
        <v/>
      </c>
    </row>
    <row r="110" ht="15" customHeight="1">
      <c r="A110" t="inlineStr">
        <is>
          <t>A 55739-2021</t>
        </is>
      </c>
      <c r="B110" s="1" t="n">
        <v>44476</v>
      </c>
      <c r="C110" s="1" t="n">
        <v>45351</v>
      </c>
      <c r="D110" t="inlineStr">
        <is>
          <t>VÄSTERBOTTENS LÄN</t>
        </is>
      </c>
      <c r="E110" t="inlineStr">
        <is>
          <t>VILHELMINA</t>
        </is>
      </c>
      <c r="G110" t="n">
        <v>5.5</v>
      </c>
      <c r="H110" t="n">
        <v>0</v>
      </c>
      <c r="I110" t="n">
        <v>0</v>
      </c>
      <c r="J110" t="n">
        <v>1</v>
      </c>
      <c r="K110" t="n">
        <v>0</v>
      </c>
      <c r="L110" t="n">
        <v>0</v>
      </c>
      <c r="M110" t="n">
        <v>0</v>
      </c>
      <c r="N110" t="n">
        <v>0</v>
      </c>
      <c r="O110" t="n">
        <v>1</v>
      </c>
      <c r="P110" t="n">
        <v>0</v>
      </c>
      <c r="Q110" t="n">
        <v>1</v>
      </c>
      <c r="R110" s="2" t="inlineStr">
        <is>
          <t>Garnlav</t>
        </is>
      </c>
      <c r="S110">
        <f>HYPERLINK("https://klasma.github.io/Logging_2462/artfynd/A 55739-2021 artfynd.xlsx", "A 55739-2021")</f>
        <v/>
      </c>
      <c r="T110">
        <f>HYPERLINK("https://klasma.github.io/Logging_2462/kartor/A 55739-2021 karta.png", "A 55739-2021")</f>
        <v/>
      </c>
      <c r="V110">
        <f>HYPERLINK("https://klasma.github.io/Logging_2462/klagomål/A 55739-2021 FSC-klagomål.docx", "A 55739-2021")</f>
        <v/>
      </c>
      <c r="W110">
        <f>HYPERLINK("https://klasma.github.io/Logging_2462/klagomålsmail/A 55739-2021 FSC-klagomål mail.docx", "A 55739-2021")</f>
        <v/>
      </c>
      <c r="X110">
        <f>HYPERLINK("https://klasma.github.io/Logging_2462/tillsyn/A 55739-2021 tillsynsbegäran.docx", "A 55739-2021")</f>
        <v/>
      </c>
      <c r="Y110">
        <f>HYPERLINK("https://klasma.github.io/Logging_2462/tillsynsmail/A 55739-2021 tillsynsbegäran mail.docx", "A 55739-2021")</f>
        <v/>
      </c>
    </row>
    <row r="111" ht="15" customHeight="1">
      <c r="A111" t="inlineStr">
        <is>
          <t>A 60369-2021</t>
        </is>
      </c>
      <c r="B111" s="1" t="n">
        <v>44494</v>
      </c>
      <c r="C111" s="1" t="n">
        <v>45351</v>
      </c>
      <c r="D111" t="inlineStr">
        <is>
          <t>VÄSTERBOTTENS LÄN</t>
        </is>
      </c>
      <c r="E111" t="inlineStr">
        <is>
          <t>VILHELMINA</t>
        </is>
      </c>
      <c r="G111" t="n">
        <v>0.6</v>
      </c>
      <c r="H111" t="n">
        <v>0</v>
      </c>
      <c r="I111" t="n">
        <v>1</v>
      </c>
      <c r="J111" t="n">
        <v>0</v>
      </c>
      <c r="K111" t="n">
        <v>0</v>
      </c>
      <c r="L111" t="n">
        <v>0</v>
      </c>
      <c r="M111" t="n">
        <v>0</v>
      </c>
      <c r="N111" t="n">
        <v>0</v>
      </c>
      <c r="O111" t="n">
        <v>0</v>
      </c>
      <c r="P111" t="n">
        <v>0</v>
      </c>
      <c r="Q111" t="n">
        <v>1</v>
      </c>
      <c r="R111" s="2" t="inlineStr">
        <is>
          <t>Stuplav</t>
        </is>
      </c>
      <c r="S111">
        <f>HYPERLINK("https://klasma.github.io/Logging_2462/artfynd/A 60369-2021 artfynd.xlsx", "A 60369-2021")</f>
        <v/>
      </c>
      <c r="T111">
        <f>HYPERLINK("https://klasma.github.io/Logging_2462/kartor/A 60369-2021 karta.png", "A 60369-2021")</f>
        <v/>
      </c>
      <c r="V111">
        <f>HYPERLINK("https://klasma.github.io/Logging_2462/klagomål/A 60369-2021 FSC-klagomål.docx", "A 60369-2021")</f>
        <v/>
      </c>
      <c r="W111">
        <f>HYPERLINK("https://klasma.github.io/Logging_2462/klagomålsmail/A 60369-2021 FSC-klagomål mail.docx", "A 60369-2021")</f>
        <v/>
      </c>
      <c r="X111">
        <f>HYPERLINK("https://klasma.github.io/Logging_2462/tillsyn/A 60369-2021 tillsynsbegäran.docx", "A 60369-2021")</f>
        <v/>
      </c>
      <c r="Y111">
        <f>HYPERLINK("https://klasma.github.io/Logging_2462/tillsynsmail/A 60369-2021 tillsynsbegäran mail.docx", "A 60369-2021")</f>
        <v/>
      </c>
    </row>
    <row r="112" ht="15" customHeight="1">
      <c r="A112" t="inlineStr">
        <is>
          <t>A 66924-2021</t>
        </is>
      </c>
      <c r="B112" s="1" t="n">
        <v>44522</v>
      </c>
      <c r="C112" s="1" t="n">
        <v>45351</v>
      </c>
      <c r="D112" t="inlineStr">
        <is>
          <t>VÄSTERBOTTENS LÄN</t>
        </is>
      </c>
      <c r="E112" t="inlineStr">
        <is>
          <t>VILHELMINA</t>
        </is>
      </c>
      <c r="F112" t="inlineStr">
        <is>
          <t>Allmännings- och besparingsskogar</t>
        </is>
      </c>
      <c r="G112" t="n">
        <v>335.4</v>
      </c>
      <c r="H112" t="n">
        <v>1</v>
      </c>
      <c r="I112" t="n">
        <v>0</v>
      </c>
      <c r="J112" t="n">
        <v>1</v>
      </c>
      <c r="K112" t="n">
        <v>0</v>
      </c>
      <c r="L112" t="n">
        <v>0</v>
      </c>
      <c r="M112" t="n">
        <v>0</v>
      </c>
      <c r="N112" t="n">
        <v>0</v>
      </c>
      <c r="O112" t="n">
        <v>1</v>
      </c>
      <c r="P112" t="n">
        <v>0</v>
      </c>
      <c r="Q112" t="n">
        <v>1</v>
      </c>
      <c r="R112" s="2" t="inlineStr">
        <is>
          <t>Utter</t>
        </is>
      </c>
      <c r="S112">
        <f>HYPERLINK("https://klasma.github.io/Logging_2462/artfynd/A 66924-2021 artfynd.xlsx", "A 66924-2021")</f>
        <v/>
      </c>
      <c r="T112">
        <f>HYPERLINK("https://klasma.github.io/Logging_2462/kartor/A 66924-2021 karta.png", "A 66924-2021")</f>
        <v/>
      </c>
      <c r="V112">
        <f>HYPERLINK("https://klasma.github.io/Logging_2462/klagomål/A 66924-2021 FSC-klagomål.docx", "A 66924-2021")</f>
        <v/>
      </c>
      <c r="W112">
        <f>HYPERLINK("https://klasma.github.io/Logging_2462/klagomålsmail/A 66924-2021 FSC-klagomål mail.docx", "A 66924-2021")</f>
        <v/>
      </c>
      <c r="X112">
        <f>HYPERLINK("https://klasma.github.io/Logging_2462/tillsyn/A 66924-2021 tillsynsbegäran.docx", "A 66924-2021")</f>
        <v/>
      </c>
      <c r="Y112">
        <f>HYPERLINK("https://klasma.github.io/Logging_2462/tillsynsmail/A 66924-2021 tillsynsbegäran mail.docx", "A 66924-2021")</f>
        <v/>
      </c>
    </row>
    <row r="113" ht="15" customHeight="1">
      <c r="A113" t="inlineStr">
        <is>
          <t>A 68783-2021</t>
        </is>
      </c>
      <c r="B113" s="1" t="n">
        <v>44529</v>
      </c>
      <c r="C113" s="1" t="n">
        <v>45351</v>
      </c>
      <c r="D113" t="inlineStr">
        <is>
          <t>VÄSTERBOTTENS LÄN</t>
        </is>
      </c>
      <c r="E113" t="inlineStr">
        <is>
          <t>VILHELMINA</t>
        </is>
      </c>
      <c r="F113" t="inlineStr">
        <is>
          <t>SCA</t>
        </is>
      </c>
      <c r="G113" t="n">
        <v>7.3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68783-2021 artfynd.xlsx", "A 68783-2021")</f>
        <v/>
      </c>
      <c r="T113">
        <f>HYPERLINK("https://klasma.github.io/Logging_2462/kartor/A 68783-2021 karta.png", "A 68783-2021")</f>
        <v/>
      </c>
      <c r="V113">
        <f>HYPERLINK("https://klasma.github.io/Logging_2462/klagomål/A 68783-2021 FSC-klagomål.docx", "A 68783-2021")</f>
        <v/>
      </c>
      <c r="W113">
        <f>HYPERLINK("https://klasma.github.io/Logging_2462/klagomålsmail/A 68783-2021 FSC-klagomål mail.docx", "A 68783-2021")</f>
        <v/>
      </c>
      <c r="X113">
        <f>HYPERLINK("https://klasma.github.io/Logging_2462/tillsyn/A 68783-2021 tillsynsbegäran.docx", "A 68783-2021")</f>
        <v/>
      </c>
      <c r="Y113">
        <f>HYPERLINK("https://klasma.github.io/Logging_2462/tillsynsmail/A 68783-2021 tillsynsbegäran mail.docx", "A 68783-2021")</f>
        <v/>
      </c>
      <c r="Z113">
        <f>HYPERLINK("https://klasma.github.io/Logging_2462/fåglar/A 68783-2021 prioriterade fågelarter.docx", "A 68783-2021")</f>
        <v/>
      </c>
    </row>
    <row r="114" ht="15" customHeight="1">
      <c r="A114" t="inlineStr">
        <is>
          <t>A 69545-2021</t>
        </is>
      </c>
      <c r="B114" s="1" t="n">
        <v>44531</v>
      </c>
      <c r="C114" s="1" t="n">
        <v>45351</v>
      </c>
      <c r="D114" t="inlineStr">
        <is>
          <t>VÄSTERBOTTENS LÄN</t>
        </is>
      </c>
      <c r="E114" t="inlineStr">
        <is>
          <t>VILHELMINA</t>
        </is>
      </c>
      <c r="F114" t="inlineStr">
        <is>
          <t>SCA</t>
        </is>
      </c>
      <c r="G114" t="n">
        <v>3.8</v>
      </c>
      <c r="H114" t="n">
        <v>0</v>
      </c>
      <c r="I114" t="n">
        <v>1</v>
      </c>
      <c r="J114" t="n">
        <v>0</v>
      </c>
      <c r="K114" t="n">
        <v>0</v>
      </c>
      <c r="L114" t="n">
        <v>0</v>
      </c>
      <c r="M114" t="n">
        <v>0</v>
      </c>
      <c r="N114" t="n">
        <v>0</v>
      </c>
      <c r="O114" t="n">
        <v>0</v>
      </c>
      <c r="P114" t="n">
        <v>0</v>
      </c>
      <c r="Q114" t="n">
        <v>1</v>
      </c>
      <c r="R114" s="2" t="inlineStr">
        <is>
          <t>Norrlandslav</t>
        </is>
      </c>
      <c r="S114">
        <f>HYPERLINK("https://klasma.github.io/Logging_2462/artfynd/A 69545-2021 artfynd.xlsx", "A 69545-2021")</f>
        <v/>
      </c>
      <c r="T114">
        <f>HYPERLINK("https://klasma.github.io/Logging_2462/kartor/A 69545-2021 karta.png", "A 69545-2021")</f>
        <v/>
      </c>
      <c r="V114">
        <f>HYPERLINK("https://klasma.github.io/Logging_2462/klagomål/A 69545-2021 FSC-klagomål.docx", "A 69545-2021")</f>
        <v/>
      </c>
      <c r="W114">
        <f>HYPERLINK("https://klasma.github.io/Logging_2462/klagomålsmail/A 69545-2021 FSC-klagomål mail.docx", "A 69545-2021")</f>
        <v/>
      </c>
      <c r="X114">
        <f>HYPERLINK("https://klasma.github.io/Logging_2462/tillsyn/A 69545-2021 tillsynsbegäran.docx", "A 69545-2021")</f>
        <v/>
      </c>
      <c r="Y114">
        <f>HYPERLINK("https://klasma.github.io/Logging_2462/tillsynsmail/A 69545-2021 tillsynsbegäran mail.docx", "A 69545-2021")</f>
        <v/>
      </c>
    </row>
    <row r="115" ht="15" customHeight="1">
      <c r="A115" t="inlineStr">
        <is>
          <t>A 69915-2021</t>
        </is>
      </c>
      <c r="B115" s="1" t="n">
        <v>44532</v>
      </c>
      <c r="C115" s="1" t="n">
        <v>45351</v>
      </c>
      <c r="D115" t="inlineStr">
        <is>
          <t>VÄSTERBOTTENS LÄN</t>
        </is>
      </c>
      <c r="E115" t="inlineStr">
        <is>
          <t>VILHELMINA</t>
        </is>
      </c>
      <c r="F115" t="inlineStr">
        <is>
          <t>SCA</t>
        </is>
      </c>
      <c r="G115" t="n">
        <v>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69915-2021 artfynd.xlsx", "A 69915-2021")</f>
        <v/>
      </c>
      <c r="T115">
        <f>HYPERLINK("https://klasma.github.io/Logging_2462/kartor/A 69915-2021 karta.png", "A 69915-2021")</f>
        <v/>
      </c>
      <c r="V115">
        <f>HYPERLINK("https://klasma.github.io/Logging_2462/klagomål/A 69915-2021 FSC-klagomål.docx", "A 69915-2021")</f>
        <v/>
      </c>
      <c r="W115">
        <f>HYPERLINK("https://klasma.github.io/Logging_2462/klagomålsmail/A 69915-2021 FSC-klagomål mail.docx", "A 69915-2021")</f>
        <v/>
      </c>
      <c r="X115">
        <f>HYPERLINK("https://klasma.github.io/Logging_2462/tillsyn/A 69915-2021 tillsynsbegäran.docx", "A 69915-2021")</f>
        <v/>
      </c>
      <c r="Y115">
        <f>HYPERLINK("https://klasma.github.io/Logging_2462/tillsynsmail/A 69915-2021 tillsynsbegäran mail.docx", "A 69915-2021")</f>
        <v/>
      </c>
      <c r="Z115">
        <f>HYPERLINK("https://klasma.github.io/Logging_2462/fåglar/A 69915-2021 prioriterade fågelarter.docx", "A 69915-2021")</f>
        <v/>
      </c>
    </row>
    <row r="116" ht="15" customHeight="1">
      <c r="A116" t="inlineStr">
        <is>
          <t>A 74395-2021</t>
        </is>
      </c>
      <c r="B116" s="1" t="n">
        <v>44560</v>
      </c>
      <c r="C116" s="1" t="n">
        <v>45351</v>
      </c>
      <c r="D116" t="inlineStr">
        <is>
          <t>VÄSTERBOTTENS LÄN</t>
        </is>
      </c>
      <c r="E116" t="inlineStr">
        <is>
          <t>VILHELMINA</t>
        </is>
      </c>
      <c r="G116" t="n">
        <v>37.6</v>
      </c>
      <c r="H116" t="n">
        <v>1</v>
      </c>
      <c r="I116" t="n">
        <v>0</v>
      </c>
      <c r="J116" t="n">
        <v>1</v>
      </c>
      <c r="K116" t="n">
        <v>0</v>
      </c>
      <c r="L116" t="n">
        <v>0</v>
      </c>
      <c r="M116" t="n">
        <v>0</v>
      </c>
      <c r="N116" t="n">
        <v>0</v>
      </c>
      <c r="O116" t="n">
        <v>1</v>
      </c>
      <c r="P116" t="n">
        <v>0</v>
      </c>
      <c r="Q116" t="n">
        <v>1</v>
      </c>
      <c r="R116" s="2" t="inlineStr">
        <is>
          <t>Tretåig hackspett</t>
        </is>
      </c>
      <c r="S116">
        <f>HYPERLINK("https://klasma.github.io/Logging_2462/artfynd/A 74395-2021 artfynd.xlsx", "A 74395-2021")</f>
        <v/>
      </c>
      <c r="T116">
        <f>HYPERLINK("https://klasma.github.io/Logging_2462/kartor/A 74395-2021 karta.png", "A 74395-2021")</f>
        <v/>
      </c>
      <c r="V116">
        <f>HYPERLINK("https://klasma.github.io/Logging_2462/klagomål/A 74395-2021 FSC-klagomål.docx", "A 74395-2021")</f>
        <v/>
      </c>
      <c r="W116">
        <f>HYPERLINK("https://klasma.github.io/Logging_2462/klagomålsmail/A 74395-2021 FSC-klagomål mail.docx", "A 74395-2021")</f>
        <v/>
      </c>
      <c r="X116">
        <f>HYPERLINK("https://klasma.github.io/Logging_2462/tillsyn/A 74395-2021 tillsynsbegäran.docx", "A 74395-2021")</f>
        <v/>
      </c>
      <c r="Y116">
        <f>HYPERLINK("https://klasma.github.io/Logging_2462/tillsynsmail/A 74395-2021 tillsynsbegäran mail.docx", "A 74395-2021")</f>
        <v/>
      </c>
      <c r="Z116">
        <f>HYPERLINK("https://klasma.github.io/Logging_2462/fåglar/A 74395-2021 prioriterade fågelarter.docx", "A 74395-2021")</f>
        <v/>
      </c>
    </row>
    <row r="117" ht="15" customHeight="1">
      <c r="A117" t="inlineStr">
        <is>
          <t>A 12486-2022</t>
        </is>
      </c>
      <c r="B117" s="1" t="n">
        <v>44638</v>
      </c>
      <c r="C117" s="1" t="n">
        <v>45351</v>
      </c>
      <c r="D117" t="inlineStr">
        <is>
          <t>VÄSTERBOTTENS LÄN</t>
        </is>
      </c>
      <c r="E117" t="inlineStr">
        <is>
          <t>VILHELMINA</t>
        </is>
      </c>
      <c r="G117" t="n">
        <v>19.3</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12486-2022 artfynd.xlsx", "A 12486-2022")</f>
        <v/>
      </c>
      <c r="T117">
        <f>HYPERLINK("https://klasma.github.io/Logging_2462/kartor/A 12486-2022 karta.png", "A 12486-2022")</f>
        <v/>
      </c>
      <c r="V117">
        <f>HYPERLINK("https://klasma.github.io/Logging_2462/klagomål/A 12486-2022 FSC-klagomål.docx", "A 12486-2022")</f>
        <v/>
      </c>
      <c r="W117">
        <f>HYPERLINK("https://klasma.github.io/Logging_2462/klagomålsmail/A 12486-2022 FSC-klagomål mail.docx", "A 12486-2022")</f>
        <v/>
      </c>
      <c r="X117">
        <f>HYPERLINK("https://klasma.github.io/Logging_2462/tillsyn/A 12486-2022 tillsynsbegäran.docx", "A 12486-2022")</f>
        <v/>
      </c>
      <c r="Y117">
        <f>HYPERLINK("https://klasma.github.io/Logging_2462/tillsynsmail/A 12486-2022 tillsynsbegäran mail.docx", "A 12486-2022")</f>
        <v/>
      </c>
      <c r="Z117">
        <f>HYPERLINK("https://klasma.github.io/Logging_2462/fåglar/A 12486-2022 prioriterade fågelarter.docx", "A 12486-2022")</f>
        <v/>
      </c>
    </row>
    <row r="118" ht="15" customHeight="1">
      <c r="A118" t="inlineStr">
        <is>
          <t>A 38421-2022</t>
        </is>
      </c>
      <c r="B118" s="1" t="n">
        <v>44812</v>
      </c>
      <c r="C118" s="1" t="n">
        <v>45351</v>
      </c>
      <c r="D118" t="inlineStr">
        <is>
          <t>VÄSTERBOTTENS LÄN</t>
        </is>
      </c>
      <c r="E118" t="inlineStr">
        <is>
          <t>VILHELMINA</t>
        </is>
      </c>
      <c r="F118" t="inlineStr">
        <is>
          <t>SCA</t>
        </is>
      </c>
      <c r="G118" t="n">
        <v>3.2</v>
      </c>
      <c r="H118" t="n">
        <v>0</v>
      </c>
      <c r="I118" t="n">
        <v>0</v>
      </c>
      <c r="J118" t="n">
        <v>1</v>
      </c>
      <c r="K118" t="n">
        <v>0</v>
      </c>
      <c r="L118" t="n">
        <v>0</v>
      </c>
      <c r="M118" t="n">
        <v>0</v>
      </c>
      <c r="N118" t="n">
        <v>0</v>
      </c>
      <c r="O118" t="n">
        <v>1</v>
      </c>
      <c r="P118" t="n">
        <v>0</v>
      </c>
      <c r="Q118" t="n">
        <v>1</v>
      </c>
      <c r="R118" s="2" t="inlineStr">
        <is>
          <t>Ullticka</t>
        </is>
      </c>
      <c r="S118">
        <f>HYPERLINK("https://klasma.github.io/Logging_2462/artfynd/A 38421-2022 artfynd.xlsx", "A 38421-2022")</f>
        <v/>
      </c>
      <c r="T118">
        <f>HYPERLINK("https://klasma.github.io/Logging_2462/kartor/A 38421-2022 karta.png", "A 38421-2022")</f>
        <v/>
      </c>
      <c r="V118">
        <f>HYPERLINK("https://klasma.github.io/Logging_2462/klagomål/A 38421-2022 FSC-klagomål.docx", "A 38421-2022")</f>
        <v/>
      </c>
      <c r="W118">
        <f>HYPERLINK("https://klasma.github.io/Logging_2462/klagomålsmail/A 38421-2022 FSC-klagomål mail.docx", "A 38421-2022")</f>
        <v/>
      </c>
      <c r="X118">
        <f>HYPERLINK("https://klasma.github.io/Logging_2462/tillsyn/A 38421-2022 tillsynsbegäran.docx", "A 38421-2022")</f>
        <v/>
      </c>
      <c r="Y118">
        <f>HYPERLINK("https://klasma.github.io/Logging_2462/tillsynsmail/A 38421-2022 tillsynsbegäran mail.docx", "A 38421-2022")</f>
        <v/>
      </c>
    </row>
    <row r="119" ht="15" customHeight="1">
      <c r="A119" t="inlineStr">
        <is>
          <t>A 41483-2022</t>
        </is>
      </c>
      <c r="B119" s="1" t="n">
        <v>44827</v>
      </c>
      <c r="C119" s="1" t="n">
        <v>45351</v>
      </c>
      <c r="D119" t="inlineStr">
        <is>
          <t>VÄSTERBOTTENS LÄN</t>
        </is>
      </c>
      <c r="E119" t="inlineStr">
        <is>
          <t>VILHELMINA</t>
        </is>
      </c>
      <c r="F119" t="inlineStr">
        <is>
          <t>SCA</t>
        </is>
      </c>
      <c r="G119" t="n">
        <v>4.6</v>
      </c>
      <c r="H119" t="n">
        <v>1</v>
      </c>
      <c r="I119" t="n">
        <v>0</v>
      </c>
      <c r="J119" t="n">
        <v>1</v>
      </c>
      <c r="K119" t="n">
        <v>0</v>
      </c>
      <c r="L119" t="n">
        <v>0</v>
      </c>
      <c r="M119" t="n">
        <v>0</v>
      </c>
      <c r="N119" t="n">
        <v>0</v>
      </c>
      <c r="O119" t="n">
        <v>1</v>
      </c>
      <c r="P119" t="n">
        <v>0</v>
      </c>
      <c r="Q119" t="n">
        <v>1</v>
      </c>
      <c r="R119" s="2" t="inlineStr">
        <is>
          <t>Tretåig hackspett</t>
        </is>
      </c>
      <c r="S119">
        <f>HYPERLINK("https://klasma.github.io/Logging_2462/artfynd/A 41483-2022 artfynd.xlsx", "A 41483-2022")</f>
        <v/>
      </c>
      <c r="T119">
        <f>HYPERLINK("https://klasma.github.io/Logging_2462/kartor/A 41483-2022 karta.png", "A 41483-2022")</f>
        <v/>
      </c>
      <c r="V119">
        <f>HYPERLINK("https://klasma.github.io/Logging_2462/klagomål/A 41483-2022 FSC-klagomål.docx", "A 41483-2022")</f>
        <v/>
      </c>
      <c r="W119">
        <f>HYPERLINK("https://klasma.github.io/Logging_2462/klagomålsmail/A 41483-2022 FSC-klagomål mail.docx", "A 41483-2022")</f>
        <v/>
      </c>
      <c r="X119">
        <f>HYPERLINK("https://klasma.github.io/Logging_2462/tillsyn/A 41483-2022 tillsynsbegäran.docx", "A 41483-2022")</f>
        <v/>
      </c>
      <c r="Y119">
        <f>HYPERLINK("https://klasma.github.io/Logging_2462/tillsynsmail/A 41483-2022 tillsynsbegäran mail.docx", "A 41483-2022")</f>
        <v/>
      </c>
      <c r="Z119">
        <f>HYPERLINK("https://klasma.github.io/Logging_2462/fåglar/A 41483-2022 prioriterade fågelarter.docx", "A 41483-2022")</f>
        <v/>
      </c>
    </row>
    <row r="120" ht="15" customHeight="1">
      <c r="A120" t="inlineStr">
        <is>
          <t>A 47251-2022</t>
        </is>
      </c>
      <c r="B120" s="1" t="n">
        <v>44852</v>
      </c>
      <c r="C120" s="1" t="n">
        <v>45351</v>
      </c>
      <c r="D120" t="inlineStr">
        <is>
          <t>VÄSTERBOTTENS LÄN</t>
        </is>
      </c>
      <c r="E120" t="inlineStr">
        <is>
          <t>VILHELMINA</t>
        </is>
      </c>
      <c r="F120" t="inlineStr">
        <is>
          <t>SCA</t>
        </is>
      </c>
      <c r="G120" t="n">
        <v>16.4</v>
      </c>
      <c r="H120" t="n">
        <v>0</v>
      </c>
      <c r="I120" t="n">
        <v>0</v>
      </c>
      <c r="J120" t="n">
        <v>1</v>
      </c>
      <c r="K120" t="n">
        <v>0</v>
      </c>
      <c r="L120" t="n">
        <v>0</v>
      </c>
      <c r="M120" t="n">
        <v>0</v>
      </c>
      <c r="N120" t="n">
        <v>0</v>
      </c>
      <c r="O120" t="n">
        <v>1</v>
      </c>
      <c r="P120" t="n">
        <v>0</v>
      </c>
      <c r="Q120" t="n">
        <v>1</v>
      </c>
      <c r="R120" s="2" t="inlineStr">
        <is>
          <t>Rosenticka</t>
        </is>
      </c>
      <c r="S120">
        <f>HYPERLINK("https://klasma.github.io/Logging_2462/artfynd/A 47251-2022 artfynd.xlsx", "A 47251-2022")</f>
        <v/>
      </c>
      <c r="T120">
        <f>HYPERLINK("https://klasma.github.io/Logging_2462/kartor/A 47251-2022 karta.png", "A 47251-2022")</f>
        <v/>
      </c>
      <c r="V120">
        <f>HYPERLINK("https://klasma.github.io/Logging_2462/klagomål/A 47251-2022 FSC-klagomål.docx", "A 47251-2022")</f>
        <v/>
      </c>
      <c r="W120">
        <f>HYPERLINK("https://klasma.github.io/Logging_2462/klagomålsmail/A 47251-2022 FSC-klagomål mail.docx", "A 47251-2022")</f>
        <v/>
      </c>
      <c r="X120">
        <f>HYPERLINK("https://klasma.github.io/Logging_2462/tillsyn/A 47251-2022 tillsynsbegäran.docx", "A 47251-2022")</f>
        <v/>
      </c>
      <c r="Y120">
        <f>HYPERLINK("https://klasma.github.io/Logging_2462/tillsynsmail/A 47251-2022 tillsynsbegäran mail.docx", "A 47251-2022")</f>
        <v/>
      </c>
    </row>
    <row r="121" ht="15" customHeight="1">
      <c r="A121" t="inlineStr">
        <is>
          <t>A 6604-2023</t>
        </is>
      </c>
      <c r="B121" s="1" t="n">
        <v>44960</v>
      </c>
      <c r="C121" s="1" t="n">
        <v>45351</v>
      </c>
      <c r="D121" t="inlineStr">
        <is>
          <t>VÄSTERBOTTENS LÄN</t>
        </is>
      </c>
      <c r="E121" t="inlineStr">
        <is>
          <t>VILHELMINA</t>
        </is>
      </c>
      <c r="G121" t="n">
        <v>13.4</v>
      </c>
      <c r="H121" t="n">
        <v>0</v>
      </c>
      <c r="I121" t="n">
        <v>1</v>
      </c>
      <c r="J121" t="n">
        <v>0</v>
      </c>
      <c r="K121" t="n">
        <v>0</v>
      </c>
      <c r="L121" t="n">
        <v>0</v>
      </c>
      <c r="M121" t="n">
        <v>0</v>
      </c>
      <c r="N121" t="n">
        <v>0</v>
      </c>
      <c r="O121" t="n">
        <v>0</v>
      </c>
      <c r="P121" t="n">
        <v>0</v>
      </c>
      <c r="Q121" t="n">
        <v>1</v>
      </c>
      <c r="R121" s="2" t="inlineStr">
        <is>
          <t>Luddlav</t>
        </is>
      </c>
      <c r="S121">
        <f>HYPERLINK("https://klasma.github.io/Logging_2462/artfynd/A 6604-2023 artfynd.xlsx", "A 6604-2023")</f>
        <v/>
      </c>
      <c r="T121">
        <f>HYPERLINK("https://klasma.github.io/Logging_2462/kartor/A 6604-2023 karta.png", "A 6604-2023")</f>
        <v/>
      </c>
      <c r="V121">
        <f>HYPERLINK("https://klasma.github.io/Logging_2462/klagomål/A 6604-2023 FSC-klagomål.docx", "A 6604-2023")</f>
        <v/>
      </c>
      <c r="W121">
        <f>HYPERLINK("https://klasma.github.io/Logging_2462/klagomålsmail/A 6604-2023 FSC-klagomål mail.docx", "A 6604-2023")</f>
        <v/>
      </c>
      <c r="X121">
        <f>HYPERLINK("https://klasma.github.io/Logging_2462/tillsyn/A 6604-2023 tillsynsbegäran.docx", "A 6604-2023")</f>
        <v/>
      </c>
      <c r="Y121">
        <f>HYPERLINK("https://klasma.github.io/Logging_2462/tillsynsmail/A 6604-2023 tillsynsbegäran mail.docx", "A 6604-2023")</f>
        <v/>
      </c>
    </row>
    <row r="122" ht="15" customHeight="1">
      <c r="A122" t="inlineStr">
        <is>
          <t>A 6969-2023</t>
        </is>
      </c>
      <c r="B122" s="1" t="n">
        <v>44964</v>
      </c>
      <c r="C122" s="1" t="n">
        <v>45351</v>
      </c>
      <c r="D122" t="inlineStr">
        <is>
          <t>VÄSTERBOTTENS LÄN</t>
        </is>
      </c>
      <c r="E122" t="inlineStr">
        <is>
          <t>VILHELMINA</t>
        </is>
      </c>
      <c r="F122" t="inlineStr">
        <is>
          <t>Allmännings- och besparingsskogar</t>
        </is>
      </c>
      <c r="G122" t="n">
        <v>21.8</v>
      </c>
      <c r="H122" t="n">
        <v>0</v>
      </c>
      <c r="I122" t="n">
        <v>1</v>
      </c>
      <c r="J122" t="n">
        <v>0</v>
      </c>
      <c r="K122" t="n">
        <v>0</v>
      </c>
      <c r="L122" t="n">
        <v>0</v>
      </c>
      <c r="M122" t="n">
        <v>0</v>
      </c>
      <c r="N122" t="n">
        <v>0</v>
      </c>
      <c r="O122" t="n">
        <v>0</v>
      </c>
      <c r="P122" t="n">
        <v>0</v>
      </c>
      <c r="Q122" t="n">
        <v>1</v>
      </c>
      <c r="R122" s="2" t="inlineStr">
        <is>
          <t>Gulnål</t>
        </is>
      </c>
      <c r="S122">
        <f>HYPERLINK("https://klasma.github.io/Logging_2462/artfynd/A 6969-2023 artfynd.xlsx", "A 6969-2023")</f>
        <v/>
      </c>
      <c r="T122">
        <f>HYPERLINK("https://klasma.github.io/Logging_2462/kartor/A 6969-2023 karta.png", "A 6969-2023")</f>
        <v/>
      </c>
      <c r="V122">
        <f>HYPERLINK("https://klasma.github.io/Logging_2462/klagomål/A 6969-2023 FSC-klagomål.docx", "A 6969-2023")</f>
        <v/>
      </c>
      <c r="W122">
        <f>HYPERLINK("https://klasma.github.io/Logging_2462/klagomålsmail/A 6969-2023 FSC-klagomål mail.docx", "A 6969-2023")</f>
        <v/>
      </c>
      <c r="X122">
        <f>HYPERLINK("https://klasma.github.io/Logging_2462/tillsyn/A 6969-2023 tillsynsbegäran.docx", "A 6969-2023")</f>
        <v/>
      </c>
      <c r="Y122">
        <f>HYPERLINK("https://klasma.github.io/Logging_2462/tillsynsmail/A 6969-2023 tillsynsbegäran mail.docx", "A 6969-2023")</f>
        <v/>
      </c>
    </row>
    <row r="123" ht="15" customHeight="1">
      <c r="A123" t="inlineStr">
        <is>
          <t>A 9249-2023</t>
        </is>
      </c>
      <c r="B123" s="1" t="n">
        <v>44972</v>
      </c>
      <c r="C123" s="1" t="n">
        <v>45351</v>
      </c>
      <c r="D123" t="inlineStr">
        <is>
          <t>VÄSTERBOTTENS LÄN</t>
        </is>
      </c>
      <c r="E123" t="inlineStr">
        <is>
          <t>VILHELMINA</t>
        </is>
      </c>
      <c r="F123" t="inlineStr">
        <is>
          <t>Allmännings- och besparingsskogar</t>
        </is>
      </c>
      <c r="G123" t="n">
        <v>18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9249-2023 artfynd.xlsx", "A 9249-2023")</f>
        <v/>
      </c>
      <c r="T123">
        <f>HYPERLINK("https://klasma.github.io/Logging_2462/kartor/A 9249-2023 karta.png", "A 9249-2023")</f>
        <v/>
      </c>
      <c r="V123">
        <f>HYPERLINK("https://klasma.github.io/Logging_2462/klagomål/A 9249-2023 FSC-klagomål.docx", "A 9249-2023")</f>
        <v/>
      </c>
      <c r="W123">
        <f>HYPERLINK("https://klasma.github.io/Logging_2462/klagomålsmail/A 9249-2023 FSC-klagomål mail.docx", "A 9249-2023")</f>
        <v/>
      </c>
      <c r="X123">
        <f>HYPERLINK("https://klasma.github.io/Logging_2462/tillsyn/A 9249-2023 tillsynsbegäran.docx", "A 9249-2023")</f>
        <v/>
      </c>
      <c r="Y123">
        <f>HYPERLINK("https://klasma.github.io/Logging_2462/tillsynsmail/A 9249-2023 tillsynsbegäran mail.docx", "A 9249-2023")</f>
        <v/>
      </c>
      <c r="Z123">
        <f>HYPERLINK("https://klasma.github.io/Logging_2462/fåglar/A 9249-2023 prioriterade fågelarter.docx", "A 9249-2023")</f>
        <v/>
      </c>
    </row>
    <row r="124" ht="15" customHeight="1">
      <c r="A124" t="inlineStr">
        <is>
          <t>A 11832-2023</t>
        </is>
      </c>
      <c r="B124" s="1" t="n">
        <v>44994</v>
      </c>
      <c r="C124" s="1" t="n">
        <v>45351</v>
      </c>
      <c r="D124" t="inlineStr">
        <is>
          <t>VÄSTERBOTTENS LÄN</t>
        </is>
      </c>
      <c r="E124" t="inlineStr">
        <is>
          <t>VILHELMINA</t>
        </is>
      </c>
      <c r="F124" t="inlineStr">
        <is>
          <t>SCA</t>
        </is>
      </c>
      <c r="G124" t="n">
        <v>6.7</v>
      </c>
      <c r="H124" t="n">
        <v>0</v>
      </c>
      <c r="I124" t="n">
        <v>0</v>
      </c>
      <c r="J124" t="n">
        <v>1</v>
      </c>
      <c r="K124" t="n">
        <v>0</v>
      </c>
      <c r="L124" t="n">
        <v>0</v>
      </c>
      <c r="M124" t="n">
        <v>0</v>
      </c>
      <c r="N124" t="n">
        <v>0</v>
      </c>
      <c r="O124" t="n">
        <v>1</v>
      </c>
      <c r="P124" t="n">
        <v>0</v>
      </c>
      <c r="Q124" t="n">
        <v>1</v>
      </c>
      <c r="R124" s="2" t="inlineStr">
        <is>
          <t>Granticka</t>
        </is>
      </c>
      <c r="S124">
        <f>HYPERLINK("https://klasma.github.io/Logging_2462/artfynd/A 11832-2023 artfynd.xlsx", "A 11832-2023")</f>
        <v/>
      </c>
      <c r="T124">
        <f>HYPERLINK("https://klasma.github.io/Logging_2462/kartor/A 11832-2023 karta.png", "A 11832-2023")</f>
        <v/>
      </c>
      <c r="V124">
        <f>HYPERLINK("https://klasma.github.io/Logging_2462/klagomål/A 11832-2023 FSC-klagomål.docx", "A 11832-2023")</f>
        <v/>
      </c>
      <c r="W124">
        <f>HYPERLINK("https://klasma.github.io/Logging_2462/klagomålsmail/A 11832-2023 FSC-klagomål mail.docx", "A 11832-2023")</f>
        <v/>
      </c>
      <c r="X124">
        <f>HYPERLINK("https://klasma.github.io/Logging_2462/tillsyn/A 11832-2023 tillsynsbegäran.docx", "A 11832-2023")</f>
        <v/>
      </c>
      <c r="Y124">
        <f>HYPERLINK("https://klasma.github.io/Logging_2462/tillsynsmail/A 11832-2023 tillsynsbegäran mail.docx", "A 11832-2023")</f>
        <v/>
      </c>
    </row>
    <row r="125" ht="15" customHeight="1">
      <c r="A125" t="inlineStr">
        <is>
          <t>A 29317-2023</t>
        </is>
      </c>
      <c r="B125" s="1" t="n">
        <v>45105</v>
      </c>
      <c r="C125" s="1" t="n">
        <v>45351</v>
      </c>
      <c r="D125" t="inlineStr">
        <is>
          <t>VÄSTERBOTTENS LÄN</t>
        </is>
      </c>
      <c r="E125" t="inlineStr">
        <is>
          <t>VILHELMINA</t>
        </is>
      </c>
      <c r="F125" t="inlineStr">
        <is>
          <t>SCA</t>
        </is>
      </c>
      <c r="G125" t="n">
        <v>18.8</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29317-2023 artfynd.xlsx", "A 29317-2023")</f>
        <v/>
      </c>
      <c r="T125">
        <f>HYPERLINK("https://klasma.github.io/Logging_2462/kartor/A 29317-2023 karta.png", "A 29317-2023")</f>
        <v/>
      </c>
      <c r="V125">
        <f>HYPERLINK("https://klasma.github.io/Logging_2462/klagomål/A 29317-2023 FSC-klagomål.docx", "A 29317-2023")</f>
        <v/>
      </c>
      <c r="W125">
        <f>HYPERLINK("https://klasma.github.io/Logging_2462/klagomålsmail/A 29317-2023 FSC-klagomål mail.docx", "A 29317-2023")</f>
        <v/>
      </c>
      <c r="X125">
        <f>HYPERLINK("https://klasma.github.io/Logging_2462/tillsyn/A 29317-2023 tillsynsbegäran.docx", "A 29317-2023")</f>
        <v/>
      </c>
      <c r="Y125">
        <f>HYPERLINK("https://klasma.github.io/Logging_2462/tillsynsmail/A 29317-2023 tillsynsbegäran mail.docx", "A 29317-2023")</f>
        <v/>
      </c>
      <c r="Z125">
        <f>HYPERLINK("https://klasma.github.io/Logging_2462/fåglar/A 29317-2023 prioriterade fågelarter.docx", "A 29317-2023")</f>
        <v/>
      </c>
    </row>
    <row r="126" ht="15" customHeight="1">
      <c r="A126" t="inlineStr">
        <is>
          <t>A 39919-2023</t>
        </is>
      </c>
      <c r="B126" s="1" t="n">
        <v>45166</v>
      </c>
      <c r="C126" s="1" t="n">
        <v>45351</v>
      </c>
      <c r="D126" t="inlineStr">
        <is>
          <t>VÄSTERBOTTENS LÄN</t>
        </is>
      </c>
      <c r="E126" t="inlineStr">
        <is>
          <t>VILHELMINA</t>
        </is>
      </c>
      <c r="G126" t="n">
        <v>22.2</v>
      </c>
      <c r="H126" t="n">
        <v>1</v>
      </c>
      <c r="I126" t="n">
        <v>0</v>
      </c>
      <c r="J126" t="n">
        <v>1</v>
      </c>
      <c r="K126" t="n">
        <v>0</v>
      </c>
      <c r="L126" t="n">
        <v>0</v>
      </c>
      <c r="M126" t="n">
        <v>0</v>
      </c>
      <c r="N126" t="n">
        <v>0</v>
      </c>
      <c r="O126" t="n">
        <v>1</v>
      </c>
      <c r="P126" t="n">
        <v>0</v>
      </c>
      <c r="Q126" t="n">
        <v>1</v>
      </c>
      <c r="R126" s="2" t="inlineStr">
        <is>
          <t>Utter</t>
        </is>
      </c>
      <c r="S126">
        <f>HYPERLINK("https://klasma.github.io/Logging_2462/artfynd/A 39919-2023 artfynd.xlsx", "A 39919-2023")</f>
        <v/>
      </c>
      <c r="T126">
        <f>HYPERLINK("https://klasma.github.io/Logging_2462/kartor/A 39919-2023 karta.png", "A 39919-2023")</f>
        <v/>
      </c>
      <c r="V126">
        <f>HYPERLINK("https://klasma.github.io/Logging_2462/klagomål/A 39919-2023 FSC-klagomål.docx", "A 39919-2023")</f>
        <v/>
      </c>
      <c r="W126">
        <f>HYPERLINK("https://klasma.github.io/Logging_2462/klagomålsmail/A 39919-2023 FSC-klagomål mail.docx", "A 39919-2023")</f>
        <v/>
      </c>
      <c r="X126">
        <f>HYPERLINK("https://klasma.github.io/Logging_2462/tillsyn/A 39919-2023 tillsynsbegäran.docx", "A 39919-2023")</f>
        <v/>
      </c>
      <c r="Y126">
        <f>HYPERLINK("https://klasma.github.io/Logging_2462/tillsynsmail/A 39919-2023 tillsynsbegäran mail.docx", "A 39919-2023")</f>
        <v/>
      </c>
    </row>
    <row r="127" ht="15" customHeight="1">
      <c r="A127" t="inlineStr">
        <is>
          <t>A 56247-2023</t>
        </is>
      </c>
      <c r="B127" s="1" t="n">
        <v>45240</v>
      </c>
      <c r="C127" s="1" t="n">
        <v>45351</v>
      </c>
      <c r="D127" t="inlineStr">
        <is>
          <t>VÄSTERBOTTENS LÄN</t>
        </is>
      </c>
      <c r="E127" t="inlineStr">
        <is>
          <t>VILHELMINA</t>
        </is>
      </c>
      <c r="F127" t="inlineStr">
        <is>
          <t>SCA</t>
        </is>
      </c>
      <c r="G127" t="n">
        <v>1.3</v>
      </c>
      <c r="H127" t="n">
        <v>0</v>
      </c>
      <c r="I127" t="n">
        <v>0</v>
      </c>
      <c r="J127" t="n">
        <v>1</v>
      </c>
      <c r="K127" t="n">
        <v>0</v>
      </c>
      <c r="L127" t="n">
        <v>0</v>
      </c>
      <c r="M127" t="n">
        <v>0</v>
      </c>
      <c r="N127" t="n">
        <v>0</v>
      </c>
      <c r="O127" t="n">
        <v>1</v>
      </c>
      <c r="P127" t="n">
        <v>0</v>
      </c>
      <c r="Q127" t="n">
        <v>1</v>
      </c>
      <c r="R127" s="2" t="inlineStr">
        <is>
          <t>Harticka</t>
        </is>
      </c>
      <c r="S127">
        <f>HYPERLINK("https://klasma.github.io/Logging_2462/artfynd/A 56247-2023 artfynd.xlsx", "A 56247-2023")</f>
        <v/>
      </c>
      <c r="T127">
        <f>HYPERLINK("https://klasma.github.io/Logging_2462/kartor/A 56247-2023 karta.png", "A 56247-2023")</f>
        <v/>
      </c>
      <c r="V127">
        <f>HYPERLINK("https://klasma.github.io/Logging_2462/klagomål/A 56247-2023 FSC-klagomål.docx", "A 56247-2023")</f>
        <v/>
      </c>
      <c r="W127">
        <f>HYPERLINK("https://klasma.github.io/Logging_2462/klagomålsmail/A 56247-2023 FSC-klagomål mail.docx", "A 56247-2023")</f>
        <v/>
      </c>
      <c r="X127">
        <f>HYPERLINK("https://klasma.github.io/Logging_2462/tillsyn/A 56247-2023 tillsynsbegäran.docx", "A 56247-2023")</f>
        <v/>
      </c>
      <c r="Y127">
        <f>HYPERLINK("https://klasma.github.io/Logging_2462/tillsynsmail/A 56247-2023 tillsynsbegäran mail.docx", "A 56247-2023")</f>
        <v/>
      </c>
    </row>
    <row r="128" ht="15" customHeight="1">
      <c r="A128" t="inlineStr">
        <is>
          <t>A 64030-2023</t>
        </is>
      </c>
      <c r="B128" s="1" t="n">
        <v>45278</v>
      </c>
      <c r="C128" s="1" t="n">
        <v>45351</v>
      </c>
      <c r="D128" t="inlineStr">
        <is>
          <t>VÄSTERBOTTENS LÄN</t>
        </is>
      </c>
      <c r="E128" t="inlineStr">
        <is>
          <t>VILHELMINA</t>
        </is>
      </c>
      <c r="F128" t="inlineStr">
        <is>
          <t>SCA</t>
        </is>
      </c>
      <c r="G128" t="n">
        <v>1.7</v>
      </c>
      <c r="H128" t="n">
        <v>0</v>
      </c>
      <c r="I128" t="n">
        <v>0</v>
      </c>
      <c r="J128" t="n">
        <v>1</v>
      </c>
      <c r="K128" t="n">
        <v>0</v>
      </c>
      <c r="L128" t="n">
        <v>0</v>
      </c>
      <c r="M128" t="n">
        <v>0</v>
      </c>
      <c r="N128" t="n">
        <v>0</v>
      </c>
      <c r="O128" t="n">
        <v>1</v>
      </c>
      <c r="P128" t="n">
        <v>0</v>
      </c>
      <c r="Q128" t="n">
        <v>1</v>
      </c>
      <c r="R128" s="2" t="inlineStr">
        <is>
          <t>Ullticka</t>
        </is>
      </c>
      <c r="S128">
        <f>HYPERLINK("https://klasma.github.io/Logging_2462/artfynd/A 64030-2023 artfynd.xlsx", "A 64030-2023")</f>
        <v/>
      </c>
      <c r="T128">
        <f>HYPERLINK("https://klasma.github.io/Logging_2462/kartor/A 64030-2023 karta.png", "A 64030-2023")</f>
        <v/>
      </c>
      <c r="V128">
        <f>HYPERLINK("https://klasma.github.io/Logging_2462/klagomål/A 64030-2023 FSC-klagomål.docx", "A 64030-2023")</f>
        <v/>
      </c>
      <c r="W128">
        <f>HYPERLINK("https://klasma.github.io/Logging_2462/klagomålsmail/A 64030-2023 FSC-klagomål mail.docx", "A 64030-2023")</f>
        <v/>
      </c>
      <c r="X128">
        <f>HYPERLINK("https://klasma.github.io/Logging_2462/tillsyn/A 64030-2023 tillsynsbegäran.docx", "A 64030-2023")</f>
        <v/>
      </c>
      <c r="Y128">
        <f>HYPERLINK("https://klasma.github.io/Logging_2462/tillsynsmail/A 64030-2023 tillsynsbegäran mail.docx", "A 64030-2023")</f>
        <v/>
      </c>
    </row>
    <row r="129" ht="15" customHeight="1">
      <c r="A129" t="inlineStr">
        <is>
          <t>A 37057-2018</t>
        </is>
      </c>
      <c r="B129" s="1" t="n">
        <v>43332</v>
      </c>
      <c r="C129" s="1" t="n">
        <v>45351</v>
      </c>
      <c r="D129" t="inlineStr">
        <is>
          <t>VÄSTERBOTTENS LÄN</t>
        </is>
      </c>
      <c r="E129" t="inlineStr">
        <is>
          <t>VILHELMINA</t>
        </is>
      </c>
      <c r="G129" t="n">
        <v>0.3</v>
      </c>
      <c r="H129" t="n">
        <v>0</v>
      </c>
      <c r="I129" t="n">
        <v>0</v>
      </c>
      <c r="J129" t="n">
        <v>0</v>
      </c>
      <c r="K129" t="n">
        <v>0</v>
      </c>
      <c r="L129" t="n">
        <v>0</v>
      </c>
      <c r="M129" t="n">
        <v>0</v>
      </c>
      <c r="N129" t="n">
        <v>0</v>
      </c>
      <c r="O129" t="n">
        <v>0</v>
      </c>
      <c r="P129" t="n">
        <v>0</v>
      </c>
      <c r="Q129" t="n">
        <v>0</v>
      </c>
      <c r="R129" s="2" t="inlineStr"/>
    </row>
    <row r="130" ht="15" customHeight="1">
      <c r="A130" t="inlineStr">
        <is>
          <t>A 37012-2018</t>
        </is>
      </c>
      <c r="B130" s="1" t="n">
        <v>43332</v>
      </c>
      <c r="C130" s="1" t="n">
        <v>45351</v>
      </c>
      <c r="D130" t="inlineStr">
        <is>
          <t>VÄSTERBOTTENS LÄN</t>
        </is>
      </c>
      <c r="E130" t="inlineStr">
        <is>
          <t>VILHELMINA</t>
        </is>
      </c>
      <c r="G130" t="n">
        <v>3.1</v>
      </c>
      <c r="H130" t="n">
        <v>0</v>
      </c>
      <c r="I130" t="n">
        <v>0</v>
      </c>
      <c r="J130" t="n">
        <v>0</v>
      </c>
      <c r="K130" t="n">
        <v>0</v>
      </c>
      <c r="L130" t="n">
        <v>0</v>
      </c>
      <c r="M130" t="n">
        <v>0</v>
      </c>
      <c r="N130" t="n">
        <v>0</v>
      </c>
      <c r="O130" t="n">
        <v>0</v>
      </c>
      <c r="P130" t="n">
        <v>0</v>
      </c>
      <c r="Q130" t="n">
        <v>0</v>
      </c>
      <c r="R130" s="2" t="inlineStr"/>
    </row>
    <row r="131" ht="15" customHeight="1">
      <c r="A131" t="inlineStr">
        <is>
          <t>A 37722-2018</t>
        </is>
      </c>
      <c r="B131" s="1" t="n">
        <v>43335</v>
      </c>
      <c r="C131" s="1" t="n">
        <v>45351</v>
      </c>
      <c r="D131" t="inlineStr">
        <is>
          <t>VÄSTERBOTTENS LÄN</t>
        </is>
      </c>
      <c r="E131" t="inlineStr">
        <is>
          <t>VILHELMINA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39530-2018</t>
        </is>
      </c>
      <c r="B132" s="1" t="n">
        <v>43340</v>
      </c>
      <c r="C132" s="1" t="n">
        <v>45351</v>
      </c>
      <c r="D132" t="inlineStr">
        <is>
          <t>VÄSTERBOTTENS LÄN</t>
        </is>
      </c>
      <c r="E132" t="inlineStr">
        <is>
          <t>VILHELMINA</t>
        </is>
      </c>
      <c r="G132" t="n">
        <v>9</v>
      </c>
      <c r="H132" t="n">
        <v>0</v>
      </c>
      <c r="I132" t="n">
        <v>0</v>
      </c>
      <c r="J132" t="n">
        <v>0</v>
      </c>
      <c r="K132" t="n">
        <v>0</v>
      </c>
      <c r="L132" t="n">
        <v>0</v>
      </c>
      <c r="M132" t="n">
        <v>0</v>
      </c>
      <c r="N132" t="n">
        <v>0</v>
      </c>
      <c r="O132" t="n">
        <v>0</v>
      </c>
      <c r="P132" t="n">
        <v>0</v>
      </c>
      <c r="Q132" t="n">
        <v>0</v>
      </c>
      <c r="R132" s="2" t="inlineStr"/>
    </row>
    <row r="133" ht="15" customHeight="1">
      <c r="A133" t="inlineStr">
        <is>
          <t>A 39549-2018</t>
        </is>
      </c>
      <c r="B133" s="1" t="n">
        <v>43340</v>
      </c>
      <c r="C133" s="1" t="n">
        <v>45351</v>
      </c>
      <c r="D133" t="inlineStr">
        <is>
          <t>VÄSTERBOTTENS LÄN</t>
        </is>
      </c>
      <c r="E133" t="inlineStr">
        <is>
          <t>VILHELMINA</t>
        </is>
      </c>
      <c r="G133" t="n">
        <v>25.1</v>
      </c>
      <c r="H133" t="n">
        <v>0</v>
      </c>
      <c r="I133" t="n">
        <v>0</v>
      </c>
      <c r="J133" t="n">
        <v>0</v>
      </c>
      <c r="K133" t="n">
        <v>0</v>
      </c>
      <c r="L133" t="n">
        <v>0</v>
      </c>
      <c r="M133" t="n">
        <v>0</v>
      </c>
      <c r="N133" t="n">
        <v>0</v>
      </c>
      <c r="O133" t="n">
        <v>0</v>
      </c>
      <c r="P133" t="n">
        <v>0</v>
      </c>
      <c r="Q133" t="n">
        <v>0</v>
      </c>
      <c r="R133" s="2" t="inlineStr"/>
    </row>
    <row r="134" ht="15" customHeight="1">
      <c r="A134" t="inlineStr">
        <is>
          <t>A 40854-2018</t>
        </is>
      </c>
      <c r="B134" s="1" t="n">
        <v>43347</v>
      </c>
      <c r="C134" s="1" t="n">
        <v>45351</v>
      </c>
      <c r="D134" t="inlineStr">
        <is>
          <t>VÄSTERBOTTENS LÄN</t>
        </is>
      </c>
      <c r="E134" t="inlineStr">
        <is>
          <t>VILHELMINA</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42583-2018</t>
        </is>
      </c>
      <c r="B135" s="1" t="n">
        <v>43350</v>
      </c>
      <c r="C135" s="1" t="n">
        <v>45351</v>
      </c>
      <c r="D135" t="inlineStr">
        <is>
          <t>VÄSTERBOTTENS LÄN</t>
        </is>
      </c>
      <c r="E135" t="inlineStr">
        <is>
          <t>VILHELMINA</t>
        </is>
      </c>
      <c r="G135" t="n">
        <v>3.5</v>
      </c>
      <c r="H135" t="n">
        <v>0</v>
      </c>
      <c r="I135" t="n">
        <v>0</v>
      </c>
      <c r="J135" t="n">
        <v>0</v>
      </c>
      <c r="K135" t="n">
        <v>0</v>
      </c>
      <c r="L135" t="n">
        <v>0</v>
      </c>
      <c r="M135" t="n">
        <v>0</v>
      </c>
      <c r="N135" t="n">
        <v>0</v>
      </c>
      <c r="O135" t="n">
        <v>0</v>
      </c>
      <c r="P135" t="n">
        <v>0</v>
      </c>
      <c r="Q135" t="n">
        <v>0</v>
      </c>
      <c r="R135" s="2" t="inlineStr"/>
    </row>
    <row r="136" ht="15" customHeight="1">
      <c r="A136" t="inlineStr">
        <is>
          <t>A 44970-2018</t>
        </is>
      </c>
      <c r="B136" s="1" t="n">
        <v>43360</v>
      </c>
      <c r="C136" s="1" t="n">
        <v>45351</v>
      </c>
      <c r="D136" t="inlineStr">
        <is>
          <t>VÄSTERBOTTENS LÄN</t>
        </is>
      </c>
      <c r="E136" t="inlineStr">
        <is>
          <t>VILHELMINA</t>
        </is>
      </c>
      <c r="G136" t="n">
        <v>35</v>
      </c>
      <c r="H136" t="n">
        <v>0</v>
      </c>
      <c r="I136" t="n">
        <v>0</v>
      </c>
      <c r="J136" t="n">
        <v>0</v>
      </c>
      <c r="K136" t="n">
        <v>0</v>
      </c>
      <c r="L136" t="n">
        <v>0</v>
      </c>
      <c r="M136" t="n">
        <v>0</v>
      </c>
      <c r="N136" t="n">
        <v>0</v>
      </c>
      <c r="O136" t="n">
        <v>0</v>
      </c>
      <c r="P136" t="n">
        <v>0</v>
      </c>
      <c r="Q136" t="n">
        <v>0</v>
      </c>
      <c r="R136" s="2" t="inlineStr"/>
    </row>
    <row r="137" ht="15" customHeight="1">
      <c r="A137" t="inlineStr">
        <is>
          <t>A 50082-2018</t>
        </is>
      </c>
      <c r="B137" s="1" t="n">
        <v>43370</v>
      </c>
      <c r="C137" s="1" t="n">
        <v>45351</v>
      </c>
      <c r="D137" t="inlineStr">
        <is>
          <t>VÄSTERBOTTENS LÄN</t>
        </is>
      </c>
      <c r="E137" t="inlineStr">
        <is>
          <t>VILHELMINA</t>
        </is>
      </c>
      <c r="G137" t="n">
        <v>2.7</v>
      </c>
      <c r="H137" t="n">
        <v>0</v>
      </c>
      <c r="I137" t="n">
        <v>0</v>
      </c>
      <c r="J137" t="n">
        <v>0</v>
      </c>
      <c r="K137" t="n">
        <v>0</v>
      </c>
      <c r="L137" t="n">
        <v>0</v>
      </c>
      <c r="M137" t="n">
        <v>0</v>
      </c>
      <c r="N137" t="n">
        <v>0</v>
      </c>
      <c r="O137" t="n">
        <v>0</v>
      </c>
      <c r="P137" t="n">
        <v>0</v>
      </c>
      <c r="Q137" t="n">
        <v>0</v>
      </c>
      <c r="R137" s="2" t="inlineStr"/>
    </row>
    <row r="138" ht="15" customHeight="1">
      <c r="A138" t="inlineStr">
        <is>
          <t>A 50084-2018</t>
        </is>
      </c>
      <c r="B138" s="1" t="n">
        <v>43370</v>
      </c>
      <c r="C138" s="1" t="n">
        <v>45351</v>
      </c>
      <c r="D138" t="inlineStr">
        <is>
          <t>VÄSTERBOTTENS LÄN</t>
        </is>
      </c>
      <c r="E138" t="inlineStr">
        <is>
          <t>VILHELMINA</t>
        </is>
      </c>
      <c r="G138" t="n">
        <v>0.5</v>
      </c>
      <c r="H138" t="n">
        <v>0</v>
      </c>
      <c r="I138" t="n">
        <v>0</v>
      </c>
      <c r="J138" t="n">
        <v>0</v>
      </c>
      <c r="K138" t="n">
        <v>0</v>
      </c>
      <c r="L138" t="n">
        <v>0</v>
      </c>
      <c r="M138" t="n">
        <v>0</v>
      </c>
      <c r="N138" t="n">
        <v>0</v>
      </c>
      <c r="O138" t="n">
        <v>0</v>
      </c>
      <c r="P138" t="n">
        <v>0</v>
      </c>
      <c r="Q138" t="n">
        <v>0</v>
      </c>
      <c r="R138" s="2" t="inlineStr"/>
    </row>
    <row r="139" ht="15" customHeight="1">
      <c r="A139" t="inlineStr">
        <is>
          <t>A 48024-2018</t>
        </is>
      </c>
      <c r="B139" s="1" t="n">
        <v>43370</v>
      </c>
      <c r="C139" s="1" t="n">
        <v>45351</v>
      </c>
      <c r="D139" t="inlineStr">
        <is>
          <t>VÄSTERBOTTENS LÄN</t>
        </is>
      </c>
      <c r="E139" t="inlineStr">
        <is>
          <t>VILHELMINA</t>
        </is>
      </c>
      <c r="G139" t="n">
        <v>14.1</v>
      </c>
      <c r="H139" t="n">
        <v>0</v>
      </c>
      <c r="I139" t="n">
        <v>0</v>
      </c>
      <c r="J139" t="n">
        <v>0</v>
      </c>
      <c r="K139" t="n">
        <v>0</v>
      </c>
      <c r="L139" t="n">
        <v>0</v>
      </c>
      <c r="M139" t="n">
        <v>0</v>
      </c>
      <c r="N139" t="n">
        <v>0</v>
      </c>
      <c r="O139" t="n">
        <v>0</v>
      </c>
      <c r="P139" t="n">
        <v>0</v>
      </c>
      <c r="Q139" t="n">
        <v>0</v>
      </c>
      <c r="R139" s="2" t="inlineStr"/>
    </row>
    <row r="140" ht="15" customHeight="1">
      <c r="A140" t="inlineStr">
        <is>
          <t>A 49183-2018</t>
        </is>
      </c>
      <c r="B140" s="1" t="n">
        <v>43375</v>
      </c>
      <c r="C140" s="1" t="n">
        <v>45351</v>
      </c>
      <c r="D140" t="inlineStr">
        <is>
          <t>VÄSTERBOTTENS LÄN</t>
        </is>
      </c>
      <c r="E140" t="inlineStr">
        <is>
          <t>VILHELMINA</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49196-2018</t>
        </is>
      </c>
      <c r="B141" s="1" t="n">
        <v>43375</v>
      </c>
      <c r="C141" s="1" t="n">
        <v>45351</v>
      </c>
      <c r="D141" t="inlineStr">
        <is>
          <t>VÄSTERBOTTENS LÄN</t>
        </is>
      </c>
      <c r="E141" t="inlineStr">
        <is>
          <t>VILHELMINA</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50020-2018</t>
        </is>
      </c>
      <c r="B142" s="1" t="n">
        <v>43377</v>
      </c>
      <c r="C142" s="1" t="n">
        <v>45351</v>
      </c>
      <c r="D142" t="inlineStr">
        <is>
          <t>VÄSTERBOTTENS LÄN</t>
        </is>
      </c>
      <c r="E142" t="inlineStr">
        <is>
          <t>VILHELMINA</t>
        </is>
      </c>
      <c r="F142" t="inlineStr">
        <is>
          <t>SCA</t>
        </is>
      </c>
      <c r="G142" t="n">
        <v>2.6</v>
      </c>
      <c r="H142" t="n">
        <v>0</v>
      </c>
      <c r="I142" t="n">
        <v>0</v>
      </c>
      <c r="J142" t="n">
        <v>0</v>
      </c>
      <c r="K142" t="n">
        <v>0</v>
      </c>
      <c r="L142" t="n">
        <v>0</v>
      </c>
      <c r="M142" t="n">
        <v>0</v>
      </c>
      <c r="N142" t="n">
        <v>0</v>
      </c>
      <c r="O142" t="n">
        <v>0</v>
      </c>
      <c r="P142" t="n">
        <v>0</v>
      </c>
      <c r="Q142" t="n">
        <v>0</v>
      </c>
      <c r="R142" s="2" t="inlineStr"/>
    </row>
    <row r="143" ht="15" customHeight="1">
      <c r="A143" t="inlineStr">
        <is>
          <t>A 49996-2018</t>
        </is>
      </c>
      <c r="B143" s="1" t="n">
        <v>43377</v>
      </c>
      <c r="C143" s="1" t="n">
        <v>45351</v>
      </c>
      <c r="D143" t="inlineStr">
        <is>
          <t>VÄSTERBOTTENS LÄN</t>
        </is>
      </c>
      <c r="E143" t="inlineStr">
        <is>
          <t>VILHELMINA</t>
        </is>
      </c>
      <c r="G143" t="n">
        <v>3.2</v>
      </c>
      <c r="H143" t="n">
        <v>0</v>
      </c>
      <c r="I143" t="n">
        <v>0</v>
      </c>
      <c r="J143" t="n">
        <v>0</v>
      </c>
      <c r="K143" t="n">
        <v>0</v>
      </c>
      <c r="L143" t="n">
        <v>0</v>
      </c>
      <c r="M143" t="n">
        <v>0</v>
      </c>
      <c r="N143" t="n">
        <v>0</v>
      </c>
      <c r="O143" t="n">
        <v>0</v>
      </c>
      <c r="P143" t="n">
        <v>0</v>
      </c>
      <c r="Q143" t="n">
        <v>0</v>
      </c>
      <c r="R143" s="2" t="inlineStr"/>
    </row>
    <row r="144" ht="15" customHeight="1">
      <c r="A144" t="inlineStr">
        <is>
          <t>A 50000-2018</t>
        </is>
      </c>
      <c r="B144" s="1" t="n">
        <v>43377</v>
      </c>
      <c r="C144" s="1" t="n">
        <v>45351</v>
      </c>
      <c r="D144" t="inlineStr">
        <is>
          <t>VÄSTERBOTTENS LÄN</t>
        </is>
      </c>
      <c r="E144" t="inlineStr">
        <is>
          <t>VILHELMINA</t>
        </is>
      </c>
      <c r="G144" t="n">
        <v>4.1</v>
      </c>
      <c r="H144" t="n">
        <v>0</v>
      </c>
      <c r="I144" t="n">
        <v>0</v>
      </c>
      <c r="J144" t="n">
        <v>0</v>
      </c>
      <c r="K144" t="n">
        <v>0</v>
      </c>
      <c r="L144" t="n">
        <v>0</v>
      </c>
      <c r="M144" t="n">
        <v>0</v>
      </c>
      <c r="N144" t="n">
        <v>0</v>
      </c>
      <c r="O144" t="n">
        <v>0</v>
      </c>
      <c r="P144" t="n">
        <v>0</v>
      </c>
      <c r="Q144" t="n">
        <v>0</v>
      </c>
      <c r="R144" s="2" t="inlineStr"/>
    </row>
    <row r="145" ht="15" customHeight="1">
      <c r="A145" t="inlineStr">
        <is>
          <t>A 50023-2018</t>
        </is>
      </c>
      <c r="B145" s="1" t="n">
        <v>43377</v>
      </c>
      <c r="C145" s="1" t="n">
        <v>45351</v>
      </c>
      <c r="D145" t="inlineStr">
        <is>
          <t>VÄSTERBOTTENS LÄN</t>
        </is>
      </c>
      <c r="E145" t="inlineStr">
        <is>
          <t>VILHELMINA</t>
        </is>
      </c>
      <c r="G145" t="n">
        <v>6</v>
      </c>
      <c r="H145" t="n">
        <v>0</v>
      </c>
      <c r="I145" t="n">
        <v>0</v>
      </c>
      <c r="J145" t="n">
        <v>0</v>
      </c>
      <c r="K145" t="n">
        <v>0</v>
      </c>
      <c r="L145" t="n">
        <v>0</v>
      </c>
      <c r="M145" t="n">
        <v>0</v>
      </c>
      <c r="N145" t="n">
        <v>0</v>
      </c>
      <c r="O145" t="n">
        <v>0</v>
      </c>
      <c r="P145" t="n">
        <v>0</v>
      </c>
      <c r="Q145" t="n">
        <v>0</v>
      </c>
      <c r="R145" s="2" t="inlineStr"/>
    </row>
    <row r="146" ht="15" customHeight="1">
      <c r="A146" t="inlineStr">
        <is>
          <t>A 50007-2018</t>
        </is>
      </c>
      <c r="B146" s="1" t="n">
        <v>43377</v>
      </c>
      <c r="C146" s="1" t="n">
        <v>45351</v>
      </c>
      <c r="D146" t="inlineStr">
        <is>
          <t>VÄSTERBOTTENS LÄN</t>
        </is>
      </c>
      <c r="E146" t="inlineStr">
        <is>
          <t>VILHELMINA</t>
        </is>
      </c>
      <c r="F146" t="inlineStr">
        <is>
          <t>SCA</t>
        </is>
      </c>
      <c r="G146" t="n">
        <v>5.3</v>
      </c>
      <c r="H146" t="n">
        <v>0</v>
      </c>
      <c r="I146" t="n">
        <v>0</v>
      </c>
      <c r="J146" t="n">
        <v>0</v>
      </c>
      <c r="K146" t="n">
        <v>0</v>
      </c>
      <c r="L146" t="n">
        <v>0</v>
      </c>
      <c r="M146" t="n">
        <v>0</v>
      </c>
      <c r="N146" t="n">
        <v>0</v>
      </c>
      <c r="O146" t="n">
        <v>0</v>
      </c>
      <c r="P146" t="n">
        <v>0</v>
      </c>
      <c r="Q146" t="n">
        <v>0</v>
      </c>
      <c r="R146" s="2" t="inlineStr"/>
    </row>
    <row r="147" ht="15" customHeight="1">
      <c r="A147" t="inlineStr">
        <is>
          <t>A 50028-2018</t>
        </is>
      </c>
      <c r="B147" s="1" t="n">
        <v>43377</v>
      </c>
      <c r="C147" s="1" t="n">
        <v>45351</v>
      </c>
      <c r="D147" t="inlineStr">
        <is>
          <t>VÄSTERBOTTENS LÄN</t>
        </is>
      </c>
      <c r="E147" t="inlineStr">
        <is>
          <t>VILHELMINA</t>
        </is>
      </c>
      <c r="G147" t="n">
        <v>14.5</v>
      </c>
      <c r="H147" t="n">
        <v>0</v>
      </c>
      <c r="I147" t="n">
        <v>0</v>
      </c>
      <c r="J147" t="n">
        <v>0</v>
      </c>
      <c r="K147" t="n">
        <v>0</v>
      </c>
      <c r="L147" t="n">
        <v>0</v>
      </c>
      <c r="M147" t="n">
        <v>0</v>
      </c>
      <c r="N147" t="n">
        <v>0</v>
      </c>
      <c r="O147" t="n">
        <v>0</v>
      </c>
      <c r="P147" t="n">
        <v>0</v>
      </c>
      <c r="Q147" t="n">
        <v>0</v>
      </c>
      <c r="R147" s="2" t="inlineStr"/>
    </row>
    <row r="148" ht="15" customHeight="1">
      <c r="A148" t="inlineStr">
        <is>
          <t>A 51854-2018</t>
        </is>
      </c>
      <c r="B148" s="1" t="n">
        <v>43384</v>
      </c>
      <c r="C148" s="1" t="n">
        <v>45351</v>
      </c>
      <c r="D148" t="inlineStr">
        <is>
          <t>VÄSTERBOTTENS LÄN</t>
        </is>
      </c>
      <c r="E148" t="inlineStr">
        <is>
          <t>VILHELMINA</t>
        </is>
      </c>
      <c r="F148" t="inlineStr">
        <is>
          <t>SCA</t>
        </is>
      </c>
      <c r="G148" t="n">
        <v>8.5</v>
      </c>
      <c r="H148" t="n">
        <v>0</v>
      </c>
      <c r="I148" t="n">
        <v>0</v>
      </c>
      <c r="J148" t="n">
        <v>0</v>
      </c>
      <c r="K148" t="n">
        <v>0</v>
      </c>
      <c r="L148" t="n">
        <v>0</v>
      </c>
      <c r="M148" t="n">
        <v>0</v>
      </c>
      <c r="N148" t="n">
        <v>0</v>
      </c>
      <c r="O148" t="n">
        <v>0</v>
      </c>
      <c r="P148" t="n">
        <v>0</v>
      </c>
      <c r="Q148" t="n">
        <v>0</v>
      </c>
      <c r="R148" s="2" t="inlineStr"/>
    </row>
    <row r="149" ht="15" customHeight="1">
      <c r="A149" t="inlineStr">
        <is>
          <t>A 51852-2018</t>
        </is>
      </c>
      <c r="B149" s="1" t="n">
        <v>43384</v>
      </c>
      <c r="C149" s="1" t="n">
        <v>45351</v>
      </c>
      <c r="D149" t="inlineStr">
        <is>
          <t>VÄSTERBOTTENS LÄN</t>
        </is>
      </c>
      <c r="E149" t="inlineStr">
        <is>
          <t>VILHELMINA</t>
        </is>
      </c>
      <c r="F149" t="inlineStr">
        <is>
          <t>SCA</t>
        </is>
      </c>
      <c r="G149" t="n">
        <v>7</v>
      </c>
      <c r="H149" t="n">
        <v>0</v>
      </c>
      <c r="I149" t="n">
        <v>0</v>
      </c>
      <c r="J149" t="n">
        <v>0</v>
      </c>
      <c r="K149" t="n">
        <v>0</v>
      </c>
      <c r="L149" t="n">
        <v>0</v>
      </c>
      <c r="M149" t="n">
        <v>0</v>
      </c>
      <c r="N149" t="n">
        <v>0</v>
      </c>
      <c r="O149" t="n">
        <v>0</v>
      </c>
      <c r="P149" t="n">
        <v>0</v>
      </c>
      <c r="Q149" t="n">
        <v>0</v>
      </c>
      <c r="R149" s="2" t="inlineStr"/>
    </row>
    <row r="150" ht="15" customHeight="1">
      <c r="A150" t="inlineStr">
        <is>
          <t>A 52969-2018</t>
        </is>
      </c>
      <c r="B150" s="1" t="n">
        <v>43389</v>
      </c>
      <c r="C150" s="1" t="n">
        <v>45351</v>
      </c>
      <c r="D150" t="inlineStr">
        <is>
          <t>VÄSTERBOTTENS LÄN</t>
        </is>
      </c>
      <c r="E150" t="inlineStr">
        <is>
          <t>VILHELMINA</t>
        </is>
      </c>
      <c r="F150" t="inlineStr">
        <is>
          <t>Sveaskog</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52970-2018</t>
        </is>
      </c>
      <c r="B151" s="1" t="n">
        <v>43389</v>
      </c>
      <c r="C151" s="1" t="n">
        <v>45351</v>
      </c>
      <c r="D151" t="inlineStr">
        <is>
          <t>VÄSTERBOTTENS LÄN</t>
        </is>
      </c>
      <c r="E151" t="inlineStr">
        <is>
          <t>VILHELMINA</t>
        </is>
      </c>
      <c r="F151" t="inlineStr">
        <is>
          <t>Sveaskog</t>
        </is>
      </c>
      <c r="G151" t="n">
        <v>16.8</v>
      </c>
      <c r="H151" t="n">
        <v>0</v>
      </c>
      <c r="I151" t="n">
        <v>0</v>
      </c>
      <c r="J151" t="n">
        <v>0</v>
      </c>
      <c r="K151" t="n">
        <v>0</v>
      </c>
      <c r="L151" t="n">
        <v>0</v>
      </c>
      <c r="M151" t="n">
        <v>0</v>
      </c>
      <c r="N151" t="n">
        <v>0</v>
      </c>
      <c r="O151" t="n">
        <v>0</v>
      </c>
      <c r="P151" t="n">
        <v>0</v>
      </c>
      <c r="Q151" t="n">
        <v>0</v>
      </c>
      <c r="R151" s="2" t="inlineStr"/>
    </row>
    <row r="152" ht="15" customHeight="1">
      <c r="A152" t="inlineStr">
        <is>
          <t>A 52971-2018</t>
        </is>
      </c>
      <c r="B152" s="1" t="n">
        <v>43389</v>
      </c>
      <c r="C152" s="1" t="n">
        <v>45351</v>
      </c>
      <c r="D152" t="inlineStr">
        <is>
          <t>VÄSTERBOTTENS LÄN</t>
        </is>
      </c>
      <c r="E152" t="inlineStr">
        <is>
          <t>VILHELMINA</t>
        </is>
      </c>
      <c r="F152" t="inlineStr">
        <is>
          <t>Sveaskog</t>
        </is>
      </c>
      <c r="G152" t="n">
        <v>7.7</v>
      </c>
      <c r="H152" t="n">
        <v>0</v>
      </c>
      <c r="I152" t="n">
        <v>0</v>
      </c>
      <c r="J152" t="n">
        <v>0</v>
      </c>
      <c r="K152" t="n">
        <v>0</v>
      </c>
      <c r="L152" t="n">
        <v>0</v>
      </c>
      <c r="M152" t="n">
        <v>0</v>
      </c>
      <c r="N152" t="n">
        <v>0</v>
      </c>
      <c r="O152" t="n">
        <v>0</v>
      </c>
      <c r="P152" t="n">
        <v>0</v>
      </c>
      <c r="Q152" t="n">
        <v>0</v>
      </c>
      <c r="R152" s="2" t="inlineStr"/>
    </row>
    <row r="153" ht="15" customHeight="1">
      <c r="A153" t="inlineStr">
        <is>
          <t>A 54624-2018</t>
        </is>
      </c>
      <c r="B153" s="1" t="n">
        <v>43395</v>
      </c>
      <c r="C153" s="1" t="n">
        <v>45351</v>
      </c>
      <c r="D153" t="inlineStr">
        <is>
          <t>VÄSTERBOTTENS LÄN</t>
        </is>
      </c>
      <c r="E153" t="inlineStr">
        <is>
          <t>VILHELMINA</t>
        </is>
      </c>
      <c r="G153" t="n">
        <v>3.3</v>
      </c>
      <c r="H153" t="n">
        <v>0</v>
      </c>
      <c r="I153" t="n">
        <v>0</v>
      </c>
      <c r="J153" t="n">
        <v>0</v>
      </c>
      <c r="K153" t="n">
        <v>0</v>
      </c>
      <c r="L153" t="n">
        <v>0</v>
      </c>
      <c r="M153" t="n">
        <v>0</v>
      </c>
      <c r="N153" t="n">
        <v>0</v>
      </c>
      <c r="O153" t="n">
        <v>0</v>
      </c>
      <c r="P153" t="n">
        <v>0</v>
      </c>
      <c r="Q153" t="n">
        <v>0</v>
      </c>
      <c r="R153" s="2" t="inlineStr"/>
    </row>
    <row r="154" ht="15" customHeight="1">
      <c r="A154" t="inlineStr">
        <is>
          <t>A 57389-2018</t>
        </is>
      </c>
      <c r="B154" s="1" t="n">
        <v>43402</v>
      </c>
      <c r="C154" s="1" t="n">
        <v>45351</v>
      </c>
      <c r="D154" t="inlineStr">
        <is>
          <t>VÄSTERBOTTENS LÄN</t>
        </is>
      </c>
      <c r="E154" t="inlineStr">
        <is>
          <t>VILHELMINA</t>
        </is>
      </c>
      <c r="G154" t="n">
        <v>2.3</v>
      </c>
      <c r="H154" t="n">
        <v>0</v>
      </c>
      <c r="I154" t="n">
        <v>0</v>
      </c>
      <c r="J154" t="n">
        <v>0</v>
      </c>
      <c r="K154" t="n">
        <v>0</v>
      </c>
      <c r="L154" t="n">
        <v>0</v>
      </c>
      <c r="M154" t="n">
        <v>0</v>
      </c>
      <c r="N154" t="n">
        <v>0</v>
      </c>
      <c r="O154" t="n">
        <v>0</v>
      </c>
      <c r="P154" t="n">
        <v>0</v>
      </c>
      <c r="Q154" t="n">
        <v>0</v>
      </c>
      <c r="R154" s="2" t="inlineStr"/>
    </row>
    <row r="155" ht="15" customHeight="1">
      <c r="A155" t="inlineStr">
        <is>
          <t>A 58563-2018</t>
        </is>
      </c>
      <c r="B155" s="1" t="n">
        <v>43409</v>
      </c>
      <c r="C155" s="1" t="n">
        <v>45351</v>
      </c>
      <c r="D155" t="inlineStr">
        <is>
          <t>VÄSTERBOTTENS LÄN</t>
        </is>
      </c>
      <c r="E155" t="inlineStr">
        <is>
          <t>VILHELMINA</t>
        </is>
      </c>
      <c r="F155" t="inlineStr">
        <is>
          <t>SCA</t>
        </is>
      </c>
      <c r="G155" t="n">
        <v>18.1</v>
      </c>
      <c r="H155" t="n">
        <v>0</v>
      </c>
      <c r="I155" t="n">
        <v>0</v>
      </c>
      <c r="J155" t="n">
        <v>0</v>
      </c>
      <c r="K155" t="n">
        <v>0</v>
      </c>
      <c r="L155" t="n">
        <v>0</v>
      </c>
      <c r="M155" t="n">
        <v>0</v>
      </c>
      <c r="N155" t="n">
        <v>0</v>
      </c>
      <c r="O155" t="n">
        <v>0</v>
      </c>
      <c r="P155" t="n">
        <v>0</v>
      </c>
      <c r="Q155" t="n">
        <v>0</v>
      </c>
      <c r="R155" s="2" t="inlineStr"/>
    </row>
    <row r="156" ht="15" customHeight="1">
      <c r="A156" t="inlineStr">
        <is>
          <t>A 61314-2018</t>
        </is>
      </c>
      <c r="B156" s="1" t="n">
        <v>43412</v>
      </c>
      <c r="C156" s="1" t="n">
        <v>45351</v>
      </c>
      <c r="D156" t="inlineStr">
        <is>
          <t>VÄSTERBOTTENS LÄN</t>
        </is>
      </c>
      <c r="E156" t="inlineStr">
        <is>
          <t>VILHELMINA</t>
        </is>
      </c>
      <c r="G156" t="n">
        <v>1.1</v>
      </c>
      <c r="H156" t="n">
        <v>0</v>
      </c>
      <c r="I156" t="n">
        <v>0</v>
      </c>
      <c r="J156" t="n">
        <v>0</v>
      </c>
      <c r="K156" t="n">
        <v>0</v>
      </c>
      <c r="L156" t="n">
        <v>0</v>
      </c>
      <c r="M156" t="n">
        <v>0</v>
      </c>
      <c r="N156" t="n">
        <v>0</v>
      </c>
      <c r="O156" t="n">
        <v>0</v>
      </c>
      <c r="P156" t="n">
        <v>0</v>
      </c>
      <c r="Q156" t="n">
        <v>0</v>
      </c>
      <c r="R156" s="2" t="inlineStr"/>
    </row>
    <row r="157" ht="15" customHeight="1">
      <c r="A157" t="inlineStr">
        <is>
          <t>A 58964-2018</t>
        </is>
      </c>
      <c r="B157" s="1" t="n">
        <v>43412</v>
      </c>
      <c r="C157" s="1" t="n">
        <v>45351</v>
      </c>
      <c r="D157" t="inlineStr">
        <is>
          <t>VÄSTERBOTTENS LÄN</t>
        </is>
      </c>
      <c r="E157" t="inlineStr">
        <is>
          <t>VILHELMINA</t>
        </is>
      </c>
      <c r="F157" t="inlineStr">
        <is>
          <t>Allmännings- och besparingsskogar</t>
        </is>
      </c>
      <c r="G157" t="n">
        <v>0.2</v>
      </c>
      <c r="H157" t="n">
        <v>0</v>
      </c>
      <c r="I157" t="n">
        <v>0</v>
      </c>
      <c r="J157" t="n">
        <v>0</v>
      </c>
      <c r="K157" t="n">
        <v>0</v>
      </c>
      <c r="L157" t="n">
        <v>0</v>
      </c>
      <c r="M157" t="n">
        <v>0</v>
      </c>
      <c r="N157" t="n">
        <v>0</v>
      </c>
      <c r="O157" t="n">
        <v>0</v>
      </c>
      <c r="P157" t="n">
        <v>0</v>
      </c>
      <c r="Q157" t="n">
        <v>0</v>
      </c>
      <c r="R157" s="2" t="inlineStr"/>
    </row>
    <row r="158" ht="15" customHeight="1">
      <c r="A158" t="inlineStr">
        <is>
          <t>A 59421-2018</t>
        </is>
      </c>
      <c r="B158" s="1" t="n">
        <v>43418</v>
      </c>
      <c r="C158" s="1" t="n">
        <v>45351</v>
      </c>
      <c r="D158" t="inlineStr">
        <is>
          <t>VÄSTERBOTTENS LÄN</t>
        </is>
      </c>
      <c r="E158" t="inlineStr">
        <is>
          <t>VILHELMINA</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61278-2018</t>
        </is>
      </c>
      <c r="B159" s="1" t="n">
        <v>43423</v>
      </c>
      <c r="C159" s="1" t="n">
        <v>45351</v>
      </c>
      <c r="D159" t="inlineStr">
        <is>
          <t>VÄSTERBOTTENS LÄN</t>
        </is>
      </c>
      <c r="E159" t="inlineStr">
        <is>
          <t>VILHELMINA</t>
        </is>
      </c>
      <c r="F159" t="inlineStr">
        <is>
          <t>SCA</t>
        </is>
      </c>
      <c r="G159" t="n">
        <v>4.6</v>
      </c>
      <c r="H159" t="n">
        <v>0</v>
      </c>
      <c r="I159" t="n">
        <v>0</v>
      </c>
      <c r="J159" t="n">
        <v>0</v>
      </c>
      <c r="K159" t="n">
        <v>0</v>
      </c>
      <c r="L159" t="n">
        <v>0</v>
      </c>
      <c r="M159" t="n">
        <v>0</v>
      </c>
      <c r="N159" t="n">
        <v>0</v>
      </c>
      <c r="O159" t="n">
        <v>0</v>
      </c>
      <c r="P159" t="n">
        <v>0</v>
      </c>
      <c r="Q159" t="n">
        <v>0</v>
      </c>
      <c r="R159" s="2" t="inlineStr"/>
    </row>
    <row r="160" ht="15" customHeight="1">
      <c r="A160" t="inlineStr">
        <is>
          <t>A 67303-2018</t>
        </is>
      </c>
      <c r="B160" s="1" t="n">
        <v>43432</v>
      </c>
      <c r="C160" s="1" t="n">
        <v>45351</v>
      </c>
      <c r="D160" t="inlineStr">
        <is>
          <t>VÄSTERBOTTENS LÄN</t>
        </is>
      </c>
      <c r="E160" t="inlineStr">
        <is>
          <t>VILHELMINA</t>
        </is>
      </c>
      <c r="F160" t="inlineStr">
        <is>
          <t>Allmännings- och besparingsskogar</t>
        </is>
      </c>
      <c r="G160" t="n">
        <v>21.4</v>
      </c>
      <c r="H160" t="n">
        <v>0</v>
      </c>
      <c r="I160" t="n">
        <v>0</v>
      </c>
      <c r="J160" t="n">
        <v>0</v>
      </c>
      <c r="K160" t="n">
        <v>0</v>
      </c>
      <c r="L160" t="n">
        <v>0</v>
      </c>
      <c r="M160" t="n">
        <v>0</v>
      </c>
      <c r="N160" t="n">
        <v>0</v>
      </c>
      <c r="O160" t="n">
        <v>0</v>
      </c>
      <c r="P160" t="n">
        <v>0</v>
      </c>
      <c r="Q160" t="n">
        <v>0</v>
      </c>
      <c r="R160" s="2" t="inlineStr"/>
    </row>
    <row r="161" ht="15" customHeight="1">
      <c r="A161" t="inlineStr">
        <is>
          <t>A 67361-2018</t>
        </is>
      </c>
      <c r="B161" s="1" t="n">
        <v>43432</v>
      </c>
      <c r="C161" s="1" t="n">
        <v>45351</v>
      </c>
      <c r="D161" t="inlineStr">
        <is>
          <t>VÄSTERBOTTENS LÄN</t>
        </is>
      </c>
      <c r="E161" t="inlineStr">
        <is>
          <t>VILHELMINA</t>
        </is>
      </c>
      <c r="F161" t="inlineStr">
        <is>
          <t>Allmännings- och besparingsskogar</t>
        </is>
      </c>
      <c r="G161" t="n">
        <v>25.1</v>
      </c>
      <c r="H161" t="n">
        <v>0</v>
      </c>
      <c r="I161" t="n">
        <v>0</v>
      </c>
      <c r="J161" t="n">
        <v>0</v>
      </c>
      <c r="K161" t="n">
        <v>0</v>
      </c>
      <c r="L161" t="n">
        <v>0</v>
      </c>
      <c r="M161" t="n">
        <v>0</v>
      </c>
      <c r="N161" t="n">
        <v>0</v>
      </c>
      <c r="O161" t="n">
        <v>0</v>
      </c>
      <c r="P161" t="n">
        <v>0</v>
      </c>
      <c r="Q161" t="n">
        <v>0</v>
      </c>
      <c r="R161" s="2" t="inlineStr"/>
    </row>
    <row r="162" ht="15" customHeight="1">
      <c r="A162" t="inlineStr">
        <is>
          <t>A 65303-2018</t>
        </is>
      </c>
      <c r="B162" s="1" t="n">
        <v>43432</v>
      </c>
      <c r="C162" s="1" t="n">
        <v>45351</v>
      </c>
      <c r="D162" t="inlineStr">
        <is>
          <t>VÄSTERBOTTENS LÄN</t>
        </is>
      </c>
      <c r="E162" t="inlineStr">
        <is>
          <t>VILHELMINA</t>
        </is>
      </c>
      <c r="G162" t="n">
        <v>1.8</v>
      </c>
      <c r="H162" t="n">
        <v>0</v>
      </c>
      <c r="I162" t="n">
        <v>0</v>
      </c>
      <c r="J162" t="n">
        <v>0</v>
      </c>
      <c r="K162" t="n">
        <v>0</v>
      </c>
      <c r="L162" t="n">
        <v>0</v>
      </c>
      <c r="M162" t="n">
        <v>0</v>
      </c>
      <c r="N162" t="n">
        <v>0</v>
      </c>
      <c r="O162" t="n">
        <v>0</v>
      </c>
      <c r="P162" t="n">
        <v>0</v>
      </c>
      <c r="Q162" t="n">
        <v>0</v>
      </c>
      <c r="R162" s="2" t="inlineStr"/>
    </row>
    <row r="163" ht="15" customHeight="1">
      <c r="A163" t="inlineStr">
        <is>
          <t>A 67381-2018</t>
        </is>
      </c>
      <c r="B163" s="1" t="n">
        <v>43432</v>
      </c>
      <c r="C163" s="1" t="n">
        <v>45351</v>
      </c>
      <c r="D163" t="inlineStr">
        <is>
          <t>VÄSTERBOTTENS LÄN</t>
        </is>
      </c>
      <c r="E163" t="inlineStr">
        <is>
          <t>VILHELMINA</t>
        </is>
      </c>
      <c r="F163" t="inlineStr">
        <is>
          <t>Allmännings- och besparingsskogar</t>
        </is>
      </c>
      <c r="G163" t="n">
        <v>11.8</v>
      </c>
      <c r="H163" t="n">
        <v>0</v>
      </c>
      <c r="I163" t="n">
        <v>0</v>
      </c>
      <c r="J163" t="n">
        <v>0</v>
      </c>
      <c r="K163" t="n">
        <v>0</v>
      </c>
      <c r="L163" t="n">
        <v>0</v>
      </c>
      <c r="M163" t="n">
        <v>0</v>
      </c>
      <c r="N163" t="n">
        <v>0</v>
      </c>
      <c r="O163" t="n">
        <v>0</v>
      </c>
      <c r="P163" t="n">
        <v>0</v>
      </c>
      <c r="Q163" t="n">
        <v>0</v>
      </c>
      <c r="R163" s="2" t="inlineStr"/>
    </row>
    <row r="164" ht="15" customHeight="1">
      <c r="A164" t="inlineStr">
        <is>
          <t>A 69053-2018</t>
        </is>
      </c>
      <c r="B164" s="1" t="n">
        <v>43440</v>
      </c>
      <c r="C164" s="1" t="n">
        <v>45351</v>
      </c>
      <c r="D164" t="inlineStr">
        <is>
          <t>VÄSTERBOTTENS LÄN</t>
        </is>
      </c>
      <c r="E164" t="inlineStr">
        <is>
          <t>VILHELMINA</t>
        </is>
      </c>
      <c r="G164" t="n">
        <v>8.1</v>
      </c>
      <c r="H164" t="n">
        <v>0</v>
      </c>
      <c r="I164" t="n">
        <v>0</v>
      </c>
      <c r="J164" t="n">
        <v>0</v>
      </c>
      <c r="K164" t="n">
        <v>0</v>
      </c>
      <c r="L164" t="n">
        <v>0</v>
      </c>
      <c r="M164" t="n">
        <v>0</v>
      </c>
      <c r="N164" t="n">
        <v>0</v>
      </c>
      <c r="O164" t="n">
        <v>0</v>
      </c>
      <c r="P164" t="n">
        <v>0</v>
      </c>
      <c r="Q164" t="n">
        <v>0</v>
      </c>
      <c r="R164" s="2" t="inlineStr"/>
    </row>
    <row r="165" ht="15" customHeight="1">
      <c r="A165" t="inlineStr">
        <is>
          <t>A 69838-2018</t>
        </is>
      </c>
      <c r="B165" s="1" t="n">
        <v>43444</v>
      </c>
      <c r="C165" s="1" t="n">
        <v>45351</v>
      </c>
      <c r="D165" t="inlineStr">
        <is>
          <t>VÄSTERBOTTENS LÄN</t>
        </is>
      </c>
      <c r="E165" t="inlineStr">
        <is>
          <t>VILHELMINA</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70105-2018</t>
        </is>
      </c>
      <c r="B166" s="1" t="n">
        <v>43448</v>
      </c>
      <c r="C166" s="1" t="n">
        <v>45351</v>
      </c>
      <c r="D166" t="inlineStr">
        <is>
          <t>VÄSTERBOTTENS LÄN</t>
        </is>
      </c>
      <c r="E166" t="inlineStr">
        <is>
          <t>VILHELMINA</t>
        </is>
      </c>
      <c r="F166" t="inlineStr">
        <is>
          <t>Sveaskog</t>
        </is>
      </c>
      <c r="G166" t="n">
        <v>5.9</v>
      </c>
      <c r="H166" t="n">
        <v>0</v>
      </c>
      <c r="I166" t="n">
        <v>0</v>
      </c>
      <c r="J166" t="n">
        <v>0</v>
      </c>
      <c r="K166" t="n">
        <v>0</v>
      </c>
      <c r="L166" t="n">
        <v>0</v>
      </c>
      <c r="M166" t="n">
        <v>0</v>
      </c>
      <c r="N166" t="n">
        <v>0</v>
      </c>
      <c r="O166" t="n">
        <v>0</v>
      </c>
      <c r="P166" t="n">
        <v>0</v>
      </c>
      <c r="Q166" t="n">
        <v>0</v>
      </c>
      <c r="R166" s="2" t="inlineStr"/>
    </row>
    <row r="167" ht="15" customHeight="1">
      <c r="A167" t="inlineStr">
        <is>
          <t>A 71446-2018</t>
        </is>
      </c>
      <c r="B167" s="1" t="n">
        <v>43451</v>
      </c>
      <c r="C167" s="1" t="n">
        <v>45351</v>
      </c>
      <c r="D167" t="inlineStr">
        <is>
          <t>VÄSTERBOTTENS LÄN</t>
        </is>
      </c>
      <c r="E167" t="inlineStr">
        <is>
          <t>VILHELMINA</t>
        </is>
      </c>
      <c r="G167" t="n">
        <v>5</v>
      </c>
      <c r="H167" t="n">
        <v>0</v>
      </c>
      <c r="I167" t="n">
        <v>0</v>
      </c>
      <c r="J167" t="n">
        <v>0</v>
      </c>
      <c r="K167" t="n">
        <v>0</v>
      </c>
      <c r="L167" t="n">
        <v>0</v>
      </c>
      <c r="M167" t="n">
        <v>0</v>
      </c>
      <c r="N167" t="n">
        <v>0</v>
      </c>
      <c r="O167" t="n">
        <v>0</v>
      </c>
      <c r="P167" t="n">
        <v>0</v>
      </c>
      <c r="Q167" t="n">
        <v>0</v>
      </c>
      <c r="R167" s="2" t="inlineStr"/>
    </row>
    <row r="168" ht="15" customHeight="1">
      <c r="A168" t="inlineStr">
        <is>
          <t>A 71473-2018</t>
        </is>
      </c>
      <c r="B168" s="1" t="n">
        <v>43453</v>
      </c>
      <c r="C168" s="1" t="n">
        <v>45351</v>
      </c>
      <c r="D168" t="inlineStr">
        <is>
          <t>VÄSTERBOTTENS LÄN</t>
        </is>
      </c>
      <c r="E168" t="inlineStr">
        <is>
          <t>VILHELMINA</t>
        </is>
      </c>
      <c r="G168" t="n">
        <v>39.3</v>
      </c>
      <c r="H168" t="n">
        <v>0</v>
      </c>
      <c r="I168" t="n">
        <v>0</v>
      </c>
      <c r="J168" t="n">
        <v>0</v>
      </c>
      <c r="K168" t="n">
        <v>0</v>
      </c>
      <c r="L168" t="n">
        <v>0</v>
      </c>
      <c r="M168" t="n">
        <v>0</v>
      </c>
      <c r="N168" t="n">
        <v>0</v>
      </c>
      <c r="O168" t="n">
        <v>0</v>
      </c>
      <c r="P168" t="n">
        <v>0</v>
      </c>
      <c r="Q168" t="n">
        <v>0</v>
      </c>
      <c r="R168" s="2" t="inlineStr"/>
    </row>
    <row r="169" ht="15" customHeight="1">
      <c r="A169" t="inlineStr">
        <is>
          <t>A 194-2019</t>
        </is>
      </c>
      <c r="B169" s="1" t="n">
        <v>43467</v>
      </c>
      <c r="C169" s="1" t="n">
        <v>45351</v>
      </c>
      <c r="D169" t="inlineStr">
        <is>
          <t>VÄSTERBOTTENS LÄN</t>
        </is>
      </c>
      <c r="E169" t="inlineStr">
        <is>
          <t>VILHELMINA</t>
        </is>
      </c>
      <c r="G169" t="n">
        <v>2.8</v>
      </c>
      <c r="H169" t="n">
        <v>0</v>
      </c>
      <c r="I169" t="n">
        <v>0</v>
      </c>
      <c r="J169" t="n">
        <v>0</v>
      </c>
      <c r="K169" t="n">
        <v>0</v>
      </c>
      <c r="L169" t="n">
        <v>0</v>
      </c>
      <c r="M169" t="n">
        <v>0</v>
      </c>
      <c r="N169" t="n">
        <v>0</v>
      </c>
      <c r="O169" t="n">
        <v>0</v>
      </c>
      <c r="P169" t="n">
        <v>0</v>
      </c>
      <c r="Q169" t="n">
        <v>0</v>
      </c>
      <c r="R169" s="2" t="inlineStr"/>
    </row>
    <row r="170" ht="15" customHeight="1">
      <c r="A170" t="inlineStr">
        <is>
          <t>A 469-2019</t>
        </is>
      </c>
      <c r="B170" s="1" t="n">
        <v>43468</v>
      </c>
      <c r="C170" s="1" t="n">
        <v>45351</v>
      </c>
      <c r="D170" t="inlineStr">
        <is>
          <t>VÄSTERBOTTENS LÄN</t>
        </is>
      </c>
      <c r="E170" t="inlineStr">
        <is>
          <t>VILHELMINA</t>
        </is>
      </c>
      <c r="G170" t="n">
        <v>2</v>
      </c>
      <c r="H170" t="n">
        <v>0</v>
      </c>
      <c r="I170" t="n">
        <v>0</v>
      </c>
      <c r="J170" t="n">
        <v>0</v>
      </c>
      <c r="K170" t="n">
        <v>0</v>
      </c>
      <c r="L170" t="n">
        <v>0</v>
      </c>
      <c r="M170" t="n">
        <v>0</v>
      </c>
      <c r="N170" t="n">
        <v>0</v>
      </c>
      <c r="O170" t="n">
        <v>0</v>
      </c>
      <c r="P170" t="n">
        <v>0</v>
      </c>
      <c r="Q170" t="n">
        <v>0</v>
      </c>
      <c r="R170" s="2" t="inlineStr"/>
    </row>
    <row r="171" ht="15" customHeight="1">
      <c r="A171" t="inlineStr">
        <is>
          <t>A 1146-2019</t>
        </is>
      </c>
      <c r="B171" s="1" t="n">
        <v>43472</v>
      </c>
      <c r="C171" s="1" t="n">
        <v>45351</v>
      </c>
      <c r="D171" t="inlineStr">
        <is>
          <t>VÄSTERBOTTENS LÄN</t>
        </is>
      </c>
      <c r="E171" t="inlineStr">
        <is>
          <t>VILHELMINA</t>
        </is>
      </c>
      <c r="G171" t="n">
        <v>2.2</v>
      </c>
      <c r="H171" t="n">
        <v>0</v>
      </c>
      <c r="I171" t="n">
        <v>0</v>
      </c>
      <c r="J171" t="n">
        <v>0</v>
      </c>
      <c r="K171" t="n">
        <v>0</v>
      </c>
      <c r="L171" t="n">
        <v>0</v>
      </c>
      <c r="M171" t="n">
        <v>0</v>
      </c>
      <c r="N171" t="n">
        <v>0</v>
      </c>
      <c r="O171" t="n">
        <v>0</v>
      </c>
      <c r="P171" t="n">
        <v>0</v>
      </c>
      <c r="Q171" t="n">
        <v>0</v>
      </c>
      <c r="R171" s="2" t="inlineStr"/>
    </row>
    <row r="172" ht="15" customHeight="1">
      <c r="A172" t="inlineStr">
        <is>
          <t>A 1800-2019</t>
        </is>
      </c>
      <c r="B172" s="1" t="n">
        <v>43472</v>
      </c>
      <c r="C172" s="1" t="n">
        <v>45351</v>
      </c>
      <c r="D172" t="inlineStr">
        <is>
          <t>VÄSTERBOTTENS LÄN</t>
        </is>
      </c>
      <c r="E172" t="inlineStr">
        <is>
          <t>VILHELMINA</t>
        </is>
      </c>
      <c r="G172" t="n">
        <v>0.3</v>
      </c>
      <c r="H172" t="n">
        <v>0</v>
      </c>
      <c r="I172" t="n">
        <v>0</v>
      </c>
      <c r="J172" t="n">
        <v>0</v>
      </c>
      <c r="K172" t="n">
        <v>0</v>
      </c>
      <c r="L172" t="n">
        <v>0</v>
      </c>
      <c r="M172" t="n">
        <v>0</v>
      </c>
      <c r="N172" t="n">
        <v>0</v>
      </c>
      <c r="O172" t="n">
        <v>0</v>
      </c>
      <c r="P172" t="n">
        <v>0</v>
      </c>
      <c r="Q172" t="n">
        <v>0</v>
      </c>
      <c r="R172" s="2" t="inlineStr"/>
    </row>
    <row r="173" ht="15" customHeight="1">
      <c r="A173" t="inlineStr">
        <is>
          <t>A 1134-2019</t>
        </is>
      </c>
      <c r="B173" s="1" t="n">
        <v>43472</v>
      </c>
      <c r="C173" s="1" t="n">
        <v>45351</v>
      </c>
      <c r="D173" t="inlineStr">
        <is>
          <t>VÄSTERBOTTENS LÄN</t>
        </is>
      </c>
      <c r="E173" t="inlineStr">
        <is>
          <t>VILHELMINA</t>
        </is>
      </c>
      <c r="G173" t="n">
        <v>23.7</v>
      </c>
      <c r="H173" t="n">
        <v>0</v>
      </c>
      <c r="I173" t="n">
        <v>0</v>
      </c>
      <c r="J173" t="n">
        <v>0</v>
      </c>
      <c r="K173" t="n">
        <v>0</v>
      </c>
      <c r="L173" t="n">
        <v>0</v>
      </c>
      <c r="M173" t="n">
        <v>0</v>
      </c>
      <c r="N173" t="n">
        <v>0</v>
      </c>
      <c r="O173" t="n">
        <v>0</v>
      </c>
      <c r="P173" t="n">
        <v>0</v>
      </c>
      <c r="Q173" t="n">
        <v>0</v>
      </c>
      <c r="R173" s="2" t="inlineStr"/>
    </row>
    <row r="174" ht="15" customHeight="1">
      <c r="A174" t="inlineStr">
        <is>
          <t>A 1141-2019</t>
        </is>
      </c>
      <c r="B174" s="1" t="n">
        <v>43472</v>
      </c>
      <c r="C174" s="1" t="n">
        <v>45351</v>
      </c>
      <c r="D174" t="inlineStr">
        <is>
          <t>VÄSTERBOTTENS LÄN</t>
        </is>
      </c>
      <c r="E174" t="inlineStr">
        <is>
          <t>VILHELMINA</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2296-2019</t>
        </is>
      </c>
      <c r="B175" s="1" t="n">
        <v>43475</v>
      </c>
      <c r="C175" s="1" t="n">
        <v>45351</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2351-2019</t>
        </is>
      </c>
      <c r="B176" s="1" t="n">
        <v>43476</v>
      </c>
      <c r="C176" s="1" t="n">
        <v>45351</v>
      </c>
      <c r="D176" t="inlineStr">
        <is>
          <t>VÄSTERBOTTENS LÄN</t>
        </is>
      </c>
      <c r="E176" t="inlineStr">
        <is>
          <t>VILHELMINA</t>
        </is>
      </c>
      <c r="G176" t="n">
        <v>0.4</v>
      </c>
      <c r="H176" t="n">
        <v>0</v>
      </c>
      <c r="I176" t="n">
        <v>0</v>
      </c>
      <c r="J176" t="n">
        <v>0</v>
      </c>
      <c r="K176" t="n">
        <v>0</v>
      </c>
      <c r="L176" t="n">
        <v>0</v>
      </c>
      <c r="M176" t="n">
        <v>0</v>
      </c>
      <c r="N176" t="n">
        <v>0</v>
      </c>
      <c r="O176" t="n">
        <v>0</v>
      </c>
      <c r="P176" t="n">
        <v>0</v>
      </c>
      <c r="Q176" t="n">
        <v>0</v>
      </c>
      <c r="R176" s="2" t="inlineStr"/>
    </row>
    <row r="177" ht="15" customHeight="1">
      <c r="A177" t="inlineStr">
        <is>
          <t>A 2596-2019</t>
        </is>
      </c>
      <c r="B177" s="1" t="n">
        <v>43476</v>
      </c>
      <c r="C177" s="1" t="n">
        <v>45351</v>
      </c>
      <c r="D177" t="inlineStr">
        <is>
          <t>VÄSTERBOTTENS LÄN</t>
        </is>
      </c>
      <c r="E177" t="inlineStr">
        <is>
          <t>VILHELMINA</t>
        </is>
      </c>
      <c r="G177" t="n">
        <v>61.9</v>
      </c>
      <c r="H177" t="n">
        <v>0</v>
      </c>
      <c r="I177" t="n">
        <v>0</v>
      </c>
      <c r="J177" t="n">
        <v>0</v>
      </c>
      <c r="K177" t="n">
        <v>0</v>
      </c>
      <c r="L177" t="n">
        <v>0</v>
      </c>
      <c r="M177" t="n">
        <v>0</v>
      </c>
      <c r="N177" t="n">
        <v>0</v>
      </c>
      <c r="O177" t="n">
        <v>0</v>
      </c>
      <c r="P177" t="n">
        <v>0</v>
      </c>
      <c r="Q177" t="n">
        <v>0</v>
      </c>
      <c r="R177" s="2" t="inlineStr"/>
    </row>
    <row r="178" ht="15" customHeight="1">
      <c r="A178" t="inlineStr">
        <is>
          <t>A 3094-2019</t>
        </is>
      </c>
      <c r="B178" s="1" t="n">
        <v>43479</v>
      </c>
      <c r="C178" s="1" t="n">
        <v>45351</v>
      </c>
      <c r="D178" t="inlineStr">
        <is>
          <t>VÄSTERBOTTENS LÄN</t>
        </is>
      </c>
      <c r="E178" t="inlineStr">
        <is>
          <t>VILHELMINA</t>
        </is>
      </c>
      <c r="G178" t="n">
        <v>39.5</v>
      </c>
      <c r="H178" t="n">
        <v>0</v>
      </c>
      <c r="I178" t="n">
        <v>0</v>
      </c>
      <c r="J178" t="n">
        <v>0</v>
      </c>
      <c r="K178" t="n">
        <v>0</v>
      </c>
      <c r="L178" t="n">
        <v>0</v>
      </c>
      <c r="M178" t="n">
        <v>0</v>
      </c>
      <c r="N178" t="n">
        <v>0</v>
      </c>
      <c r="O178" t="n">
        <v>0</v>
      </c>
      <c r="P178" t="n">
        <v>0</v>
      </c>
      <c r="Q178" t="n">
        <v>0</v>
      </c>
      <c r="R178" s="2" t="inlineStr"/>
    </row>
    <row r="179" ht="15" customHeight="1">
      <c r="A179" t="inlineStr">
        <is>
          <t>A 3394-2019</t>
        </is>
      </c>
      <c r="B179" s="1" t="n">
        <v>43480</v>
      </c>
      <c r="C179" s="1" t="n">
        <v>45351</v>
      </c>
      <c r="D179" t="inlineStr">
        <is>
          <t>VÄSTERBOTTENS LÄN</t>
        </is>
      </c>
      <c r="E179" t="inlineStr">
        <is>
          <t>VILHELMINA</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3396-2019</t>
        </is>
      </c>
      <c r="B180" s="1" t="n">
        <v>43480</v>
      </c>
      <c r="C180" s="1" t="n">
        <v>45351</v>
      </c>
      <c r="D180" t="inlineStr">
        <is>
          <t>VÄSTERBOTTENS LÄN</t>
        </is>
      </c>
      <c r="E180" t="inlineStr">
        <is>
          <t>VILHELMINA</t>
        </is>
      </c>
      <c r="F180" t="inlineStr">
        <is>
          <t>SCA</t>
        </is>
      </c>
      <c r="G180" t="n">
        <v>7.3</v>
      </c>
      <c r="H180" t="n">
        <v>0</v>
      </c>
      <c r="I180" t="n">
        <v>0</v>
      </c>
      <c r="J180" t="n">
        <v>0</v>
      </c>
      <c r="K180" t="n">
        <v>0</v>
      </c>
      <c r="L180" t="n">
        <v>0</v>
      </c>
      <c r="M180" t="n">
        <v>0</v>
      </c>
      <c r="N180" t="n">
        <v>0</v>
      </c>
      <c r="O180" t="n">
        <v>0</v>
      </c>
      <c r="P180" t="n">
        <v>0</v>
      </c>
      <c r="Q180" t="n">
        <v>0</v>
      </c>
      <c r="R180" s="2" t="inlineStr"/>
    </row>
    <row r="181" ht="15" customHeight="1">
      <c r="A181" t="inlineStr">
        <is>
          <t>A 3395-2019</t>
        </is>
      </c>
      <c r="B181" s="1" t="n">
        <v>43480</v>
      </c>
      <c r="C181" s="1" t="n">
        <v>45351</v>
      </c>
      <c r="D181" t="inlineStr">
        <is>
          <t>VÄSTERBOTTENS LÄN</t>
        </is>
      </c>
      <c r="E181" t="inlineStr">
        <is>
          <t>VILHELMINA</t>
        </is>
      </c>
      <c r="F181" t="inlineStr">
        <is>
          <t>SCA</t>
        </is>
      </c>
      <c r="G181" t="n">
        <v>5.8</v>
      </c>
      <c r="H181" t="n">
        <v>0</v>
      </c>
      <c r="I181" t="n">
        <v>0</v>
      </c>
      <c r="J181" t="n">
        <v>0</v>
      </c>
      <c r="K181" t="n">
        <v>0</v>
      </c>
      <c r="L181" t="n">
        <v>0</v>
      </c>
      <c r="M181" t="n">
        <v>0</v>
      </c>
      <c r="N181" t="n">
        <v>0</v>
      </c>
      <c r="O181" t="n">
        <v>0</v>
      </c>
      <c r="P181" t="n">
        <v>0</v>
      </c>
      <c r="Q181" t="n">
        <v>0</v>
      </c>
      <c r="R181" s="2" t="inlineStr"/>
    </row>
    <row r="182" ht="15" customHeight="1">
      <c r="A182" t="inlineStr">
        <is>
          <t>A 5128-2019</t>
        </is>
      </c>
      <c r="B182" s="1" t="n">
        <v>43487</v>
      </c>
      <c r="C182" s="1" t="n">
        <v>45351</v>
      </c>
      <c r="D182" t="inlineStr">
        <is>
          <t>VÄSTERBOTTENS LÄN</t>
        </is>
      </c>
      <c r="E182" t="inlineStr">
        <is>
          <t>VILHELMINA</t>
        </is>
      </c>
      <c r="G182" t="n">
        <v>4.1</v>
      </c>
      <c r="H182" t="n">
        <v>0</v>
      </c>
      <c r="I182" t="n">
        <v>0</v>
      </c>
      <c r="J182" t="n">
        <v>0</v>
      </c>
      <c r="K182" t="n">
        <v>0</v>
      </c>
      <c r="L182" t="n">
        <v>0</v>
      </c>
      <c r="M182" t="n">
        <v>0</v>
      </c>
      <c r="N182" t="n">
        <v>0</v>
      </c>
      <c r="O182" t="n">
        <v>0</v>
      </c>
      <c r="P182" t="n">
        <v>0</v>
      </c>
      <c r="Q182" t="n">
        <v>0</v>
      </c>
      <c r="R182" s="2" t="inlineStr"/>
    </row>
    <row r="183" ht="15" customHeight="1">
      <c r="A183" t="inlineStr">
        <is>
          <t>A 7359-2019</t>
        </is>
      </c>
      <c r="B183" s="1" t="n">
        <v>43496</v>
      </c>
      <c r="C183" s="1" t="n">
        <v>45351</v>
      </c>
      <c r="D183" t="inlineStr">
        <is>
          <t>VÄSTERBOTTENS LÄN</t>
        </is>
      </c>
      <c r="E183" t="inlineStr">
        <is>
          <t>VILHELMINA</t>
        </is>
      </c>
      <c r="G183" t="n">
        <v>1.5</v>
      </c>
      <c r="H183" t="n">
        <v>0</v>
      </c>
      <c r="I183" t="n">
        <v>0</v>
      </c>
      <c r="J183" t="n">
        <v>0</v>
      </c>
      <c r="K183" t="n">
        <v>0</v>
      </c>
      <c r="L183" t="n">
        <v>0</v>
      </c>
      <c r="M183" t="n">
        <v>0</v>
      </c>
      <c r="N183" t="n">
        <v>0</v>
      </c>
      <c r="O183" t="n">
        <v>0</v>
      </c>
      <c r="P183" t="n">
        <v>0</v>
      </c>
      <c r="Q183" t="n">
        <v>0</v>
      </c>
      <c r="R183" s="2" t="inlineStr"/>
    </row>
    <row r="184" ht="15" customHeight="1">
      <c r="A184" t="inlineStr">
        <is>
          <t>A 7475-2019</t>
        </is>
      </c>
      <c r="B184" s="1" t="n">
        <v>43497</v>
      </c>
      <c r="C184" s="1" t="n">
        <v>45351</v>
      </c>
      <c r="D184" t="inlineStr">
        <is>
          <t>VÄSTERBOTTENS LÄN</t>
        </is>
      </c>
      <c r="E184" t="inlineStr">
        <is>
          <t>VILHELMINA</t>
        </is>
      </c>
      <c r="G184" t="n">
        <v>0.3</v>
      </c>
      <c r="H184" t="n">
        <v>0</v>
      </c>
      <c r="I184" t="n">
        <v>0</v>
      </c>
      <c r="J184" t="n">
        <v>0</v>
      </c>
      <c r="K184" t="n">
        <v>0</v>
      </c>
      <c r="L184" t="n">
        <v>0</v>
      </c>
      <c r="M184" t="n">
        <v>0</v>
      </c>
      <c r="N184" t="n">
        <v>0</v>
      </c>
      <c r="O184" t="n">
        <v>0</v>
      </c>
      <c r="P184" t="n">
        <v>0</v>
      </c>
      <c r="Q184" t="n">
        <v>0</v>
      </c>
      <c r="R184" s="2" t="inlineStr"/>
    </row>
    <row r="185" ht="15" customHeight="1">
      <c r="A185" t="inlineStr">
        <is>
          <t>A 8516-2019</t>
        </is>
      </c>
      <c r="B185" s="1" t="n">
        <v>43500</v>
      </c>
      <c r="C185" s="1" t="n">
        <v>45351</v>
      </c>
      <c r="D185" t="inlineStr">
        <is>
          <t>VÄSTERBOTTENS LÄN</t>
        </is>
      </c>
      <c r="E185" t="inlineStr">
        <is>
          <t>VILHELMINA</t>
        </is>
      </c>
      <c r="G185" t="n">
        <v>1</v>
      </c>
      <c r="H185" t="n">
        <v>0</v>
      </c>
      <c r="I185" t="n">
        <v>0</v>
      </c>
      <c r="J185" t="n">
        <v>0</v>
      </c>
      <c r="K185" t="n">
        <v>0</v>
      </c>
      <c r="L185" t="n">
        <v>0</v>
      </c>
      <c r="M185" t="n">
        <v>0</v>
      </c>
      <c r="N185" t="n">
        <v>0</v>
      </c>
      <c r="O185" t="n">
        <v>0</v>
      </c>
      <c r="P185" t="n">
        <v>0</v>
      </c>
      <c r="Q185" t="n">
        <v>0</v>
      </c>
      <c r="R185" s="2" t="inlineStr"/>
    </row>
    <row r="186" ht="15" customHeight="1">
      <c r="A186" t="inlineStr">
        <is>
          <t>A 8241-2019</t>
        </is>
      </c>
      <c r="B186" s="1" t="n">
        <v>43501</v>
      </c>
      <c r="C186" s="1" t="n">
        <v>45351</v>
      </c>
      <c r="D186" t="inlineStr">
        <is>
          <t>VÄSTERBOTTENS LÄN</t>
        </is>
      </c>
      <c r="E186" t="inlineStr">
        <is>
          <t>VILHELMINA</t>
        </is>
      </c>
      <c r="G186" t="n">
        <v>2.8</v>
      </c>
      <c r="H186" t="n">
        <v>0</v>
      </c>
      <c r="I186" t="n">
        <v>0</v>
      </c>
      <c r="J186" t="n">
        <v>0</v>
      </c>
      <c r="K186" t="n">
        <v>0</v>
      </c>
      <c r="L186" t="n">
        <v>0</v>
      </c>
      <c r="M186" t="n">
        <v>0</v>
      </c>
      <c r="N186" t="n">
        <v>0</v>
      </c>
      <c r="O186" t="n">
        <v>0</v>
      </c>
      <c r="P186" t="n">
        <v>0</v>
      </c>
      <c r="Q186" t="n">
        <v>0</v>
      </c>
      <c r="R186" s="2" t="inlineStr"/>
    </row>
    <row r="187" ht="15" customHeight="1">
      <c r="A187" t="inlineStr">
        <is>
          <t>A 8814-2019</t>
        </is>
      </c>
      <c r="B187" s="1" t="n">
        <v>43503</v>
      </c>
      <c r="C187" s="1" t="n">
        <v>45351</v>
      </c>
      <c r="D187" t="inlineStr">
        <is>
          <t>VÄSTERBOTTENS LÄN</t>
        </is>
      </c>
      <c r="E187" t="inlineStr">
        <is>
          <t>VILHELMINA</t>
        </is>
      </c>
      <c r="G187" t="n">
        <v>3.8</v>
      </c>
      <c r="H187" t="n">
        <v>0</v>
      </c>
      <c r="I187" t="n">
        <v>0</v>
      </c>
      <c r="J187" t="n">
        <v>0</v>
      </c>
      <c r="K187" t="n">
        <v>0</v>
      </c>
      <c r="L187" t="n">
        <v>0</v>
      </c>
      <c r="M187" t="n">
        <v>0</v>
      </c>
      <c r="N187" t="n">
        <v>0</v>
      </c>
      <c r="O187" t="n">
        <v>0</v>
      </c>
      <c r="P187" t="n">
        <v>0</v>
      </c>
      <c r="Q187" t="n">
        <v>0</v>
      </c>
      <c r="R187" s="2" t="inlineStr"/>
    </row>
    <row r="188" ht="15" customHeight="1">
      <c r="A188" t="inlineStr">
        <is>
          <t>A 9491-2019</t>
        </is>
      </c>
      <c r="B188" s="1" t="n">
        <v>43507</v>
      </c>
      <c r="C188" s="1" t="n">
        <v>45351</v>
      </c>
      <c r="D188" t="inlineStr">
        <is>
          <t>VÄSTERBOTTENS LÄN</t>
        </is>
      </c>
      <c r="E188" t="inlineStr">
        <is>
          <t>VILHELMINA</t>
        </is>
      </c>
      <c r="G188" t="n">
        <v>11.2</v>
      </c>
      <c r="H188" t="n">
        <v>0</v>
      </c>
      <c r="I188" t="n">
        <v>0</v>
      </c>
      <c r="J188" t="n">
        <v>0</v>
      </c>
      <c r="K188" t="n">
        <v>0</v>
      </c>
      <c r="L188" t="n">
        <v>0</v>
      </c>
      <c r="M188" t="n">
        <v>0</v>
      </c>
      <c r="N188" t="n">
        <v>0</v>
      </c>
      <c r="O188" t="n">
        <v>0</v>
      </c>
      <c r="P188" t="n">
        <v>0</v>
      </c>
      <c r="Q188" t="n">
        <v>0</v>
      </c>
      <c r="R188" s="2" t="inlineStr"/>
    </row>
    <row r="189" ht="15" customHeight="1">
      <c r="A189" t="inlineStr">
        <is>
          <t>A 9984-2019</t>
        </is>
      </c>
      <c r="B189" s="1" t="n">
        <v>43509</v>
      </c>
      <c r="C189" s="1" t="n">
        <v>45351</v>
      </c>
      <c r="D189" t="inlineStr">
        <is>
          <t>VÄSTERBOTTENS LÄN</t>
        </is>
      </c>
      <c r="E189" t="inlineStr">
        <is>
          <t>VILHELMINA</t>
        </is>
      </c>
      <c r="G189" t="n">
        <v>21.7</v>
      </c>
      <c r="H189" t="n">
        <v>0</v>
      </c>
      <c r="I189" t="n">
        <v>0</v>
      </c>
      <c r="J189" t="n">
        <v>0</v>
      </c>
      <c r="K189" t="n">
        <v>0</v>
      </c>
      <c r="L189" t="n">
        <v>0</v>
      </c>
      <c r="M189" t="n">
        <v>0</v>
      </c>
      <c r="N189" t="n">
        <v>0</v>
      </c>
      <c r="O189" t="n">
        <v>0</v>
      </c>
      <c r="P189" t="n">
        <v>0</v>
      </c>
      <c r="Q189" t="n">
        <v>0</v>
      </c>
      <c r="R189" s="2" t="inlineStr"/>
    </row>
    <row r="190" ht="15" customHeight="1">
      <c r="A190" t="inlineStr">
        <is>
          <t>A 9983-2019</t>
        </is>
      </c>
      <c r="B190" s="1" t="n">
        <v>43509</v>
      </c>
      <c r="C190" s="1" t="n">
        <v>45351</v>
      </c>
      <c r="D190" t="inlineStr">
        <is>
          <t>VÄSTERBOTTENS LÄN</t>
        </is>
      </c>
      <c r="E190" t="inlineStr">
        <is>
          <t>VILHELMINA</t>
        </is>
      </c>
      <c r="G190" t="n">
        <v>20.1</v>
      </c>
      <c r="H190" t="n">
        <v>0</v>
      </c>
      <c r="I190" t="n">
        <v>0</v>
      </c>
      <c r="J190" t="n">
        <v>0</v>
      </c>
      <c r="K190" t="n">
        <v>0</v>
      </c>
      <c r="L190" t="n">
        <v>0</v>
      </c>
      <c r="M190" t="n">
        <v>0</v>
      </c>
      <c r="N190" t="n">
        <v>0</v>
      </c>
      <c r="O190" t="n">
        <v>0</v>
      </c>
      <c r="P190" t="n">
        <v>0</v>
      </c>
      <c r="Q190" t="n">
        <v>0</v>
      </c>
      <c r="R190" s="2" t="inlineStr"/>
    </row>
    <row r="191" ht="15" customHeight="1">
      <c r="A191" t="inlineStr">
        <is>
          <t>A 9988-2019</t>
        </is>
      </c>
      <c r="B191" s="1" t="n">
        <v>43509</v>
      </c>
      <c r="C191" s="1" t="n">
        <v>45351</v>
      </c>
      <c r="D191" t="inlineStr">
        <is>
          <t>VÄSTERBOTTENS LÄN</t>
        </is>
      </c>
      <c r="E191" t="inlineStr">
        <is>
          <t>VILHELMINA</t>
        </is>
      </c>
      <c r="G191" t="n">
        <v>20.4</v>
      </c>
      <c r="H191" t="n">
        <v>0</v>
      </c>
      <c r="I191" t="n">
        <v>0</v>
      </c>
      <c r="J191" t="n">
        <v>0</v>
      </c>
      <c r="K191" t="n">
        <v>0</v>
      </c>
      <c r="L191" t="n">
        <v>0</v>
      </c>
      <c r="M191" t="n">
        <v>0</v>
      </c>
      <c r="N191" t="n">
        <v>0</v>
      </c>
      <c r="O191" t="n">
        <v>0</v>
      </c>
      <c r="P191" t="n">
        <v>0</v>
      </c>
      <c r="Q191" t="n">
        <v>0</v>
      </c>
      <c r="R191" s="2" t="inlineStr"/>
    </row>
    <row r="192" ht="15" customHeight="1">
      <c r="A192" t="inlineStr">
        <is>
          <t>A 9985-2019</t>
        </is>
      </c>
      <c r="B192" s="1" t="n">
        <v>43509</v>
      </c>
      <c r="C192" s="1" t="n">
        <v>45351</v>
      </c>
      <c r="D192" t="inlineStr">
        <is>
          <t>VÄSTERBOTTENS LÄN</t>
        </is>
      </c>
      <c r="E192" t="inlineStr">
        <is>
          <t>VILHELMINA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12290-2019</t>
        </is>
      </c>
      <c r="B193" s="1" t="n">
        <v>43523</v>
      </c>
      <c r="C193" s="1" t="n">
        <v>45351</v>
      </c>
      <c r="D193" t="inlineStr">
        <is>
          <t>VÄSTERBOTTENS LÄN</t>
        </is>
      </c>
      <c r="E193" t="inlineStr">
        <is>
          <t>VILHELMINA</t>
        </is>
      </c>
      <c r="G193" t="n">
        <v>34.7</v>
      </c>
      <c r="H193" t="n">
        <v>0</v>
      </c>
      <c r="I193" t="n">
        <v>0</v>
      </c>
      <c r="J193" t="n">
        <v>0</v>
      </c>
      <c r="K193" t="n">
        <v>0</v>
      </c>
      <c r="L193" t="n">
        <v>0</v>
      </c>
      <c r="M193" t="n">
        <v>0</v>
      </c>
      <c r="N193" t="n">
        <v>0</v>
      </c>
      <c r="O193" t="n">
        <v>0</v>
      </c>
      <c r="P193" t="n">
        <v>0</v>
      </c>
      <c r="Q193" t="n">
        <v>0</v>
      </c>
      <c r="R193" s="2" t="inlineStr"/>
    </row>
    <row r="194" ht="15" customHeight="1">
      <c r="A194" t="inlineStr">
        <is>
          <t>A 12527-2019</t>
        </is>
      </c>
      <c r="B194" s="1" t="n">
        <v>43523</v>
      </c>
      <c r="C194" s="1" t="n">
        <v>45351</v>
      </c>
      <c r="D194" t="inlineStr">
        <is>
          <t>VÄSTERBOTTENS LÄN</t>
        </is>
      </c>
      <c r="E194" t="inlineStr">
        <is>
          <t>VILHELMINA</t>
        </is>
      </c>
      <c r="F194" t="inlineStr">
        <is>
          <t>Allmännings- och besparingsskogar</t>
        </is>
      </c>
      <c r="G194" t="n">
        <v>20</v>
      </c>
      <c r="H194" t="n">
        <v>0</v>
      </c>
      <c r="I194" t="n">
        <v>0</v>
      </c>
      <c r="J194" t="n">
        <v>0</v>
      </c>
      <c r="K194" t="n">
        <v>0</v>
      </c>
      <c r="L194" t="n">
        <v>0</v>
      </c>
      <c r="M194" t="n">
        <v>0</v>
      </c>
      <c r="N194" t="n">
        <v>0</v>
      </c>
      <c r="O194" t="n">
        <v>0</v>
      </c>
      <c r="P194" t="n">
        <v>0</v>
      </c>
      <c r="Q194" t="n">
        <v>0</v>
      </c>
      <c r="R194" s="2" t="inlineStr"/>
    </row>
    <row r="195" ht="15" customHeight="1">
      <c r="A195" t="inlineStr">
        <is>
          <t>A 12520-2019</t>
        </is>
      </c>
      <c r="B195" s="1" t="n">
        <v>43523</v>
      </c>
      <c r="C195" s="1" t="n">
        <v>45351</v>
      </c>
      <c r="D195" t="inlineStr">
        <is>
          <t>VÄSTERBOTTENS LÄN</t>
        </is>
      </c>
      <c r="E195" t="inlineStr">
        <is>
          <t>VILHELMINA</t>
        </is>
      </c>
      <c r="F195" t="inlineStr">
        <is>
          <t>Allmännings- och besparingsskogar</t>
        </is>
      </c>
      <c r="G195" t="n">
        <v>6.1</v>
      </c>
      <c r="H195" t="n">
        <v>0</v>
      </c>
      <c r="I195" t="n">
        <v>0</v>
      </c>
      <c r="J195" t="n">
        <v>0</v>
      </c>
      <c r="K195" t="n">
        <v>0</v>
      </c>
      <c r="L195" t="n">
        <v>0</v>
      </c>
      <c r="M195" t="n">
        <v>0</v>
      </c>
      <c r="N195" t="n">
        <v>0</v>
      </c>
      <c r="O195" t="n">
        <v>0</v>
      </c>
      <c r="P195" t="n">
        <v>0</v>
      </c>
      <c r="Q195" t="n">
        <v>0</v>
      </c>
      <c r="R195" s="2" t="inlineStr"/>
    </row>
    <row r="196" ht="15" customHeight="1">
      <c r="A196" t="inlineStr">
        <is>
          <t>A 12308-2019</t>
        </is>
      </c>
      <c r="B196" s="1" t="n">
        <v>43523</v>
      </c>
      <c r="C196" s="1" t="n">
        <v>45351</v>
      </c>
      <c r="D196" t="inlineStr">
        <is>
          <t>VÄSTERBOTTENS LÄN</t>
        </is>
      </c>
      <c r="E196" t="inlineStr">
        <is>
          <t>VILHELMINA</t>
        </is>
      </c>
      <c r="G196" t="n">
        <v>10.3</v>
      </c>
      <c r="H196" t="n">
        <v>0</v>
      </c>
      <c r="I196" t="n">
        <v>0</v>
      </c>
      <c r="J196" t="n">
        <v>0</v>
      </c>
      <c r="K196" t="n">
        <v>0</v>
      </c>
      <c r="L196" t="n">
        <v>0</v>
      </c>
      <c r="M196" t="n">
        <v>0</v>
      </c>
      <c r="N196" t="n">
        <v>0</v>
      </c>
      <c r="O196" t="n">
        <v>0</v>
      </c>
      <c r="P196" t="n">
        <v>0</v>
      </c>
      <c r="Q196" t="n">
        <v>0</v>
      </c>
      <c r="R196" s="2" t="inlineStr"/>
    </row>
    <row r="197" ht="15" customHeight="1">
      <c r="A197" t="inlineStr">
        <is>
          <t>A 15664-2019</t>
        </is>
      </c>
      <c r="B197" s="1" t="n">
        <v>43542</v>
      </c>
      <c r="C197" s="1" t="n">
        <v>45351</v>
      </c>
      <c r="D197" t="inlineStr">
        <is>
          <t>VÄSTERBOTTENS LÄN</t>
        </is>
      </c>
      <c r="E197" t="inlineStr">
        <is>
          <t>VILHELMINA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15666-2019</t>
        </is>
      </c>
      <c r="B198" s="1" t="n">
        <v>43542</v>
      </c>
      <c r="C198" s="1" t="n">
        <v>45351</v>
      </c>
      <c r="D198" t="inlineStr">
        <is>
          <t>VÄSTERBOTTENS LÄN</t>
        </is>
      </c>
      <c r="E198" t="inlineStr">
        <is>
          <t>VILHELMINA</t>
        </is>
      </c>
      <c r="F198" t="inlineStr">
        <is>
          <t>Allmännings- och besparingsskogar</t>
        </is>
      </c>
      <c r="G198" t="n">
        <v>3.8</v>
      </c>
      <c r="H198" t="n">
        <v>0</v>
      </c>
      <c r="I198" t="n">
        <v>0</v>
      </c>
      <c r="J198" t="n">
        <v>0</v>
      </c>
      <c r="K198" t="n">
        <v>0</v>
      </c>
      <c r="L198" t="n">
        <v>0</v>
      </c>
      <c r="M198" t="n">
        <v>0</v>
      </c>
      <c r="N198" t="n">
        <v>0</v>
      </c>
      <c r="O198" t="n">
        <v>0</v>
      </c>
      <c r="P198" t="n">
        <v>0</v>
      </c>
      <c r="Q198" t="n">
        <v>0</v>
      </c>
      <c r="R198" s="2" t="inlineStr"/>
    </row>
    <row r="199" ht="15" customHeight="1">
      <c r="A199" t="inlineStr">
        <is>
          <t>A 15386-2019</t>
        </is>
      </c>
      <c r="B199" s="1" t="n">
        <v>43542</v>
      </c>
      <c r="C199" s="1" t="n">
        <v>45351</v>
      </c>
      <c r="D199" t="inlineStr">
        <is>
          <t>VÄSTERBOTTENS LÄN</t>
        </is>
      </c>
      <c r="E199" t="inlineStr">
        <is>
          <t>VILHELMINA</t>
        </is>
      </c>
      <c r="G199" t="n">
        <v>5.1</v>
      </c>
      <c r="H199" t="n">
        <v>0</v>
      </c>
      <c r="I199" t="n">
        <v>0</v>
      </c>
      <c r="J199" t="n">
        <v>0</v>
      </c>
      <c r="K199" t="n">
        <v>0</v>
      </c>
      <c r="L199" t="n">
        <v>0</v>
      </c>
      <c r="M199" t="n">
        <v>0</v>
      </c>
      <c r="N199" t="n">
        <v>0</v>
      </c>
      <c r="O199" t="n">
        <v>0</v>
      </c>
      <c r="P199" t="n">
        <v>0</v>
      </c>
      <c r="Q199" t="n">
        <v>0</v>
      </c>
      <c r="R199" s="2" t="inlineStr"/>
    </row>
    <row r="200" ht="15" customHeight="1">
      <c r="A200" t="inlineStr">
        <is>
          <t>A 16364-2019</t>
        </is>
      </c>
      <c r="B200" s="1" t="n">
        <v>43545</v>
      </c>
      <c r="C200" s="1" t="n">
        <v>45351</v>
      </c>
      <c r="D200" t="inlineStr">
        <is>
          <t>VÄSTERBOTTENS LÄN</t>
        </is>
      </c>
      <c r="E200" t="inlineStr">
        <is>
          <t>VILHELMINA</t>
        </is>
      </c>
      <c r="G200" t="n">
        <v>3.2</v>
      </c>
      <c r="H200" t="n">
        <v>0</v>
      </c>
      <c r="I200" t="n">
        <v>0</v>
      </c>
      <c r="J200" t="n">
        <v>0</v>
      </c>
      <c r="K200" t="n">
        <v>0</v>
      </c>
      <c r="L200" t="n">
        <v>0</v>
      </c>
      <c r="M200" t="n">
        <v>0</v>
      </c>
      <c r="N200" t="n">
        <v>0</v>
      </c>
      <c r="O200" t="n">
        <v>0</v>
      </c>
      <c r="P200" t="n">
        <v>0</v>
      </c>
      <c r="Q200" t="n">
        <v>0</v>
      </c>
      <c r="R200" s="2" t="inlineStr"/>
    </row>
    <row r="201" ht="15" customHeight="1">
      <c r="A201" t="inlineStr">
        <is>
          <t>A 16228-2019</t>
        </is>
      </c>
      <c r="B201" s="1" t="n">
        <v>43545</v>
      </c>
      <c r="C201" s="1" t="n">
        <v>45351</v>
      </c>
      <c r="D201" t="inlineStr">
        <is>
          <t>VÄSTERBOTTENS LÄN</t>
        </is>
      </c>
      <c r="E201" t="inlineStr">
        <is>
          <t>VILHELMINA</t>
        </is>
      </c>
      <c r="G201" t="n">
        <v>2</v>
      </c>
      <c r="H201" t="n">
        <v>0</v>
      </c>
      <c r="I201" t="n">
        <v>0</v>
      </c>
      <c r="J201" t="n">
        <v>0</v>
      </c>
      <c r="K201" t="n">
        <v>0</v>
      </c>
      <c r="L201" t="n">
        <v>0</v>
      </c>
      <c r="M201" t="n">
        <v>0</v>
      </c>
      <c r="N201" t="n">
        <v>0</v>
      </c>
      <c r="O201" t="n">
        <v>0</v>
      </c>
      <c r="P201" t="n">
        <v>0</v>
      </c>
      <c r="Q201" t="n">
        <v>0</v>
      </c>
      <c r="R201" s="2" t="inlineStr"/>
    </row>
    <row r="202" ht="15" customHeight="1">
      <c r="A202" t="inlineStr">
        <is>
          <t>A 16366-2019</t>
        </is>
      </c>
      <c r="B202" s="1" t="n">
        <v>43545</v>
      </c>
      <c r="C202" s="1" t="n">
        <v>45351</v>
      </c>
      <c r="D202" t="inlineStr">
        <is>
          <t>VÄSTERBOTTENS LÄN</t>
        </is>
      </c>
      <c r="E202" t="inlineStr">
        <is>
          <t>VILHELMINA</t>
        </is>
      </c>
      <c r="G202" t="n">
        <v>1.4</v>
      </c>
      <c r="H202" t="n">
        <v>0</v>
      </c>
      <c r="I202" t="n">
        <v>0</v>
      </c>
      <c r="J202" t="n">
        <v>0</v>
      </c>
      <c r="K202" t="n">
        <v>0</v>
      </c>
      <c r="L202" t="n">
        <v>0</v>
      </c>
      <c r="M202" t="n">
        <v>0</v>
      </c>
      <c r="N202" t="n">
        <v>0</v>
      </c>
      <c r="O202" t="n">
        <v>0</v>
      </c>
      <c r="P202" t="n">
        <v>0</v>
      </c>
      <c r="Q202" t="n">
        <v>0</v>
      </c>
      <c r="R202" s="2" t="inlineStr"/>
    </row>
    <row r="203" ht="15" customHeight="1">
      <c r="A203" t="inlineStr">
        <is>
          <t>A 18521-2019</t>
        </is>
      </c>
      <c r="B203" s="1" t="n">
        <v>43558</v>
      </c>
      <c r="C203" s="1" t="n">
        <v>45351</v>
      </c>
      <c r="D203" t="inlineStr">
        <is>
          <t>VÄSTERBOTTENS LÄN</t>
        </is>
      </c>
      <c r="E203" t="inlineStr">
        <is>
          <t>VILHELMINA</t>
        </is>
      </c>
      <c r="G203" t="n">
        <v>4.5</v>
      </c>
      <c r="H203" t="n">
        <v>0</v>
      </c>
      <c r="I203" t="n">
        <v>0</v>
      </c>
      <c r="J203" t="n">
        <v>0</v>
      </c>
      <c r="K203" t="n">
        <v>0</v>
      </c>
      <c r="L203" t="n">
        <v>0</v>
      </c>
      <c r="M203" t="n">
        <v>0</v>
      </c>
      <c r="N203" t="n">
        <v>0</v>
      </c>
      <c r="O203" t="n">
        <v>0</v>
      </c>
      <c r="P203" t="n">
        <v>0</v>
      </c>
      <c r="Q203" t="n">
        <v>0</v>
      </c>
      <c r="R203" s="2" t="inlineStr"/>
    </row>
    <row r="204" ht="15" customHeight="1">
      <c r="A204" t="inlineStr">
        <is>
          <t>A 18529-2019</t>
        </is>
      </c>
      <c r="B204" s="1" t="n">
        <v>43559</v>
      </c>
      <c r="C204" s="1" t="n">
        <v>45351</v>
      </c>
      <c r="D204" t="inlineStr">
        <is>
          <t>VÄSTERBOTTENS LÄN</t>
        </is>
      </c>
      <c r="E204" t="inlineStr">
        <is>
          <t>VILHELMINA</t>
        </is>
      </c>
      <c r="F204" t="inlineStr">
        <is>
          <t>Kommuner</t>
        </is>
      </c>
      <c r="G204" t="n">
        <v>3</v>
      </c>
      <c r="H204" t="n">
        <v>0</v>
      </c>
      <c r="I204" t="n">
        <v>0</v>
      </c>
      <c r="J204" t="n">
        <v>0</v>
      </c>
      <c r="K204" t="n">
        <v>0</v>
      </c>
      <c r="L204" t="n">
        <v>0</v>
      </c>
      <c r="M204" t="n">
        <v>0</v>
      </c>
      <c r="N204" t="n">
        <v>0</v>
      </c>
      <c r="O204" t="n">
        <v>0</v>
      </c>
      <c r="P204" t="n">
        <v>0</v>
      </c>
      <c r="Q204" t="n">
        <v>0</v>
      </c>
      <c r="R204" s="2" t="inlineStr"/>
    </row>
    <row r="205" ht="15" customHeight="1">
      <c r="A205" t="inlineStr">
        <is>
          <t>A 18449-2019</t>
        </is>
      </c>
      <c r="B205" s="1" t="n">
        <v>43559</v>
      </c>
      <c r="C205" s="1" t="n">
        <v>45351</v>
      </c>
      <c r="D205" t="inlineStr">
        <is>
          <t>VÄSTERBOTTENS LÄN</t>
        </is>
      </c>
      <c r="E205" t="inlineStr">
        <is>
          <t>VILHELMINA</t>
        </is>
      </c>
      <c r="F205" t="inlineStr">
        <is>
          <t>Kommuner</t>
        </is>
      </c>
      <c r="G205" t="n">
        <v>20.8</v>
      </c>
      <c r="H205" t="n">
        <v>0</v>
      </c>
      <c r="I205" t="n">
        <v>0</v>
      </c>
      <c r="J205" t="n">
        <v>0</v>
      </c>
      <c r="K205" t="n">
        <v>0</v>
      </c>
      <c r="L205" t="n">
        <v>0</v>
      </c>
      <c r="M205" t="n">
        <v>0</v>
      </c>
      <c r="N205" t="n">
        <v>0</v>
      </c>
      <c r="O205" t="n">
        <v>0</v>
      </c>
      <c r="P205" t="n">
        <v>0</v>
      </c>
      <c r="Q205" t="n">
        <v>0</v>
      </c>
      <c r="R205" s="2" t="inlineStr"/>
    </row>
    <row r="206" ht="15" customHeight="1">
      <c r="A206" t="inlineStr">
        <is>
          <t>A 19130-2019</t>
        </is>
      </c>
      <c r="B206" s="1" t="n">
        <v>43564</v>
      </c>
      <c r="C206" s="1" t="n">
        <v>45351</v>
      </c>
      <c r="D206" t="inlineStr">
        <is>
          <t>VÄSTERBOTTENS LÄN</t>
        </is>
      </c>
      <c r="E206" t="inlineStr">
        <is>
          <t>VILHELMINA</t>
        </is>
      </c>
      <c r="G206" t="n">
        <v>5.6</v>
      </c>
      <c r="H206" t="n">
        <v>0</v>
      </c>
      <c r="I206" t="n">
        <v>0</v>
      </c>
      <c r="J206" t="n">
        <v>0</v>
      </c>
      <c r="K206" t="n">
        <v>0</v>
      </c>
      <c r="L206" t="n">
        <v>0</v>
      </c>
      <c r="M206" t="n">
        <v>0</v>
      </c>
      <c r="N206" t="n">
        <v>0</v>
      </c>
      <c r="O206" t="n">
        <v>0</v>
      </c>
      <c r="P206" t="n">
        <v>0</v>
      </c>
      <c r="Q206" t="n">
        <v>0</v>
      </c>
      <c r="R206" s="2" t="inlineStr"/>
    </row>
    <row r="207" ht="15" customHeight="1">
      <c r="A207" t="inlineStr">
        <is>
          <t>A 23278-2019</t>
        </is>
      </c>
      <c r="B207" s="1" t="n">
        <v>43592</v>
      </c>
      <c r="C207" s="1" t="n">
        <v>45351</v>
      </c>
      <c r="D207" t="inlineStr">
        <is>
          <t>VÄSTERBOTTENS LÄN</t>
        </is>
      </c>
      <c r="E207" t="inlineStr">
        <is>
          <t>VILHELMINA</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23277-2019</t>
        </is>
      </c>
      <c r="B208" s="1" t="n">
        <v>43592</v>
      </c>
      <c r="C208" s="1" t="n">
        <v>45351</v>
      </c>
      <c r="D208" t="inlineStr">
        <is>
          <t>VÄSTERBOTTENS LÄN</t>
        </is>
      </c>
      <c r="E208" t="inlineStr">
        <is>
          <t>VILHELMINA</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23724-2019</t>
        </is>
      </c>
      <c r="B209" s="1" t="n">
        <v>43594</v>
      </c>
      <c r="C209" s="1" t="n">
        <v>45351</v>
      </c>
      <c r="D209" t="inlineStr">
        <is>
          <t>VÄSTERBOTTENS LÄN</t>
        </is>
      </c>
      <c r="E209" t="inlineStr">
        <is>
          <t>VILHELMINA</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23723-2019</t>
        </is>
      </c>
      <c r="B210" s="1" t="n">
        <v>43594</v>
      </c>
      <c r="C210" s="1" t="n">
        <v>45351</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26852-2019</t>
        </is>
      </c>
      <c r="B211" s="1" t="n">
        <v>43608</v>
      </c>
      <c r="C211" s="1" t="n">
        <v>45351</v>
      </c>
      <c r="D211" t="inlineStr">
        <is>
          <t>VÄSTERBOTTENS LÄN</t>
        </is>
      </c>
      <c r="E211" t="inlineStr">
        <is>
          <t>VILHELMINA</t>
        </is>
      </c>
      <c r="G211" t="n">
        <v>0.6</v>
      </c>
      <c r="H211" t="n">
        <v>0</v>
      </c>
      <c r="I211" t="n">
        <v>0</v>
      </c>
      <c r="J211" t="n">
        <v>0</v>
      </c>
      <c r="K211" t="n">
        <v>0</v>
      </c>
      <c r="L211" t="n">
        <v>0</v>
      </c>
      <c r="M211" t="n">
        <v>0</v>
      </c>
      <c r="N211" t="n">
        <v>0</v>
      </c>
      <c r="O211" t="n">
        <v>0</v>
      </c>
      <c r="P211" t="n">
        <v>0</v>
      </c>
      <c r="Q211" t="n">
        <v>0</v>
      </c>
      <c r="R211" s="2" t="inlineStr"/>
    </row>
    <row r="212" ht="15" customHeight="1">
      <c r="A212" t="inlineStr">
        <is>
          <t>A 26896-2019</t>
        </is>
      </c>
      <c r="B212" s="1" t="n">
        <v>43608</v>
      </c>
      <c r="C212" s="1" t="n">
        <v>45351</v>
      </c>
      <c r="D212" t="inlineStr">
        <is>
          <t>VÄSTERBOTTENS LÄN</t>
        </is>
      </c>
      <c r="E212" t="inlineStr">
        <is>
          <t>VILHELMINA</t>
        </is>
      </c>
      <c r="G212" t="n">
        <v>3.1</v>
      </c>
      <c r="H212" t="n">
        <v>0</v>
      </c>
      <c r="I212" t="n">
        <v>0</v>
      </c>
      <c r="J212" t="n">
        <v>0</v>
      </c>
      <c r="K212" t="n">
        <v>0</v>
      </c>
      <c r="L212" t="n">
        <v>0</v>
      </c>
      <c r="M212" t="n">
        <v>0</v>
      </c>
      <c r="N212" t="n">
        <v>0</v>
      </c>
      <c r="O212" t="n">
        <v>0</v>
      </c>
      <c r="P212" t="n">
        <v>0</v>
      </c>
      <c r="Q212" t="n">
        <v>0</v>
      </c>
      <c r="R212" s="2" t="inlineStr"/>
    </row>
    <row r="213" ht="15" customHeight="1">
      <c r="A213" t="inlineStr">
        <is>
          <t>A 27075-2019</t>
        </is>
      </c>
      <c r="B213" s="1" t="n">
        <v>43612</v>
      </c>
      <c r="C213" s="1" t="n">
        <v>45351</v>
      </c>
      <c r="D213" t="inlineStr">
        <is>
          <t>VÄSTERBOTTENS LÄN</t>
        </is>
      </c>
      <c r="E213" t="inlineStr">
        <is>
          <t>VILHELMINA</t>
        </is>
      </c>
      <c r="G213" t="n">
        <v>4.3</v>
      </c>
      <c r="H213" t="n">
        <v>0</v>
      </c>
      <c r="I213" t="n">
        <v>0</v>
      </c>
      <c r="J213" t="n">
        <v>0</v>
      </c>
      <c r="K213" t="n">
        <v>0</v>
      </c>
      <c r="L213" t="n">
        <v>0</v>
      </c>
      <c r="M213" t="n">
        <v>0</v>
      </c>
      <c r="N213" t="n">
        <v>0</v>
      </c>
      <c r="O213" t="n">
        <v>0</v>
      </c>
      <c r="P213" t="n">
        <v>0</v>
      </c>
      <c r="Q213" t="n">
        <v>0</v>
      </c>
      <c r="R213" s="2" t="inlineStr"/>
    </row>
    <row r="214" ht="15" customHeight="1">
      <c r="A214" t="inlineStr">
        <is>
          <t>A 26763-2019</t>
        </is>
      </c>
      <c r="B214" s="1" t="n">
        <v>43613</v>
      </c>
      <c r="C214" s="1" t="n">
        <v>45351</v>
      </c>
      <c r="D214" t="inlineStr">
        <is>
          <t>VÄSTERBOTTENS LÄN</t>
        </is>
      </c>
      <c r="E214" t="inlineStr">
        <is>
          <t>VILHELMINA</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27254-2019</t>
        </is>
      </c>
      <c r="B215" s="1" t="n">
        <v>43614</v>
      </c>
      <c r="C215" s="1" t="n">
        <v>45351</v>
      </c>
      <c r="D215" t="inlineStr">
        <is>
          <t>VÄSTERBOTTENS LÄN</t>
        </is>
      </c>
      <c r="E215" t="inlineStr">
        <is>
          <t>VILHELMINA</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27253-2019</t>
        </is>
      </c>
      <c r="B216" s="1" t="n">
        <v>43614</v>
      </c>
      <c r="C216" s="1" t="n">
        <v>45351</v>
      </c>
      <c r="D216" t="inlineStr">
        <is>
          <t>VÄSTERBOTTENS LÄN</t>
        </is>
      </c>
      <c r="E216" t="inlineStr">
        <is>
          <t>VILHELMINA</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31612-2019</t>
        </is>
      </c>
      <c r="B217" s="1" t="n">
        <v>43640</v>
      </c>
      <c r="C217" s="1" t="n">
        <v>45351</v>
      </c>
      <c r="D217" t="inlineStr">
        <is>
          <t>VÄSTERBOTTENS LÄN</t>
        </is>
      </c>
      <c r="E217" t="inlineStr">
        <is>
          <t>VILHELMINA</t>
        </is>
      </c>
      <c r="G217" t="n">
        <v>1.3</v>
      </c>
      <c r="H217" t="n">
        <v>0</v>
      </c>
      <c r="I217" t="n">
        <v>0</v>
      </c>
      <c r="J217" t="n">
        <v>0</v>
      </c>
      <c r="K217" t="n">
        <v>0</v>
      </c>
      <c r="L217" t="n">
        <v>0</v>
      </c>
      <c r="M217" t="n">
        <v>0</v>
      </c>
      <c r="N217" t="n">
        <v>0</v>
      </c>
      <c r="O217" t="n">
        <v>0</v>
      </c>
      <c r="P217" t="n">
        <v>0</v>
      </c>
      <c r="Q217" t="n">
        <v>0</v>
      </c>
      <c r="R217" s="2" t="inlineStr"/>
    </row>
    <row r="218" ht="15" customHeight="1">
      <c r="A218" t="inlineStr">
        <is>
          <t>A 31615-2019</t>
        </is>
      </c>
      <c r="B218" s="1" t="n">
        <v>43640</v>
      </c>
      <c r="C218" s="1" t="n">
        <v>45351</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31610-2019</t>
        </is>
      </c>
      <c r="B219" s="1" t="n">
        <v>43640</v>
      </c>
      <c r="C219" s="1" t="n">
        <v>45351</v>
      </c>
      <c r="D219" t="inlineStr">
        <is>
          <t>VÄSTERBOTTENS LÄN</t>
        </is>
      </c>
      <c r="E219" t="inlineStr">
        <is>
          <t>VILHELMINA</t>
        </is>
      </c>
      <c r="G219" t="n">
        <v>1</v>
      </c>
      <c r="H219" t="n">
        <v>0</v>
      </c>
      <c r="I219" t="n">
        <v>0</v>
      </c>
      <c r="J219" t="n">
        <v>0</v>
      </c>
      <c r="K219" t="n">
        <v>0</v>
      </c>
      <c r="L219" t="n">
        <v>0</v>
      </c>
      <c r="M219" t="n">
        <v>0</v>
      </c>
      <c r="N219" t="n">
        <v>0</v>
      </c>
      <c r="O219" t="n">
        <v>0</v>
      </c>
      <c r="P219" t="n">
        <v>0</v>
      </c>
      <c r="Q219" t="n">
        <v>0</v>
      </c>
      <c r="R219" s="2" t="inlineStr"/>
    </row>
    <row r="220" ht="15" customHeight="1">
      <c r="A220" t="inlineStr">
        <is>
          <t>A 31607-2019</t>
        </is>
      </c>
      <c r="B220" s="1" t="n">
        <v>43640</v>
      </c>
      <c r="C220" s="1" t="n">
        <v>45351</v>
      </c>
      <c r="D220" t="inlineStr">
        <is>
          <t>VÄSTERBOTTENS LÄN</t>
        </is>
      </c>
      <c r="E220" t="inlineStr">
        <is>
          <t>VILHELMINA</t>
        </is>
      </c>
      <c r="G220" t="n">
        <v>0.4</v>
      </c>
      <c r="H220" t="n">
        <v>0</v>
      </c>
      <c r="I220" t="n">
        <v>0</v>
      </c>
      <c r="J220" t="n">
        <v>0</v>
      </c>
      <c r="K220" t="n">
        <v>0</v>
      </c>
      <c r="L220" t="n">
        <v>0</v>
      </c>
      <c r="M220" t="n">
        <v>0</v>
      </c>
      <c r="N220" t="n">
        <v>0</v>
      </c>
      <c r="O220" t="n">
        <v>0</v>
      </c>
      <c r="P220" t="n">
        <v>0</v>
      </c>
      <c r="Q220" t="n">
        <v>0</v>
      </c>
      <c r="R220" s="2" t="inlineStr"/>
    </row>
    <row r="221" ht="15" customHeight="1">
      <c r="A221" t="inlineStr">
        <is>
          <t>A 31845-2019</t>
        </is>
      </c>
      <c r="B221" s="1" t="n">
        <v>43640</v>
      </c>
      <c r="C221" s="1" t="n">
        <v>45351</v>
      </c>
      <c r="D221" t="inlineStr">
        <is>
          <t>VÄSTERBOTTENS LÄN</t>
        </is>
      </c>
      <c r="E221" t="inlineStr">
        <is>
          <t>VILHELMINA</t>
        </is>
      </c>
      <c r="G221" t="n">
        <v>10.9</v>
      </c>
      <c r="H221" t="n">
        <v>0</v>
      </c>
      <c r="I221" t="n">
        <v>0</v>
      </c>
      <c r="J221" t="n">
        <v>0</v>
      </c>
      <c r="K221" t="n">
        <v>0</v>
      </c>
      <c r="L221" t="n">
        <v>0</v>
      </c>
      <c r="M221" t="n">
        <v>0</v>
      </c>
      <c r="N221" t="n">
        <v>0</v>
      </c>
      <c r="O221" t="n">
        <v>0</v>
      </c>
      <c r="P221" t="n">
        <v>0</v>
      </c>
      <c r="Q221" t="n">
        <v>0</v>
      </c>
      <c r="R221" s="2" t="inlineStr"/>
    </row>
    <row r="222" ht="15" customHeight="1">
      <c r="A222" t="inlineStr">
        <is>
          <t>A 31511-2019</t>
        </is>
      </c>
      <c r="B222" s="1" t="n">
        <v>43641</v>
      </c>
      <c r="C222" s="1" t="n">
        <v>45351</v>
      </c>
      <c r="D222" t="inlineStr">
        <is>
          <t>VÄSTERBOTTENS LÄN</t>
        </is>
      </c>
      <c r="E222" t="inlineStr">
        <is>
          <t>VILHELMINA</t>
        </is>
      </c>
      <c r="G222" t="n">
        <v>21.8</v>
      </c>
      <c r="H222" t="n">
        <v>0</v>
      </c>
      <c r="I222" t="n">
        <v>0</v>
      </c>
      <c r="J222" t="n">
        <v>0</v>
      </c>
      <c r="K222" t="n">
        <v>0</v>
      </c>
      <c r="L222" t="n">
        <v>0</v>
      </c>
      <c r="M222" t="n">
        <v>0</v>
      </c>
      <c r="N222" t="n">
        <v>0</v>
      </c>
      <c r="O222" t="n">
        <v>0</v>
      </c>
      <c r="P222" t="n">
        <v>0</v>
      </c>
      <c r="Q222" t="n">
        <v>0</v>
      </c>
      <c r="R222" s="2" t="inlineStr"/>
    </row>
    <row r="223" ht="15" customHeight="1">
      <c r="A223" t="inlineStr">
        <is>
          <t>A 32731-2019</t>
        </is>
      </c>
      <c r="B223" s="1" t="n">
        <v>43648</v>
      </c>
      <c r="C223" s="1" t="n">
        <v>45351</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32787-2019</t>
        </is>
      </c>
      <c r="B224" s="1" t="n">
        <v>43648</v>
      </c>
      <c r="C224" s="1" t="n">
        <v>45351</v>
      </c>
      <c r="D224" t="inlineStr">
        <is>
          <t>VÄSTERBOTTENS LÄN</t>
        </is>
      </c>
      <c r="E224" t="inlineStr">
        <is>
          <t>VILHELMINA</t>
        </is>
      </c>
      <c r="G224" t="n">
        <v>9.4</v>
      </c>
      <c r="H224" t="n">
        <v>0</v>
      </c>
      <c r="I224" t="n">
        <v>0</v>
      </c>
      <c r="J224" t="n">
        <v>0</v>
      </c>
      <c r="K224" t="n">
        <v>0</v>
      </c>
      <c r="L224" t="n">
        <v>0</v>
      </c>
      <c r="M224" t="n">
        <v>0</v>
      </c>
      <c r="N224" t="n">
        <v>0</v>
      </c>
      <c r="O224" t="n">
        <v>0</v>
      </c>
      <c r="P224" t="n">
        <v>0</v>
      </c>
      <c r="Q224" t="n">
        <v>0</v>
      </c>
      <c r="R224" s="2" t="inlineStr"/>
    </row>
    <row r="225" ht="15" customHeight="1">
      <c r="A225" t="inlineStr">
        <is>
          <t>A 34370-2019</t>
        </is>
      </c>
      <c r="B225" s="1" t="n">
        <v>43656</v>
      </c>
      <c r="C225" s="1" t="n">
        <v>45351</v>
      </c>
      <c r="D225" t="inlineStr">
        <is>
          <t>VÄSTERBOTTENS LÄN</t>
        </is>
      </c>
      <c r="E225" t="inlineStr">
        <is>
          <t>VILHELMINA</t>
        </is>
      </c>
      <c r="G225" t="n">
        <v>20.7</v>
      </c>
      <c r="H225" t="n">
        <v>0</v>
      </c>
      <c r="I225" t="n">
        <v>0</v>
      </c>
      <c r="J225" t="n">
        <v>0</v>
      </c>
      <c r="K225" t="n">
        <v>0</v>
      </c>
      <c r="L225" t="n">
        <v>0</v>
      </c>
      <c r="M225" t="n">
        <v>0</v>
      </c>
      <c r="N225" t="n">
        <v>0</v>
      </c>
      <c r="O225" t="n">
        <v>0</v>
      </c>
      <c r="P225" t="n">
        <v>0</v>
      </c>
      <c r="Q225" t="n">
        <v>0</v>
      </c>
      <c r="R225" s="2" t="inlineStr"/>
    </row>
    <row r="226" ht="15" customHeight="1">
      <c r="A226" t="inlineStr">
        <is>
          <t>A 35051-2019</t>
        </is>
      </c>
      <c r="B226" s="1" t="n">
        <v>43661</v>
      </c>
      <c r="C226" s="1" t="n">
        <v>45351</v>
      </c>
      <c r="D226" t="inlineStr">
        <is>
          <t>VÄSTERBOTTENS LÄN</t>
        </is>
      </c>
      <c r="E226" t="inlineStr">
        <is>
          <t>VILHELMINA</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35054-2019</t>
        </is>
      </c>
      <c r="B227" s="1" t="n">
        <v>43661</v>
      </c>
      <c r="C227" s="1" t="n">
        <v>45351</v>
      </c>
      <c r="D227" t="inlineStr">
        <is>
          <t>VÄSTERBOTTENS LÄN</t>
        </is>
      </c>
      <c r="E227" t="inlineStr">
        <is>
          <t>VILHELMINA</t>
        </is>
      </c>
      <c r="F227" t="inlineStr">
        <is>
          <t>Sveaskog</t>
        </is>
      </c>
      <c r="G227" t="n">
        <v>18.8</v>
      </c>
      <c r="H227" t="n">
        <v>0</v>
      </c>
      <c r="I227" t="n">
        <v>0</v>
      </c>
      <c r="J227" t="n">
        <v>0</v>
      </c>
      <c r="K227" t="n">
        <v>0</v>
      </c>
      <c r="L227" t="n">
        <v>0</v>
      </c>
      <c r="M227" t="n">
        <v>0</v>
      </c>
      <c r="N227" t="n">
        <v>0</v>
      </c>
      <c r="O227" t="n">
        <v>0</v>
      </c>
      <c r="P227" t="n">
        <v>0</v>
      </c>
      <c r="Q227" t="n">
        <v>0</v>
      </c>
      <c r="R227" s="2" t="inlineStr"/>
    </row>
    <row r="228" ht="15" customHeight="1">
      <c r="A228" t="inlineStr">
        <is>
          <t>A 35723-2019</t>
        </is>
      </c>
      <c r="B228" s="1" t="n">
        <v>43664</v>
      </c>
      <c r="C228" s="1" t="n">
        <v>45351</v>
      </c>
      <c r="D228" t="inlineStr">
        <is>
          <t>VÄSTERBOTTENS LÄN</t>
        </is>
      </c>
      <c r="E228" t="inlineStr">
        <is>
          <t>VILHELMINA</t>
        </is>
      </c>
      <c r="G228" t="n">
        <v>16.8</v>
      </c>
      <c r="H228" t="n">
        <v>0</v>
      </c>
      <c r="I228" t="n">
        <v>0</v>
      </c>
      <c r="J228" t="n">
        <v>0</v>
      </c>
      <c r="K228" t="n">
        <v>0</v>
      </c>
      <c r="L228" t="n">
        <v>0</v>
      </c>
      <c r="M228" t="n">
        <v>0</v>
      </c>
      <c r="N228" t="n">
        <v>0</v>
      </c>
      <c r="O228" t="n">
        <v>0</v>
      </c>
      <c r="P228" t="n">
        <v>0</v>
      </c>
      <c r="Q228" t="n">
        <v>0</v>
      </c>
      <c r="R228" s="2" t="inlineStr"/>
    </row>
    <row r="229" ht="15" customHeight="1">
      <c r="A229" t="inlineStr">
        <is>
          <t>A 35737-2019</t>
        </is>
      </c>
      <c r="B229" s="1" t="n">
        <v>43664</v>
      </c>
      <c r="C229" s="1" t="n">
        <v>45351</v>
      </c>
      <c r="D229" t="inlineStr">
        <is>
          <t>VÄSTERBOTTENS LÄN</t>
        </is>
      </c>
      <c r="E229" t="inlineStr">
        <is>
          <t>VILHELMINA</t>
        </is>
      </c>
      <c r="G229" t="n">
        <v>22.4</v>
      </c>
      <c r="H229" t="n">
        <v>0</v>
      </c>
      <c r="I229" t="n">
        <v>0</v>
      </c>
      <c r="J229" t="n">
        <v>0</v>
      </c>
      <c r="K229" t="n">
        <v>0</v>
      </c>
      <c r="L229" t="n">
        <v>0</v>
      </c>
      <c r="M229" t="n">
        <v>0</v>
      </c>
      <c r="N229" t="n">
        <v>0</v>
      </c>
      <c r="O229" t="n">
        <v>0</v>
      </c>
      <c r="P229" t="n">
        <v>0</v>
      </c>
      <c r="Q229" t="n">
        <v>0</v>
      </c>
      <c r="R229" s="2" t="inlineStr"/>
    </row>
    <row r="230" ht="15" customHeight="1">
      <c r="A230" t="inlineStr">
        <is>
          <t>A 35726-2019</t>
        </is>
      </c>
      <c r="B230" s="1" t="n">
        <v>43664</v>
      </c>
      <c r="C230" s="1" t="n">
        <v>45351</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35731-2019</t>
        </is>
      </c>
      <c r="B231" s="1" t="n">
        <v>43665</v>
      </c>
      <c r="C231" s="1" t="n">
        <v>45351</v>
      </c>
      <c r="D231" t="inlineStr">
        <is>
          <t>VÄSTERBOTTENS LÄN</t>
        </is>
      </c>
      <c r="E231" t="inlineStr">
        <is>
          <t>VILHELMINA</t>
        </is>
      </c>
      <c r="G231" t="n">
        <v>0.4</v>
      </c>
      <c r="H231" t="n">
        <v>0</v>
      </c>
      <c r="I231" t="n">
        <v>0</v>
      </c>
      <c r="J231" t="n">
        <v>0</v>
      </c>
      <c r="K231" t="n">
        <v>0</v>
      </c>
      <c r="L231" t="n">
        <v>0</v>
      </c>
      <c r="M231" t="n">
        <v>0</v>
      </c>
      <c r="N231" t="n">
        <v>0</v>
      </c>
      <c r="O231" t="n">
        <v>0</v>
      </c>
      <c r="P231" t="n">
        <v>0</v>
      </c>
      <c r="Q231" t="n">
        <v>0</v>
      </c>
      <c r="R231" s="2" t="inlineStr"/>
    </row>
    <row r="232" ht="15" customHeight="1">
      <c r="A232" t="inlineStr">
        <is>
          <t>A 37824-2019</t>
        </is>
      </c>
      <c r="B232" s="1" t="n">
        <v>43682</v>
      </c>
      <c r="C232" s="1" t="n">
        <v>45351</v>
      </c>
      <c r="D232" t="inlineStr">
        <is>
          <t>VÄSTERBOTTENS LÄN</t>
        </is>
      </c>
      <c r="E232" t="inlineStr">
        <is>
          <t>VILHELMINA</t>
        </is>
      </c>
      <c r="G232" t="n">
        <v>14.2</v>
      </c>
      <c r="H232" t="n">
        <v>0</v>
      </c>
      <c r="I232" t="n">
        <v>0</v>
      </c>
      <c r="J232" t="n">
        <v>0</v>
      </c>
      <c r="K232" t="n">
        <v>0</v>
      </c>
      <c r="L232" t="n">
        <v>0</v>
      </c>
      <c r="M232" t="n">
        <v>0</v>
      </c>
      <c r="N232" t="n">
        <v>0</v>
      </c>
      <c r="O232" t="n">
        <v>0</v>
      </c>
      <c r="P232" t="n">
        <v>0</v>
      </c>
      <c r="Q232" t="n">
        <v>0</v>
      </c>
      <c r="R232" s="2" t="inlineStr"/>
    </row>
    <row r="233" ht="15" customHeight="1">
      <c r="A233" t="inlineStr">
        <is>
          <t>A 40282-2019</t>
        </is>
      </c>
      <c r="B233" s="1" t="n">
        <v>43690</v>
      </c>
      <c r="C233" s="1" t="n">
        <v>45351</v>
      </c>
      <c r="D233" t="inlineStr">
        <is>
          <t>VÄSTERBOTTENS LÄN</t>
        </is>
      </c>
      <c r="E233" t="inlineStr">
        <is>
          <t>VILHELMINA</t>
        </is>
      </c>
      <c r="G233" t="n">
        <v>13.2</v>
      </c>
      <c r="H233" t="n">
        <v>0</v>
      </c>
      <c r="I233" t="n">
        <v>0</v>
      </c>
      <c r="J233" t="n">
        <v>0</v>
      </c>
      <c r="K233" t="n">
        <v>0</v>
      </c>
      <c r="L233" t="n">
        <v>0</v>
      </c>
      <c r="M233" t="n">
        <v>0</v>
      </c>
      <c r="N233" t="n">
        <v>0</v>
      </c>
      <c r="O233" t="n">
        <v>0</v>
      </c>
      <c r="P233" t="n">
        <v>0</v>
      </c>
      <c r="Q233" t="n">
        <v>0</v>
      </c>
      <c r="R233" s="2" t="inlineStr"/>
    </row>
    <row r="234" ht="15" customHeight="1">
      <c r="A234" t="inlineStr">
        <is>
          <t>A 41782-2019</t>
        </is>
      </c>
      <c r="B234" s="1" t="n">
        <v>43699</v>
      </c>
      <c r="C234" s="1" t="n">
        <v>45351</v>
      </c>
      <c r="D234" t="inlineStr">
        <is>
          <t>VÄSTERBOTTENS LÄN</t>
        </is>
      </c>
      <c r="E234" t="inlineStr">
        <is>
          <t>VILHELMINA</t>
        </is>
      </c>
      <c r="F234" t="inlineStr">
        <is>
          <t>SCA</t>
        </is>
      </c>
      <c r="G234" t="n">
        <v>30.8</v>
      </c>
      <c r="H234" t="n">
        <v>0</v>
      </c>
      <c r="I234" t="n">
        <v>0</v>
      </c>
      <c r="J234" t="n">
        <v>0</v>
      </c>
      <c r="K234" t="n">
        <v>0</v>
      </c>
      <c r="L234" t="n">
        <v>0</v>
      </c>
      <c r="M234" t="n">
        <v>0</v>
      </c>
      <c r="N234" t="n">
        <v>0</v>
      </c>
      <c r="O234" t="n">
        <v>0</v>
      </c>
      <c r="P234" t="n">
        <v>0</v>
      </c>
      <c r="Q234" t="n">
        <v>0</v>
      </c>
      <c r="R234" s="2" t="inlineStr"/>
    </row>
    <row r="235" ht="15" customHeight="1">
      <c r="A235" t="inlineStr">
        <is>
          <t>A 42068-2019</t>
        </is>
      </c>
      <c r="B235" s="1" t="n">
        <v>43700</v>
      </c>
      <c r="C235" s="1" t="n">
        <v>45351</v>
      </c>
      <c r="D235" t="inlineStr">
        <is>
          <t>VÄSTERBOTTENS LÄN</t>
        </is>
      </c>
      <c r="E235" t="inlineStr">
        <is>
          <t>VILHELMINA</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42362-2019</t>
        </is>
      </c>
      <c r="B236" s="1" t="n">
        <v>43703</v>
      </c>
      <c r="C236" s="1" t="n">
        <v>45351</v>
      </c>
      <c r="D236" t="inlineStr">
        <is>
          <t>VÄSTERBOTTENS LÄN</t>
        </is>
      </c>
      <c r="E236" t="inlineStr">
        <is>
          <t>VILHELMINA</t>
        </is>
      </c>
      <c r="G236" t="n">
        <v>5.3</v>
      </c>
      <c r="H236" t="n">
        <v>0</v>
      </c>
      <c r="I236" t="n">
        <v>0</v>
      </c>
      <c r="J236" t="n">
        <v>0</v>
      </c>
      <c r="K236" t="n">
        <v>0</v>
      </c>
      <c r="L236" t="n">
        <v>0</v>
      </c>
      <c r="M236" t="n">
        <v>0</v>
      </c>
      <c r="N236" t="n">
        <v>0</v>
      </c>
      <c r="O236" t="n">
        <v>0</v>
      </c>
      <c r="P236" t="n">
        <v>0</v>
      </c>
      <c r="Q236" t="n">
        <v>0</v>
      </c>
      <c r="R236" s="2" t="inlineStr"/>
    </row>
    <row r="237" ht="15" customHeight="1">
      <c r="A237" t="inlineStr">
        <is>
          <t>A 44388-2019</t>
        </is>
      </c>
      <c r="B237" s="1" t="n">
        <v>43705</v>
      </c>
      <c r="C237" s="1" t="n">
        <v>45351</v>
      </c>
      <c r="D237" t="inlineStr">
        <is>
          <t>VÄSTERBOTTENS LÄN</t>
        </is>
      </c>
      <c r="E237" t="inlineStr">
        <is>
          <t>VILHELMINA</t>
        </is>
      </c>
      <c r="G237" t="n">
        <v>17</v>
      </c>
      <c r="H237" t="n">
        <v>0</v>
      </c>
      <c r="I237" t="n">
        <v>0</v>
      </c>
      <c r="J237" t="n">
        <v>0</v>
      </c>
      <c r="K237" t="n">
        <v>0</v>
      </c>
      <c r="L237" t="n">
        <v>0</v>
      </c>
      <c r="M237" t="n">
        <v>0</v>
      </c>
      <c r="N237" t="n">
        <v>0</v>
      </c>
      <c r="O237" t="n">
        <v>0</v>
      </c>
      <c r="P237" t="n">
        <v>0</v>
      </c>
      <c r="Q237" t="n">
        <v>0</v>
      </c>
      <c r="R237" s="2" t="inlineStr"/>
    </row>
    <row r="238" ht="15" customHeight="1">
      <c r="A238" t="inlineStr">
        <is>
          <t>A 44649-2019</t>
        </is>
      </c>
      <c r="B238" s="1" t="n">
        <v>43712</v>
      </c>
      <c r="C238" s="1" t="n">
        <v>45351</v>
      </c>
      <c r="D238" t="inlineStr">
        <is>
          <t>VÄSTERBOTTENS LÄN</t>
        </is>
      </c>
      <c r="E238" t="inlineStr">
        <is>
          <t>VILHELMINA</t>
        </is>
      </c>
      <c r="G238" t="n">
        <v>7.8</v>
      </c>
      <c r="H238" t="n">
        <v>0</v>
      </c>
      <c r="I238" t="n">
        <v>0</v>
      </c>
      <c r="J238" t="n">
        <v>0</v>
      </c>
      <c r="K238" t="n">
        <v>0</v>
      </c>
      <c r="L238" t="n">
        <v>0</v>
      </c>
      <c r="M238" t="n">
        <v>0</v>
      </c>
      <c r="N238" t="n">
        <v>0</v>
      </c>
      <c r="O238" t="n">
        <v>0</v>
      </c>
      <c r="P238" t="n">
        <v>0</v>
      </c>
      <c r="Q238" t="n">
        <v>0</v>
      </c>
      <c r="R238" s="2" t="inlineStr"/>
    </row>
    <row r="239" ht="15" customHeight="1">
      <c r="A239" t="inlineStr">
        <is>
          <t>A 45275-2019</t>
        </is>
      </c>
      <c r="B239" s="1" t="n">
        <v>43714</v>
      </c>
      <c r="C239" s="1" t="n">
        <v>45351</v>
      </c>
      <c r="D239" t="inlineStr">
        <is>
          <t>VÄSTERBOTTENS LÄN</t>
        </is>
      </c>
      <c r="E239" t="inlineStr">
        <is>
          <t>VILHELMINA</t>
        </is>
      </c>
      <c r="F239" t="inlineStr">
        <is>
          <t>SCA</t>
        </is>
      </c>
      <c r="G239" t="n">
        <v>10.3</v>
      </c>
      <c r="H239" t="n">
        <v>0</v>
      </c>
      <c r="I239" t="n">
        <v>0</v>
      </c>
      <c r="J239" t="n">
        <v>0</v>
      </c>
      <c r="K239" t="n">
        <v>0</v>
      </c>
      <c r="L239" t="n">
        <v>0</v>
      </c>
      <c r="M239" t="n">
        <v>0</v>
      </c>
      <c r="N239" t="n">
        <v>0</v>
      </c>
      <c r="O239" t="n">
        <v>0</v>
      </c>
      <c r="P239" t="n">
        <v>0</v>
      </c>
      <c r="Q239" t="n">
        <v>0</v>
      </c>
      <c r="R239" s="2" t="inlineStr"/>
    </row>
    <row r="240" ht="15" customHeight="1">
      <c r="A240" t="inlineStr">
        <is>
          <t>A 47388-2019</t>
        </is>
      </c>
      <c r="B240" s="1" t="n">
        <v>43721</v>
      </c>
      <c r="C240" s="1" t="n">
        <v>45351</v>
      </c>
      <c r="D240" t="inlineStr">
        <is>
          <t>VÄSTERBOTTENS LÄN</t>
        </is>
      </c>
      <c r="E240" t="inlineStr">
        <is>
          <t>VILHELMINA</t>
        </is>
      </c>
      <c r="F240" t="inlineStr">
        <is>
          <t>SCA</t>
        </is>
      </c>
      <c r="G240" t="n">
        <v>15.4</v>
      </c>
      <c r="H240" t="n">
        <v>0</v>
      </c>
      <c r="I240" t="n">
        <v>0</v>
      </c>
      <c r="J240" t="n">
        <v>0</v>
      </c>
      <c r="K240" t="n">
        <v>0</v>
      </c>
      <c r="L240" t="n">
        <v>0</v>
      </c>
      <c r="M240" t="n">
        <v>0</v>
      </c>
      <c r="N240" t="n">
        <v>0</v>
      </c>
      <c r="O240" t="n">
        <v>0</v>
      </c>
      <c r="P240" t="n">
        <v>0</v>
      </c>
      <c r="Q240" t="n">
        <v>0</v>
      </c>
      <c r="R240" s="2" t="inlineStr"/>
    </row>
    <row r="241" ht="15" customHeight="1">
      <c r="A241" t="inlineStr">
        <is>
          <t>A 48259-2019</t>
        </is>
      </c>
      <c r="B241" s="1" t="n">
        <v>43726</v>
      </c>
      <c r="C241" s="1" t="n">
        <v>45351</v>
      </c>
      <c r="D241" t="inlineStr">
        <is>
          <t>VÄSTERBOTTENS LÄN</t>
        </is>
      </c>
      <c r="E241" t="inlineStr">
        <is>
          <t>VILHELMINA</t>
        </is>
      </c>
      <c r="G241" t="n">
        <v>5.2</v>
      </c>
      <c r="H241" t="n">
        <v>0</v>
      </c>
      <c r="I241" t="n">
        <v>0</v>
      </c>
      <c r="J241" t="n">
        <v>0</v>
      </c>
      <c r="K241" t="n">
        <v>0</v>
      </c>
      <c r="L241" t="n">
        <v>0</v>
      </c>
      <c r="M241" t="n">
        <v>0</v>
      </c>
      <c r="N241" t="n">
        <v>0</v>
      </c>
      <c r="O241" t="n">
        <v>0</v>
      </c>
      <c r="P241" t="n">
        <v>0</v>
      </c>
      <c r="Q241" t="n">
        <v>0</v>
      </c>
      <c r="R241" s="2" t="inlineStr"/>
    </row>
    <row r="242" ht="15" customHeight="1">
      <c r="A242" t="inlineStr">
        <is>
          <t>A 49615-2019</t>
        </is>
      </c>
      <c r="B242" s="1" t="n">
        <v>43728</v>
      </c>
      <c r="C242" s="1" t="n">
        <v>45351</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49254-2019</t>
        </is>
      </c>
      <c r="B243" s="1" t="n">
        <v>43731</v>
      </c>
      <c r="C243" s="1" t="n">
        <v>45351</v>
      </c>
      <c r="D243" t="inlineStr">
        <is>
          <t>VÄSTERBOTTENS LÄN</t>
        </is>
      </c>
      <c r="E243" t="inlineStr">
        <is>
          <t>VILHELMINA</t>
        </is>
      </c>
      <c r="G243" t="n">
        <v>10.9</v>
      </c>
      <c r="H243" t="n">
        <v>0</v>
      </c>
      <c r="I243" t="n">
        <v>0</v>
      </c>
      <c r="J243" t="n">
        <v>0</v>
      </c>
      <c r="K243" t="n">
        <v>0</v>
      </c>
      <c r="L243" t="n">
        <v>0</v>
      </c>
      <c r="M243" t="n">
        <v>0</v>
      </c>
      <c r="N243" t="n">
        <v>0</v>
      </c>
      <c r="O243" t="n">
        <v>0</v>
      </c>
      <c r="P243" t="n">
        <v>0</v>
      </c>
      <c r="Q243" t="n">
        <v>0</v>
      </c>
      <c r="R243" s="2" t="inlineStr"/>
    </row>
    <row r="244" ht="15" customHeight="1">
      <c r="A244" t="inlineStr">
        <is>
          <t>A 50006-2019</t>
        </is>
      </c>
      <c r="B244" s="1" t="n">
        <v>43733</v>
      </c>
      <c r="C244" s="1" t="n">
        <v>45351</v>
      </c>
      <c r="D244" t="inlineStr">
        <is>
          <t>VÄSTERBOTTENS LÄN</t>
        </is>
      </c>
      <c r="E244" t="inlineStr">
        <is>
          <t>VILHELMINA</t>
        </is>
      </c>
      <c r="F244" t="inlineStr">
        <is>
          <t>SCA</t>
        </is>
      </c>
      <c r="G244" t="n">
        <v>12.6</v>
      </c>
      <c r="H244" t="n">
        <v>0</v>
      </c>
      <c r="I244" t="n">
        <v>0</v>
      </c>
      <c r="J244" t="n">
        <v>0</v>
      </c>
      <c r="K244" t="n">
        <v>0</v>
      </c>
      <c r="L244" t="n">
        <v>0</v>
      </c>
      <c r="M244" t="n">
        <v>0</v>
      </c>
      <c r="N244" t="n">
        <v>0</v>
      </c>
      <c r="O244" t="n">
        <v>0</v>
      </c>
      <c r="P244" t="n">
        <v>0</v>
      </c>
      <c r="Q244" t="n">
        <v>0</v>
      </c>
      <c r="R244" s="2" t="inlineStr"/>
    </row>
    <row r="245" ht="15" customHeight="1">
      <c r="A245" t="inlineStr">
        <is>
          <t>A 50009-2019</t>
        </is>
      </c>
      <c r="B245" s="1" t="n">
        <v>43733</v>
      </c>
      <c r="C245" s="1" t="n">
        <v>45351</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50008-2019</t>
        </is>
      </c>
      <c r="B246" s="1" t="n">
        <v>43733</v>
      </c>
      <c r="C246" s="1" t="n">
        <v>45351</v>
      </c>
      <c r="D246" t="inlineStr">
        <is>
          <t>VÄSTERBOTTENS LÄN</t>
        </is>
      </c>
      <c r="E246" t="inlineStr">
        <is>
          <t>VILHELMINA</t>
        </is>
      </c>
      <c r="F246" t="inlineStr">
        <is>
          <t>SCA</t>
        </is>
      </c>
      <c r="G246" t="n">
        <v>14.8</v>
      </c>
      <c r="H246" t="n">
        <v>0</v>
      </c>
      <c r="I246" t="n">
        <v>0</v>
      </c>
      <c r="J246" t="n">
        <v>0</v>
      </c>
      <c r="K246" t="n">
        <v>0</v>
      </c>
      <c r="L246" t="n">
        <v>0</v>
      </c>
      <c r="M246" t="n">
        <v>0</v>
      </c>
      <c r="N246" t="n">
        <v>0</v>
      </c>
      <c r="O246" t="n">
        <v>0</v>
      </c>
      <c r="P246" t="n">
        <v>0</v>
      </c>
      <c r="Q246" t="n">
        <v>0</v>
      </c>
      <c r="R246" s="2" t="inlineStr"/>
    </row>
    <row r="247" ht="15" customHeight="1">
      <c r="A247" t="inlineStr">
        <is>
          <t>A 51094-2019</t>
        </is>
      </c>
      <c r="B247" s="1" t="n">
        <v>43739</v>
      </c>
      <c r="C247" s="1" t="n">
        <v>45351</v>
      </c>
      <c r="D247" t="inlineStr">
        <is>
          <t>VÄSTERBOTTENS LÄN</t>
        </is>
      </c>
      <c r="E247" t="inlineStr">
        <is>
          <t>VILHELMINA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51895-2019</t>
        </is>
      </c>
      <c r="B248" s="1" t="n">
        <v>43741</v>
      </c>
      <c r="C248" s="1" t="n">
        <v>45351</v>
      </c>
      <c r="D248" t="inlineStr">
        <is>
          <t>VÄSTERBOTTENS LÄN</t>
        </is>
      </c>
      <c r="E248" t="inlineStr">
        <is>
          <t>VILHELMINA</t>
        </is>
      </c>
      <c r="F248" t="inlineStr">
        <is>
          <t>Allmännings- och besparingsskogar</t>
        </is>
      </c>
      <c r="G248" t="n">
        <v>10.5</v>
      </c>
      <c r="H248" t="n">
        <v>0</v>
      </c>
      <c r="I248" t="n">
        <v>0</v>
      </c>
      <c r="J248" t="n">
        <v>0</v>
      </c>
      <c r="K248" t="n">
        <v>0</v>
      </c>
      <c r="L248" t="n">
        <v>0</v>
      </c>
      <c r="M248" t="n">
        <v>0</v>
      </c>
      <c r="N248" t="n">
        <v>0</v>
      </c>
      <c r="O248" t="n">
        <v>0</v>
      </c>
      <c r="P248" t="n">
        <v>0</v>
      </c>
      <c r="Q248" t="n">
        <v>0</v>
      </c>
      <c r="R248" s="2" t="inlineStr"/>
    </row>
    <row r="249" ht="15" customHeight="1">
      <c r="A249" t="inlineStr">
        <is>
          <t>A 54070-2019</t>
        </is>
      </c>
      <c r="B249" s="1" t="n">
        <v>43746</v>
      </c>
      <c r="C249" s="1" t="n">
        <v>45351</v>
      </c>
      <c r="D249" t="inlineStr">
        <is>
          <t>VÄSTERBOTTENS LÄN</t>
        </is>
      </c>
      <c r="E249" t="inlineStr">
        <is>
          <t>VILHELMINA</t>
        </is>
      </c>
      <c r="G249" t="n">
        <v>2.1</v>
      </c>
      <c r="H249" t="n">
        <v>0</v>
      </c>
      <c r="I249" t="n">
        <v>0</v>
      </c>
      <c r="J249" t="n">
        <v>0</v>
      </c>
      <c r="K249" t="n">
        <v>0</v>
      </c>
      <c r="L249" t="n">
        <v>0</v>
      </c>
      <c r="M249" t="n">
        <v>0</v>
      </c>
      <c r="N249" t="n">
        <v>0</v>
      </c>
      <c r="O249" t="n">
        <v>0</v>
      </c>
      <c r="P249" t="n">
        <v>0</v>
      </c>
      <c r="Q249" t="n">
        <v>0</v>
      </c>
      <c r="R249" s="2" t="inlineStr"/>
    </row>
    <row r="250" ht="15" customHeight="1">
      <c r="A250" t="inlineStr">
        <is>
          <t>A 53750-2019</t>
        </is>
      </c>
      <c r="B250" s="1" t="n">
        <v>43749</v>
      </c>
      <c r="C250" s="1" t="n">
        <v>45351</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53757-2019</t>
        </is>
      </c>
      <c r="B251" s="1" t="n">
        <v>43749</v>
      </c>
      <c r="C251" s="1" t="n">
        <v>45351</v>
      </c>
      <c r="D251" t="inlineStr">
        <is>
          <t>VÄSTERBOTTENS LÄN</t>
        </is>
      </c>
      <c r="E251" t="inlineStr">
        <is>
          <t>VILHELMINA</t>
        </is>
      </c>
      <c r="F251" t="inlineStr">
        <is>
          <t>SCA</t>
        </is>
      </c>
      <c r="G251" t="n">
        <v>12.4</v>
      </c>
      <c r="H251" t="n">
        <v>0</v>
      </c>
      <c r="I251" t="n">
        <v>0</v>
      </c>
      <c r="J251" t="n">
        <v>0</v>
      </c>
      <c r="K251" t="n">
        <v>0</v>
      </c>
      <c r="L251" t="n">
        <v>0</v>
      </c>
      <c r="M251" t="n">
        <v>0</v>
      </c>
      <c r="N251" t="n">
        <v>0</v>
      </c>
      <c r="O251" t="n">
        <v>0</v>
      </c>
      <c r="P251" t="n">
        <v>0</v>
      </c>
      <c r="Q251" t="n">
        <v>0</v>
      </c>
      <c r="R251" s="2" t="inlineStr"/>
    </row>
    <row r="252" ht="15" customHeight="1">
      <c r="A252" t="inlineStr">
        <is>
          <t>A 54184-2019</t>
        </is>
      </c>
      <c r="B252" s="1" t="n">
        <v>43753</v>
      </c>
      <c r="C252" s="1" t="n">
        <v>45351</v>
      </c>
      <c r="D252" t="inlineStr">
        <is>
          <t>VÄSTERBOTTENS LÄN</t>
        </is>
      </c>
      <c r="E252" t="inlineStr">
        <is>
          <t>VILHELMINA</t>
        </is>
      </c>
      <c r="F252" t="inlineStr">
        <is>
          <t>Kommuner</t>
        </is>
      </c>
      <c r="G252" t="n">
        <v>10.6</v>
      </c>
      <c r="H252" t="n">
        <v>0</v>
      </c>
      <c r="I252" t="n">
        <v>0</v>
      </c>
      <c r="J252" t="n">
        <v>0</v>
      </c>
      <c r="K252" t="n">
        <v>0</v>
      </c>
      <c r="L252" t="n">
        <v>0</v>
      </c>
      <c r="M252" t="n">
        <v>0</v>
      </c>
      <c r="N252" t="n">
        <v>0</v>
      </c>
      <c r="O252" t="n">
        <v>0</v>
      </c>
      <c r="P252" t="n">
        <v>0</v>
      </c>
      <c r="Q252" t="n">
        <v>0</v>
      </c>
      <c r="R252" s="2" t="inlineStr"/>
    </row>
    <row r="253" ht="15" customHeight="1">
      <c r="A253" t="inlineStr">
        <is>
          <t>A 54985-2019</t>
        </is>
      </c>
      <c r="B253" s="1" t="n">
        <v>43755</v>
      </c>
      <c r="C253" s="1" t="n">
        <v>45351</v>
      </c>
      <c r="D253" t="inlineStr">
        <is>
          <t>VÄSTERBOTTENS LÄN</t>
        </is>
      </c>
      <c r="E253" t="inlineStr">
        <is>
          <t>VILHELMINA</t>
        </is>
      </c>
      <c r="G253" t="n">
        <v>12.2</v>
      </c>
      <c r="H253" t="n">
        <v>0</v>
      </c>
      <c r="I253" t="n">
        <v>0</v>
      </c>
      <c r="J253" t="n">
        <v>0</v>
      </c>
      <c r="K253" t="n">
        <v>0</v>
      </c>
      <c r="L253" t="n">
        <v>0</v>
      </c>
      <c r="M253" t="n">
        <v>0</v>
      </c>
      <c r="N253" t="n">
        <v>0</v>
      </c>
      <c r="O253" t="n">
        <v>0</v>
      </c>
      <c r="P253" t="n">
        <v>0</v>
      </c>
      <c r="Q253" t="n">
        <v>0</v>
      </c>
      <c r="R253" s="2" t="inlineStr"/>
    </row>
    <row r="254" ht="15" customHeight="1">
      <c r="A254" t="inlineStr">
        <is>
          <t>A 57906-2019</t>
        </is>
      </c>
      <c r="B254" s="1" t="n">
        <v>43762</v>
      </c>
      <c r="C254" s="1" t="n">
        <v>45351</v>
      </c>
      <c r="D254" t="inlineStr">
        <is>
          <t>VÄSTERBOTTENS LÄN</t>
        </is>
      </c>
      <c r="E254" t="inlineStr">
        <is>
          <t>VILHELMINA</t>
        </is>
      </c>
      <c r="F254" t="inlineStr">
        <is>
          <t>Allmännings- och besparingsskogar</t>
        </is>
      </c>
      <c r="G254" t="n">
        <v>5.3</v>
      </c>
      <c r="H254" t="n">
        <v>0</v>
      </c>
      <c r="I254" t="n">
        <v>0</v>
      </c>
      <c r="J254" t="n">
        <v>0</v>
      </c>
      <c r="K254" t="n">
        <v>0</v>
      </c>
      <c r="L254" t="n">
        <v>0</v>
      </c>
      <c r="M254" t="n">
        <v>0</v>
      </c>
      <c r="N254" t="n">
        <v>0</v>
      </c>
      <c r="O254" t="n">
        <v>0</v>
      </c>
      <c r="P254" t="n">
        <v>0</v>
      </c>
      <c r="Q254" t="n">
        <v>0</v>
      </c>
      <c r="R254" s="2" t="inlineStr"/>
    </row>
    <row r="255" ht="15" customHeight="1">
      <c r="A255" t="inlineStr">
        <is>
          <t>A 57940-2019</t>
        </is>
      </c>
      <c r="B255" s="1" t="n">
        <v>43762</v>
      </c>
      <c r="C255" s="1" t="n">
        <v>45351</v>
      </c>
      <c r="D255" t="inlineStr">
        <is>
          <t>VÄSTERBOTTENS LÄN</t>
        </is>
      </c>
      <c r="E255" t="inlineStr">
        <is>
          <t>VILHELMINA</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56833-2019</t>
        </is>
      </c>
      <c r="B256" s="1" t="n">
        <v>43765</v>
      </c>
      <c r="C256" s="1" t="n">
        <v>45351</v>
      </c>
      <c r="D256" t="inlineStr">
        <is>
          <t>VÄSTERBOTTENS LÄN</t>
        </is>
      </c>
      <c r="E256" t="inlineStr">
        <is>
          <t>VILHELMINA</t>
        </is>
      </c>
      <c r="G256" t="n">
        <v>1.5</v>
      </c>
      <c r="H256" t="n">
        <v>0</v>
      </c>
      <c r="I256" t="n">
        <v>0</v>
      </c>
      <c r="J256" t="n">
        <v>0</v>
      </c>
      <c r="K256" t="n">
        <v>0</v>
      </c>
      <c r="L256" t="n">
        <v>0</v>
      </c>
      <c r="M256" t="n">
        <v>0</v>
      </c>
      <c r="N256" t="n">
        <v>0</v>
      </c>
      <c r="O256" t="n">
        <v>0</v>
      </c>
      <c r="P256" t="n">
        <v>0</v>
      </c>
      <c r="Q256" t="n">
        <v>0</v>
      </c>
      <c r="R256" s="2" t="inlineStr"/>
    </row>
    <row r="257" ht="15" customHeight="1">
      <c r="A257" t="inlineStr">
        <is>
          <t>A 59021-2019</t>
        </is>
      </c>
      <c r="B257" s="1" t="n">
        <v>43774</v>
      </c>
      <c r="C257" s="1" t="n">
        <v>45351</v>
      </c>
      <c r="D257" t="inlineStr">
        <is>
          <t>VÄSTERBOTTENS LÄN</t>
        </is>
      </c>
      <c r="E257" t="inlineStr">
        <is>
          <t>VILHELMINA</t>
        </is>
      </c>
      <c r="G257" t="n">
        <v>6.8</v>
      </c>
      <c r="H257" t="n">
        <v>0</v>
      </c>
      <c r="I257" t="n">
        <v>0</v>
      </c>
      <c r="J257" t="n">
        <v>0</v>
      </c>
      <c r="K257" t="n">
        <v>0</v>
      </c>
      <c r="L257" t="n">
        <v>0</v>
      </c>
      <c r="M257" t="n">
        <v>0</v>
      </c>
      <c r="N257" t="n">
        <v>0</v>
      </c>
      <c r="O257" t="n">
        <v>0</v>
      </c>
      <c r="P257" t="n">
        <v>0</v>
      </c>
      <c r="Q257" t="n">
        <v>0</v>
      </c>
      <c r="R257" s="2" t="inlineStr"/>
    </row>
    <row r="258" ht="15" customHeight="1">
      <c r="A258" t="inlineStr">
        <is>
          <t>A 58962-2019</t>
        </is>
      </c>
      <c r="B258" s="1" t="n">
        <v>43774</v>
      </c>
      <c r="C258" s="1" t="n">
        <v>45351</v>
      </c>
      <c r="D258" t="inlineStr">
        <is>
          <t>VÄSTERBOTTENS LÄN</t>
        </is>
      </c>
      <c r="E258" t="inlineStr">
        <is>
          <t>VILHELMINA</t>
        </is>
      </c>
      <c r="G258" t="n">
        <v>2.4</v>
      </c>
      <c r="H258" t="n">
        <v>0</v>
      </c>
      <c r="I258" t="n">
        <v>0</v>
      </c>
      <c r="J258" t="n">
        <v>0</v>
      </c>
      <c r="K258" t="n">
        <v>0</v>
      </c>
      <c r="L258" t="n">
        <v>0</v>
      </c>
      <c r="M258" t="n">
        <v>0</v>
      </c>
      <c r="N258" t="n">
        <v>0</v>
      </c>
      <c r="O258" t="n">
        <v>0</v>
      </c>
      <c r="P258" t="n">
        <v>0</v>
      </c>
      <c r="Q258" t="n">
        <v>0</v>
      </c>
      <c r="R258" s="2" t="inlineStr"/>
    </row>
    <row r="259" ht="15" customHeight="1">
      <c r="A259" t="inlineStr">
        <is>
          <t>A 59052-2019</t>
        </is>
      </c>
      <c r="B259" s="1" t="n">
        <v>43774</v>
      </c>
      <c r="C259" s="1" t="n">
        <v>45351</v>
      </c>
      <c r="D259" t="inlineStr">
        <is>
          <t>VÄSTERBOTTENS LÄN</t>
        </is>
      </c>
      <c r="E259" t="inlineStr">
        <is>
          <t>VILHELMINA</t>
        </is>
      </c>
      <c r="G259" t="n">
        <v>0.2</v>
      </c>
      <c r="H259" t="n">
        <v>0</v>
      </c>
      <c r="I259" t="n">
        <v>0</v>
      </c>
      <c r="J259" t="n">
        <v>0</v>
      </c>
      <c r="K259" t="n">
        <v>0</v>
      </c>
      <c r="L259" t="n">
        <v>0</v>
      </c>
      <c r="M259" t="n">
        <v>0</v>
      </c>
      <c r="N259" t="n">
        <v>0</v>
      </c>
      <c r="O259" t="n">
        <v>0</v>
      </c>
      <c r="P259" t="n">
        <v>0</v>
      </c>
      <c r="Q259" t="n">
        <v>0</v>
      </c>
      <c r="R259" s="2" t="inlineStr"/>
    </row>
    <row r="260" ht="15" customHeight="1">
      <c r="A260" t="inlineStr">
        <is>
          <t>A 59165-2019</t>
        </is>
      </c>
      <c r="B260" s="1" t="n">
        <v>43775</v>
      </c>
      <c r="C260" s="1" t="n">
        <v>45351</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63027-2019</t>
        </is>
      </c>
      <c r="B261" s="1" t="n">
        <v>43791</v>
      </c>
      <c r="C261" s="1" t="n">
        <v>45351</v>
      </c>
      <c r="D261" t="inlineStr">
        <is>
          <t>VÄSTERBOTTENS LÄN</t>
        </is>
      </c>
      <c r="E261" t="inlineStr">
        <is>
          <t>VILHELMINA</t>
        </is>
      </c>
      <c r="G261" t="n">
        <v>0.5</v>
      </c>
      <c r="H261" t="n">
        <v>0</v>
      </c>
      <c r="I261" t="n">
        <v>0</v>
      </c>
      <c r="J261" t="n">
        <v>0</v>
      </c>
      <c r="K261" t="n">
        <v>0</v>
      </c>
      <c r="L261" t="n">
        <v>0</v>
      </c>
      <c r="M261" t="n">
        <v>0</v>
      </c>
      <c r="N261" t="n">
        <v>0</v>
      </c>
      <c r="O261" t="n">
        <v>0</v>
      </c>
      <c r="P261" t="n">
        <v>0</v>
      </c>
      <c r="Q261" t="n">
        <v>0</v>
      </c>
      <c r="R261" s="2" t="inlineStr"/>
    </row>
    <row r="262" ht="15" customHeight="1">
      <c r="A262" t="inlineStr">
        <is>
          <t>A 66570-2019</t>
        </is>
      </c>
      <c r="B262" s="1" t="n">
        <v>43803</v>
      </c>
      <c r="C262" s="1" t="n">
        <v>45351</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65885-2019</t>
        </is>
      </c>
      <c r="B263" s="1" t="n">
        <v>43805</v>
      </c>
      <c r="C263" s="1" t="n">
        <v>45351</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66311-2019</t>
        </is>
      </c>
      <c r="B264" s="1" t="n">
        <v>43808</v>
      </c>
      <c r="C264" s="1" t="n">
        <v>45351</v>
      </c>
      <c r="D264" t="inlineStr">
        <is>
          <t>VÄSTERBOTTENS LÄN</t>
        </is>
      </c>
      <c r="E264" t="inlineStr">
        <is>
          <t>VILHELMINA</t>
        </is>
      </c>
      <c r="G264" t="n">
        <v>72.90000000000001</v>
      </c>
      <c r="H264" t="n">
        <v>0</v>
      </c>
      <c r="I264" t="n">
        <v>0</v>
      </c>
      <c r="J264" t="n">
        <v>0</v>
      </c>
      <c r="K264" t="n">
        <v>0</v>
      </c>
      <c r="L264" t="n">
        <v>0</v>
      </c>
      <c r="M264" t="n">
        <v>0</v>
      </c>
      <c r="N264" t="n">
        <v>0</v>
      </c>
      <c r="O264" t="n">
        <v>0</v>
      </c>
      <c r="P264" t="n">
        <v>0</v>
      </c>
      <c r="Q264" t="n">
        <v>0</v>
      </c>
      <c r="R264" s="2" t="inlineStr"/>
    </row>
    <row r="265" ht="15" customHeight="1">
      <c r="A265" t="inlineStr">
        <is>
          <t>A 66720-2019</t>
        </is>
      </c>
      <c r="B265" s="1" t="n">
        <v>43810</v>
      </c>
      <c r="C265" s="1" t="n">
        <v>45351</v>
      </c>
      <c r="D265" t="inlineStr">
        <is>
          <t>VÄSTERBOTTENS LÄN</t>
        </is>
      </c>
      <c r="E265" t="inlineStr">
        <is>
          <t>VILHELMINA</t>
        </is>
      </c>
      <c r="G265" t="n">
        <v>0.5</v>
      </c>
      <c r="H265" t="n">
        <v>0</v>
      </c>
      <c r="I265" t="n">
        <v>0</v>
      </c>
      <c r="J265" t="n">
        <v>0</v>
      </c>
      <c r="K265" t="n">
        <v>0</v>
      </c>
      <c r="L265" t="n">
        <v>0</v>
      </c>
      <c r="M265" t="n">
        <v>0</v>
      </c>
      <c r="N265" t="n">
        <v>0</v>
      </c>
      <c r="O265" t="n">
        <v>0</v>
      </c>
      <c r="P265" t="n">
        <v>0</v>
      </c>
      <c r="Q265" t="n">
        <v>0</v>
      </c>
      <c r="R265" s="2" t="inlineStr"/>
    </row>
    <row r="266" ht="15" customHeight="1">
      <c r="A266" t="inlineStr">
        <is>
          <t>A 67814-2019</t>
        </is>
      </c>
      <c r="B266" s="1" t="n">
        <v>43815</v>
      </c>
      <c r="C266" s="1" t="n">
        <v>45351</v>
      </c>
      <c r="D266" t="inlineStr">
        <is>
          <t>VÄSTERBOTTENS LÄN</t>
        </is>
      </c>
      <c r="E266" t="inlineStr">
        <is>
          <t>VILHELMINA</t>
        </is>
      </c>
      <c r="G266" t="n">
        <v>2.9</v>
      </c>
      <c r="H266" t="n">
        <v>0</v>
      </c>
      <c r="I266" t="n">
        <v>0</v>
      </c>
      <c r="J266" t="n">
        <v>0</v>
      </c>
      <c r="K266" t="n">
        <v>0</v>
      </c>
      <c r="L266" t="n">
        <v>0</v>
      </c>
      <c r="M266" t="n">
        <v>0</v>
      </c>
      <c r="N266" t="n">
        <v>0</v>
      </c>
      <c r="O266" t="n">
        <v>0</v>
      </c>
      <c r="P266" t="n">
        <v>0</v>
      </c>
      <c r="Q266" t="n">
        <v>0</v>
      </c>
      <c r="R266" s="2" t="inlineStr"/>
    </row>
    <row r="267" ht="15" customHeight="1">
      <c r="A267" t="inlineStr">
        <is>
          <t>A 219-2020</t>
        </is>
      </c>
      <c r="B267" s="1" t="n">
        <v>43833</v>
      </c>
      <c r="C267" s="1" t="n">
        <v>45351</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217-2020</t>
        </is>
      </c>
      <c r="B268" s="1" t="n">
        <v>43833</v>
      </c>
      <c r="C268" s="1" t="n">
        <v>45351</v>
      </c>
      <c r="D268" t="inlineStr">
        <is>
          <t>VÄSTERBOTTENS LÄN</t>
        </is>
      </c>
      <c r="E268" t="inlineStr">
        <is>
          <t>VILHELMINA</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226-2020</t>
        </is>
      </c>
      <c r="B269" s="1" t="n">
        <v>43833</v>
      </c>
      <c r="C269" s="1" t="n">
        <v>45351</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300-2020</t>
        </is>
      </c>
      <c r="B270" s="1" t="n">
        <v>43837</v>
      </c>
      <c r="C270" s="1" t="n">
        <v>45351</v>
      </c>
      <c r="D270" t="inlineStr">
        <is>
          <t>VÄSTERBOTTENS LÄN</t>
        </is>
      </c>
      <c r="E270" t="inlineStr">
        <is>
          <t>VILHELMINA</t>
        </is>
      </c>
      <c r="G270" t="n">
        <v>7.6</v>
      </c>
      <c r="H270" t="n">
        <v>0</v>
      </c>
      <c r="I270" t="n">
        <v>0</v>
      </c>
      <c r="J270" t="n">
        <v>0</v>
      </c>
      <c r="K270" t="n">
        <v>0</v>
      </c>
      <c r="L270" t="n">
        <v>0</v>
      </c>
      <c r="M270" t="n">
        <v>0</v>
      </c>
      <c r="N270" t="n">
        <v>0</v>
      </c>
      <c r="O270" t="n">
        <v>0</v>
      </c>
      <c r="P270" t="n">
        <v>0</v>
      </c>
      <c r="Q270" t="n">
        <v>0</v>
      </c>
      <c r="R270" s="2" t="inlineStr"/>
    </row>
    <row r="271" ht="15" customHeight="1">
      <c r="A271" t="inlineStr">
        <is>
          <t>A 1235-2020</t>
        </is>
      </c>
      <c r="B271" s="1" t="n">
        <v>43837</v>
      </c>
      <c r="C271" s="1" t="n">
        <v>45351</v>
      </c>
      <c r="D271" t="inlineStr">
        <is>
          <t>VÄSTERBOTTENS LÄN</t>
        </is>
      </c>
      <c r="E271" t="inlineStr">
        <is>
          <t>VILHELMINA</t>
        </is>
      </c>
      <c r="G271" t="n">
        <v>5</v>
      </c>
      <c r="H271" t="n">
        <v>0</v>
      </c>
      <c r="I271" t="n">
        <v>0</v>
      </c>
      <c r="J271" t="n">
        <v>0</v>
      </c>
      <c r="K271" t="n">
        <v>0</v>
      </c>
      <c r="L271" t="n">
        <v>0</v>
      </c>
      <c r="M271" t="n">
        <v>0</v>
      </c>
      <c r="N271" t="n">
        <v>0</v>
      </c>
      <c r="O271" t="n">
        <v>0</v>
      </c>
      <c r="P271" t="n">
        <v>0</v>
      </c>
      <c r="Q271" t="n">
        <v>0</v>
      </c>
      <c r="R271" s="2" t="inlineStr"/>
    </row>
    <row r="272" ht="15" customHeight="1">
      <c r="A272" t="inlineStr">
        <is>
          <t>A 802-2020</t>
        </is>
      </c>
      <c r="B272" s="1" t="n">
        <v>43838</v>
      </c>
      <c r="C272" s="1" t="n">
        <v>45351</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1992-2020</t>
        </is>
      </c>
      <c r="B273" s="1" t="n">
        <v>43838</v>
      </c>
      <c r="C273" s="1" t="n">
        <v>45351</v>
      </c>
      <c r="D273" t="inlineStr">
        <is>
          <t>VÄSTERBOTTENS LÄN</t>
        </is>
      </c>
      <c r="E273" t="inlineStr">
        <is>
          <t>VILHELMINA</t>
        </is>
      </c>
      <c r="G273" t="n">
        <v>2.3</v>
      </c>
      <c r="H273" t="n">
        <v>0</v>
      </c>
      <c r="I273" t="n">
        <v>0</v>
      </c>
      <c r="J273" t="n">
        <v>0</v>
      </c>
      <c r="K273" t="n">
        <v>0</v>
      </c>
      <c r="L273" t="n">
        <v>0</v>
      </c>
      <c r="M273" t="n">
        <v>0</v>
      </c>
      <c r="N273" t="n">
        <v>0</v>
      </c>
      <c r="O273" t="n">
        <v>0</v>
      </c>
      <c r="P273" t="n">
        <v>0</v>
      </c>
      <c r="Q273" t="n">
        <v>0</v>
      </c>
      <c r="R273" s="2" t="inlineStr"/>
    </row>
    <row r="274" ht="15" customHeight="1">
      <c r="A274" t="inlineStr">
        <is>
          <t>A 3074-2020</t>
        </is>
      </c>
      <c r="B274" s="1" t="n">
        <v>43851</v>
      </c>
      <c r="C274" s="1" t="n">
        <v>45351</v>
      </c>
      <c r="D274" t="inlineStr">
        <is>
          <t>VÄSTERBOTTENS LÄN</t>
        </is>
      </c>
      <c r="E274" t="inlineStr">
        <is>
          <t>VILHELMINA</t>
        </is>
      </c>
      <c r="G274" t="n">
        <v>2.3</v>
      </c>
      <c r="H274" t="n">
        <v>0</v>
      </c>
      <c r="I274" t="n">
        <v>0</v>
      </c>
      <c r="J274" t="n">
        <v>0</v>
      </c>
      <c r="K274" t="n">
        <v>0</v>
      </c>
      <c r="L274" t="n">
        <v>0</v>
      </c>
      <c r="M274" t="n">
        <v>0</v>
      </c>
      <c r="N274" t="n">
        <v>0</v>
      </c>
      <c r="O274" t="n">
        <v>0</v>
      </c>
      <c r="P274" t="n">
        <v>0</v>
      </c>
      <c r="Q274" t="n">
        <v>0</v>
      </c>
      <c r="R274" s="2" t="inlineStr"/>
    </row>
    <row r="275" ht="15" customHeight="1">
      <c r="A275" t="inlineStr">
        <is>
          <t>A 3343-2020</t>
        </is>
      </c>
      <c r="B275" s="1" t="n">
        <v>43852</v>
      </c>
      <c r="C275" s="1" t="n">
        <v>45351</v>
      </c>
      <c r="D275" t="inlineStr">
        <is>
          <t>VÄSTERBOTTENS LÄN</t>
        </is>
      </c>
      <c r="E275" t="inlineStr">
        <is>
          <t>VILHELMINA</t>
        </is>
      </c>
      <c r="F275" t="inlineStr">
        <is>
          <t>Sveaskog</t>
        </is>
      </c>
      <c r="G275" t="n">
        <v>6.1</v>
      </c>
      <c r="H275" t="n">
        <v>0</v>
      </c>
      <c r="I275" t="n">
        <v>0</v>
      </c>
      <c r="J275" t="n">
        <v>0</v>
      </c>
      <c r="K275" t="n">
        <v>0</v>
      </c>
      <c r="L275" t="n">
        <v>0</v>
      </c>
      <c r="M275" t="n">
        <v>0</v>
      </c>
      <c r="N275" t="n">
        <v>0</v>
      </c>
      <c r="O275" t="n">
        <v>0</v>
      </c>
      <c r="P275" t="n">
        <v>0</v>
      </c>
      <c r="Q275" t="n">
        <v>0</v>
      </c>
      <c r="R275" s="2" t="inlineStr"/>
    </row>
    <row r="276" ht="15" customHeight="1">
      <c r="A276" t="inlineStr">
        <is>
          <t>A 5236-2020</t>
        </is>
      </c>
      <c r="B276" s="1" t="n">
        <v>43854</v>
      </c>
      <c r="C276" s="1" t="n">
        <v>45351</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4586-2020</t>
        </is>
      </c>
      <c r="B277" s="1" t="n">
        <v>43858</v>
      </c>
      <c r="C277" s="1" t="n">
        <v>45351</v>
      </c>
      <c r="D277" t="inlineStr">
        <is>
          <t>VÄSTERBOTTENS LÄN</t>
        </is>
      </c>
      <c r="E277" t="inlineStr">
        <is>
          <t>VILHELMINA</t>
        </is>
      </c>
      <c r="G277" t="n">
        <v>3.4</v>
      </c>
      <c r="H277" t="n">
        <v>0</v>
      </c>
      <c r="I277" t="n">
        <v>0</v>
      </c>
      <c r="J277" t="n">
        <v>0</v>
      </c>
      <c r="K277" t="n">
        <v>0</v>
      </c>
      <c r="L277" t="n">
        <v>0</v>
      </c>
      <c r="M277" t="n">
        <v>0</v>
      </c>
      <c r="N277" t="n">
        <v>0</v>
      </c>
      <c r="O277" t="n">
        <v>0</v>
      </c>
      <c r="P277" t="n">
        <v>0</v>
      </c>
      <c r="Q277" t="n">
        <v>0</v>
      </c>
      <c r="R277" s="2" t="inlineStr"/>
    </row>
    <row r="278" ht="15" customHeight="1">
      <c r="A278" t="inlineStr">
        <is>
          <t>A 5432-2020</t>
        </is>
      </c>
      <c r="B278" s="1" t="n">
        <v>43858</v>
      </c>
      <c r="C278" s="1" t="n">
        <v>45351</v>
      </c>
      <c r="D278" t="inlineStr">
        <is>
          <t>VÄSTERBOTTENS LÄN</t>
        </is>
      </c>
      <c r="E278" t="inlineStr">
        <is>
          <t>VILHELMINA</t>
        </is>
      </c>
      <c r="G278" t="n">
        <v>6.2</v>
      </c>
      <c r="H278" t="n">
        <v>0</v>
      </c>
      <c r="I278" t="n">
        <v>0</v>
      </c>
      <c r="J278" t="n">
        <v>0</v>
      </c>
      <c r="K278" t="n">
        <v>0</v>
      </c>
      <c r="L278" t="n">
        <v>0</v>
      </c>
      <c r="M278" t="n">
        <v>0</v>
      </c>
      <c r="N278" t="n">
        <v>0</v>
      </c>
      <c r="O278" t="n">
        <v>0</v>
      </c>
      <c r="P278" t="n">
        <v>0</v>
      </c>
      <c r="Q278" t="n">
        <v>0</v>
      </c>
      <c r="R278" s="2" t="inlineStr"/>
    </row>
    <row r="279" ht="15" customHeight="1">
      <c r="A279" t="inlineStr">
        <is>
          <t>A 12419-2020</t>
        </is>
      </c>
      <c r="B279" s="1" t="n">
        <v>43896</v>
      </c>
      <c r="C279" s="1" t="n">
        <v>45351</v>
      </c>
      <c r="D279" t="inlineStr">
        <is>
          <t>VÄSTERBOTTENS LÄN</t>
        </is>
      </c>
      <c r="E279" t="inlineStr">
        <is>
          <t>VILHELMINA</t>
        </is>
      </c>
      <c r="F279" t="inlineStr">
        <is>
          <t>Kommuner</t>
        </is>
      </c>
      <c r="G279" t="n">
        <v>4.6</v>
      </c>
      <c r="H279" t="n">
        <v>0</v>
      </c>
      <c r="I279" t="n">
        <v>0</v>
      </c>
      <c r="J279" t="n">
        <v>0</v>
      </c>
      <c r="K279" t="n">
        <v>0</v>
      </c>
      <c r="L279" t="n">
        <v>0</v>
      </c>
      <c r="M279" t="n">
        <v>0</v>
      </c>
      <c r="N279" t="n">
        <v>0</v>
      </c>
      <c r="O279" t="n">
        <v>0</v>
      </c>
      <c r="P279" t="n">
        <v>0</v>
      </c>
      <c r="Q279" t="n">
        <v>0</v>
      </c>
      <c r="R279" s="2" t="inlineStr"/>
    </row>
    <row r="280" ht="15" customHeight="1">
      <c r="A280" t="inlineStr">
        <is>
          <t>A 12424-2020</t>
        </is>
      </c>
      <c r="B280" s="1" t="n">
        <v>43896</v>
      </c>
      <c r="C280" s="1" t="n">
        <v>45351</v>
      </c>
      <c r="D280" t="inlineStr">
        <is>
          <t>VÄSTERBOTTENS LÄN</t>
        </is>
      </c>
      <c r="E280" t="inlineStr">
        <is>
          <t>VILHELMINA</t>
        </is>
      </c>
      <c r="F280" t="inlineStr">
        <is>
          <t>Kommuner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12423-2020</t>
        </is>
      </c>
      <c r="B281" s="1" t="n">
        <v>43896</v>
      </c>
      <c r="C281" s="1" t="n">
        <v>45351</v>
      </c>
      <c r="D281" t="inlineStr">
        <is>
          <t>VÄSTERBOTTENS LÄN</t>
        </is>
      </c>
      <c r="E281" t="inlineStr">
        <is>
          <t>VILHELMINA</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12451-2020</t>
        </is>
      </c>
      <c r="B282" s="1" t="n">
        <v>43896</v>
      </c>
      <c r="C282" s="1" t="n">
        <v>45351</v>
      </c>
      <c r="D282" t="inlineStr">
        <is>
          <t>VÄSTERBOTTENS LÄN</t>
        </is>
      </c>
      <c r="E282" t="inlineStr">
        <is>
          <t>VILHELMINA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14738-2020</t>
        </is>
      </c>
      <c r="B283" s="1" t="n">
        <v>43909</v>
      </c>
      <c r="C283" s="1" t="n">
        <v>45351</v>
      </c>
      <c r="D283" t="inlineStr">
        <is>
          <t>VÄSTERBOTTENS LÄN</t>
        </is>
      </c>
      <c r="E283" t="inlineStr">
        <is>
          <t>VILHELMINA</t>
        </is>
      </c>
      <c r="G283" t="n">
        <v>3.9</v>
      </c>
      <c r="H283" t="n">
        <v>0</v>
      </c>
      <c r="I283" t="n">
        <v>0</v>
      </c>
      <c r="J283" t="n">
        <v>0</v>
      </c>
      <c r="K283" t="n">
        <v>0</v>
      </c>
      <c r="L283" t="n">
        <v>0</v>
      </c>
      <c r="M283" t="n">
        <v>0</v>
      </c>
      <c r="N283" t="n">
        <v>0</v>
      </c>
      <c r="O283" t="n">
        <v>0</v>
      </c>
      <c r="P283" t="n">
        <v>0</v>
      </c>
      <c r="Q283" t="n">
        <v>0</v>
      </c>
      <c r="R283" s="2" t="inlineStr"/>
    </row>
    <row r="284" ht="15" customHeight="1">
      <c r="A284" t="inlineStr">
        <is>
          <t>A 15113-2020</t>
        </is>
      </c>
      <c r="B284" s="1" t="n">
        <v>43910</v>
      </c>
      <c r="C284" s="1" t="n">
        <v>45351</v>
      </c>
      <c r="D284" t="inlineStr">
        <is>
          <t>VÄSTERBOTTENS LÄN</t>
        </is>
      </c>
      <c r="E284" t="inlineStr">
        <is>
          <t>VILHELMINA</t>
        </is>
      </c>
      <c r="G284" t="n">
        <v>9.5</v>
      </c>
      <c r="H284" t="n">
        <v>0</v>
      </c>
      <c r="I284" t="n">
        <v>0</v>
      </c>
      <c r="J284" t="n">
        <v>0</v>
      </c>
      <c r="K284" t="n">
        <v>0</v>
      </c>
      <c r="L284" t="n">
        <v>0</v>
      </c>
      <c r="M284" t="n">
        <v>0</v>
      </c>
      <c r="N284" t="n">
        <v>0</v>
      </c>
      <c r="O284" t="n">
        <v>0</v>
      </c>
      <c r="P284" t="n">
        <v>0</v>
      </c>
      <c r="Q284" t="n">
        <v>0</v>
      </c>
      <c r="R284" s="2" t="inlineStr"/>
    </row>
    <row r="285" ht="15" customHeight="1">
      <c r="A285" t="inlineStr">
        <is>
          <t>A 15400-2020</t>
        </is>
      </c>
      <c r="B285" s="1" t="n">
        <v>43913</v>
      </c>
      <c r="C285" s="1" t="n">
        <v>45351</v>
      </c>
      <c r="D285" t="inlineStr">
        <is>
          <t>VÄSTERBOTTENS LÄN</t>
        </is>
      </c>
      <c r="E285" t="inlineStr">
        <is>
          <t>VILHELMINA</t>
        </is>
      </c>
      <c r="F285" t="inlineStr">
        <is>
          <t>SCA</t>
        </is>
      </c>
      <c r="G285" t="n">
        <v>11.7</v>
      </c>
      <c r="H285" t="n">
        <v>0</v>
      </c>
      <c r="I285" t="n">
        <v>0</v>
      </c>
      <c r="J285" t="n">
        <v>0</v>
      </c>
      <c r="K285" t="n">
        <v>0</v>
      </c>
      <c r="L285" t="n">
        <v>0</v>
      </c>
      <c r="M285" t="n">
        <v>0</v>
      </c>
      <c r="N285" t="n">
        <v>0</v>
      </c>
      <c r="O285" t="n">
        <v>0</v>
      </c>
      <c r="P285" t="n">
        <v>0</v>
      </c>
      <c r="Q285" t="n">
        <v>0</v>
      </c>
      <c r="R285" s="2" t="inlineStr"/>
    </row>
    <row r="286" ht="15" customHeight="1">
      <c r="A286" t="inlineStr">
        <is>
          <t>A 15410-2020</t>
        </is>
      </c>
      <c r="B286" s="1" t="n">
        <v>43913</v>
      </c>
      <c r="C286" s="1" t="n">
        <v>45351</v>
      </c>
      <c r="D286" t="inlineStr">
        <is>
          <t>VÄSTERBOTTENS LÄN</t>
        </is>
      </c>
      <c r="E286" t="inlineStr">
        <is>
          <t>VILHELMINA</t>
        </is>
      </c>
      <c r="F286" t="inlineStr">
        <is>
          <t>SCA</t>
        </is>
      </c>
      <c r="G286" t="n">
        <v>7.4</v>
      </c>
      <c r="H286" t="n">
        <v>0</v>
      </c>
      <c r="I286" t="n">
        <v>0</v>
      </c>
      <c r="J286" t="n">
        <v>0</v>
      </c>
      <c r="K286" t="n">
        <v>0</v>
      </c>
      <c r="L286" t="n">
        <v>0</v>
      </c>
      <c r="M286" t="n">
        <v>0</v>
      </c>
      <c r="N286" t="n">
        <v>0</v>
      </c>
      <c r="O286" t="n">
        <v>0</v>
      </c>
      <c r="P286" t="n">
        <v>0</v>
      </c>
      <c r="Q286" t="n">
        <v>0</v>
      </c>
      <c r="R286" s="2" t="inlineStr"/>
    </row>
    <row r="287" ht="15" customHeight="1">
      <c r="A287" t="inlineStr">
        <is>
          <t>A 15399-2020</t>
        </is>
      </c>
      <c r="B287" s="1" t="n">
        <v>43913</v>
      </c>
      <c r="C287" s="1" t="n">
        <v>45351</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15407-2020</t>
        </is>
      </c>
      <c r="B288" s="1" t="n">
        <v>43913</v>
      </c>
      <c r="C288" s="1" t="n">
        <v>45351</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15413-2020</t>
        </is>
      </c>
      <c r="B289" s="1" t="n">
        <v>43913</v>
      </c>
      <c r="C289" s="1" t="n">
        <v>45351</v>
      </c>
      <c r="D289" t="inlineStr">
        <is>
          <t>VÄSTERBOTTENS LÄN</t>
        </is>
      </c>
      <c r="E289" t="inlineStr">
        <is>
          <t>VILHELMINA</t>
        </is>
      </c>
      <c r="F289" t="inlineStr">
        <is>
          <t>SCA</t>
        </is>
      </c>
      <c r="G289" t="n">
        <v>12.1</v>
      </c>
      <c r="H289" t="n">
        <v>0</v>
      </c>
      <c r="I289" t="n">
        <v>0</v>
      </c>
      <c r="J289" t="n">
        <v>0</v>
      </c>
      <c r="K289" t="n">
        <v>0</v>
      </c>
      <c r="L289" t="n">
        <v>0</v>
      </c>
      <c r="M289" t="n">
        <v>0</v>
      </c>
      <c r="N289" t="n">
        <v>0</v>
      </c>
      <c r="O289" t="n">
        <v>0</v>
      </c>
      <c r="P289" t="n">
        <v>0</v>
      </c>
      <c r="Q289" t="n">
        <v>0</v>
      </c>
      <c r="R289" s="2" t="inlineStr"/>
    </row>
    <row r="290" ht="15" customHeight="1">
      <c r="A290" t="inlineStr">
        <is>
          <t>A 15409-2020</t>
        </is>
      </c>
      <c r="B290" s="1" t="n">
        <v>43913</v>
      </c>
      <c r="C290" s="1" t="n">
        <v>45351</v>
      </c>
      <c r="D290" t="inlineStr">
        <is>
          <t>VÄSTERBOTTENS LÄN</t>
        </is>
      </c>
      <c r="E290" t="inlineStr">
        <is>
          <t>VILHELMINA</t>
        </is>
      </c>
      <c r="F290" t="inlineStr">
        <is>
          <t>SCA</t>
        </is>
      </c>
      <c r="G290" t="n">
        <v>11.1</v>
      </c>
      <c r="H290" t="n">
        <v>0</v>
      </c>
      <c r="I290" t="n">
        <v>0</v>
      </c>
      <c r="J290" t="n">
        <v>0</v>
      </c>
      <c r="K290" t="n">
        <v>0</v>
      </c>
      <c r="L290" t="n">
        <v>0</v>
      </c>
      <c r="M290" t="n">
        <v>0</v>
      </c>
      <c r="N290" t="n">
        <v>0</v>
      </c>
      <c r="O290" t="n">
        <v>0</v>
      </c>
      <c r="P290" t="n">
        <v>0</v>
      </c>
      <c r="Q290" t="n">
        <v>0</v>
      </c>
      <c r="R290" s="2" t="inlineStr"/>
    </row>
    <row r="291" ht="15" customHeight="1">
      <c r="A291" t="inlineStr">
        <is>
          <t>A 15411-2020</t>
        </is>
      </c>
      <c r="B291" s="1" t="n">
        <v>43913</v>
      </c>
      <c r="C291" s="1" t="n">
        <v>45351</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17110-2020</t>
        </is>
      </c>
      <c r="B292" s="1" t="n">
        <v>43913</v>
      </c>
      <c r="C292" s="1" t="n">
        <v>45351</v>
      </c>
      <c r="D292" t="inlineStr">
        <is>
          <t>VÄSTERBOTTENS LÄN</t>
        </is>
      </c>
      <c r="E292" t="inlineStr">
        <is>
          <t>VILHELMINA</t>
        </is>
      </c>
      <c r="G292" t="n">
        <v>15.1</v>
      </c>
      <c r="H292" t="n">
        <v>0</v>
      </c>
      <c r="I292" t="n">
        <v>0</v>
      </c>
      <c r="J292" t="n">
        <v>0</v>
      </c>
      <c r="K292" t="n">
        <v>0</v>
      </c>
      <c r="L292" t="n">
        <v>0</v>
      </c>
      <c r="M292" t="n">
        <v>0</v>
      </c>
      <c r="N292" t="n">
        <v>0</v>
      </c>
      <c r="O292" t="n">
        <v>0</v>
      </c>
      <c r="P292" t="n">
        <v>0</v>
      </c>
      <c r="Q292" t="n">
        <v>0</v>
      </c>
      <c r="R292" s="2" t="inlineStr"/>
    </row>
    <row r="293" ht="15" customHeight="1">
      <c r="A293" t="inlineStr">
        <is>
          <t>A 17115-2020</t>
        </is>
      </c>
      <c r="B293" s="1" t="n">
        <v>43913</v>
      </c>
      <c r="C293" s="1" t="n">
        <v>45351</v>
      </c>
      <c r="D293" t="inlineStr">
        <is>
          <t>VÄSTERBOTTENS LÄN</t>
        </is>
      </c>
      <c r="E293" t="inlineStr">
        <is>
          <t>VILHELMINA</t>
        </is>
      </c>
      <c r="G293" t="n">
        <v>19.8</v>
      </c>
      <c r="H293" t="n">
        <v>0</v>
      </c>
      <c r="I293" t="n">
        <v>0</v>
      </c>
      <c r="J293" t="n">
        <v>0</v>
      </c>
      <c r="K293" t="n">
        <v>0</v>
      </c>
      <c r="L293" t="n">
        <v>0</v>
      </c>
      <c r="M293" t="n">
        <v>0</v>
      </c>
      <c r="N293" t="n">
        <v>0</v>
      </c>
      <c r="O293" t="n">
        <v>0</v>
      </c>
      <c r="P293" t="n">
        <v>0</v>
      </c>
      <c r="Q293" t="n">
        <v>0</v>
      </c>
      <c r="R293" s="2" t="inlineStr"/>
    </row>
    <row r="294" ht="15" customHeight="1">
      <c r="A294" t="inlineStr">
        <is>
          <t>A 15489-2020</t>
        </is>
      </c>
      <c r="B294" s="1" t="n">
        <v>43914</v>
      </c>
      <c r="C294" s="1" t="n">
        <v>45351</v>
      </c>
      <c r="D294" t="inlineStr">
        <is>
          <t>VÄSTERBOTTENS LÄN</t>
        </is>
      </c>
      <c r="E294" t="inlineStr">
        <is>
          <t>VILHELMINA</t>
        </is>
      </c>
      <c r="G294" t="n">
        <v>2.5</v>
      </c>
      <c r="H294" t="n">
        <v>0</v>
      </c>
      <c r="I294" t="n">
        <v>0</v>
      </c>
      <c r="J294" t="n">
        <v>0</v>
      </c>
      <c r="K294" t="n">
        <v>0</v>
      </c>
      <c r="L294" t="n">
        <v>0</v>
      </c>
      <c r="M294" t="n">
        <v>0</v>
      </c>
      <c r="N294" t="n">
        <v>0</v>
      </c>
      <c r="O294" t="n">
        <v>0</v>
      </c>
      <c r="P294" t="n">
        <v>0</v>
      </c>
      <c r="Q294" t="n">
        <v>0</v>
      </c>
      <c r="R294" s="2" t="inlineStr"/>
    </row>
    <row r="295" ht="15" customHeight="1">
      <c r="A295" t="inlineStr">
        <is>
          <t>A 15897-2020</t>
        </is>
      </c>
      <c r="B295" s="1" t="n">
        <v>43915</v>
      </c>
      <c r="C295" s="1" t="n">
        <v>45351</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15692-2020</t>
        </is>
      </c>
      <c r="B296" s="1" t="n">
        <v>43915</v>
      </c>
      <c r="C296" s="1" t="n">
        <v>45351</v>
      </c>
      <c r="D296" t="inlineStr">
        <is>
          <t>VÄSTERBOTTENS LÄN</t>
        </is>
      </c>
      <c r="E296" t="inlineStr">
        <is>
          <t>VILHELMINA</t>
        </is>
      </c>
      <c r="G296" t="n">
        <v>4.5</v>
      </c>
      <c r="H296" t="n">
        <v>0</v>
      </c>
      <c r="I296" t="n">
        <v>0</v>
      </c>
      <c r="J296" t="n">
        <v>0</v>
      </c>
      <c r="K296" t="n">
        <v>0</v>
      </c>
      <c r="L296" t="n">
        <v>0</v>
      </c>
      <c r="M296" t="n">
        <v>0</v>
      </c>
      <c r="N296" t="n">
        <v>0</v>
      </c>
      <c r="O296" t="n">
        <v>0</v>
      </c>
      <c r="P296" t="n">
        <v>0</v>
      </c>
      <c r="Q296" t="n">
        <v>0</v>
      </c>
      <c r="R296" s="2" t="inlineStr"/>
    </row>
    <row r="297" ht="15" customHeight="1">
      <c r="A297" t="inlineStr">
        <is>
          <t>A 15750-2020</t>
        </is>
      </c>
      <c r="B297" s="1" t="n">
        <v>43915</v>
      </c>
      <c r="C297" s="1" t="n">
        <v>45351</v>
      </c>
      <c r="D297" t="inlineStr">
        <is>
          <t>VÄSTERBOTTENS LÄN</t>
        </is>
      </c>
      <c r="E297" t="inlineStr">
        <is>
          <t>VILHELMINA</t>
        </is>
      </c>
      <c r="G297" t="n">
        <v>4.8</v>
      </c>
      <c r="H297" t="n">
        <v>0</v>
      </c>
      <c r="I297" t="n">
        <v>0</v>
      </c>
      <c r="J297" t="n">
        <v>0</v>
      </c>
      <c r="K297" t="n">
        <v>0</v>
      </c>
      <c r="L297" t="n">
        <v>0</v>
      </c>
      <c r="M297" t="n">
        <v>0</v>
      </c>
      <c r="N297" t="n">
        <v>0</v>
      </c>
      <c r="O297" t="n">
        <v>0</v>
      </c>
      <c r="P297" t="n">
        <v>0</v>
      </c>
      <c r="Q297" t="n">
        <v>0</v>
      </c>
      <c r="R297" s="2" t="inlineStr"/>
    </row>
    <row r="298" ht="15" customHeight="1">
      <c r="A298" t="inlineStr">
        <is>
          <t>A 15695-2020</t>
        </is>
      </c>
      <c r="B298" s="1" t="n">
        <v>43915</v>
      </c>
      <c r="C298" s="1" t="n">
        <v>45351</v>
      </c>
      <c r="D298" t="inlineStr">
        <is>
          <t>VÄSTERBOTTENS LÄN</t>
        </is>
      </c>
      <c r="E298" t="inlineStr">
        <is>
          <t>VILHELMINA</t>
        </is>
      </c>
      <c r="G298" t="n">
        <v>2.2</v>
      </c>
      <c r="H298" t="n">
        <v>0</v>
      </c>
      <c r="I298" t="n">
        <v>0</v>
      </c>
      <c r="J298" t="n">
        <v>0</v>
      </c>
      <c r="K298" t="n">
        <v>0</v>
      </c>
      <c r="L298" t="n">
        <v>0</v>
      </c>
      <c r="M298" t="n">
        <v>0</v>
      </c>
      <c r="N298" t="n">
        <v>0</v>
      </c>
      <c r="O298" t="n">
        <v>0</v>
      </c>
      <c r="P298" t="n">
        <v>0</v>
      </c>
      <c r="Q298" t="n">
        <v>0</v>
      </c>
      <c r="R298" s="2" t="inlineStr"/>
    </row>
    <row r="299" ht="15" customHeight="1">
      <c r="A299" t="inlineStr">
        <is>
          <t>A 17522-2020</t>
        </is>
      </c>
      <c r="B299" s="1" t="n">
        <v>43923</v>
      </c>
      <c r="C299" s="1" t="n">
        <v>45351</v>
      </c>
      <c r="D299" t="inlineStr">
        <is>
          <t>VÄSTERBOTTENS LÄN</t>
        </is>
      </c>
      <c r="E299" t="inlineStr">
        <is>
          <t>VILHELMINA</t>
        </is>
      </c>
      <c r="G299" t="n">
        <v>1.1</v>
      </c>
      <c r="H299" t="n">
        <v>0</v>
      </c>
      <c r="I299" t="n">
        <v>0</v>
      </c>
      <c r="J299" t="n">
        <v>0</v>
      </c>
      <c r="K299" t="n">
        <v>0</v>
      </c>
      <c r="L299" t="n">
        <v>0</v>
      </c>
      <c r="M299" t="n">
        <v>0</v>
      </c>
      <c r="N299" t="n">
        <v>0</v>
      </c>
      <c r="O299" t="n">
        <v>0</v>
      </c>
      <c r="P299" t="n">
        <v>0</v>
      </c>
      <c r="Q299" t="n">
        <v>0</v>
      </c>
      <c r="R299" s="2" t="inlineStr"/>
    </row>
    <row r="300" ht="15" customHeight="1">
      <c r="A300" t="inlineStr">
        <is>
          <t>A 17619-2020</t>
        </is>
      </c>
      <c r="B300" s="1" t="n">
        <v>43923</v>
      </c>
      <c r="C300" s="1" t="n">
        <v>45351</v>
      </c>
      <c r="D300" t="inlineStr">
        <is>
          <t>VÄSTERBOTTENS LÄN</t>
        </is>
      </c>
      <c r="E300" t="inlineStr">
        <is>
          <t>VILHELMINA</t>
        </is>
      </c>
      <c r="G300" t="n">
        <v>5.5</v>
      </c>
      <c r="H300" t="n">
        <v>0</v>
      </c>
      <c r="I300" t="n">
        <v>0</v>
      </c>
      <c r="J300" t="n">
        <v>0</v>
      </c>
      <c r="K300" t="n">
        <v>0</v>
      </c>
      <c r="L300" t="n">
        <v>0</v>
      </c>
      <c r="M300" t="n">
        <v>0</v>
      </c>
      <c r="N300" t="n">
        <v>0</v>
      </c>
      <c r="O300" t="n">
        <v>0</v>
      </c>
      <c r="P300" t="n">
        <v>0</v>
      </c>
      <c r="Q300" t="n">
        <v>0</v>
      </c>
      <c r="R300" s="2" t="inlineStr"/>
    </row>
    <row r="301" ht="15" customHeight="1">
      <c r="A301" t="inlineStr">
        <is>
          <t>A 17789-2020</t>
        </is>
      </c>
      <c r="B301" s="1" t="n">
        <v>43923</v>
      </c>
      <c r="C301" s="1" t="n">
        <v>45351</v>
      </c>
      <c r="D301" t="inlineStr">
        <is>
          <t>VÄSTERBOTTENS LÄN</t>
        </is>
      </c>
      <c r="E301" t="inlineStr">
        <is>
          <t>VILHELMINA</t>
        </is>
      </c>
      <c r="F301" t="inlineStr">
        <is>
          <t>Allmännings- och besparingsskogar</t>
        </is>
      </c>
      <c r="G301" t="n">
        <v>1.4</v>
      </c>
      <c r="H301" t="n">
        <v>0</v>
      </c>
      <c r="I301" t="n">
        <v>0</v>
      </c>
      <c r="J301" t="n">
        <v>0</v>
      </c>
      <c r="K301" t="n">
        <v>0</v>
      </c>
      <c r="L301" t="n">
        <v>0</v>
      </c>
      <c r="M301" t="n">
        <v>0</v>
      </c>
      <c r="N301" t="n">
        <v>0</v>
      </c>
      <c r="O301" t="n">
        <v>0</v>
      </c>
      <c r="P301" t="n">
        <v>0</v>
      </c>
      <c r="Q301" t="n">
        <v>0</v>
      </c>
      <c r="R301" s="2" t="inlineStr"/>
    </row>
    <row r="302" ht="15" customHeight="1">
      <c r="A302" t="inlineStr">
        <is>
          <t>A 18165-2020</t>
        </is>
      </c>
      <c r="B302" s="1" t="n">
        <v>43927</v>
      </c>
      <c r="C302" s="1" t="n">
        <v>45351</v>
      </c>
      <c r="D302" t="inlineStr">
        <is>
          <t>VÄSTERBOTTENS LÄN</t>
        </is>
      </c>
      <c r="E302" t="inlineStr">
        <is>
          <t>VILHELMINA</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19009-2020</t>
        </is>
      </c>
      <c r="B303" s="1" t="n">
        <v>43935</v>
      </c>
      <c r="C303" s="1" t="n">
        <v>45351</v>
      </c>
      <c r="D303" t="inlineStr">
        <is>
          <t>VÄSTERBOTTENS LÄN</t>
        </is>
      </c>
      <c r="E303" t="inlineStr">
        <is>
          <t>VILHELMINA</t>
        </is>
      </c>
      <c r="G303" t="n">
        <v>1.5</v>
      </c>
      <c r="H303" t="n">
        <v>0</v>
      </c>
      <c r="I303" t="n">
        <v>0</v>
      </c>
      <c r="J303" t="n">
        <v>0</v>
      </c>
      <c r="K303" t="n">
        <v>0</v>
      </c>
      <c r="L303" t="n">
        <v>0</v>
      </c>
      <c r="M303" t="n">
        <v>0</v>
      </c>
      <c r="N303" t="n">
        <v>0</v>
      </c>
      <c r="O303" t="n">
        <v>0</v>
      </c>
      <c r="P303" t="n">
        <v>0</v>
      </c>
      <c r="Q303" t="n">
        <v>0</v>
      </c>
      <c r="R303" s="2" t="inlineStr"/>
    </row>
    <row r="304" ht="15" customHeight="1">
      <c r="A304" t="inlineStr">
        <is>
          <t>A 20187-2020</t>
        </is>
      </c>
      <c r="B304" s="1" t="n">
        <v>43944</v>
      </c>
      <c r="C304" s="1" t="n">
        <v>45351</v>
      </c>
      <c r="D304" t="inlineStr">
        <is>
          <t>VÄSTERBOTTENS LÄN</t>
        </is>
      </c>
      <c r="E304" t="inlineStr">
        <is>
          <t>VILHELMINA</t>
        </is>
      </c>
      <c r="G304" t="n">
        <v>0.7</v>
      </c>
      <c r="H304" t="n">
        <v>0</v>
      </c>
      <c r="I304" t="n">
        <v>0</v>
      </c>
      <c r="J304" t="n">
        <v>0</v>
      </c>
      <c r="K304" t="n">
        <v>0</v>
      </c>
      <c r="L304" t="n">
        <v>0</v>
      </c>
      <c r="M304" t="n">
        <v>0</v>
      </c>
      <c r="N304" t="n">
        <v>0</v>
      </c>
      <c r="O304" t="n">
        <v>0</v>
      </c>
      <c r="P304" t="n">
        <v>0</v>
      </c>
      <c r="Q304" t="n">
        <v>0</v>
      </c>
      <c r="R304" s="2" t="inlineStr"/>
    </row>
    <row r="305" ht="15" customHeight="1">
      <c r="A305" t="inlineStr">
        <is>
          <t>A 20420-2020</t>
        </is>
      </c>
      <c r="B305" s="1" t="n">
        <v>43945</v>
      </c>
      <c r="C305" s="1" t="n">
        <v>45351</v>
      </c>
      <c r="D305" t="inlineStr">
        <is>
          <t>VÄSTERBOTTENS LÄN</t>
        </is>
      </c>
      <c r="E305" t="inlineStr">
        <is>
          <t>VILHELMINA</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22789-2020</t>
        </is>
      </c>
      <c r="B306" s="1" t="n">
        <v>43964</v>
      </c>
      <c r="C306" s="1" t="n">
        <v>45351</v>
      </c>
      <c r="D306" t="inlineStr">
        <is>
          <t>VÄSTERBOTTENS LÄN</t>
        </is>
      </c>
      <c r="E306" t="inlineStr">
        <is>
          <t>VILHELMINA</t>
        </is>
      </c>
      <c r="G306" t="n">
        <v>1.3</v>
      </c>
      <c r="H306" t="n">
        <v>0</v>
      </c>
      <c r="I306" t="n">
        <v>0</v>
      </c>
      <c r="J306" t="n">
        <v>0</v>
      </c>
      <c r="K306" t="n">
        <v>0</v>
      </c>
      <c r="L306" t="n">
        <v>0</v>
      </c>
      <c r="M306" t="n">
        <v>0</v>
      </c>
      <c r="N306" t="n">
        <v>0</v>
      </c>
      <c r="O306" t="n">
        <v>0</v>
      </c>
      <c r="P306" t="n">
        <v>0</v>
      </c>
      <c r="Q306" t="n">
        <v>0</v>
      </c>
      <c r="R306" s="2" t="inlineStr"/>
    </row>
    <row r="307" ht="15" customHeight="1">
      <c r="A307" t="inlineStr">
        <is>
          <t>A 22791-2020</t>
        </is>
      </c>
      <c r="B307" s="1" t="n">
        <v>43964</v>
      </c>
      <c r="C307" s="1" t="n">
        <v>45351</v>
      </c>
      <c r="D307" t="inlineStr">
        <is>
          <t>VÄSTERBOTTENS LÄN</t>
        </is>
      </c>
      <c r="E307" t="inlineStr">
        <is>
          <t>VILHELMINA</t>
        </is>
      </c>
      <c r="G307" t="n">
        <v>1.3</v>
      </c>
      <c r="H307" t="n">
        <v>0</v>
      </c>
      <c r="I307" t="n">
        <v>0</v>
      </c>
      <c r="J307" t="n">
        <v>0</v>
      </c>
      <c r="K307" t="n">
        <v>0</v>
      </c>
      <c r="L307" t="n">
        <v>0</v>
      </c>
      <c r="M307" t="n">
        <v>0</v>
      </c>
      <c r="N307" t="n">
        <v>0</v>
      </c>
      <c r="O307" t="n">
        <v>0</v>
      </c>
      <c r="P307" t="n">
        <v>0</v>
      </c>
      <c r="Q307" t="n">
        <v>0</v>
      </c>
      <c r="R307" s="2" t="inlineStr"/>
    </row>
    <row r="308" ht="15" customHeight="1">
      <c r="A308" t="inlineStr">
        <is>
          <t>A 23168-2020</t>
        </is>
      </c>
      <c r="B308" s="1" t="n">
        <v>43966</v>
      </c>
      <c r="C308" s="1" t="n">
        <v>45351</v>
      </c>
      <c r="D308" t="inlineStr">
        <is>
          <t>VÄSTERBOTTENS LÄN</t>
        </is>
      </c>
      <c r="E308" t="inlineStr">
        <is>
          <t>VILHELMINA</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23175-2020</t>
        </is>
      </c>
      <c r="B309" s="1" t="n">
        <v>43966</v>
      </c>
      <c r="C309" s="1" t="n">
        <v>45351</v>
      </c>
      <c r="D309" t="inlineStr">
        <is>
          <t>VÄSTERBOTTENS LÄN</t>
        </is>
      </c>
      <c r="E309" t="inlineStr">
        <is>
          <t>VILHELMINA</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24985-2020</t>
        </is>
      </c>
      <c r="B310" s="1" t="n">
        <v>43977</v>
      </c>
      <c r="C310" s="1" t="n">
        <v>45351</v>
      </c>
      <c r="D310" t="inlineStr">
        <is>
          <t>VÄSTERBOTTENS LÄN</t>
        </is>
      </c>
      <c r="E310" t="inlineStr">
        <is>
          <t>VILHELMINA</t>
        </is>
      </c>
      <c r="F310" t="inlineStr">
        <is>
          <t>Övriga statliga verk och myndigheter</t>
        </is>
      </c>
      <c r="G310" t="n">
        <v>16</v>
      </c>
      <c r="H310" t="n">
        <v>0</v>
      </c>
      <c r="I310" t="n">
        <v>0</v>
      </c>
      <c r="J310" t="n">
        <v>0</v>
      </c>
      <c r="K310" t="n">
        <v>0</v>
      </c>
      <c r="L310" t="n">
        <v>0</v>
      </c>
      <c r="M310" t="n">
        <v>0</v>
      </c>
      <c r="N310" t="n">
        <v>0</v>
      </c>
      <c r="O310" t="n">
        <v>0</v>
      </c>
      <c r="P310" t="n">
        <v>0</v>
      </c>
      <c r="Q310" t="n">
        <v>0</v>
      </c>
      <c r="R310" s="2" t="inlineStr"/>
    </row>
    <row r="311" ht="15" customHeight="1">
      <c r="A311" t="inlineStr">
        <is>
          <t>A 25491-2020</t>
        </is>
      </c>
      <c r="B311" s="1" t="n">
        <v>43983</v>
      </c>
      <c r="C311" s="1" t="n">
        <v>45351</v>
      </c>
      <c r="D311" t="inlineStr">
        <is>
          <t>VÄSTERBOTTENS LÄN</t>
        </is>
      </c>
      <c r="E311" t="inlineStr">
        <is>
          <t>VILHELMINA</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25498-2020</t>
        </is>
      </c>
      <c r="B312" s="1" t="n">
        <v>43983</v>
      </c>
      <c r="C312" s="1" t="n">
        <v>45351</v>
      </c>
      <c r="D312" t="inlineStr">
        <is>
          <t>VÄSTERBOTTENS LÄN</t>
        </is>
      </c>
      <c r="E312" t="inlineStr">
        <is>
          <t>VILHELMINA</t>
        </is>
      </c>
      <c r="F312" t="inlineStr">
        <is>
          <t>Allmännings- och besparingsskogar</t>
        </is>
      </c>
      <c r="G312" t="n">
        <v>22.6</v>
      </c>
      <c r="H312" t="n">
        <v>0</v>
      </c>
      <c r="I312" t="n">
        <v>0</v>
      </c>
      <c r="J312" t="n">
        <v>0</v>
      </c>
      <c r="K312" t="n">
        <v>0</v>
      </c>
      <c r="L312" t="n">
        <v>0</v>
      </c>
      <c r="M312" t="n">
        <v>0</v>
      </c>
      <c r="N312" t="n">
        <v>0</v>
      </c>
      <c r="O312" t="n">
        <v>0</v>
      </c>
      <c r="P312" t="n">
        <v>0</v>
      </c>
      <c r="Q312" t="n">
        <v>0</v>
      </c>
      <c r="R312" s="2" t="inlineStr"/>
    </row>
    <row r="313" ht="15" customHeight="1">
      <c r="A313" t="inlineStr">
        <is>
          <t>A 26382-2020</t>
        </is>
      </c>
      <c r="B313" s="1" t="n">
        <v>43986</v>
      </c>
      <c r="C313" s="1" t="n">
        <v>45351</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26308-2020</t>
        </is>
      </c>
      <c r="B314" s="1" t="n">
        <v>43986</v>
      </c>
      <c r="C314" s="1" t="n">
        <v>45351</v>
      </c>
      <c r="D314" t="inlineStr">
        <is>
          <t>VÄSTERBOTTENS LÄN</t>
        </is>
      </c>
      <c r="E314" t="inlineStr">
        <is>
          <t>VILHELMINA</t>
        </is>
      </c>
      <c r="G314" t="n">
        <v>12.1</v>
      </c>
      <c r="H314" t="n">
        <v>0</v>
      </c>
      <c r="I314" t="n">
        <v>0</v>
      </c>
      <c r="J314" t="n">
        <v>0</v>
      </c>
      <c r="K314" t="n">
        <v>0</v>
      </c>
      <c r="L314" t="n">
        <v>0</v>
      </c>
      <c r="M314" t="n">
        <v>0</v>
      </c>
      <c r="N314" t="n">
        <v>0</v>
      </c>
      <c r="O314" t="n">
        <v>0</v>
      </c>
      <c r="P314" t="n">
        <v>0</v>
      </c>
      <c r="Q314" t="n">
        <v>0</v>
      </c>
      <c r="R314" s="2" t="inlineStr"/>
    </row>
    <row r="315" ht="15" customHeight="1">
      <c r="A315" t="inlineStr">
        <is>
          <t>A 28871-2020</t>
        </is>
      </c>
      <c r="B315" s="1" t="n">
        <v>44000</v>
      </c>
      <c r="C315" s="1" t="n">
        <v>45351</v>
      </c>
      <c r="D315" t="inlineStr">
        <is>
          <t>VÄSTERBOTTENS LÄN</t>
        </is>
      </c>
      <c r="E315" t="inlineStr">
        <is>
          <t>VILHELMINA</t>
        </is>
      </c>
      <c r="F315" t="inlineStr">
        <is>
          <t>Kommuner</t>
        </is>
      </c>
      <c r="G315" t="n">
        <v>0.2</v>
      </c>
      <c r="H315" t="n">
        <v>0</v>
      </c>
      <c r="I315" t="n">
        <v>0</v>
      </c>
      <c r="J315" t="n">
        <v>0</v>
      </c>
      <c r="K315" t="n">
        <v>0</v>
      </c>
      <c r="L315" t="n">
        <v>0</v>
      </c>
      <c r="M315" t="n">
        <v>0</v>
      </c>
      <c r="N315" t="n">
        <v>0</v>
      </c>
      <c r="O315" t="n">
        <v>0</v>
      </c>
      <c r="P315" t="n">
        <v>0</v>
      </c>
      <c r="Q315" t="n">
        <v>0</v>
      </c>
      <c r="R315" s="2" t="inlineStr"/>
    </row>
    <row r="316" ht="15" customHeight="1">
      <c r="A316" t="inlineStr">
        <is>
          <t>A 28864-2020</t>
        </is>
      </c>
      <c r="B316" s="1" t="n">
        <v>44000</v>
      </c>
      <c r="C316" s="1" t="n">
        <v>45351</v>
      </c>
      <c r="D316" t="inlineStr">
        <is>
          <t>VÄSTERBOTTENS LÄN</t>
        </is>
      </c>
      <c r="E316" t="inlineStr">
        <is>
          <t>VILHELMINA</t>
        </is>
      </c>
      <c r="F316" t="inlineStr">
        <is>
          <t>Kommuner</t>
        </is>
      </c>
      <c r="G316" t="n">
        <v>0.2</v>
      </c>
      <c r="H316" t="n">
        <v>0</v>
      </c>
      <c r="I316" t="n">
        <v>0</v>
      </c>
      <c r="J316" t="n">
        <v>0</v>
      </c>
      <c r="K316" t="n">
        <v>0</v>
      </c>
      <c r="L316" t="n">
        <v>0</v>
      </c>
      <c r="M316" t="n">
        <v>0</v>
      </c>
      <c r="N316" t="n">
        <v>0</v>
      </c>
      <c r="O316" t="n">
        <v>0</v>
      </c>
      <c r="P316" t="n">
        <v>0</v>
      </c>
      <c r="Q316" t="n">
        <v>0</v>
      </c>
      <c r="R316" s="2" t="inlineStr"/>
    </row>
    <row r="317" ht="15" customHeight="1">
      <c r="A317" t="inlineStr">
        <is>
          <t>A 30210-2020</t>
        </is>
      </c>
      <c r="B317" s="1" t="n">
        <v>44007</v>
      </c>
      <c r="C317" s="1" t="n">
        <v>45351</v>
      </c>
      <c r="D317" t="inlineStr">
        <is>
          <t>VÄSTERBOTTENS LÄN</t>
        </is>
      </c>
      <c r="E317" t="inlineStr">
        <is>
          <t>VILHELMINA</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30373-2020</t>
        </is>
      </c>
      <c r="B318" s="1" t="n">
        <v>44007</v>
      </c>
      <c r="C318" s="1" t="n">
        <v>45351</v>
      </c>
      <c r="D318" t="inlineStr">
        <is>
          <t>VÄSTERBOTTENS LÄN</t>
        </is>
      </c>
      <c r="E318" t="inlineStr">
        <is>
          <t>VILHELMINA</t>
        </is>
      </c>
      <c r="F318" t="inlineStr">
        <is>
          <t>Övriga statliga verk och myndigheter</t>
        </is>
      </c>
      <c r="G318" t="n">
        <v>1.2</v>
      </c>
      <c r="H318" t="n">
        <v>0</v>
      </c>
      <c r="I318" t="n">
        <v>0</v>
      </c>
      <c r="J318" t="n">
        <v>0</v>
      </c>
      <c r="K318" t="n">
        <v>0</v>
      </c>
      <c r="L318" t="n">
        <v>0</v>
      </c>
      <c r="M318" t="n">
        <v>0</v>
      </c>
      <c r="N318" t="n">
        <v>0</v>
      </c>
      <c r="O318" t="n">
        <v>0</v>
      </c>
      <c r="P318" t="n">
        <v>0</v>
      </c>
      <c r="Q318" t="n">
        <v>0</v>
      </c>
      <c r="R318" s="2" t="inlineStr"/>
    </row>
    <row r="319" ht="15" customHeight="1">
      <c r="A319" t="inlineStr">
        <is>
          <t>A 33370-2020</t>
        </is>
      </c>
      <c r="B319" s="1" t="n">
        <v>44022</v>
      </c>
      <c r="C319" s="1" t="n">
        <v>45351</v>
      </c>
      <c r="D319" t="inlineStr">
        <is>
          <t>VÄSTERBOTTENS LÄN</t>
        </is>
      </c>
      <c r="E319" t="inlineStr">
        <is>
          <t>VILHELMINA</t>
        </is>
      </c>
      <c r="G319" t="n">
        <v>2.7</v>
      </c>
      <c r="H319" t="n">
        <v>0</v>
      </c>
      <c r="I319" t="n">
        <v>0</v>
      </c>
      <c r="J319" t="n">
        <v>0</v>
      </c>
      <c r="K319" t="n">
        <v>0</v>
      </c>
      <c r="L319" t="n">
        <v>0</v>
      </c>
      <c r="M319" t="n">
        <v>0</v>
      </c>
      <c r="N319" t="n">
        <v>0</v>
      </c>
      <c r="O319" t="n">
        <v>0</v>
      </c>
      <c r="P319" t="n">
        <v>0</v>
      </c>
      <c r="Q319" t="n">
        <v>0</v>
      </c>
      <c r="R319" s="2" t="inlineStr"/>
    </row>
    <row r="320" ht="15" customHeight="1">
      <c r="A320" t="inlineStr">
        <is>
          <t>A 34368-2020</t>
        </is>
      </c>
      <c r="B320" s="1" t="n">
        <v>44032</v>
      </c>
      <c r="C320" s="1" t="n">
        <v>45351</v>
      </c>
      <c r="D320" t="inlineStr">
        <is>
          <t>VÄSTERBOTTENS LÄN</t>
        </is>
      </c>
      <c r="E320" t="inlineStr">
        <is>
          <t>VILHELMINA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34909-2020</t>
        </is>
      </c>
      <c r="B321" s="1" t="n">
        <v>44036</v>
      </c>
      <c r="C321" s="1" t="n">
        <v>45351</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34987-2020</t>
        </is>
      </c>
      <c r="B322" s="1" t="n">
        <v>44039</v>
      </c>
      <c r="C322" s="1" t="n">
        <v>45351</v>
      </c>
      <c r="D322" t="inlineStr">
        <is>
          <t>VÄSTERBOTTENS LÄN</t>
        </is>
      </c>
      <c r="E322" t="inlineStr">
        <is>
          <t>VILHELMINA</t>
        </is>
      </c>
      <c r="G322" t="n">
        <v>16.6</v>
      </c>
      <c r="H322" t="n">
        <v>0</v>
      </c>
      <c r="I322" t="n">
        <v>0</v>
      </c>
      <c r="J322" t="n">
        <v>0</v>
      </c>
      <c r="K322" t="n">
        <v>0</v>
      </c>
      <c r="L322" t="n">
        <v>0</v>
      </c>
      <c r="M322" t="n">
        <v>0</v>
      </c>
      <c r="N322" t="n">
        <v>0</v>
      </c>
      <c r="O322" t="n">
        <v>0</v>
      </c>
      <c r="P322" t="n">
        <v>0</v>
      </c>
      <c r="Q322" t="n">
        <v>0</v>
      </c>
      <c r="R322" s="2" t="inlineStr"/>
    </row>
    <row r="323" ht="15" customHeight="1">
      <c r="A323" t="inlineStr">
        <is>
          <t>A 36875-2020</t>
        </is>
      </c>
      <c r="B323" s="1" t="n">
        <v>44053</v>
      </c>
      <c r="C323" s="1" t="n">
        <v>45351</v>
      </c>
      <c r="D323" t="inlineStr">
        <is>
          <t>VÄSTERBOTTENS LÄN</t>
        </is>
      </c>
      <c r="E323" t="inlineStr">
        <is>
          <t>VILHELMINA</t>
        </is>
      </c>
      <c r="G323" t="n">
        <v>2.9</v>
      </c>
      <c r="H323" t="n">
        <v>0</v>
      </c>
      <c r="I323" t="n">
        <v>0</v>
      </c>
      <c r="J323" t="n">
        <v>0</v>
      </c>
      <c r="K323" t="n">
        <v>0</v>
      </c>
      <c r="L323" t="n">
        <v>0</v>
      </c>
      <c r="M323" t="n">
        <v>0</v>
      </c>
      <c r="N323" t="n">
        <v>0</v>
      </c>
      <c r="O323" t="n">
        <v>0</v>
      </c>
      <c r="P323" t="n">
        <v>0</v>
      </c>
      <c r="Q323" t="n">
        <v>0</v>
      </c>
      <c r="R323" s="2" t="inlineStr"/>
    </row>
    <row r="324" ht="15" customHeight="1">
      <c r="A324" t="inlineStr">
        <is>
          <t>A 38349-2020</t>
        </is>
      </c>
      <c r="B324" s="1" t="n">
        <v>44060</v>
      </c>
      <c r="C324" s="1" t="n">
        <v>45351</v>
      </c>
      <c r="D324" t="inlineStr">
        <is>
          <t>VÄSTERBOTTENS LÄN</t>
        </is>
      </c>
      <c r="E324" t="inlineStr">
        <is>
          <t>VILHELMINA</t>
        </is>
      </c>
      <c r="F324" t="inlineStr">
        <is>
          <t>SCA</t>
        </is>
      </c>
      <c r="G324" t="n">
        <v>26.8</v>
      </c>
      <c r="H324" t="n">
        <v>0</v>
      </c>
      <c r="I324" t="n">
        <v>0</v>
      </c>
      <c r="J324" t="n">
        <v>0</v>
      </c>
      <c r="K324" t="n">
        <v>0</v>
      </c>
      <c r="L324" t="n">
        <v>0</v>
      </c>
      <c r="M324" t="n">
        <v>0</v>
      </c>
      <c r="N324" t="n">
        <v>0</v>
      </c>
      <c r="O324" t="n">
        <v>0</v>
      </c>
      <c r="P324" t="n">
        <v>0</v>
      </c>
      <c r="Q324" t="n">
        <v>0</v>
      </c>
      <c r="R324" s="2" t="inlineStr"/>
    </row>
    <row r="325" ht="15" customHeight="1">
      <c r="A325" t="inlineStr">
        <is>
          <t>A 40116-2020</t>
        </is>
      </c>
      <c r="B325" s="1" t="n">
        <v>44064</v>
      </c>
      <c r="C325" s="1" t="n">
        <v>45351</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40100-2020</t>
        </is>
      </c>
      <c r="B326" s="1" t="n">
        <v>44064</v>
      </c>
      <c r="C326" s="1" t="n">
        <v>45351</v>
      </c>
      <c r="D326" t="inlineStr">
        <is>
          <t>VÄSTERBOTTENS LÄN</t>
        </is>
      </c>
      <c r="E326" t="inlineStr">
        <is>
          <t>VILHELMINA</t>
        </is>
      </c>
      <c r="G326" t="n">
        <v>22.5</v>
      </c>
      <c r="H326" t="n">
        <v>0</v>
      </c>
      <c r="I326" t="n">
        <v>0</v>
      </c>
      <c r="J326" t="n">
        <v>0</v>
      </c>
      <c r="K326" t="n">
        <v>0</v>
      </c>
      <c r="L326" t="n">
        <v>0</v>
      </c>
      <c r="M326" t="n">
        <v>0</v>
      </c>
      <c r="N326" t="n">
        <v>0</v>
      </c>
      <c r="O326" t="n">
        <v>0</v>
      </c>
      <c r="P326" t="n">
        <v>0</v>
      </c>
      <c r="Q326" t="n">
        <v>0</v>
      </c>
      <c r="R326" s="2" t="inlineStr"/>
    </row>
    <row r="327" ht="15" customHeight="1">
      <c r="A327" t="inlineStr">
        <is>
          <t>A 40842-2020</t>
        </is>
      </c>
      <c r="B327" s="1" t="n">
        <v>44069</v>
      </c>
      <c r="C327" s="1" t="n">
        <v>45351</v>
      </c>
      <c r="D327" t="inlineStr">
        <is>
          <t>VÄSTERBOTTENS LÄN</t>
        </is>
      </c>
      <c r="E327" t="inlineStr">
        <is>
          <t>VILHELMINA</t>
        </is>
      </c>
      <c r="G327" t="n">
        <v>20.4</v>
      </c>
      <c r="H327" t="n">
        <v>0</v>
      </c>
      <c r="I327" t="n">
        <v>0</v>
      </c>
      <c r="J327" t="n">
        <v>0</v>
      </c>
      <c r="K327" t="n">
        <v>0</v>
      </c>
      <c r="L327" t="n">
        <v>0</v>
      </c>
      <c r="M327" t="n">
        <v>0</v>
      </c>
      <c r="N327" t="n">
        <v>0</v>
      </c>
      <c r="O327" t="n">
        <v>0</v>
      </c>
      <c r="P327" t="n">
        <v>0</v>
      </c>
      <c r="Q327" t="n">
        <v>0</v>
      </c>
      <c r="R327" s="2" t="inlineStr"/>
    </row>
    <row r="328" ht="15" customHeight="1">
      <c r="A328" t="inlineStr">
        <is>
          <t>A 41267-2020</t>
        </is>
      </c>
      <c r="B328" s="1" t="n">
        <v>44071</v>
      </c>
      <c r="C328" s="1" t="n">
        <v>45351</v>
      </c>
      <c r="D328" t="inlineStr">
        <is>
          <t>VÄSTERBOTTENS LÄN</t>
        </is>
      </c>
      <c r="E328" t="inlineStr">
        <is>
          <t>VILHELMINA</t>
        </is>
      </c>
      <c r="G328" t="n">
        <v>1.9</v>
      </c>
      <c r="H328" t="n">
        <v>0</v>
      </c>
      <c r="I328" t="n">
        <v>0</v>
      </c>
      <c r="J328" t="n">
        <v>0</v>
      </c>
      <c r="K328" t="n">
        <v>0</v>
      </c>
      <c r="L328" t="n">
        <v>0</v>
      </c>
      <c r="M328" t="n">
        <v>0</v>
      </c>
      <c r="N328" t="n">
        <v>0</v>
      </c>
      <c r="O328" t="n">
        <v>0</v>
      </c>
      <c r="P328" t="n">
        <v>0</v>
      </c>
      <c r="Q328" t="n">
        <v>0</v>
      </c>
      <c r="R328" s="2" t="inlineStr"/>
    </row>
    <row r="329" ht="15" customHeight="1">
      <c r="A329" t="inlineStr">
        <is>
          <t>A 42205-2020</t>
        </is>
      </c>
      <c r="B329" s="1" t="n">
        <v>44075</v>
      </c>
      <c r="C329" s="1" t="n">
        <v>45351</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43080-2020</t>
        </is>
      </c>
      <c r="B330" s="1" t="n">
        <v>44078</v>
      </c>
      <c r="C330" s="1" t="n">
        <v>45351</v>
      </c>
      <c r="D330" t="inlineStr">
        <is>
          <t>VÄSTERBOTTENS LÄN</t>
        </is>
      </c>
      <c r="E330" t="inlineStr">
        <is>
          <t>VILHELMINA</t>
        </is>
      </c>
      <c r="F330" t="inlineStr">
        <is>
          <t>SCA</t>
        </is>
      </c>
      <c r="G330" t="n">
        <v>15.4</v>
      </c>
      <c r="H330" t="n">
        <v>0</v>
      </c>
      <c r="I330" t="n">
        <v>0</v>
      </c>
      <c r="J330" t="n">
        <v>0</v>
      </c>
      <c r="K330" t="n">
        <v>0</v>
      </c>
      <c r="L330" t="n">
        <v>0</v>
      </c>
      <c r="M330" t="n">
        <v>0</v>
      </c>
      <c r="N330" t="n">
        <v>0</v>
      </c>
      <c r="O330" t="n">
        <v>0</v>
      </c>
      <c r="P330" t="n">
        <v>0</v>
      </c>
      <c r="Q330" t="n">
        <v>0</v>
      </c>
      <c r="R330" s="2" t="inlineStr"/>
    </row>
    <row r="331" ht="15" customHeight="1">
      <c r="A331" t="inlineStr">
        <is>
          <t>A 44507-2020</t>
        </is>
      </c>
      <c r="B331" s="1" t="n">
        <v>44084</v>
      </c>
      <c r="C331" s="1" t="n">
        <v>45351</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46509-2020</t>
        </is>
      </c>
      <c r="B332" s="1" t="n">
        <v>44088</v>
      </c>
      <c r="C332" s="1" t="n">
        <v>45351</v>
      </c>
      <c r="D332" t="inlineStr">
        <is>
          <t>VÄSTERBOTTENS LÄN</t>
        </is>
      </c>
      <c r="E332" t="inlineStr">
        <is>
          <t>VILHELMINA</t>
        </is>
      </c>
      <c r="G332" t="n">
        <v>4.5</v>
      </c>
      <c r="H332" t="n">
        <v>0</v>
      </c>
      <c r="I332" t="n">
        <v>0</v>
      </c>
      <c r="J332" t="n">
        <v>0</v>
      </c>
      <c r="K332" t="n">
        <v>0</v>
      </c>
      <c r="L332" t="n">
        <v>0</v>
      </c>
      <c r="M332" t="n">
        <v>0</v>
      </c>
      <c r="N332" t="n">
        <v>0</v>
      </c>
      <c r="O332" t="n">
        <v>0</v>
      </c>
      <c r="P332" t="n">
        <v>0</v>
      </c>
      <c r="Q332" t="n">
        <v>0</v>
      </c>
      <c r="R332" s="2" t="inlineStr"/>
    </row>
    <row r="333" ht="15" customHeight="1">
      <c r="A333" t="inlineStr">
        <is>
          <t>A 46378-2020</t>
        </is>
      </c>
      <c r="B333" s="1" t="n">
        <v>44092</v>
      </c>
      <c r="C333" s="1" t="n">
        <v>45351</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46373-2020</t>
        </is>
      </c>
      <c r="B334" s="1" t="n">
        <v>44092</v>
      </c>
      <c r="C334" s="1" t="n">
        <v>45351</v>
      </c>
      <c r="D334" t="inlineStr">
        <is>
          <t>VÄSTERBOTTENS LÄN</t>
        </is>
      </c>
      <c r="E334" t="inlineStr">
        <is>
          <t>VILHELMINA</t>
        </is>
      </c>
      <c r="F334" t="inlineStr">
        <is>
          <t>SCA</t>
        </is>
      </c>
      <c r="G334" t="n">
        <v>6.8</v>
      </c>
      <c r="H334" t="n">
        <v>0</v>
      </c>
      <c r="I334" t="n">
        <v>0</v>
      </c>
      <c r="J334" t="n">
        <v>0</v>
      </c>
      <c r="K334" t="n">
        <v>0</v>
      </c>
      <c r="L334" t="n">
        <v>0</v>
      </c>
      <c r="M334" t="n">
        <v>0</v>
      </c>
      <c r="N334" t="n">
        <v>0</v>
      </c>
      <c r="O334" t="n">
        <v>0</v>
      </c>
      <c r="P334" t="n">
        <v>0</v>
      </c>
      <c r="Q334" t="n">
        <v>0</v>
      </c>
      <c r="R334" s="2" t="inlineStr"/>
    </row>
    <row r="335" ht="15" customHeight="1">
      <c r="A335" t="inlineStr">
        <is>
          <t>A 47308-2020</t>
        </is>
      </c>
      <c r="B335" s="1" t="n">
        <v>44092</v>
      </c>
      <c r="C335" s="1" t="n">
        <v>45351</v>
      </c>
      <c r="D335" t="inlineStr">
        <is>
          <t>VÄSTERBOTTENS LÄN</t>
        </is>
      </c>
      <c r="E335" t="inlineStr">
        <is>
          <t>VILHELMINA</t>
        </is>
      </c>
      <c r="F335" t="inlineStr">
        <is>
          <t>Övriga statliga verk och myndigheter</t>
        </is>
      </c>
      <c r="G335" t="n">
        <v>35.3</v>
      </c>
      <c r="H335" t="n">
        <v>0</v>
      </c>
      <c r="I335" t="n">
        <v>0</v>
      </c>
      <c r="J335" t="n">
        <v>0</v>
      </c>
      <c r="K335" t="n">
        <v>0</v>
      </c>
      <c r="L335" t="n">
        <v>0</v>
      </c>
      <c r="M335" t="n">
        <v>0</v>
      </c>
      <c r="N335" t="n">
        <v>0</v>
      </c>
      <c r="O335" t="n">
        <v>0</v>
      </c>
      <c r="P335" t="n">
        <v>0</v>
      </c>
      <c r="Q335" t="n">
        <v>0</v>
      </c>
      <c r="R335" s="2" t="inlineStr"/>
    </row>
    <row r="336" ht="15" customHeight="1">
      <c r="A336" t="inlineStr">
        <is>
          <t>A 48256-2020</t>
        </is>
      </c>
      <c r="B336" s="1" t="n">
        <v>44092</v>
      </c>
      <c r="C336" s="1" t="n">
        <v>45351</v>
      </c>
      <c r="D336" t="inlineStr">
        <is>
          <t>VÄSTERBOTTENS LÄN</t>
        </is>
      </c>
      <c r="E336" t="inlineStr">
        <is>
          <t>VILHELMINA</t>
        </is>
      </c>
      <c r="F336" t="inlineStr">
        <is>
          <t>Övriga statliga verk och myndigheter</t>
        </is>
      </c>
      <c r="G336" t="n">
        <v>13.4</v>
      </c>
      <c r="H336" t="n">
        <v>0</v>
      </c>
      <c r="I336" t="n">
        <v>0</v>
      </c>
      <c r="J336" t="n">
        <v>0</v>
      </c>
      <c r="K336" t="n">
        <v>0</v>
      </c>
      <c r="L336" t="n">
        <v>0</v>
      </c>
      <c r="M336" t="n">
        <v>0</v>
      </c>
      <c r="N336" t="n">
        <v>0</v>
      </c>
      <c r="O336" t="n">
        <v>0</v>
      </c>
      <c r="P336" t="n">
        <v>0</v>
      </c>
      <c r="Q336" t="n">
        <v>0</v>
      </c>
      <c r="R336" s="2" t="inlineStr"/>
    </row>
    <row r="337" ht="15" customHeight="1">
      <c r="A337" t="inlineStr">
        <is>
          <t>A 48019-2020</t>
        </is>
      </c>
      <c r="B337" s="1" t="n">
        <v>44092</v>
      </c>
      <c r="C337" s="1" t="n">
        <v>45351</v>
      </c>
      <c r="D337" t="inlineStr">
        <is>
          <t>VÄSTERBOTTENS LÄN</t>
        </is>
      </c>
      <c r="E337" t="inlineStr">
        <is>
          <t>VILHELMINA</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47193-2020</t>
        </is>
      </c>
      <c r="B338" s="1" t="n">
        <v>44097</v>
      </c>
      <c r="C338" s="1" t="n">
        <v>45351</v>
      </c>
      <c r="D338" t="inlineStr">
        <is>
          <t>VÄSTERBOTTENS LÄN</t>
        </is>
      </c>
      <c r="E338" t="inlineStr">
        <is>
          <t>VILHELMINA</t>
        </is>
      </c>
      <c r="G338" t="n">
        <v>6.8</v>
      </c>
      <c r="H338" t="n">
        <v>0</v>
      </c>
      <c r="I338" t="n">
        <v>0</v>
      </c>
      <c r="J338" t="n">
        <v>0</v>
      </c>
      <c r="K338" t="n">
        <v>0</v>
      </c>
      <c r="L338" t="n">
        <v>0</v>
      </c>
      <c r="M338" t="n">
        <v>0</v>
      </c>
      <c r="N338" t="n">
        <v>0</v>
      </c>
      <c r="O338" t="n">
        <v>0</v>
      </c>
      <c r="P338" t="n">
        <v>0</v>
      </c>
      <c r="Q338" t="n">
        <v>0</v>
      </c>
      <c r="R338" s="2" t="inlineStr"/>
    </row>
    <row r="339" ht="15" customHeight="1">
      <c r="A339" t="inlineStr">
        <is>
          <t>A 52165-2020</t>
        </is>
      </c>
      <c r="B339" s="1" t="n">
        <v>44105</v>
      </c>
      <c r="C339" s="1" t="n">
        <v>45351</v>
      </c>
      <c r="D339" t="inlineStr">
        <is>
          <t>VÄSTERBOTTENS LÄN</t>
        </is>
      </c>
      <c r="E339" t="inlineStr">
        <is>
          <t>VILHELMINA</t>
        </is>
      </c>
      <c r="G339" t="n">
        <v>16.1</v>
      </c>
      <c r="H339" t="n">
        <v>0</v>
      </c>
      <c r="I339" t="n">
        <v>0</v>
      </c>
      <c r="J339" t="n">
        <v>0</v>
      </c>
      <c r="K339" t="n">
        <v>0</v>
      </c>
      <c r="L339" t="n">
        <v>0</v>
      </c>
      <c r="M339" t="n">
        <v>0</v>
      </c>
      <c r="N339" t="n">
        <v>0</v>
      </c>
      <c r="O339" t="n">
        <v>0</v>
      </c>
      <c r="P339" t="n">
        <v>0</v>
      </c>
      <c r="Q339" t="n">
        <v>0</v>
      </c>
      <c r="R339" s="2" t="inlineStr"/>
    </row>
    <row r="340" ht="15" customHeight="1">
      <c r="A340" t="inlineStr">
        <is>
          <t>A 52174-2020</t>
        </is>
      </c>
      <c r="B340" s="1" t="n">
        <v>44105</v>
      </c>
      <c r="C340" s="1" t="n">
        <v>45351</v>
      </c>
      <c r="D340" t="inlineStr">
        <is>
          <t>VÄSTERBOTTENS LÄN</t>
        </is>
      </c>
      <c r="E340" t="inlineStr">
        <is>
          <t>VILHELMINA</t>
        </is>
      </c>
      <c r="G340" t="n">
        <v>3</v>
      </c>
      <c r="H340" t="n">
        <v>0</v>
      </c>
      <c r="I340" t="n">
        <v>0</v>
      </c>
      <c r="J340" t="n">
        <v>0</v>
      </c>
      <c r="K340" t="n">
        <v>0</v>
      </c>
      <c r="L340" t="n">
        <v>0</v>
      </c>
      <c r="M340" t="n">
        <v>0</v>
      </c>
      <c r="N340" t="n">
        <v>0</v>
      </c>
      <c r="O340" t="n">
        <v>0</v>
      </c>
      <c r="P340" t="n">
        <v>0</v>
      </c>
      <c r="Q340" t="n">
        <v>0</v>
      </c>
      <c r="R340" s="2" t="inlineStr"/>
    </row>
    <row r="341" ht="15" customHeight="1">
      <c r="A341" t="inlineStr">
        <is>
          <t>A 50139-2020</t>
        </is>
      </c>
      <c r="B341" s="1" t="n">
        <v>44109</v>
      </c>
      <c r="C341" s="1" t="n">
        <v>45351</v>
      </c>
      <c r="D341" t="inlineStr">
        <is>
          <t>VÄSTERBOTTENS LÄN</t>
        </is>
      </c>
      <c r="E341" t="inlineStr">
        <is>
          <t>VILHELMINA</t>
        </is>
      </c>
      <c r="G341" t="n">
        <v>1.2</v>
      </c>
      <c r="H341" t="n">
        <v>0</v>
      </c>
      <c r="I341" t="n">
        <v>0</v>
      </c>
      <c r="J341" t="n">
        <v>0</v>
      </c>
      <c r="K341" t="n">
        <v>0</v>
      </c>
      <c r="L341" t="n">
        <v>0</v>
      </c>
      <c r="M341" t="n">
        <v>0</v>
      </c>
      <c r="N341" t="n">
        <v>0</v>
      </c>
      <c r="O341" t="n">
        <v>0</v>
      </c>
      <c r="P341" t="n">
        <v>0</v>
      </c>
      <c r="Q341" t="n">
        <v>0</v>
      </c>
      <c r="R341" s="2" t="inlineStr"/>
    </row>
    <row r="342" ht="15" customHeight="1">
      <c r="A342" t="inlineStr">
        <is>
          <t>A 52669-2020</t>
        </is>
      </c>
      <c r="B342" s="1" t="n">
        <v>44118</v>
      </c>
      <c r="C342" s="1" t="n">
        <v>45351</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54947-2020</t>
        </is>
      </c>
      <c r="B343" s="1" t="n">
        <v>44129</v>
      </c>
      <c r="C343" s="1" t="n">
        <v>45351</v>
      </c>
      <c r="D343" t="inlineStr">
        <is>
          <t>VÄSTERBOTTENS LÄN</t>
        </is>
      </c>
      <c r="E343" t="inlineStr">
        <is>
          <t>VILHELMINA</t>
        </is>
      </c>
      <c r="G343" t="n">
        <v>6.1</v>
      </c>
      <c r="H343" t="n">
        <v>0</v>
      </c>
      <c r="I343" t="n">
        <v>0</v>
      </c>
      <c r="J343" t="n">
        <v>0</v>
      </c>
      <c r="K343" t="n">
        <v>0</v>
      </c>
      <c r="L343" t="n">
        <v>0</v>
      </c>
      <c r="M343" t="n">
        <v>0</v>
      </c>
      <c r="N343" t="n">
        <v>0</v>
      </c>
      <c r="O343" t="n">
        <v>0</v>
      </c>
      <c r="P343" t="n">
        <v>0</v>
      </c>
      <c r="Q343" t="n">
        <v>0</v>
      </c>
      <c r="R343" s="2" t="inlineStr"/>
    </row>
    <row r="344" ht="15" customHeight="1">
      <c r="A344" t="inlineStr">
        <is>
          <t>A 55440-2020</t>
        </is>
      </c>
      <c r="B344" s="1" t="n">
        <v>44131</v>
      </c>
      <c r="C344" s="1" t="n">
        <v>45351</v>
      </c>
      <c r="D344" t="inlineStr">
        <is>
          <t>VÄSTERBOTTENS LÄN</t>
        </is>
      </c>
      <c r="E344" t="inlineStr">
        <is>
          <t>VILHELMINA</t>
        </is>
      </c>
      <c r="G344" t="n">
        <v>18.3</v>
      </c>
      <c r="H344" t="n">
        <v>0</v>
      </c>
      <c r="I344" t="n">
        <v>0</v>
      </c>
      <c r="J344" t="n">
        <v>0</v>
      </c>
      <c r="K344" t="n">
        <v>0</v>
      </c>
      <c r="L344" t="n">
        <v>0</v>
      </c>
      <c r="M344" t="n">
        <v>0</v>
      </c>
      <c r="N344" t="n">
        <v>0</v>
      </c>
      <c r="O344" t="n">
        <v>0</v>
      </c>
      <c r="P344" t="n">
        <v>0</v>
      </c>
      <c r="Q344" t="n">
        <v>0</v>
      </c>
      <c r="R344" s="2" t="inlineStr"/>
    </row>
    <row r="345" ht="15" customHeight="1">
      <c r="A345" t="inlineStr">
        <is>
          <t>A 58584-2020</t>
        </is>
      </c>
      <c r="B345" s="1" t="n">
        <v>44144</v>
      </c>
      <c r="C345" s="1" t="n">
        <v>45351</v>
      </c>
      <c r="D345" t="inlineStr">
        <is>
          <t>VÄSTERBOTTENS LÄN</t>
        </is>
      </c>
      <c r="E345" t="inlineStr">
        <is>
          <t>VILHELMINA</t>
        </is>
      </c>
      <c r="F345" t="inlineStr">
        <is>
          <t>Övriga statliga verk och myndigheter</t>
        </is>
      </c>
      <c r="G345" t="n">
        <v>20.8</v>
      </c>
      <c r="H345" t="n">
        <v>0</v>
      </c>
      <c r="I345" t="n">
        <v>0</v>
      </c>
      <c r="J345" t="n">
        <v>0</v>
      </c>
      <c r="K345" t="n">
        <v>0</v>
      </c>
      <c r="L345" t="n">
        <v>0</v>
      </c>
      <c r="M345" t="n">
        <v>0</v>
      </c>
      <c r="N345" t="n">
        <v>0</v>
      </c>
      <c r="O345" t="n">
        <v>0</v>
      </c>
      <c r="P345" t="n">
        <v>0</v>
      </c>
      <c r="Q345" t="n">
        <v>0</v>
      </c>
      <c r="R345" s="2" t="inlineStr"/>
    </row>
    <row r="346" ht="15" customHeight="1">
      <c r="A346" t="inlineStr">
        <is>
          <t>A 59587-2020</t>
        </is>
      </c>
      <c r="B346" s="1" t="n">
        <v>44148</v>
      </c>
      <c r="C346" s="1" t="n">
        <v>45351</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60090-2020</t>
        </is>
      </c>
      <c r="B347" s="1" t="n">
        <v>44151</v>
      </c>
      <c r="C347" s="1" t="n">
        <v>45351</v>
      </c>
      <c r="D347" t="inlineStr">
        <is>
          <t>VÄSTERBOTTENS LÄN</t>
        </is>
      </c>
      <c r="E347" t="inlineStr">
        <is>
          <t>VILHELMINA</t>
        </is>
      </c>
      <c r="G347" t="n">
        <v>9</v>
      </c>
      <c r="H347" t="n">
        <v>0</v>
      </c>
      <c r="I347" t="n">
        <v>0</v>
      </c>
      <c r="J347" t="n">
        <v>0</v>
      </c>
      <c r="K347" t="n">
        <v>0</v>
      </c>
      <c r="L347" t="n">
        <v>0</v>
      </c>
      <c r="M347" t="n">
        <v>0</v>
      </c>
      <c r="N347" t="n">
        <v>0</v>
      </c>
      <c r="O347" t="n">
        <v>0</v>
      </c>
      <c r="P347" t="n">
        <v>0</v>
      </c>
      <c r="Q347" t="n">
        <v>0</v>
      </c>
      <c r="R347" s="2" t="inlineStr"/>
    </row>
    <row r="348" ht="15" customHeight="1">
      <c r="A348" t="inlineStr">
        <is>
          <t>A 60812-2020</t>
        </is>
      </c>
      <c r="B348" s="1" t="n">
        <v>44153</v>
      </c>
      <c r="C348" s="1" t="n">
        <v>45351</v>
      </c>
      <c r="D348" t="inlineStr">
        <is>
          <t>VÄSTERBOTTENS LÄN</t>
        </is>
      </c>
      <c r="E348" t="inlineStr">
        <is>
          <t>VILHELMINA</t>
        </is>
      </c>
      <c r="F348" t="inlineStr">
        <is>
          <t>Allmännings- och besparingsskogar</t>
        </is>
      </c>
      <c r="G348" t="n">
        <v>1.2</v>
      </c>
      <c r="H348" t="n">
        <v>0</v>
      </c>
      <c r="I348" t="n">
        <v>0</v>
      </c>
      <c r="J348" t="n">
        <v>0</v>
      </c>
      <c r="K348" t="n">
        <v>0</v>
      </c>
      <c r="L348" t="n">
        <v>0</v>
      </c>
      <c r="M348" t="n">
        <v>0</v>
      </c>
      <c r="N348" t="n">
        <v>0</v>
      </c>
      <c r="O348" t="n">
        <v>0</v>
      </c>
      <c r="P348" t="n">
        <v>0</v>
      </c>
      <c r="Q348" t="n">
        <v>0</v>
      </c>
      <c r="R348" s="2" t="inlineStr"/>
    </row>
    <row r="349" ht="15" customHeight="1">
      <c r="A349" t="inlineStr">
        <is>
          <t>A 61129-2020</t>
        </is>
      </c>
      <c r="B349" s="1" t="n">
        <v>44154</v>
      </c>
      <c r="C349" s="1" t="n">
        <v>45351</v>
      </c>
      <c r="D349" t="inlineStr">
        <is>
          <t>VÄSTERBOTTENS LÄN</t>
        </is>
      </c>
      <c r="E349" t="inlineStr">
        <is>
          <t>VILHELMINA</t>
        </is>
      </c>
      <c r="F349" t="inlineStr">
        <is>
          <t>SCA</t>
        </is>
      </c>
      <c r="G349" t="n">
        <v>5</v>
      </c>
      <c r="H349" t="n">
        <v>0</v>
      </c>
      <c r="I349" t="n">
        <v>0</v>
      </c>
      <c r="J349" t="n">
        <v>0</v>
      </c>
      <c r="K349" t="n">
        <v>0</v>
      </c>
      <c r="L349" t="n">
        <v>0</v>
      </c>
      <c r="M349" t="n">
        <v>0</v>
      </c>
      <c r="N349" t="n">
        <v>0</v>
      </c>
      <c r="O349" t="n">
        <v>0</v>
      </c>
      <c r="P349" t="n">
        <v>0</v>
      </c>
      <c r="Q349" t="n">
        <v>0</v>
      </c>
      <c r="R349" s="2" t="inlineStr"/>
    </row>
    <row r="350" ht="15" customHeight="1">
      <c r="A350" t="inlineStr">
        <is>
          <t>A 61920-2020</t>
        </is>
      </c>
      <c r="B350" s="1" t="n">
        <v>44155</v>
      </c>
      <c r="C350" s="1" t="n">
        <v>45351</v>
      </c>
      <c r="D350" t="inlineStr">
        <is>
          <t>VÄSTERBOTTENS LÄN</t>
        </is>
      </c>
      <c r="E350" t="inlineStr">
        <is>
          <t>VILHELMINA</t>
        </is>
      </c>
      <c r="G350" t="n">
        <v>7.7</v>
      </c>
      <c r="H350" t="n">
        <v>0</v>
      </c>
      <c r="I350" t="n">
        <v>0</v>
      </c>
      <c r="J350" t="n">
        <v>0</v>
      </c>
      <c r="K350" t="n">
        <v>0</v>
      </c>
      <c r="L350" t="n">
        <v>0</v>
      </c>
      <c r="M350" t="n">
        <v>0</v>
      </c>
      <c r="N350" t="n">
        <v>0</v>
      </c>
      <c r="O350" t="n">
        <v>0</v>
      </c>
      <c r="P350" t="n">
        <v>0</v>
      </c>
      <c r="Q350" t="n">
        <v>0</v>
      </c>
      <c r="R350" s="2" t="inlineStr"/>
    </row>
    <row r="351" ht="15" customHeight="1">
      <c r="A351" t="inlineStr">
        <is>
          <t>A 62874-2020</t>
        </is>
      </c>
      <c r="B351" s="1" t="n">
        <v>44161</v>
      </c>
      <c r="C351" s="1" t="n">
        <v>45351</v>
      </c>
      <c r="D351" t="inlineStr">
        <is>
          <t>VÄSTERBOTTENS LÄN</t>
        </is>
      </c>
      <c r="E351" t="inlineStr">
        <is>
          <t>VILHELMINA</t>
        </is>
      </c>
      <c r="F351" t="inlineStr">
        <is>
          <t>SCA</t>
        </is>
      </c>
      <c r="G351" t="n">
        <v>10.7</v>
      </c>
      <c r="H351" t="n">
        <v>0</v>
      </c>
      <c r="I351" t="n">
        <v>0</v>
      </c>
      <c r="J351" t="n">
        <v>0</v>
      </c>
      <c r="K351" t="n">
        <v>0</v>
      </c>
      <c r="L351" t="n">
        <v>0</v>
      </c>
      <c r="M351" t="n">
        <v>0</v>
      </c>
      <c r="N351" t="n">
        <v>0</v>
      </c>
      <c r="O351" t="n">
        <v>0</v>
      </c>
      <c r="P351" t="n">
        <v>0</v>
      </c>
      <c r="Q351" t="n">
        <v>0</v>
      </c>
      <c r="R351" s="2" t="inlineStr"/>
    </row>
    <row r="352" ht="15" customHeight="1">
      <c r="A352" t="inlineStr">
        <is>
          <t>A 63165-2020</t>
        </is>
      </c>
      <c r="B352" s="1" t="n">
        <v>44162</v>
      </c>
      <c r="C352" s="1" t="n">
        <v>45351</v>
      </c>
      <c r="D352" t="inlineStr">
        <is>
          <t>VÄSTERBOTTENS LÄN</t>
        </is>
      </c>
      <c r="E352" t="inlineStr">
        <is>
          <t>VILHELMINA</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63164-2020</t>
        </is>
      </c>
      <c r="B353" s="1" t="n">
        <v>44162</v>
      </c>
      <c r="C353" s="1" t="n">
        <v>45351</v>
      </c>
      <c r="D353" t="inlineStr">
        <is>
          <t>VÄSTERBOTTENS LÄN</t>
        </is>
      </c>
      <c r="E353" t="inlineStr">
        <is>
          <t>VILHELMINA</t>
        </is>
      </c>
      <c r="F353" t="inlineStr">
        <is>
          <t>SCA</t>
        </is>
      </c>
      <c r="G353" t="n">
        <v>5.9</v>
      </c>
      <c r="H353" t="n">
        <v>0</v>
      </c>
      <c r="I353" t="n">
        <v>0</v>
      </c>
      <c r="J353" t="n">
        <v>0</v>
      </c>
      <c r="K353" t="n">
        <v>0</v>
      </c>
      <c r="L353" t="n">
        <v>0</v>
      </c>
      <c r="M353" t="n">
        <v>0</v>
      </c>
      <c r="N353" t="n">
        <v>0</v>
      </c>
      <c r="O353" t="n">
        <v>0</v>
      </c>
      <c r="P353" t="n">
        <v>0</v>
      </c>
      <c r="Q353" t="n">
        <v>0</v>
      </c>
      <c r="R353" s="2" t="inlineStr"/>
    </row>
    <row r="354" ht="15" customHeight="1">
      <c r="A354" t="inlineStr">
        <is>
          <t>A 64065-2020</t>
        </is>
      </c>
      <c r="B354" s="1" t="n">
        <v>44165</v>
      </c>
      <c r="C354" s="1" t="n">
        <v>45351</v>
      </c>
      <c r="D354" t="inlineStr">
        <is>
          <t>VÄSTERBOTTENS LÄN</t>
        </is>
      </c>
      <c r="E354" t="inlineStr">
        <is>
          <t>VILHELMINA</t>
        </is>
      </c>
      <c r="G354" t="n">
        <v>4.6</v>
      </c>
      <c r="H354" t="n">
        <v>0</v>
      </c>
      <c r="I354" t="n">
        <v>0</v>
      </c>
      <c r="J354" t="n">
        <v>0</v>
      </c>
      <c r="K354" t="n">
        <v>0</v>
      </c>
      <c r="L354" t="n">
        <v>0</v>
      </c>
      <c r="M354" t="n">
        <v>0</v>
      </c>
      <c r="N354" t="n">
        <v>0</v>
      </c>
      <c r="O354" t="n">
        <v>0</v>
      </c>
      <c r="P354" t="n">
        <v>0</v>
      </c>
      <c r="Q354" t="n">
        <v>0</v>
      </c>
      <c r="R354" s="2" t="inlineStr"/>
    </row>
    <row r="355" ht="15" customHeight="1">
      <c r="A355" t="inlineStr">
        <is>
          <t>A 64254-2020</t>
        </is>
      </c>
      <c r="B355" s="1" t="n">
        <v>44168</v>
      </c>
      <c r="C355" s="1" t="n">
        <v>45351</v>
      </c>
      <c r="D355" t="inlineStr">
        <is>
          <t>VÄSTERBOTTENS LÄN</t>
        </is>
      </c>
      <c r="E355" t="inlineStr">
        <is>
          <t>VILHELMINA</t>
        </is>
      </c>
      <c r="G355" t="n">
        <v>17.6</v>
      </c>
      <c r="H355" t="n">
        <v>0</v>
      </c>
      <c r="I355" t="n">
        <v>0</v>
      </c>
      <c r="J355" t="n">
        <v>0</v>
      </c>
      <c r="K355" t="n">
        <v>0</v>
      </c>
      <c r="L355" t="n">
        <v>0</v>
      </c>
      <c r="M355" t="n">
        <v>0</v>
      </c>
      <c r="N355" t="n">
        <v>0</v>
      </c>
      <c r="O355" t="n">
        <v>0</v>
      </c>
      <c r="P355" t="n">
        <v>0</v>
      </c>
      <c r="Q355" t="n">
        <v>0</v>
      </c>
      <c r="R355" s="2" t="inlineStr"/>
    </row>
    <row r="356" ht="15" customHeight="1">
      <c r="A356" t="inlineStr">
        <is>
          <t>A 64759-2020</t>
        </is>
      </c>
      <c r="B356" s="1" t="n">
        <v>44169</v>
      </c>
      <c r="C356" s="1" t="n">
        <v>45351</v>
      </c>
      <c r="D356" t="inlineStr">
        <is>
          <t>VÄSTERBOTTENS LÄN</t>
        </is>
      </c>
      <c r="E356" t="inlineStr">
        <is>
          <t>VILHELMINA</t>
        </is>
      </c>
      <c r="G356" t="n">
        <v>24.6</v>
      </c>
      <c r="H356" t="n">
        <v>0</v>
      </c>
      <c r="I356" t="n">
        <v>0</v>
      </c>
      <c r="J356" t="n">
        <v>0</v>
      </c>
      <c r="K356" t="n">
        <v>0</v>
      </c>
      <c r="L356" t="n">
        <v>0</v>
      </c>
      <c r="M356" t="n">
        <v>0</v>
      </c>
      <c r="N356" t="n">
        <v>0</v>
      </c>
      <c r="O356" t="n">
        <v>0</v>
      </c>
      <c r="P356" t="n">
        <v>0</v>
      </c>
      <c r="Q356" t="n">
        <v>0</v>
      </c>
      <c r="R356" s="2" t="inlineStr"/>
    </row>
    <row r="357" ht="15" customHeight="1">
      <c r="A357" t="inlineStr">
        <is>
          <t>A 65663-2020</t>
        </is>
      </c>
      <c r="B357" s="1" t="n">
        <v>44172</v>
      </c>
      <c r="C357" s="1" t="n">
        <v>45351</v>
      </c>
      <c r="D357" t="inlineStr">
        <is>
          <t>VÄSTERBOTTENS LÄN</t>
        </is>
      </c>
      <c r="E357" t="inlineStr">
        <is>
          <t>VILHELMINA</t>
        </is>
      </c>
      <c r="G357" t="n">
        <v>3.2</v>
      </c>
      <c r="H357" t="n">
        <v>0</v>
      </c>
      <c r="I357" t="n">
        <v>0</v>
      </c>
      <c r="J357" t="n">
        <v>0</v>
      </c>
      <c r="K357" t="n">
        <v>0</v>
      </c>
      <c r="L357" t="n">
        <v>0</v>
      </c>
      <c r="M357" t="n">
        <v>0</v>
      </c>
      <c r="N357" t="n">
        <v>0</v>
      </c>
      <c r="O357" t="n">
        <v>0</v>
      </c>
      <c r="P357" t="n">
        <v>0</v>
      </c>
      <c r="Q357" t="n">
        <v>0</v>
      </c>
      <c r="R357" s="2" t="inlineStr"/>
    </row>
    <row r="358" ht="15" customHeight="1">
      <c r="A358" t="inlineStr">
        <is>
          <t>A 68641-2020</t>
        </is>
      </c>
      <c r="B358" s="1" t="n">
        <v>44186</v>
      </c>
      <c r="C358" s="1" t="n">
        <v>45351</v>
      </c>
      <c r="D358" t="inlineStr">
        <is>
          <t>VÄSTERBOTTENS LÄN</t>
        </is>
      </c>
      <c r="E358" t="inlineStr">
        <is>
          <t>VILHELMINA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68640-2020</t>
        </is>
      </c>
      <c r="B359" s="1" t="n">
        <v>44186</v>
      </c>
      <c r="C359" s="1" t="n">
        <v>45351</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69502-2020</t>
        </is>
      </c>
      <c r="B360" s="1" t="n">
        <v>44193</v>
      </c>
      <c r="C360" s="1" t="n">
        <v>45351</v>
      </c>
      <c r="D360" t="inlineStr">
        <is>
          <t>VÄSTERBOTTENS LÄN</t>
        </is>
      </c>
      <c r="E360" t="inlineStr">
        <is>
          <t>VILHELMINA</t>
        </is>
      </c>
      <c r="G360" t="n">
        <v>19</v>
      </c>
      <c r="H360" t="n">
        <v>0</v>
      </c>
      <c r="I360" t="n">
        <v>0</v>
      </c>
      <c r="J360" t="n">
        <v>0</v>
      </c>
      <c r="K360" t="n">
        <v>0</v>
      </c>
      <c r="L360" t="n">
        <v>0</v>
      </c>
      <c r="M360" t="n">
        <v>0</v>
      </c>
      <c r="N360" t="n">
        <v>0</v>
      </c>
      <c r="O360" t="n">
        <v>0</v>
      </c>
      <c r="P360" t="n">
        <v>0</v>
      </c>
      <c r="Q360" t="n">
        <v>0</v>
      </c>
      <c r="R360" s="2" t="inlineStr"/>
    </row>
    <row r="361" ht="15" customHeight="1">
      <c r="A361" t="inlineStr">
        <is>
          <t>A 69621-2020</t>
        </is>
      </c>
      <c r="B361" s="1" t="n">
        <v>44195</v>
      </c>
      <c r="C361" s="1" t="n">
        <v>45351</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1471-2021</t>
        </is>
      </c>
      <c r="B362" s="1" t="n">
        <v>44208</v>
      </c>
      <c r="C362" s="1" t="n">
        <v>45351</v>
      </c>
      <c r="D362" t="inlineStr">
        <is>
          <t>VÄSTERBOTTENS LÄN</t>
        </is>
      </c>
      <c r="E362" t="inlineStr">
        <is>
          <t>VILHELMINA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1470-2021</t>
        </is>
      </c>
      <c r="B363" s="1" t="n">
        <v>44208</v>
      </c>
      <c r="C363" s="1" t="n">
        <v>45351</v>
      </c>
      <c r="D363" t="inlineStr">
        <is>
          <t>VÄSTERBOTTENS LÄN</t>
        </is>
      </c>
      <c r="E363" t="inlineStr">
        <is>
          <t>VILHELMINA</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2187-2021</t>
        </is>
      </c>
      <c r="B364" s="1" t="n">
        <v>44211</v>
      </c>
      <c r="C364" s="1" t="n">
        <v>45351</v>
      </c>
      <c r="D364" t="inlineStr">
        <is>
          <t>VÄSTERBOTTENS LÄN</t>
        </is>
      </c>
      <c r="E364" t="inlineStr">
        <is>
          <t>VILHELMINA</t>
        </is>
      </c>
      <c r="F364" t="inlineStr">
        <is>
          <t>Allmännings- och besparingsskogar</t>
        </is>
      </c>
      <c r="G364" t="n">
        <v>21.3</v>
      </c>
      <c r="H364" t="n">
        <v>0</v>
      </c>
      <c r="I364" t="n">
        <v>0</v>
      </c>
      <c r="J364" t="n">
        <v>0</v>
      </c>
      <c r="K364" t="n">
        <v>0</v>
      </c>
      <c r="L364" t="n">
        <v>0</v>
      </c>
      <c r="M364" t="n">
        <v>0</v>
      </c>
      <c r="N364" t="n">
        <v>0</v>
      </c>
      <c r="O364" t="n">
        <v>0</v>
      </c>
      <c r="P364" t="n">
        <v>0</v>
      </c>
      <c r="Q364" t="n">
        <v>0</v>
      </c>
      <c r="R364" s="2" t="inlineStr"/>
    </row>
    <row r="365" ht="15" customHeight="1">
      <c r="A365" t="inlineStr">
        <is>
          <t>A 2189-2021</t>
        </is>
      </c>
      <c r="B365" s="1" t="n">
        <v>44211</v>
      </c>
      <c r="C365" s="1" t="n">
        <v>45351</v>
      </c>
      <c r="D365" t="inlineStr">
        <is>
          <t>VÄSTERBOTTENS LÄN</t>
        </is>
      </c>
      <c r="E365" t="inlineStr">
        <is>
          <t>VILHELMINA</t>
        </is>
      </c>
      <c r="F365" t="inlineStr">
        <is>
          <t>Allmännings- och besparingsskogar</t>
        </is>
      </c>
      <c r="G365" t="n">
        <v>20.1</v>
      </c>
      <c r="H365" t="n">
        <v>0</v>
      </c>
      <c r="I365" t="n">
        <v>0</v>
      </c>
      <c r="J365" t="n">
        <v>0</v>
      </c>
      <c r="K365" t="n">
        <v>0</v>
      </c>
      <c r="L365" t="n">
        <v>0</v>
      </c>
      <c r="M365" t="n">
        <v>0</v>
      </c>
      <c r="N365" t="n">
        <v>0</v>
      </c>
      <c r="O365" t="n">
        <v>0</v>
      </c>
      <c r="P365" t="n">
        <v>0</v>
      </c>
      <c r="Q365" t="n">
        <v>0</v>
      </c>
      <c r="R365" s="2" t="inlineStr"/>
    </row>
    <row r="366" ht="15" customHeight="1">
      <c r="A366" t="inlineStr">
        <is>
          <t>A 2193-2021</t>
        </is>
      </c>
      <c r="B366" s="1" t="n">
        <v>44211</v>
      </c>
      <c r="C366" s="1" t="n">
        <v>45351</v>
      </c>
      <c r="D366" t="inlineStr">
        <is>
          <t>VÄSTERBOTTENS LÄN</t>
        </is>
      </c>
      <c r="E366" t="inlineStr">
        <is>
          <t>VILHELMINA</t>
        </is>
      </c>
      <c r="F366" t="inlineStr">
        <is>
          <t>Allmännings- och besparingsskogar</t>
        </is>
      </c>
      <c r="G366" t="n">
        <v>157.8</v>
      </c>
      <c r="H366" t="n">
        <v>0</v>
      </c>
      <c r="I366" t="n">
        <v>0</v>
      </c>
      <c r="J366" t="n">
        <v>0</v>
      </c>
      <c r="K366" t="n">
        <v>0</v>
      </c>
      <c r="L366" t="n">
        <v>0</v>
      </c>
      <c r="M366" t="n">
        <v>0</v>
      </c>
      <c r="N366" t="n">
        <v>0</v>
      </c>
      <c r="O366" t="n">
        <v>0</v>
      </c>
      <c r="P366" t="n">
        <v>0</v>
      </c>
      <c r="Q366" t="n">
        <v>0</v>
      </c>
      <c r="R366" s="2" t="inlineStr"/>
    </row>
    <row r="367" ht="15" customHeight="1">
      <c r="A367" t="inlineStr">
        <is>
          <t>A 3096-2021</t>
        </is>
      </c>
      <c r="B367" s="1" t="n">
        <v>44216</v>
      </c>
      <c r="C367" s="1" t="n">
        <v>45351</v>
      </c>
      <c r="D367" t="inlineStr">
        <is>
          <t>VÄSTERBOTTENS LÄN</t>
        </is>
      </c>
      <c r="E367" t="inlineStr">
        <is>
          <t>VILHELMINA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3435-2021</t>
        </is>
      </c>
      <c r="B368" s="1" t="n">
        <v>44216</v>
      </c>
      <c r="C368" s="1" t="n">
        <v>45351</v>
      </c>
      <c r="D368" t="inlineStr">
        <is>
          <t>VÄSTERBOTTENS LÄN</t>
        </is>
      </c>
      <c r="E368" t="inlineStr">
        <is>
          <t>VILHELMINA</t>
        </is>
      </c>
      <c r="G368" t="n">
        <v>20.5</v>
      </c>
      <c r="H368" t="n">
        <v>0</v>
      </c>
      <c r="I368" t="n">
        <v>0</v>
      </c>
      <c r="J368" t="n">
        <v>0</v>
      </c>
      <c r="K368" t="n">
        <v>0</v>
      </c>
      <c r="L368" t="n">
        <v>0</v>
      </c>
      <c r="M368" t="n">
        <v>0</v>
      </c>
      <c r="N368" t="n">
        <v>0</v>
      </c>
      <c r="O368" t="n">
        <v>0</v>
      </c>
      <c r="P368" t="n">
        <v>0</v>
      </c>
      <c r="Q368" t="n">
        <v>0</v>
      </c>
      <c r="R368" s="2" t="inlineStr"/>
    </row>
    <row r="369" ht="15" customHeight="1">
      <c r="A369" t="inlineStr">
        <is>
          <t>A 6658-2021</t>
        </is>
      </c>
      <c r="B369" s="1" t="n">
        <v>44235</v>
      </c>
      <c r="C369" s="1" t="n">
        <v>45351</v>
      </c>
      <c r="D369" t="inlineStr">
        <is>
          <t>VÄSTERBOTTENS LÄN</t>
        </is>
      </c>
      <c r="E369" t="inlineStr">
        <is>
          <t>VILHELMINA</t>
        </is>
      </c>
      <c r="G369" t="n">
        <v>6.7</v>
      </c>
      <c r="H369" t="n">
        <v>0</v>
      </c>
      <c r="I369" t="n">
        <v>0</v>
      </c>
      <c r="J369" t="n">
        <v>0</v>
      </c>
      <c r="K369" t="n">
        <v>0</v>
      </c>
      <c r="L369" t="n">
        <v>0</v>
      </c>
      <c r="M369" t="n">
        <v>0</v>
      </c>
      <c r="N369" t="n">
        <v>0</v>
      </c>
      <c r="O369" t="n">
        <v>0</v>
      </c>
      <c r="P369" t="n">
        <v>0</v>
      </c>
      <c r="Q369" t="n">
        <v>0</v>
      </c>
      <c r="R369" s="2" t="inlineStr"/>
    </row>
    <row r="370" ht="15" customHeight="1">
      <c r="A370" t="inlineStr">
        <is>
          <t>A 6699-2021</t>
        </is>
      </c>
      <c r="B370" s="1" t="n">
        <v>44235</v>
      </c>
      <c r="C370" s="1" t="n">
        <v>45351</v>
      </c>
      <c r="D370" t="inlineStr">
        <is>
          <t>VÄSTERBOTTENS LÄN</t>
        </is>
      </c>
      <c r="E370" t="inlineStr">
        <is>
          <t>VILHELMINA</t>
        </is>
      </c>
      <c r="G370" t="n">
        <v>6.9</v>
      </c>
      <c r="H370" t="n">
        <v>0</v>
      </c>
      <c r="I370" t="n">
        <v>0</v>
      </c>
      <c r="J370" t="n">
        <v>0</v>
      </c>
      <c r="K370" t="n">
        <v>0</v>
      </c>
      <c r="L370" t="n">
        <v>0</v>
      </c>
      <c r="M370" t="n">
        <v>0</v>
      </c>
      <c r="N370" t="n">
        <v>0</v>
      </c>
      <c r="O370" t="n">
        <v>0</v>
      </c>
      <c r="P370" t="n">
        <v>0</v>
      </c>
      <c r="Q370" t="n">
        <v>0</v>
      </c>
      <c r="R370" s="2" t="inlineStr"/>
    </row>
    <row r="371" ht="15" customHeight="1">
      <c r="A371" t="inlineStr">
        <is>
          <t>A 6664-2021</t>
        </is>
      </c>
      <c r="B371" s="1" t="n">
        <v>44235</v>
      </c>
      <c r="C371" s="1" t="n">
        <v>45351</v>
      </c>
      <c r="D371" t="inlineStr">
        <is>
          <t>VÄSTERBOTTENS LÄN</t>
        </is>
      </c>
      <c r="E371" t="inlineStr">
        <is>
          <t>VILHELMINA</t>
        </is>
      </c>
      <c r="G371" t="n">
        <v>2.5</v>
      </c>
      <c r="H371" t="n">
        <v>0</v>
      </c>
      <c r="I371" t="n">
        <v>0</v>
      </c>
      <c r="J371" t="n">
        <v>0</v>
      </c>
      <c r="K371" t="n">
        <v>0</v>
      </c>
      <c r="L371" t="n">
        <v>0</v>
      </c>
      <c r="M371" t="n">
        <v>0</v>
      </c>
      <c r="N371" t="n">
        <v>0</v>
      </c>
      <c r="O371" t="n">
        <v>0</v>
      </c>
      <c r="P371" t="n">
        <v>0</v>
      </c>
      <c r="Q371" t="n">
        <v>0</v>
      </c>
      <c r="R371" s="2" t="inlineStr"/>
    </row>
    <row r="372" ht="15" customHeight="1">
      <c r="A372" t="inlineStr">
        <is>
          <t>A 6653-2021</t>
        </is>
      </c>
      <c r="B372" s="1" t="n">
        <v>44235</v>
      </c>
      <c r="C372" s="1" t="n">
        <v>45351</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6669-2021</t>
        </is>
      </c>
      <c r="B373" s="1" t="n">
        <v>44235</v>
      </c>
      <c r="C373" s="1" t="n">
        <v>45351</v>
      </c>
      <c r="D373" t="inlineStr">
        <is>
          <t>VÄSTERBOTTENS LÄN</t>
        </is>
      </c>
      <c r="E373" t="inlineStr">
        <is>
          <t>VILHELMINA</t>
        </is>
      </c>
      <c r="G373" t="n">
        <v>19.8</v>
      </c>
      <c r="H373" t="n">
        <v>0</v>
      </c>
      <c r="I373" t="n">
        <v>0</v>
      </c>
      <c r="J373" t="n">
        <v>0</v>
      </c>
      <c r="K373" t="n">
        <v>0</v>
      </c>
      <c r="L373" t="n">
        <v>0</v>
      </c>
      <c r="M373" t="n">
        <v>0</v>
      </c>
      <c r="N373" t="n">
        <v>0</v>
      </c>
      <c r="O373" t="n">
        <v>0</v>
      </c>
      <c r="P373" t="n">
        <v>0</v>
      </c>
      <c r="Q373" t="n">
        <v>0</v>
      </c>
      <c r="R373" s="2" t="inlineStr"/>
    </row>
    <row r="374" ht="15" customHeight="1">
      <c r="A374" t="inlineStr">
        <is>
          <t>A 6665-2021</t>
        </is>
      </c>
      <c r="B374" s="1" t="n">
        <v>44235</v>
      </c>
      <c r="C374" s="1" t="n">
        <v>45351</v>
      </c>
      <c r="D374" t="inlineStr">
        <is>
          <t>VÄSTERBOTTENS LÄN</t>
        </is>
      </c>
      <c r="E374" t="inlineStr">
        <is>
          <t>VILHELMINA</t>
        </is>
      </c>
      <c r="G374" t="n">
        <v>20</v>
      </c>
      <c r="H374" t="n">
        <v>0</v>
      </c>
      <c r="I374" t="n">
        <v>0</v>
      </c>
      <c r="J374" t="n">
        <v>0</v>
      </c>
      <c r="K374" t="n">
        <v>0</v>
      </c>
      <c r="L374" t="n">
        <v>0</v>
      </c>
      <c r="M374" t="n">
        <v>0</v>
      </c>
      <c r="N374" t="n">
        <v>0</v>
      </c>
      <c r="O374" t="n">
        <v>0</v>
      </c>
      <c r="P374" t="n">
        <v>0</v>
      </c>
      <c r="Q374" t="n">
        <v>0</v>
      </c>
      <c r="R374" s="2" t="inlineStr"/>
    </row>
    <row r="375" ht="15" customHeight="1">
      <c r="A375" t="inlineStr">
        <is>
          <t>A 6706-2021</t>
        </is>
      </c>
      <c r="B375" s="1" t="n">
        <v>44235</v>
      </c>
      <c r="C375" s="1" t="n">
        <v>45351</v>
      </c>
      <c r="D375" t="inlineStr">
        <is>
          <t>VÄSTERBOTTENS LÄN</t>
        </is>
      </c>
      <c r="E375" t="inlineStr">
        <is>
          <t>VILHELMINA</t>
        </is>
      </c>
      <c r="G375" t="n">
        <v>3.8</v>
      </c>
      <c r="H375" t="n">
        <v>0</v>
      </c>
      <c r="I375" t="n">
        <v>0</v>
      </c>
      <c r="J375" t="n">
        <v>0</v>
      </c>
      <c r="K375" t="n">
        <v>0</v>
      </c>
      <c r="L375" t="n">
        <v>0</v>
      </c>
      <c r="M375" t="n">
        <v>0</v>
      </c>
      <c r="N375" t="n">
        <v>0</v>
      </c>
      <c r="O375" t="n">
        <v>0</v>
      </c>
      <c r="P375" t="n">
        <v>0</v>
      </c>
      <c r="Q375" t="n">
        <v>0</v>
      </c>
      <c r="R375" s="2" t="inlineStr"/>
    </row>
    <row r="376" ht="15" customHeight="1">
      <c r="A376" t="inlineStr">
        <is>
          <t>A 7078-2021</t>
        </is>
      </c>
      <c r="B376" s="1" t="n">
        <v>44237</v>
      </c>
      <c r="C376" s="1" t="n">
        <v>45351</v>
      </c>
      <c r="D376" t="inlineStr">
        <is>
          <t>VÄSTERBOTTENS LÄN</t>
        </is>
      </c>
      <c r="E376" t="inlineStr">
        <is>
          <t>VILHELMINA</t>
        </is>
      </c>
      <c r="F376" t="inlineStr">
        <is>
          <t>SCA</t>
        </is>
      </c>
      <c r="G376" t="n">
        <v>28.4</v>
      </c>
      <c r="H376" t="n">
        <v>0</v>
      </c>
      <c r="I376" t="n">
        <v>0</v>
      </c>
      <c r="J376" t="n">
        <v>0</v>
      </c>
      <c r="K376" t="n">
        <v>0</v>
      </c>
      <c r="L376" t="n">
        <v>0</v>
      </c>
      <c r="M376" t="n">
        <v>0</v>
      </c>
      <c r="N376" t="n">
        <v>0</v>
      </c>
      <c r="O376" t="n">
        <v>0</v>
      </c>
      <c r="P376" t="n">
        <v>0</v>
      </c>
      <c r="Q376" t="n">
        <v>0</v>
      </c>
      <c r="R376" s="2" t="inlineStr"/>
    </row>
    <row r="377" ht="15" customHeight="1">
      <c r="A377" t="inlineStr">
        <is>
          <t>A 8003-2021</t>
        </is>
      </c>
      <c r="B377" s="1" t="n">
        <v>44243</v>
      </c>
      <c r="C377" s="1" t="n">
        <v>45351</v>
      </c>
      <c r="D377" t="inlineStr">
        <is>
          <t>VÄSTERBOTTENS LÄN</t>
        </is>
      </c>
      <c r="E377" t="inlineStr">
        <is>
          <t>VILHELMINA</t>
        </is>
      </c>
      <c r="G377" t="n">
        <v>5.1</v>
      </c>
      <c r="H377" t="n">
        <v>0</v>
      </c>
      <c r="I377" t="n">
        <v>0</v>
      </c>
      <c r="J377" t="n">
        <v>0</v>
      </c>
      <c r="K377" t="n">
        <v>0</v>
      </c>
      <c r="L377" t="n">
        <v>0</v>
      </c>
      <c r="M377" t="n">
        <v>0</v>
      </c>
      <c r="N377" t="n">
        <v>0</v>
      </c>
      <c r="O377" t="n">
        <v>0</v>
      </c>
      <c r="P377" t="n">
        <v>0</v>
      </c>
      <c r="Q377" t="n">
        <v>0</v>
      </c>
      <c r="R377" s="2" t="inlineStr"/>
    </row>
    <row r="378" ht="15" customHeight="1">
      <c r="A378" t="inlineStr">
        <is>
          <t>A 8750-2021</t>
        </is>
      </c>
      <c r="B378" s="1" t="n">
        <v>44246</v>
      </c>
      <c r="C378" s="1" t="n">
        <v>45351</v>
      </c>
      <c r="D378" t="inlineStr">
        <is>
          <t>VÄSTERBOTTENS LÄN</t>
        </is>
      </c>
      <c r="E378" t="inlineStr">
        <is>
          <t>VILHELMINA</t>
        </is>
      </c>
      <c r="G378" t="n">
        <v>5.2</v>
      </c>
      <c r="H378" t="n">
        <v>0</v>
      </c>
      <c r="I378" t="n">
        <v>0</v>
      </c>
      <c r="J378" t="n">
        <v>0</v>
      </c>
      <c r="K378" t="n">
        <v>0</v>
      </c>
      <c r="L378" t="n">
        <v>0</v>
      </c>
      <c r="M378" t="n">
        <v>0</v>
      </c>
      <c r="N378" t="n">
        <v>0</v>
      </c>
      <c r="O378" t="n">
        <v>0</v>
      </c>
      <c r="P378" t="n">
        <v>0</v>
      </c>
      <c r="Q378" t="n">
        <v>0</v>
      </c>
      <c r="R378" s="2" t="inlineStr"/>
    </row>
    <row r="379" ht="15" customHeight="1">
      <c r="A379" t="inlineStr">
        <is>
          <t>A 10075-2021</t>
        </is>
      </c>
      <c r="B379" s="1" t="n">
        <v>44253</v>
      </c>
      <c r="C379" s="1" t="n">
        <v>45351</v>
      </c>
      <c r="D379" t="inlineStr">
        <is>
          <t>VÄSTERBOTTENS LÄN</t>
        </is>
      </c>
      <c r="E379" t="inlineStr">
        <is>
          <t>VILHELMINA</t>
        </is>
      </c>
      <c r="G379" t="n">
        <v>1.3</v>
      </c>
      <c r="H379" t="n">
        <v>0</v>
      </c>
      <c r="I379" t="n">
        <v>0</v>
      </c>
      <c r="J379" t="n">
        <v>0</v>
      </c>
      <c r="K379" t="n">
        <v>0</v>
      </c>
      <c r="L379" t="n">
        <v>0</v>
      </c>
      <c r="M379" t="n">
        <v>0</v>
      </c>
      <c r="N379" t="n">
        <v>0</v>
      </c>
      <c r="O379" t="n">
        <v>0</v>
      </c>
      <c r="P379" t="n">
        <v>0</v>
      </c>
      <c r="Q379" t="n">
        <v>0</v>
      </c>
      <c r="R379" s="2" t="inlineStr"/>
    </row>
    <row r="380" ht="15" customHeight="1">
      <c r="A380" t="inlineStr">
        <is>
          <t>A 9916-2021</t>
        </is>
      </c>
      <c r="B380" s="1" t="n">
        <v>44253</v>
      </c>
      <c r="C380" s="1" t="n">
        <v>45351</v>
      </c>
      <c r="D380" t="inlineStr">
        <is>
          <t>VÄSTERBOTTENS LÄN</t>
        </is>
      </c>
      <c r="E380" t="inlineStr">
        <is>
          <t>VILHELMINA</t>
        </is>
      </c>
      <c r="G380" t="n">
        <v>1</v>
      </c>
      <c r="H380" t="n">
        <v>0</v>
      </c>
      <c r="I380" t="n">
        <v>0</v>
      </c>
      <c r="J380" t="n">
        <v>0</v>
      </c>
      <c r="K380" t="n">
        <v>0</v>
      </c>
      <c r="L380" t="n">
        <v>0</v>
      </c>
      <c r="M380" t="n">
        <v>0</v>
      </c>
      <c r="N380" t="n">
        <v>0</v>
      </c>
      <c r="O380" t="n">
        <v>0</v>
      </c>
      <c r="P380" t="n">
        <v>0</v>
      </c>
      <c r="Q380" t="n">
        <v>0</v>
      </c>
      <c r="R380" s="2" t="inlineStr"/>
    </row>
    <row r="381" ht="15" customHeight="1">
      <c r="A381" t="inlineStr">
        <is>
          <t>A 11980-2021</t>
        </is>
      </c>
      <c r="B381" s="1" t="n">
        <v>44266</v>
      </c>
      <c r="C381" s="1" t="n">
        <v>45351</v>
      </c>
      <c r="D381" t="inlineStr">
        <is>
          <t>VÄSTERBOTTENS LÄN</t>
        </is>
      </c>
      <c r="E381" t="inlineStr">
        <is>
          <t>VILHELMINA</t>
        </is>
      </c>
      <c r="F381" t="inlineStr">
        <is>
          <t>Allmännings- och besparingsskogar</t>
        </is>
      </c>
      <c r="G381" t="n">
        <v>4.1</v>
      </c>
      <c r="H381" t="n">
        <v>0</v>
      </c>
      <c r="I381" t="n">
        <v>0</v>
      </c>
      <c r="J381" t="n">
        <v>0</v>
      </c>
      <c r="K381" t="n">
        <v>0</v>
      </c>
      <c r="L381" t="n">
        <v>0</v>
      </c>
      <c r="M381" t="n">
        <v>0</v>
      </c>
      <c r="N381" t="n">
        <v>0</v>
      </c>
      <c r="O381" t="n">
        <v>0</v>
      </c>
      <c r="P381" t="n">
        <v>0</v>
      </c>
      <c r="Q381" t="n">
        <v>0</v>
      </c>
      <c r="R381" s="2" t="inlineStr"/>
    </row>
    <row r="382" ht="15" customHeight="1">
      <c r="A382" t="inlineStr">
        <is>
          <t>A 18802-2021</t>
        </is>
      </c>
      <c r="B382" s="1" t="n">
        <v>44307</v>
      </c>
      <c r="C382" s="1" t="n">
        <v>45351</v>
      </c>
      <c r="D382" t="inlineStr">
        <is>
          <t>VÄSTERBOTTENS LÄN</t>
        </is>
      </c>
      <c r="E382" t="inlineStr">
        <is>
          <t>VILHELMINA</t>
        </is>
      </c>
      <c r="G382" t="n">
        <v>1.2</v>
      </c>
      <c r="H382" t="n">
        <v>0</v>
      </c>
      <c r="I382" t="n">
        <v>0</v>
      </c>
      <c r="J382" t="n">
        <v>0</v>
      </c>
      <c r="K382" t="n">
        <v>0</v>
      </c>
      <c r="L382" t="n">
        <v>0</v>
      </c>
      <c r="M382" t="n">
        <v>0</v>
      </c>
      <c r="N382" t="n">
        <v>0</v>
      </c>
      <c r="O382" t="n">
        <v>0</v>
      </c>
      <c r="P382" t="n">
        <v>0</v>
      </c>
      <c r="Q382" t="n">
        <v>0</v>
      </c>
      <c r="R382" s="2" t="inlineStr"/>
    </row>
    <row r="383" ht="15" customHeight="1">
      <c r="A383" t="inlineStr">
        <is>
          <t>A 18781-2021</t>
        </is>
      </c>
      <c r="B383" s="1" t="n">
        <v>44307</v>
      </c>
      <c r="C383" s="1" t="n">
        <v>45351</v>
      </c>
      <c r="D383" t="inlineStr">
        <is>
          <t>VÄSTERBOTTENS LÄN</t>
        </is>
      </c>
      <c r="E383" t="inlineStr">
        <is>
          <t>VILHELMINA</t>
        </is>
      </c>
      <c r="G383" t="n">
        <v>3.5</v>
      </c>
      <c r="H383" t="n">
        <v>0</v>
      </c>
      <c r="I383" t="n">
        <v>0</v>
      </c>
      <c r="J383" t="n">
        <v>0</v>
      </c>
      <c r="K383" t="n">
        <v>0</v>
      </c>
      <c r="L383" t="n">
        <v>0</v>
      </c>
      <c r="M383" t="n">
        <v>0</v>
      </c>
      <c r="N383" t="n">
        <v>0</v>
      </c>
      <c r="O383" t="n">
        <v>0</v>
      </c>
      <c r="P383" t="n">
        <v>0</v>
      </c>
      <c r="Q383" t="n">
        <v>0</v>
      </c>
      <c r="R383" s="2" t="inlineStr"/>
    </row>
    <row r="384" ht="15" customHeight="1">
      <c r="A384" t="inlineStr">
        <is>
          <t>A 18971-2021</t>
        </is>
      </c>
      <c r="B384" s="1" t="n">
        <v>44307</v>
      </c>
      <c r="C384" s="1" t="n">
        <v>45351</v>
      </c>
      <c r="D384" t="inlineStr">
        <is>
          <t>VÄSTERBOTTENS LÄN</t>
        </is>
      </c>
      <c r="E384" t="inlineStr">
        <is>
          <t>VILHELMINA</t>
        </is>
      </c>
      <c r="G384" t="n">
        <v>2</v>
      </c>
      <c r="H384" t="n">
        <v>0</v>
      </c>
      <c r="I384" t="n">
        <v>0</v>
      </c>
      <c r="J384" t="n">
        <v>0</v>
      </c>
      <c r="K384" t="n">
        <v>0</v>
      </c>
      <c r="L384" t="n">
        <v>0</v>
      </c>
      <c r="M384" t="n">
        <v>0</v>
      </c>
      <c r="N384" t="n">
        <v>0</v>
      </c>
      <c r="O384" t="n">
        <v>0</v>
      </c>
      <c r="P384" t="n">
        <v>0</v>
      </c>
      <c r="Q384" t="n">
        <v>0</v>
      </c>
      <c r="R384" s="2" t="inlineStr"/>
    </row>
    <row r="385" ht="15" customHeight="1">
      <c r="A385" t="inlineStr">
        <is>
          <t>A 18790-2021</t>
        </is>
      </c>
      <c r="B385" s="1" t="n">
        <v>44307</v>
      </c>
      <c r="C385" s="1" t="n">
        <v>45351</v>
      </c>
      <c r="D385" t="inlineStr">
        <is>
          <t>VÄSTERBOTTENS LÄN</t>
        </is>
      </c>
      <c r="E385" t="inlineStr">
        <is>
          <t>VILHELMINA</t>
        </is>
      </c>
      <c r="G385" t="n">
        <v>1.1</v>
      </c>
      <c r="H385" t="n">
        <v>0</v>
      </c>
      <c r="I385" t="n">
        <v>0</v>
      </c>
      <c r="J385" t="n">
        <v>0</v>
      </c>
      <c r="K385" t="n">
        <v>0</v>
      </c>
      <c r="L385" t="n">
        <v>0</v>
      </c>
      <c r="M385" t="n">
        <v>0</v>
      </c>
      <c r="N385" t="n">
        <v>0</v>
      </c>
      <c r="O385" t="n">
        <v>0</v>
      </c>
      <c r="P385" t="n">
        <v>0</v>
      </c>
      <c r="Q385" t="n">
        <v>0</v>
      </c>
      <c r="R385" s="2" t="inlineStr"/>
    </row>
    <row r="386" ht="15" customHeight="1">
      <c r="A386" t="inlineStr">
        <is>
          <t>A 18950-2021</t>
        </is>
      </c>
      <c r="B386" s="1" t="n">
        <v>44307</v>
      </c>
      <c r="C386" s="1" t="n">
        <v>45351</v>
      </c>
      <c r="D386" t="inlineStr">
        <is>
          <t>VÄSTERBOTTENS LÄN</t>
        </is>
      </c>
      <c r="E386" t="inlineStr">
        <is>
          <t>VILHELMINA</t>
        </is>
      </c>
      <c r="G386" t="n">
        <v>1.9</v>
      </c>
      <c r="H386" t="n">
        <v>0</v>
      </c>
      <c r="I386" t="n">
        <v>0</v>
      </c>
      <c r="J386" t="n">
        <v>0</v>
      </c>
      <c r="K386" t="n">
        <v>0</v>
      </c>
      <c r="L386" t="n">
        <v>0</v>
      </c>
      <c r="M386" t="n">
        <v>0</v>
      </c>
      <c r="N386" t="n">
        <v>0</v>
      </c>
      <c r="O386" t="n">
        <v>0</v>
      </c>
      <c r="P386" t="n">
        <v>0</v>
      </c>
      <c r="Q386" t="n">
        <v>0</v>
      </c>
      <c r="R386" s="2" t="inlineStr"/>
    </row>
    <row r="387" ht="15" customHeight="1">
      <c r="A387" t="inlineStr">
        <is>
          <t>A 20568-2021</t>
        </is>
      </c>
      <c r="B387" s="1" t="n">
        <v>44316</v>
      </c>
      <c r="C387" s="1" t="n">
        <v>45351</v>
      </c>
      <c r="D387" t="inlineStr">
        <is>
          <t>VÄSTERBOTTENS LÄN</t>
        </is>
      </c>
      <c r="E387" t="inlineStr">
        <is>
          <t>VILHELMINA</t>
        </is>
      </c>
      <c r="G387" t="n">
        <v>0.7</v>
      </c>
      <c r="H387" t="n">
        <v>0</v>
      </c>
      <c r="I387" t="n">
        <v>0</v>
      </c>
      <c r="J387" t="n">
        <v>0</v>
      </c>
      <c r="K387" t="n">
        <v>0</v>
      </c>
      <c r="L387" t="n">
        <v>0</v>
      </c>
      <c r="M387" t="n">
        <v>0</v>
      </c>
      <c r="N387" t="n">
        <v>0</v>
      </c>
      <c r="O387" t="n">
        <v>0</v>
      </c>
      <c r="P387" t="n">
        <v>0</v>
      </c>
      <c r="Q387" t="n">
        <v>0</v>
      </c>
      <c r="R387" s="2" t="inlineStr"/>
    </row>
    <row r="388" ht="15" customHeight="1">
      <c r="A388" t="inlineStr">
        <is>
          <t>A 20653-2021</t>
        </is>
      </c>
      <c r="B388" s="1" t="n">
        <v>44316</v>
      </c>
      <c r="C388" s="1" t="n">
        <v>45351</v>
      </c>
      <c r="D388" t="inlineStr">
        <is>
          <t>VÄSTERBOTTENS LÄN</t>
        </is>
      </c>
      <c r="E388" t="inlineStr">
        <is>
          <t>VILHELMINA</t>
        </is>
      </c>
      <c r="F388" t="inlineStr">
        <is>
          <t>Kommuner</t>
        </is>
      </c>
      <c r="G388" t="n">
        <v>2.5</v>
      </c>
      <c r="H388" t="n">
        <v>0</v>
      </c>
      <c r="I388" t="n">
        <v>0</v>
      </c>
      <c r="J388" t="n">
        <v>0</v>
      </c>
      <c r="K388" t="n">
        <v>0</v>
      </c>
      <c r="L388" t="n">
        <v>0</v>
      </c>
      <c r="M388" t="n">
        <v>0</v>
      </c>
      <c r="N388" t="n">
        <v>0</v>
      </c>
      <c r="O388" t="n">
        <v>0</v>
      </c>
      <c r="P388" t="n">
        <v>0</v>
      </c>
      <c r="Q388" t="n">
        <v>0</v>
      </c>
      <c r="R388" s="2" t="inlineStr"/>
    </row>
    <row r="389" ht="15" customHeight="1">
      <c r="A389" t="inlineStr">
        <is>
          <t>A 21726-2021</t>
        </is>
      </c>
      <c r="B389" s="1" t="n">
        <v>44322</v>
      </c>
      <c r="C389" s="1" t="n">
        <v>45351</v>
      </c>
      <c r="D389" t="inlineStr">
        <is>
          <t>VÄSTERBOTTENS LÄN</t>
        </is>
      </c>
      <c r="E389" t="inlineStr">
        <is>
          <t>VILHELMINA</t>
        </is>
      </c>
      <c r="G389" t="n">
        <v>19.6</v>
      </c>
      <c r="H389" t="n">
        <v>0</v>
      </c>
      <c r="I389" t="n">
        <v>0</v>
      </c>
      <c r="J389" t="n">
        <v>0</v>
      </c>
      <c r="K389" t="n">
        <v>0</v>
      </c>
      <c r="L389" t="n">
        <v>0</v>
      </c>
      <c r="M389" t="n">
        <v>0</v>
      </c>
      <c r="N389" t="n">
        <v>0</v>
      </c>
      <c r="O389" t="n">
        <v>0</v>
      </c>
      <c r="P389" t="n">
        <v>0</v>
      </c>
      <c r="Q389" t="n">
        <v>0</v>
      </c>
      <c r="R389" s="2" t="inlineStr"/>
    </row>
    <row r="390" ht="15" customHeight="1">
      <c r="A390" t="inlineStr">
        <is>
          <t>A 23278-2021</t>
        </is>
      </c>
      <c r="B390" s="1" t="n">
        <v>44328</v>
      </c>
      <c r="C390" s="1" t="n">
        <v>45351</v>
      </c>
      <c r="D390" t="inlineStr">
        <is>
          <t>VÄSTERBOTTENS LÄN</t>
        </is>
      </c>
      <c r="E390" t="inlineStr">
        <is>
          <t>VILHELMINA</t>
        </is>
      </c>
      <c r="F390" t="inlineStr">
        <is>
          <t>Allmännings- och besparingsskogar</t>
        </is>
      </c>
      <c r="G390" t="n">
        <v>13.6</v>
      </c>
      <c r="H390" t="n">
        <v>0</v>
      </c>
      <c r="I390" t="n">
        <v>0</v>
      </c>
      <c r="J390" t="n">
        <v>0</v>
      </c>
      <c r="K390" t="n">
        <v>0</v>
      </c>
      <c r="L390" t="n">
        <v>0</v>
      </c>
      <c r="M390" t="n">
        <v>0</v>
      </c>
      <c r="N390" t="n">
        <v>0</v>
      </c>
      <c r="O390" t="n">
        <v>0</v>
      </c>
      <c r="P390" t="n">
        <v>0</v>
      </c>
      <c r="Q390" t="n">
        <v>0</v>
      </c>
      <c r="R390" s="2" t="inlineStr"/>
    </row>
    <row r="391" ht="15" customHeight="1">
      <c r="A391" t="inlineStr">
        <is>
          <t>A 23270-2021</t>
        </is>
      </c>
      <c r="B391" s="1" t="n">
        <v>44328</v>
      </c>
      <c r="C391" s="1" t="n">
        <v>45351</v>
      </c>
      <c r="D391" t="inlineStr">
        <is>
          <t>VÄSTERBOTTENS LÄN</t>
        </is>
      </c>
      <c r="E391" t="inlineStr">
        <is>
          <t>VILHELMINA</t>
        </is>
      </c>
      <c r="F391" t="inlineStr">
        <is>
          <t>Allmännings- och besparingsskogar</t>
        </is>
      </c>
      <c r="G391" t="n">
        <v>14.7</v>
      </c>
      <c r="H391" t="n">
        <v>0</v>
      </c>
      <c r="I391" t="n">
        <v>0</v>
      </c>
      <c r="J391" t="n">
        <v>0</v>
      </c>
      <c r="K391" t="n">
        <v>0</v>
      </c>
      <c r="L391" t="n">
        <v>0</v>
      </c>
      <c r="M391" t="n">
        <v>0</v>
      </c>
      <c r="N391" t="n">
        <v>0</v>
      </c>
      <c r="O391" t="n">
        <v>0</v>
      </c>
      <c r="P391" t="n">
        <v>0</v>
      </c>
      <c r="Q391" t="n">
        <v>0</v>
      </c>
      <c r="R391" s="2" t="inlineStr"/>
    </row>
    <row r="392" ht="15" customHeight="1">
      <c r="A392" t="inlineStr">
        <is>
          <t>A 23261-2021</t>
        </is>
      </c>
      <c r="B392" s="1" t="n">
        <v>44330</v>
      </c>
      <c r="C392" s="1" t="n">
        <v>45351</v>
      </c>
      <c r="D392" t="inlineStr">
        <is>
          <t>VÄSTERBOTTENS LÄN</t>
        </is>
      </c>
      <c r="E392" t="inlineStr">
        <is>
          <t>VILHELMINA</t>
        </is>
      </c>
      <c r="G392" t="n">
        <v>4.5</v>
      </c>
      <c r="H392" t="n">
        <v>0</v>
      </c>
      <c r="I392" t="n">
        <v>0</v>
      </c>
      <c r="J392" t="n">
        <v>0</v>
      </c>
      <c r="K392" t="n">
        <v>0</v>
      </c>
      <c r="L392" t="n">
        <v>0</v>
      </c>
      <c r="M392" t="n">
        <v>0</v>
      </c>
      <c r="N392" t="n">
        <v>0</v>
      </c>
      <c r="O392" t="n">
        <v>0</v>
      </c>
      <c r="P392" t="n">
        <v>0</v>
      </c>
      <c r="Q392" t="n">
        <v>0</v>
      </c>
      <c r="R392" s="2" t="inlineStr"/>
    </row>
    <row r="393" ht="15" customHeight="1">
      <c r="A393" t="inlineStr">
        <is>
          <t>A 24983-2021</t>
        </is>
      </c>
      <c r="B393" s="1" t="n">
        <v>44341</v>
      </c>
      <c r="C393" s="1" t="n">
        <v>45351</v>
      </c>
      <c r="D393" t="inlineStr">
        <is>
          <t>VÄSTERBOTTENS LÄN</t>
        </is>
      </c>
      <c r="E393" t="inlineStr">
        <is>
          <t>VILHELMINA</t>
        </is>
      </c>
      <c r="G393" t="n">
        <v>12.9</v>
      </c>
      <c r="H393" t="n">
        <v>0</v>
      </c>
      <c r="I393" t="n">
        <v>0</v>
      </c>
      <c r="J393" t="n">
        <v>0</v>
      </c>
      <c r="K393" t="n">
        <v>0</v>
      </c>
      <c r="L393" t="n">
        <v>0</v>
      </c>
      <c r="M393" t="n">
        <v>0</v>
      </c>
      <c r="N393" t="n">
        <v>0</v>
      </c>
      <c r="O393" t="n">
        <v>0</v>
      </c>
      <c r="P393" t="n">
        <v>0</v>
      </c>
      <c r="Q393" t="n">
        <v>0</v>
      </c>
      <c r="R393" s="2" t="inlineStr"/>
    </row>
    <row r="394" ht="15" customHeight="1">
      <c r="A394" t="inlineStr">
        <is>
          <t>A 24599-2021</t>
        </is>
      </c>
      <c r="B394" s="1" t="n">
        <v>44341</v>
      </c>
      <c r="C394" s="1" t="n">
        <v>45351</v>
      </c>
      <c r="D394" t="inlineStr">
        <is>
          <t>VÄSTERBOTTENS LÄN</t>
        </is>
      </c>
      <c r="E394" t="inlineStr">
        <is>
          <t>VILHELMINA</t>
        </is>
      </c>
      <c r="G394" t="n">
        <v>14.5</v>
      </c>
      <c r="H394" t="n">
        <v>0</v>
      </c>
      <c r="I394" t="n">
        <v>0</v>
      </c>
      <c r="J394" t="n">
        <v>0</v>
      </c>
      <c r="K394" t="n">
        <v>0</v>
      </c>
      <c r="L394" t="n">
        <v>0</v>
      </c>
      <c r="M394" t="n">
        <v>0</v>
      </c>
      <c r="N394" t="n">
        <v>0</v>
      </c>
      <c r="O394" t="n">
        <v>0</v>
      </c>
      <c r="P394" t="n">
        <v>0</v>
      </c>
      <c r="Q394" t="n">
        <v>0</v>
      </c>
      <c r="R394" s="2" t="inlineStr"/>
    </row>
    <row r="395" ht="15" customHeight="1">
      <c r="A395" t="inlineStr">
        <is>
          <t>A 25102-2021</t>
        </is>
      </c>
      <c r="B395" s="1" t="n">
        <v>44341</v>
      </c>
      <c r="C395" s="1" t="n">
        <v>45351</v>
      </c>
      <c r="D395" t="inlineStr">
        <is>
          <t>VÄSTERBOTTENS LÄN</t>
        </is>
      </c>
      <c r="E395" t="inlineStr">
        <is>
          <t>VILHELMINA</t>
        </is>
      </c>
      <c r="G395" t="n">
        <v>6.7</v>
      </c>
      <c r="H395" t="n">
        <v>0</v>
      </c>
      <c r="I395" t="n">
        <v>0</v>
      </c>
      <c r="J395" t="n">
        <v>0</v>
      </c>
      <c r="K395" t="n">
        <v>0</v>
      </c>
      <c r="L395" t="n">
        <v>0</v>
      </c>
      <c r="M395" t="n">
        <v>0</v>
      </c>
      <c r="N395" t="n">
        <v>0</v>
      </c>
      <c r="O395" t="n">
        <v>0</v>
      </c>
      <c r="P395" t="n">
        <v>0</v>
      </c>
      <c r="Q395" t="n">
        <v>0</v>
      </c>
      <c r="R395" s="2" t="inlineStr"/>
    </row>
    <row r="396" ht="15" customHeight="1">
      <c r="A396" t="inlineStr">
        <is>
          <t>A 26483-2021</t>
        </is>
      </c>
      <c r="B396" s="1" t="n">
        <v>44347</v>
      </c>
      <c r="C396" s="1" t="n">
        <v>45351</v>
      </c>
      <c r="D396" t="inlineStr">
        <is>
          <t>VÄSTERBOTTENS LÄN</t>
        </is>
      </c>
      <c r="E396" t="inlineStr">
        <is>
          <t>VILHELMINA</t>
        </is>
      </c>
      <c r="G396" t="n">
        <v>4.5</v>
      </c>
      <c r="H396" t="n">
        <v>0</v>
      </c>
      <c r="I396" t="n">
        <v>0</v>
      </c>
      <c r="J396" t="n">
        <v>0</v>
      </c>
      <c r="K396" t="n">
        <v>0</v>
      </c>
      <c r="L396" t="n">
        <v>0</v>
      </c>
      <c r="M396" t="n">
        <v>0</v>
      </c>
      <c r="N396" t="n">
        <v>0</v>
      </c>
      <c r="O396" t="n">
        <v>0</v>
      </c>
      <c r="P396" t="n">
        <v>0</v>
      </c>
      <c r="Q396" t="n">
        <v>0</v>
      </c>
      <c r="R396" s="2" t="inlineStr"/>
    </row>
    <row r="397" ht="15" customHeight="1">
      <c r="A397" t="inlineStr">
        <is>
          <t>A 27059-2021</t>
        </is>
      </c>
      <c r="B397" s="1" t="n">
        <v>44350</v>
      </c>
      <c r="C397" s="1" t="n">
        <v>45351</v>
      </c>
      <c r="D397" t="inlineStr">
        <is>
          <t>VÄSTERBOTTENS LÄN</t>
        </is>
      </c>
      <c r="E397" t="inlineStr">
        <is>
          <t>VILHELMINA</t>
        </is>
      </c>
      <c r="F397" t="inlineStr">
        <is>
          <t>Allmännings- och besparingsskogar</t>
        </is>
      </c>
      <c r="G397" t="n">
        <v>301.6</v>
      </c>
      <c r="H397" t="n">
        <v>0</v>
      </c>
      <c r="I397" t="n">
        <v>0</v>
      </c>
      <c r="J397" t="n">
        <v>0</v>
      </c>
      <c r="K397" t="n">
        <v>0</v>
      </c>
      <c r="L397" t="n">
        <v>0</v>
      </c>
      <c r="M397" t="n">
        <v>0</v>
      </c>
      <c r="N397" t="n">
        <v>0</v>
      </c>
      <c r="O397" t="n">
        <v>0</v>
      </c>
      <c r="P397" t="n">
        <v>0</v>
      </c>
      <c r="Q397" t="n">
        <v>0</v>
      </c>
      <c r="R397" s="2" t="inlineStr"/>
    </row>
    <row r="398" ht="15" customHeight="1">
      <c r="A398" t="inlineStr">
        <is>
          <t>A 28269-2021</t>
        </is>
      </c>
      <c r="B398" s="1" t="n">
        <v>44356</v>
      </c>
      <c r="C398" s="1" t="n">
        <v>45351</v>
      </c>
      <c r="D398" t="inlineStr">
        <is>
          <t>VÄSTERBOTTENS LÄN</t>
        </is>
      </c>
      <c r="E398" t="inlineStr">
        <is>
          <t>VILHELMINA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28272-2021</t>
        </is>
      </c>
      <c r="B399" s="1" t="n">
        <v>44356</v>
      </c>
      <c r="C399" s="1" t="n">
        <v>45351</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28895-2021</t>
        </is>
      </c>
      <c r="B400" s="1" t="n">
        <v>44357</v>
      </c>
      <c r="C400" s="1" t="n">
        <v>45351</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29347-2021</t>
        </is>
      </c>
      <c r="B401" s="1" t="n">
        <v>44361</v>
      </c>
      <c r="C401" s="1" t="n">
        <v>45351</v>
      </c>
      <c r="D401" t="inlineStr">
        <is>
          <t>VÄSTERBOTTENS LÄN</t>
        </is>
      </c>
      <c r="E401" t="inlineStr">
        <is>
          <t>VILHELMINA</t>
        </is>
      </c>
      <c r="F401" t="inlineStr">
        <is>
          <t>Allmännings- och besparingsskogar</t>
        </is>
      </c>
      <c r="G401" t="n">
        <v>52</v>
      </c>
      <c r="H401" t="n">
        <v>0</v>
      </c>
      <c r="I401" t="n">
        <v>0</v>
      </c>
      <c r="J401" t="n">
        <v>0</v>
      </c>
      <c r="K401" t="n">
        <v>0</v>
      </c>
      <c r="L401" t="n">
        <v>0</v>
      </c>
      <c r="M401" t="n">
        <v>0</v>
      </c>
      <c r="N401" t="n">
        <v>0</v>
      </c>
      <c r="O401" t="n">
        <v>0</v>
      </c>
      <c r="P401" t="n">
        <v>0</v>
      </c>
      <c r="Q401" t="n">
        <v>0</v>
      </c>
      <c r="R401" s="2" t="inlineStr"/>
    </row>
    <row r="402" ht="15" customHeight="1">
      <c r="A402" t="inlineStr">
        <is>
          <t>A 29332-2021</t>
        </is>
      </c>
      <c r="B402" s="1" t="n">
        <v>44361</v>
      </c>
      <c r="C402" s="1" t="n">
        <v>45351</v>
      </c>
      <c r="D402" t="inlineStr">
        <is>
          <t>VÄSTERBOTTENS LÄN</t>
        </is>
      </c>
      <c r="E402" t="inlineStr">
        <is>
          <t>VILHELMINA</t>
        </is>
      </c>
      <c r="F402" t="inlineStr">
        <is>
          <t>Allmännings- och besparingsskogar</t>
        </is>
      </c>
      <c r="G402" t="n">
        <v>51.8</v>
      </c>
      <c r="H402" t="n">
        <v>0</v>
      </c>
      <c r="I402" t="n">
        <v>0</v>
      </c>
      <c r="J402" t="n">
        <v>0</v>
      </c>
      <c r="K402" t="n">
        <v>0</v>
      </c>
      <c r="L402" t="n">
        <v>0</v>
      </c>
      <c r="M402" t="n">
        <v>0</v>
      </c>
      <c r="N402" t="n">
        <v>0</v>
      </c>
      <c r="O402" t="n">
        <v>0</v>
      </c>
      <c r="P402" t="n">
        <v>0</v>
      </c>
      <c r="Q402" t="n">
        <v>0</v>
      </c>
      <c r="R402" s="2" t="inlineStr"/>
    </row>
    <row r="403" ht="15" customHeight="1">
      <c r="A403" t="inlineStr">
        <is>
          <t>A 29392-2021</t>
        </is>
      </c>
      <c r="B403" s="1" t="n">
        <v>44361</v>
      </c>
      <c r="C403" s="1" t="n">
        <v>45351</v>
      </c>
      <c r="D403" t="inlineStr">
        <is>
          <t>VÄSTERBOTTENS LÄN</t>
        </is>
      </c>
      <c r="E403" t="inlineStr">
        <is>
          <t>VILHELMINA</t>
        </is>
      </c>
      <c r="F403" t="inlineStr">
        <is>
          <t>Allmännings- och besparingsskogar</t>
        </is>
      </c>
      <c r="G403" t="n">
        <v>275</v>
      </c>
      <c r="H403" t="n">
        <v>0</v>
      </c>
      <c r="I403" t="n">
        <v>0</v>
      </c>
      <c r="J403" t="n">
        <v>0</v>
      </c>
      <c r="K403" t="n">
        <v>0</v>
      </c>
      <c r="L403" t="n">
        <v>0</v>
      </c>
      <c r="M403" t="n">
        <v>0</v>
      </c>
      <c r="N403" t="n">
        <v>0</v>
      </c>
      <c r="O403" t="n">
        <v>0</v>
      </c>
      <c r="P403" t="n">
        <v>0</v>
      </c>
      <c r="Q403" t="n">
        <v>0</v>
      </c>
      <c r="R403" s="2" t="inlineStr"/>
    </row>
    <row r="404" ht="15" customHeight="1">
      <c r="A404" t="inlineStr">
        <is>
          <t>A 31722-2021</t>
        </is>
      </c>
      <c r="B404" s="1" t="n">
        <v>44370</v>
      </c>
      <c r="C404" s="1" t="n">
        <v>45351</v>
      </c>
      <c r="D404" t="inlineStr">
        <is>
          <t>VÄSTERBOTTENS LÄN</t>
        </is>
      </c>
      <c r="E404" t="inlineStr">
        <is>
          <t>VILHELMINA</t>
        </is>
      </c>
      <c r="G404" t="n">
        <v>2.8</v>
      </c>
      <c r="H404" t="n">
        <v>0</v>
      </c>
      <c r="I404" t="n">
        <v>0</v>
      </c>
      <c r="J404" t="n">
        <v>0</v>
      </c>
      <c r="K404" t="n">
        <v>0</v>
      </c>
      <c r="L404" t="n">
        <v>0</v>
      </c>
      <c r="M404" t="n">
        <v>0</v>
      </c>
      <c r="N404" t="n">
        <v>0</v>
      </c>
      <c r="O404" t="n">
        <v>0</v>
      </c>
      <c r="P404" t="n">
        <v>0</v>
      </c>
      <c r="Q404" t="n">
        <v>0</v>
      </c>
      <c r="R404" s="2" t="inlineStr"/>
    </row>
    <row r="405" ht="15" customHeight="1">
      <c r="A405" t="inlineStr">
        <is>
          <t>A 32665-2021</t>
        </is>
      </c>
      <c r="B405" s="1" t="n">
        <v>44371</v>
      </c>
      <c r="C405" s="1" t="n">
        <v>45351</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32672-2021</t>
        </is>
      </c>
      <c r="B406" s="1" t="n">
        <v>44371</v>
      </c>
      <c r="C406" s="1" t="n">
        <v>45351</v>
      </c>
      <c r="D406" t="inlineStr">
        <is>
          <t>VÄSTERBOTTENS LÄN</t>
        </is>
      </c>
      <c r="E406" t="inlineStr">
        <is>
          <t>VILHELMINA</t>
        </is>
      </c>
      <c r="G406" t="n">
        <v>4.5</v>
      </c>
      <c r="H406" t="n">
        <v>0</v>
      </c>
      <c r="I406" t="n">
        <v>0</v>
      </c>
      <c r="J406" t="n">
        <v>0</v>
      </c>
      <c r="K406" t="n">
        <v>0</v>
      </c>
      <c r="L406" t="n">
        <v>0</v>
      </c>
      <c r="M406" t="n">
        <v>0</v>
      </c>
      <c r="N406" t="n">
        <v>0</v>
      </c>
      <c r="O406" t="n">
        <v>0</v>
      </c>
      <c r="P406" t="n">
        <v>0</v>
      </c>
      <c r="Q406" t="n">
        <v>0</v>
      </c>
      <c r="R406" s="2" t="inlineStr"/>
    </row>
    <row r="407" ht="15" customHeight="1">
      <c r="A407" t="inlineStr">
        <is>
          <t>A 32658-2021</t>
        </is>
      </c>
      <c r="B407" s="1" t="n">
        <v>44371</v>
      </c>
      <c r="C407" s="1" t="n">
        <v>45351</v>
      </c>
      <c r="D407" t="inlineStr">
        <is>
          <t>VÄSTERBOTTENS LÄN</t>
        </is>
      </c>
      <c r="E407" t="inlineStr">
        <is>
          <t>VILHELMINA</t>
        </is>
      </c>
      <c r="G407" t="n">
        <v>2.2</v>
      </c>
      <c r="H407" t="n">
        <v>0</v>
      </c>
      <c r="I407" t="n">
        <v>0</v>
      </c>
      <c r="J407" t="n">
        <v>0</v>
      </c>
      <c r="K407" t="n">
        <v>0</v>
      </c>
      <c r="L407" t="n">
        <v>0</v>
      </c>
      <c r="M407" t="n">
        <v>0</v>
      </c>
      <c r="N407" t="n">
        <v>0</v>
      </c>
      <c r="O407" t="n">
        <v>0</v>
      </c>
      <c r="P407" t="n">
        <v>0</v>
      </c>
      <c r="Q407" t="n">
        <v>0</v>
      </c>
      <c r="R407" s="2" t="inlineStr"/>
    </row>
    <row r="408" ht="15" customHeight="1">
      <c r="A408" t="inlineStr">
        <is>
          <t>A 32655-2021</t>
        </is>
      </c>
      <c r="B408" s="1" t="n">
        <v>44371</v>
      </c>
      <c r="C408" s="1" t="n">
        <v>45351</v>
      </c>
      <c r="D408" t="inlineStr">
        <is>
          <t>VÄSTERBOTTENS LÄN</t>
        </is>
      </c>
      <c r="E408" t="inlineStr">
        <is>
          <t>VILHELMINA</t>
        </is>
      </c>
      <c r="G408" t="n">
        <v>0.2</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45351</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45351</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45351</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45351</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45351</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45351</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45351</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45351</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45351</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45351</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45351</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45351</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45351</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45351</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45351</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45351</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45351</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45351</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45351</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45351</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45351</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45351</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45351</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45351</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45351</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45351</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45351</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45351</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45351</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45351</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45351</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45351</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45351</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45351</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45351</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45351</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45351</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45351</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45351</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45351</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45351</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45351</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45351</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45351</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45351</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45351</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45351</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45351</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45351</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45351</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45351</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45351</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45351</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45351</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45351</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45351</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45351</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45351</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45351</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45351</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45351</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45351</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45351</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45351</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45351</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45351</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45351</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45351</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45351</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45351</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45351</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45351</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45351</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45351</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45351</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45351</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45351</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45351</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45351</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45351</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45351</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45351</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45351</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45351</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45351</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45351</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45351</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45351</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45351</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45351</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45351</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45351</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45351</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45351</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45351</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45351</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45351</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45351</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45351</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45351</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45351</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45351</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45351</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45351</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45351</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45351</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45351</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45351</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45351</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45351</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45351</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45351</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45351</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45351</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45351</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45351</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45351</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45351</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45351</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45351</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45351</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45351</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45351</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45351</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45351</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45351</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45351</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45351</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45351</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45351</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45351</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45351</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45351</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45351</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45351</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45351</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45351</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45351</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45351</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45351</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45351</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45351</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45351</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45351</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45351</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45351</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45351</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45351</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45351</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45351</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45351</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45351</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45351</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45351</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45351</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45351</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45351</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45351</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45351</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45351</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45351</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45351</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45351</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45351</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45351</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45351</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45351</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45351</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45351</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45351</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45351</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45351</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45351</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45351</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45351</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45351</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45351</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45351</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45351</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45351</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45351</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45351</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45351</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45351</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45351</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45351</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45351</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45351</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45351</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45351</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45351</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45351</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45351</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45351</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45351</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45351</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45351</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45351</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45351</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45351</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45351</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45351</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45351</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45351</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45351</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45351</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45351</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45351</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45351</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45351</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45351</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45351</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45351</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45351</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45351</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45351</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45351</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45351</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45351</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45351</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45351</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45351</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45351</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45351</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45351</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45351</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45351</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45351</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45351</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45351</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45351</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45351</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45351</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45351</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45351</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45351</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45351</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45351</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45351</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45351</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45351</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45351</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45351</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45351</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45351</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45351</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45351</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45351</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45351</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45351</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45351</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45351</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45351</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45351</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45351</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45351</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45351</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45351</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45351</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45351</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45351</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45351</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45351</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45351</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45351</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45351</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45351</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45351</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45351</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45351</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45351</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45351</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45351</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45351</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45351</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45351</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45351</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45351</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45351</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45351</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45351</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45351</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45351</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45351</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45351</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45351</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45351</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45351</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45351</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45351</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45351</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45351</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45351</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45351</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45351</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45351</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45351</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45351</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45351</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45351</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45351</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45351</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45351</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45351</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45351</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45351</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45351</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45351</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45351</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45351</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45351</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45351</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45351</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45351</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45351</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45351</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45351</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45351</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45351</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45351</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45351</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45351</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45351</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45351</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45351</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45351</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45351</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45351</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45351</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45351</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45351</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45351</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45351</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45351</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45351</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45351</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45351</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45351</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45351</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45351</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45351</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45351</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45351</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45351</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45351</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45351</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45351</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45351</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45351</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45351</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45351</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45351</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45351</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45351</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45351</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45351</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45351</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45351</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45351</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45351</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45351</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45351</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45351</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45351</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45351</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45351</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45351</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45351</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45351</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45351</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45351</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45351</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45351</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45351</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45351</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45351</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45351</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45351</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45351</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45351</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45351</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45351</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45351</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45351</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45351</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45351</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45351</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45351</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45351</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45351</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45351</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45351</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45351</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45351</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45351</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45351</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45351</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45351</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45351</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45351</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45351</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45351</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45351</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45351</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45351</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45351</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45351</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45351</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45351</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45351</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45351</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45351</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45351</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45351</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45351</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45351</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45351</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45351</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45351</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45351</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45351</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45351</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45351</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45351</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45351</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45351</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45351</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45351</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45351</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45351</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45351</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45351</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45351</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45351</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45351</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45351</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45351</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45351</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45351</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45351</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45351</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45351</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45351</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45351</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45351</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45351</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45351</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45351</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45351</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45351</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45351</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45351</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45351</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45351</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45351</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45351</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45351</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45351</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45351</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45351</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45351</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45351</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45351</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45351</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45351</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45351</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45351</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45351</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45351</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45351</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45351</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45351</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45351</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45351</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45351</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45351</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45351</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45351</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45351</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45351</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45351</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45351</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45351</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45351</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45351</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45351</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45351</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45351</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45351</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45351</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45351</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45351</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45351</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45351</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45351</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45351</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45351</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45351</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45351</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45351</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45351</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45351</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45351</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45351</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45351</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45351</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45351</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45351</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45351</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45351</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45351</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45351</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45351</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45351</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45351</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45351</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45351</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45351</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45351</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45351</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45351</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45351</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45351</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45351</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45351</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45351</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45351</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45351</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45351</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45351</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45351</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45351</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45351</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45351</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45351</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45351</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45351</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45351</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45351</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45351</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45351</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45351</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45351</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45351</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45351</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45351</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45351</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45351</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45351</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45351</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45351</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45351</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45351</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45351</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45351</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45351</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45351</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45351</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45351</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45351</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45351</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45351</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45351</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45351</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45351</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45351</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45351</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45351</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45351</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45351</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45351</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45351</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45351</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45351</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45351</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45351</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45351</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45351</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45351</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45351</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45351</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45351</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45351</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45351</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45351</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45351</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45351</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45351</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45351</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45351</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45351</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45351</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45351</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45351</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45351</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45351</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45351</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45351</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45351</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45351</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45351</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45351</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45351</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45351</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45351</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45351</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45351</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45351</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45351</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45351</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45351</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45351</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45351</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45351</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45351</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45351</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45351</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45351</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45351</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45351</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45351</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45351</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45351</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45351</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45351</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45351</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45351</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45351</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45351</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45351</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45351</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62015-2023</t>
        </is>
      </c>
      <c r="B1040" s="1" t="n">
        <v>45265</v>
      </c>
      <c r="C1040" s="1" t="n">
        <v>45351</v>
      </c>
      <c r="D1040" t="inlineStr">
        <is>
          <t>VÄSTERBOTTENS LÄN</t>
        </is>
      </c>
      <c r="E1040" t="inlineStr">
        <is>
          <t>VILHELMINA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61779-2023</t>
        </is>
      </c>
      <c r="B1041" s="1" t="n">
        <v>45265</v>
      </c>
      <c r="C1041" s="1" t="n">
        <v>45351</v>
      </c>
      <c r="D1041" t="inlineStr">
        <is>
          <t>VÄSTERBOTTENS LÄN</t>
        </is>
      </c>
      <c r="E1041" t="inlineStr">
        <is>
          <t>VILHELMINA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62021-2023</t>
        </is>
      </c>
      <c r="B1042" s="1" t="n">
        <v>45265</v>
      </c>
      <c r="C1042" s="1" t="n">
        <v>45351</v>
      </c>
      <c r="D1042" t="inlineStr">
        <is>
          <t>VÄSTERBOTTENS LÄN</t>
        </is>
      </c>
      <c r="E1042" t="inlineStr">
        <is>
          <t>VILHELMINA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45351</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61973-2023</t>
        </is>
      </c>
      <c r="B1044" s="1" t="n">
        <v>45265</v>
      </c>
      <c r="C1044" s="1" t="n">
        <v>45351</v>
      </c>
      <c r="D1044" t="inlineStr">
        <is>
          <t>VÄSTERBOTTENS LÄN</t>
        </is>
      </c>
      <c r="E1044" t="inlineStr">
        <is>
          <t>VILHELMINA</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45351</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62663-2023</t>
        </is>
      </c>
      <c r="B1046" s="1" t="n">
        <v>45267</v>
      </c>
      <c r="C1046" s="1" t="n">
        <v>45351</v>
      </c>
      <c r="D1046" t="inlineStr">
        <is>
          <t>VÄSTERBOTTENS LÄN</t>
        </is>
      </c>
      <c r="E1046" t="inlineStr">
        <is>
          <t>VILHELMINA</t>
        </is>
      </c>
      <c r="F1046" t="inlineStr">
        <is>
          <t>Allmännings- och besparingsskogar</t>
        </is>
      </c>
      <c r="G1046" t="n">
        <v>19.3</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45351</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63053-2023</t>
        </is>
      </c>
      <c r="B1048" s="1" t="n">
        <v>45272</v>
      </c>
      <c r="C1048" s="1" t="n">
        <v>45351</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63050-2023</t>
        </is>
      </c>
      <c r="B1049" s="1" t="n">
        <v>45272</v>
      </c>
      <c r="C1049" s="1" t="n">
        <v>45351</v>
      </c>
      <c r="D1049" t="inlineStr">
        <is>
          <t>VÄSTERBOTTENS LÄN</t>
        </is>
      </c>
      <c r="E1049" t="inlineStr">
        <is>
          <t>VILHELMINA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45351</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45351</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64029-2023</t>
        </is>
      </c>
      <c r="B1052" s="1" t="n">
        <v>45278</v>
      </c>
      <c r="C1052" s="1" t="n">
        <v>45351</v>
      </c>
      <c r="D1052" t="inlineStr">
        <is>
          <t>VÄSTERBOTTENS LÄN</t>
        </is>
      </c>
      <c r="E1052" t="inlineStr">
        <is>
          <t>VILHELMINA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64027-2023</t>
        </is>
      </c>
      <c r="B1053" s="1" t="n">
        <v>45278</v>
      </c>
      <c r="C1053" s="1" t="n">
        <v>45351</v>
      </c>
      <c r="D1053" t="inlineStr">
        <is>
          <t>VÄSTERBOTTENS LÄN</t>
        </is>
      </c>
      <c r="E1053" t="inlineStr">
        <is>
          <t>VILHELMINA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45351</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45351</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64421-2023</t>
        </is>
      </c>
      <c r="B1056" s="1" t="n">
        <v>45280</v>
      </c>
      <c r="C1056" s="1" t="n">
        <v>45351</v>
      </c>
      <c r="D1056" t="inlineStr">
        <is>
          <t>VÄSTERBOTTENS LÄN</t>
        </is>
      </c>
      <c r="E1056" t="inlineStr">
        <is>
          <t>VILHELMINA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45351</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64592-2023</t>
        </is>
      </c>
      <c r="B1058" s="1" t="n">
        <v>45281</v>
      </c>
      <c r="C1058" s="1" t="n">
        <v>45351</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65042-2023</t>
        </is>
      </c>
      <c r="B1059" s="1" t="n">
        <v>45282</v>
      </c>
      <c r="C1059" s="1" t="n">
        <v>45351</v>
      </c>
      <c r="D1059" t="inlineStr">
        <is>
          <t>VÄSTERBOTTENS LÄN</t>
        </is>
      </c>
      <c r="E1059" t="inlineStr">
        <is>
          <t>VILHELMINA</t>
        </is>
      </c>
      <c r="F1059" t="inlineStr">
        <is>
          <t>Övriga Aktiebolag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370-2024</t>
        </is>
      </c>
      <c r="B1060" s="1" t="n">
        <v>45296</v>
      </c>
      <c r="C1060" s="1" t="n">
        <v>45351</v>
      </c>
      <c r="D1060" t="inlineStr">
        <is>
          <t>VÄSTERBOTTENS LÄN</t>
        </is>
      </c>
      <c r="E1060" t="inlineStr">
        <is>
          <t>VILHELMINA</t>
        </is>
      </c>
      <c r="F1060" t="inlineStr">
        <is>
          <t>SCA</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367-2024</t>
        </is>
      </c>
      <c r="B1061" s="1" t="n">
        <v>45295</v>
      </c>
      <c r="C1061" s="1" t="n">
        <v>45351</v>
      </c>
      <c r="D1061" t="inlineStr">
        <is>
          <t>VÄSTERBOTTENS LÄN</t>
        </is>
      </c>
      <c r="E1061" t="inlineStr">
        <is>
          <t>VILHELMINA</t>
        </is>
      </c>
      <c r="F1061" t="inlineStr">
        <is>
          <t>SCA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475-2024</t>
        </is>
      </c>
      <c r="B1062" s="1" t="n">
        <v>45297</v>
      </c>
      <c r="C1062" s="1" t="n">
        <v>45351</v>
      </c>
      <c r="D1062" t="inlineStr">
        <is>
          <t>VÄSTERBOTTENS LÄN</t>
        </is>
      </c>
      <c r="E1062" t="inlineStr">
        <is>
          <t>VILHELMINA</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468-2024</t>
        </is>
      </c>
      <c r="B1063" s="1" t="n">
        <v>45297</v>
      </c>
      <c r="C1063" s="1" t="n">
        <v>45351</v>
      </c>
      <c r="D1063" t="inlineStr">
        <is>
          <t>VÄSTERBOTTENS LÄN</t>
        </is>
      </c>
      <c r="E1063" t="inlineStr">
        <is>
          <t>VILHELMINA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706-2024</t>
        </is>
      </c>
      <c r="B1064" s="1" t="n">
        <v>45300</v>
      </c>
      <c r="C1064" s="1" t="n">
        <v>45351</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1780-2024</t>
        </is>
      </c>
      <c r="B1065" s="1" t="n">
        <v>45307</v>
      </c>
      <c r="C1065" s="1" t="n">
        <v>45351</v>
      </c>
      <c r="D1065" t="inlineStr">
        <is>
          <t>VÄSTERBOTTENS LÄN</t>
        </is>
      </c>
      <c r="E1065" t="inlineStr">
        <is>
          <t>VILHELMINA</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1854-2024</t>
        </is>
      </c>
      <c r="B1066" s="1" t="n">
        <v>45307</v>
      </c>
      <c r="C1066" s="1" t="n">
        <v>45351</v>
      </c>
      <c r="D1066" t="inlineStr">
        <is>
          <t>VÄSTERBOTTENS LÄN</t>
        </is>
      </c>
      <c r="E1066" t="inlineStr">
        <is>
          <t>VILHELMINA</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2023-2024</t>
        </is>
      </c>
      <c r="B1067" s="1" t="n">
        <v>45308</v>
      </c>
      <c r="C1067" s="1" t="n">
        <v>45351</v>
      </c>
      <c r="D1067" t="inlineStr">
        <is>
          <t>VÄSTERBOTTENS LÄN</t>
        </is>
      </c>
      <c r="E1067" t="inlineStr">
        <is>
          <t>VILHELMINA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2022-2024</t>
        </is>
      </c>
      <c r="B1068" s="1" t="n">
        <v>45308</v>
      </c>
      <c r="C1068" s="1" t="n">
        <v>45351</v>
      </c>
      <c r="D1068" t="inlineStr">
        <is>
          <t>VÄSTERBOTTENS LÄN</t>
        </is>
      </c>
      <c r="E1068" t="inlineStr">
        <is>
          <t>VILHELMINA</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1940-2024</t>
        </is>
      </c>
      <c r="B1069" s="1" t="n">
        <v>45308</v>
      </c>
      <c r="C1069" s="1" t="n">
        <v>45351</v>
      </c>
      <c r="D1069" t="inlineStr">
        <is>
          <t>VÄSTERBOTTENS LÄN</t>
        </is>
      </c>
      <c r="E1069" t="inlineStr">
        <is>
          <t>VILHELMINA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3237-2024</t>
        </is>
      </c>
      <c r="B1070" s="1" t="n">
        <v>45316</v>
      </c>
      <c r="C1070" s="1" t="n">
        <v>45351</v>
      </c>
      <c r="D1070" t="inlineStr">
        <is>
          <t>VÄSTERBOTTENS LÄN</t>
        </is>
      </c>
      <c r="E1070" t="inlineStr">
        <is>
          <t>VILHELMINA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3620-2024</t>
        </is>
      </c>
      <c r="B1071" s="1" t="n">
        <v>45320</v>
      </c>
      <c r="C1071" s="1" t="n">
        <v>45351</v>
      </c>
      <c r="D1071" t="inlineStr">
        <is>
          <t>VÄSTERBOTTENS LÄN</t>
        </is>
      </c>
      <c r="E1071" t="inlineStr">
        <is>
          <t>VILHELMINA</t>
        </is>
      </c>
      <c r="F1071" t="inlineStr">
        <is>
          <t>SCA</t>
        </is>
      </c>
      <c r="G1071" t="n">
        <v>15.6</v>
      </c>
      <c r="H1071" t="n">
        <v>0</v>
      </c>
      <c r="I1071" t="n">
        <v>0</v>
      </c>
      <c r="J1071" t="n">
        <v>0</v>
      </c>
      <c r="K1071" t="n">
        <v>0</v>
      </c>
      <c r="L1071" t="n">
        <v>0</v>
      </c>
      <c r="M1071" t="n">
        <v>0</v>
      </c>
      <c r="N1071" t="n">
        <v>0</v>
      </c>
      <c r="O1071" t="n">
        <v>0</v>
      </c>
      <c r="P1071" t="n">
        <v>0</v>
      </c>
      <c r="Q1071" t="n">
        <v>0</v>
      </c>
      <c r="R1071" s="2" t="inlineStr"/>
    </row>
    <row r="1072" ht="15" customHeight="1">
      <c r="A1072" t="inlineStr">
        <is>
          <t>A 4291-2024</t>
        </is>
      </c>
      <c r="B1072" s="1" t="n">
        <v>45324</v>
      </c>
      <c r="C1072" s="1" t="n">
        <v>45351</v>
      </c>
      <c r="D1072" t="inlineStr">
        <is>
          <t>VÄSTERBOTTENS LÄN</t>
        </is>
      </c>
      <c r="E1072" t="inlineStr">
        <is>
          <t>VILHELMINA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5435-2024</t>
        </is>
      </c>
      <c r="B1073" s="1" t="n">
        <v>45331</v>
      </c>
      <c r="C1073" s="1" t="n">
        <v>45351</v>
      </c>
      <c r="D1073" t="inlineStr">
        <is>
          <t>VÄSTERBOTTENS LÄN</t>
        </is>
      </c>
      <c r="E1073" t="inlineStr">
        <is>
          <t>VILHELMINA</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5434-2024</t>
        </is>
      </c>
      <c r="B1074" s="1" t="n">
        <v>45331</v>
      </c>
      <c r="C1074" s="1" t="n">
        <v>45351</v>
      </c>
      <c r="D1074" t="inlineStr">
        <is>
          <t>VÄSTERBOTTENS LÄN</t>
        </is>
      </c>
      <c r="E1074" t="inlineStr">
        <is>
          <t>VILHELMINA</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5432-2024</t>
        </is>
      </c>
      <c r="B1075" s="1" t="n">
        <v>45331</v>
      </c>
      <c r="C1075" s="1" t="n">
        <v>45351</v>
      </c>
      <c r="D1075" t="inlineStr">
        <is>
          <t>VÄSTERBOTTENS LÄN</t>
        </is>
      </c>
      <c r="E1075" t="inlineStr">
        <is>
          <t>VILHELMINA</t>
        </is>
      </c>
      <c r="G1075" t="n">
        <v>19.6</v>
      </c>
      <c r="H1075" t="n">
        <v>0</v>
      </c>
      <c r="I1075" t="n">
        <v>0</v>
      </c>
      <c r="J1075" t="n">
        <v>0</v>
      </c>
      <c r="K1075" t="n">
        <v>0</v>
      </c>
      <c r="L1075" t="n">
        <v>0</v>
      </c>
      <c r="M1075" t="n">
        <v>0</v>
      </c>
      <c r="N1075" t="n">
        <v>0</v>
      </c>
      <c r="O1075" t="n">
        <v>0</v>
      </c>
      <c r="P1075" t="n">
        <v>0</v>
      </c>
      <c r="Q1075" t="n">
        <v>0</v>
      </c>
      <c r="R1075" s="2" t="inlineStr"/>
    </row>
    <row r="1076" ht="15" customHeight="1">
      <c r="A1076" t="inlineStr">
        <is>
          <t>A 5552-2024</t>
        </is>
      </c>
      <c r="B1076" s="1" t="n">
        <v>45332</v>
      </c>
      <c r="C1076" s="1" t="n">
        <v>45351</v>
      </c>
      <c r="D1076" t="inlineStr">
        <is>
          <t>VÄSTERBOTTENS LÄN</t>
        </is>
      </c>
      <c r="E1076" t="inlineStr">
        <is>
          <t>VILHELMINA</t>
        </is>
      </c>
      <c r="G1076" t="n">
        <v>18.2</v>
      </c>
      <c r="H1076" t="n">
        <v>0</v>
      </c>
      <c r="I1076" t="n">
        <v>0</v>
      </c>
      <c r="J1076" t="n">
        <v>0</v>
      </c>
      <c r="K1076" t="n">
        <v>0</v>
      </c>
      <c r="L1076" t="n">
        <v>0</v>
      </c>
      <c r="M1076" t="n">
        <v>0</v>
      </c>
      <c r="N1076" t="n">
        <v>0</v>
      </c>
      <c r="O1076" t="n">
        <v>0</v>
      </c>
      <c r="P1076" t="n">
        <v>0</v>
      </c>
      <c r="Q1076" t="n">
        <v>0</v>
      </c>
      <c r="R1076" s="2" t="inlineStr"/>
    </row>
    <row r="1077" ht="15" customHeight="1">
      <c r="A1077" t="inlineStr">
        <is>
          <t>A 5549-2024</t>
        </is>
      </c>
      <c r="B1077" s="1" t="n">
        <v>45332</v>
      </c>
      <c r="C1077" s="1" t="n">
        <v>45351</v>
      </c>
      <c r="D1077" t="inlineStr">
        <is>
          <t>VÄSTERBOTTENS LÄN</t>
        </is>
      </c>
      <c r="E1077" t="inlineStr">
        <is>
          <t>VILHELMINA</t>
        </is>
      </c>
      <c r="G1077" t="n">
        <v>25.8</v>
      </c>
      <c r="H1077" t="n">
        <v>0</v>
      </c>
      <c r="I1077" t="n">
        <v>0</v>
      </c>
      <c r="J1077" t="n">
        <v>0</v>
      </c>
      <c r="K1077" t="n">
        <v>0</v>
      </c>
      <c r="L1077" t="n">
        <v>0</v>
      </c>
      <c r="M1077" t="n">
        <v>0</v>
      </c>
      <c r="N1077" t="n">
        <v>0</v>
      </c>
      <c r="O1077" t="n">
        <v>0</v>
      </c>
      <c r="P1077" t="n">
        <v>0</v>
      </c>
      <c r="Q1077" t="n">
        <v>0</v>
      </c>
      <c r="R1077" s="2" t="inlineStr"/>
    </row>
    <row r="1078" ht="15" customHeight="1">
      <c r="A1078" t="inlineStr">
        <is>
          <t>A 5482-2024</t>
        </is>
      </c>
      <c r="B1078" s="1" t="n">
        <v>45333</v>
      </c>
      <c r="C1078" s="1" t="n">
        <v>45351</v>
      </c>
      <c r="D1078" t="inlineStr">
        <is>
          <t>VÄSTERBOTTENS LÄN</t>
        </is>
      </c>
      <c r="E1078" t="inlineStr">
        <is>
          <t>VILHELMINA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5497-2024</t>
        </is>
      </c>
      <c r="B1079" s="1" t="n">
        <v>45334</v>
      </c>
      <c r="C1079" s="1" t="n">
        <v>45351</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6280-2024</t>
        </is>
      </c>
      <c r="B1080" s="1" t="n">
        <v>45337</v>
      </c>
      <c r="C1080" s="1" t="n">
        <v>45351</v>
      </c>
      <c r="D1080" t="inlineStr">
        <is>
          <t>VÄSTERBOTTENS LÄN</t>
        </is>
      </c>
      <c r="E1080" t="inlineStr">
        <is>
          <t>VILHELMINA</t>
        </is>
      </c>
      <c r="F1080" t="inlineStr">
        <is>
          <t>SCA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6281-2024</t>
        </is>
      </c>
      <c r="B1081" s="1" t="n">
        <v>45337</v>
      </c>
      <c r="C1081" s="1" t="n">
        <v>45351</v>
      </c>
      <c r="D1081" t="inlineStr">
        <is>
          <t>VÄSTERBOTTENS LÄN</t>
        </is>
      </c>
      <c r="E1081" t="inlineStr">
        <is>
          <t>VILHELMINA</t>
        </is>
      </c>
      <c r="F1081" t="inlineStr">
        <is>
          <t>SCA</t>
        </is>
      </c>
      <c r="G1081" t="n">
        <v>17.6</v>
      </c>
      <c r="H1081" t="n">
        <v>0</v>
      </c>
      <c r="I1081" t="n">
        <v>0</v>
      </c>
      <c r="J1081" t="n">
        <v>0</v>
      </c>
      <c r="K1081" t="n">
        <v>0</v>
      </c>
      <c r="L1081" t="n">
        <v>0</v>
      </c>
      <c r="M1081" t="n">
        <v>0</v>
      </c>
      <c r="N1081" t="n">
        <v>0</v>
      </c>
      <c r="O1081" t="n">
        <v>0</v>
      </c>
      <c r="P1081" t="n">
        <v>0</v>
      </c>
      <c r="Q1081" t="n">
        <v>0</v>
      </c>
      <c r="R1081" s="2" t="inlineStr"/>
    </row>
    <row r="1082" ht="15" customHeight="1">
      <c r="A1082" t="inlineStr">
        <is>
          <t>A 6358-2024</t>
        </is>
      </c>
      <c r="B1082" s="1" t="n">
        <v>45338</v>
      </c>
      <c r="C1082" s="1" t="n">
        <v>45351</v>
      </c>
      <c r="D1082" t="inlineStr">
        <is>
          <t>VÄSTERBOTTENS LÄN</t>
        </is>
      </c>
      <c r="E1082" t="inlineStr">
        <is>
          <t>VILHELMINA</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6369-2024</t>
        </is>
      </c>
      <c r="B1083" s="1" t="n">
        <v>45338</v>
      </c>
      <c r="C1083" s="1" t="n">
        <v>45351</v>
      </c>
      <c r="D1083" t="inlineStr">
        <is>
          <t>VÄSTERBOTTENS LÄN</t>
        </is>
      </c>
      <c r="E1083" t="inlineStr">
        <is>
          <t>VILHELMINA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7102-2024</t>
        </is>
      </c>
      <c r="B1084" s="1" t="n">
        <v>45343</v>
      </c>
      <c r="C1084" s="1" t="n">
        <v>45351</v>
      </c>
      <c r="D1084" t="inlineStr">
        <is>
          <t>VÄSTERBOTTENS LÄN</t>
        </is>
      </c>
      <c r="E1084" t="inlineStr">
        <is>
          <t>VILHELMINA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7777-2024</t>
        </is>
      </c>
      <c r="B1085" s="1" t="n">
        <v>45349</v>
      </c>
      <c r="C1085" s="1" t="n">
        <v>45351</v>
      </c>
      <c r="D1085" t="inlineStr">
        <is>
          <t>VÄSTERBOTTENS LÄN</t>
        </is>
      </c>
      <c r="E1085" t="inlineStr">
        <is>
          <t>VILHELMINA</t>
        </is>
      </c>
      <c r="G1085" t="n">
        <v>7</v>
      </c>
      <c r="H1085" t="n">
        <v>0</v>
      </c>
      <c r="I1085" t="n">
        <v>0</v>
      </c>
      <c r="J1085" t="n">
        <v>0</v>
      </c>
      <c r="K1085" t="n">
        <v>0</v>
      </c>
      <c r="L1085" t="n">
        <v>0</v>
      </c>
      <c r="M1085" t="n">
        <v>0</v>
      </c>
      <c r="N1085" t="n">
        <v>0</v>
      </c>
      <c r="O1085" t="n">
        <v>0</v>
      </c>
      <c r="P1085" t="n">
        <v>0</v>
      </c>
      <c r="Q1085" t="n">
        <v>0</v>
      </c>
      <c r="R1085" s="2" t="inlineStr"/>
    </row>
    <row r="1086">
      <c r="A1086" t="inlineStr">
        <is>
          <t>A 7762-2024</t>
        </is>
      </c>
      <c r="B1086" s="1" t="n">
        <v>45349</v>
      </c>
      <c r="C1086" s="1" t="n">
        <v>45351</v>
      </c>
      <c r="D1086" t="inlineStr">
        <is>
          <t>VÄSTERBOTTENS LÄN</t>
        </is>
      </c>
      <c r="E1086" t="inlineStr">
        <is>
          <t>VILHELMINA</t>
        </is>
      </c>
      <c r="G1086" t="n">
        <v>4.8</v>
      </c>
      <c r="H1086" t="n">
        <v>0</v>
      </c>
      <c r="I1086" t="n">
        <v>0</v>
      </c>
      <c r="J1086" t="n">
        <v>0</v>
      </c>
      <c r="K1086" t="n">
        <v>0</v>
      </c>
      <c r="L1086" t="n">
        <v>0</v>
      </c>
      <c r="M1086" t="n">
        <v>0</v>
      </c>
      <c r="N1086" t="n">
        <v>0</v>
      </c>
      <c r="O1086" t="n">
        <v>0</v>
      </c>
      <c r="P1086" t="n">
        <v>0</v>
      </c>
      <c r="Q1086" t="n">
        <v>0</v>
      </c>
      <c r="R108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2024-02-29T12:53:18Z</dcterms:created>
  <dcterms:modified xmlns:dcterms="http://purl.org/dc/terms/" xmlns:xsi="http://www.w3.org/2001/XMLSchema-instance" xsi:type="dcterms:W3CDTF">2024-02-29T12:53:19Z</dcterms:modified>
</cp:coreProperties>
</file>