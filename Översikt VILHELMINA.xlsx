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45881</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45881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45881</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45881</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45881</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45881</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45881</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45881</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45881</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45881</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45881</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45881</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45881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45881</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45881</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45881</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45881</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45881</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45881</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45881</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42064-2024</t>
        </is>
      </c>
      <c r="B29" s="1" t="n">
        <v>45561</v>
      </c>
      <c r="C29" s="1" t="n">
        <v>45881</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48248-2023</t>
        </is>
      </c>
      <c r="B30" s="1" t="n">
        <v>45201</v>
      </c>
      <c r="C30" s="1" t="n">
        <v>45881</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9048-2023</t>
        </is>
      </c>
      <c r="B31" s="1" t="n">
        <v>44972</v>
      </c>
      <c r="C31" s="1" t="n">
        <v>45881</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23758-2025</t>
        </is>
      </c>
      <c r="B32" s="1" t="n">
        <v>45793</v>
      </c>
      <c r="C32" s="1" t="n">
        <v>45881</v>
      </c>
      <c r="D32" t="inlineStr">
        <is>
          <t>VÄSTERBOTTENS LÄN</t>
        </is>
      </c>
      <c r="E32" t="inlineStr">
        <is>
          <t>VILHELMINA</t>
        </is>
      </c>
      <c r="G32" t="n">
        <v>14.9</v>
      </c>
      <c r="H32" t="n">
        <v>6</v>
      </c>
      <c r="I32" t="n">
        <v>8</v>
      </c>
      <c r="J32" t="n">
        <v>8</v>
      </c>
      <c r="K32" t="n">
        <v>1</v>
      </c>
      <c r="L32" t="n">
        <v>0</v>
      </c>
      <c r="M32" t="n">
        <v>0</v>
      </c>
      <c r="N32" t="n">
        <v>0</v>
      </c>
      <c r="O32" t="n">
        <v>9</v>
      </c>
      <c r="P32" t="n">
        <v>1</v>
      </c>
      <c r="Q32" t="n">
        <v>18</v>
      </c>
      <c r="R32" s="2" t="inlineStr">
        <is>
          <t>Grantickeporing
Garnlav
Granticka
Lappmes
Lunglav
Skrovellav
Tretåig hackspett
Ullticka
Violettgrå tagellav
Bårdlav
Korallrot
Luddlav
Plattlummer
Skinnlav
Spindelblomster
Stuplav
Trådticka
Lavskrika</t>
        </is>
      </c>
      <c r="S32">
        <f>HYPERLINK("https://klasma.github.io/Logging_2462/artfynd/A 23758-2025 artfynd.xlsx", "A 23758-2025")</f>
        <v/>
      </c>
      <c r="T32">
        <f>HYPERLINK("https://klasma.github.io/Logging_2462/kartor/A 23758-2025 karta.png", "A 23758-2025")</f>
        <v/>
      </c>
      <c r="V32">
        <f>HYPERLINK("https://klasma.github.io/Logging_2462/klagomål/A 23758-2025 FSC-klagomål.docx", "A 23758-2025")</f>
        <v/>
      </c>
      <c r="W32">
        <f>HYPERLINK("https://klasma.github.io/Logging_2462/klagomålsmail/A 23758-2025 FSC-klagomål mail.docx", "A 23758-2025")</f>
        <v/>
      </c>
      <c r="X32">
        <f>HYPERLINK("https://klasma.github.io/Logging_2462/tillsyn/A 23758-2025 tillsynsbegäran.docx", "A 23758-2025")</f>
        <v/>
      </c>
      <c r="Y32">
        <f>HYPERLINK("https://klasma.github.io/Logging_2462/tillsynsmail/A 23758-2025 tillsynsbegäran mail.docx", "A 23758-2025")</f>
        <v/>
      </c>
      <c r="Z32">
        <f>HYPERLINK("https://klasma.github.io/Logging_2462/fåglar/A 23758-2025 prioriterade fågelarter.docx", "A 23758-2025")</f>
        <v/>
      </c>
    </row>
    <row r="33" ht="15" customHeight="1">
      <c r="A33" t="inlineStr">
        <is>
          <t>A 46776-2024</t>
        </is>
      </c>
      <c r="B33" s="1" t="n">
        <v>45583</v>
      </c>
      <c r="C33" s="1" t="n">
        <v>45881</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Leptoporus mollis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45881</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45881</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45881</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45881</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45881</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45881</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45881</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45881</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45881</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45881</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45881</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45881</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48034-2020</t>
        </is>
      </c>
      <c r="B46" s="1" t="n">
        <v>44095</v>
      </c>
      <c r="C46" s="1" t="n">
        <v>45881</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45881</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29392-2021</t>
        </is>
      </c>
      <c r="B48" s="1" t="n">
        <v>44361</v>
      </c>
      <c r="C48" s="1" t="n">
        <v>45881</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45881</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7762-2024</t>
        </is>
      </c>
      <c r="B50" s="1" t="n">
        <v>45349</v>
      </c>
      <c r="C50" s="1" t="n">
        <v>45881</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49141-2023</t>
        </is>
      </c>
      <c r="B51" s="1" t="n">
        <v>45205</v>
      </c>
      <c r="C51" s="1" t="n">
        <v>45881</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15047-2024</t>
        </is>
      </c>
      <c r="B52" s="1" t="n">
        <v>45399</v>
      </c>
      <c r="C52" s="1" t="n">
        <v>45881</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45881</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45881</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45881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45881</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45881</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45881</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45881</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45881</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45881</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45881</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45881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45881</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45881</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45881</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45881</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45881</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45881</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47932-2024</t>
        </is>
      </c>
      <c r="B70" s="1" t="n">
        <v>45589</v>
      </c>
      <c r="C70" s="1" t="n">
        <v>45881</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25564-2024</t>
        </is>
      </c>
      <c r="B71" s="1" t="n">
        <v>45463</v>
      </c>
      <c r="C71" s="1" t="n">
        <v>45881</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15852-2022</t>
        </is>
      </c>
      <c r="B72" s="1" t="n">
        <v>44664</v>
      </c>
      <c r="C72" s="1" t="n">
        <v>45881</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45881</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45881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57099-2024</t>
        </is>
      </c>
      <c r="B75" s="1" t="n">
        <v>45629</v>
      </c>
      <c r="C75" s="1" t="n">
        <v>45881</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45881</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44874-2024</t>
        </is>
      </c>
      <c r="B77" s="1" t="n">
        <v>45575</v>
      </c>
      <c r="C77" s="1" t="n">
        <v>45881</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25040-2025</t>
        </is>
      </c>
      <c r="B78" s="1" t="n">
        <v>45799.65734953704</v>
      </c>
      <c r="C78" s="1" t="n">
        <v>45881</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45881</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45881</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45881</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45881</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45881</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28867-2024</t>
        </is>
      </c>
      <c r="B84" s="1" t="n">
        <v>45478</v>
      </c>
      <c r="C84" s="1" t="n">
        <v>45881</v>
      </c>
      <c r="D84" t="inlineStr">
        <is>
          <t>VÄSTERBOTTENS LÄN</t>
        </is>
      </c>
      <c r="E84" t="inlineStr">
        <is>
          <t>VILHELMINA</t>
        </is>
      </c>
      <c r="F84" t="inlineStr">
        <is>
          <t>SCA</t>
        </is>
      </c>
      <c r="G84" t="n">
        <v>1</v>
      </c>
      <c r="H84" t="n">
        <v>1</v>
      </c>
      <c r="I84" t="n">
        <v>0</v>
      </c>
      <c r="J84" t="n">
        <v>4</v>
      </c>
      <c r="K84" t="n">
        <v>0</v>
      </c>
      <c r="L84" t="n">
        <v>0</v>
      </c>
      <c r="M84" t="n">
        <v>0</v>
      </c>
      <c r="N84" t="n">
        <v>0</v>
      </c>
      <c r="O84" t="n">
        <v>4</v>
      </c>
      <c r="P84" t="n">
        <v>0</v>
      </c>
      <c r="Q84" t="n">
        <v>4</v>
      </c>
      <c r="R84" s="2" t="inlineStr">
        <is>
          <t>Garnlav
Granticka
Liten svartspik
Tretåig hackspett</t>
        </is>
      </c>
      <c r="S84">
        <f>HYPERLINK("https://klasma.github.io/Logging_2462/artfynd/A 28867-2024 artfynd.xlsx", "A 28867-2024")</f>
        <v/>
      </c>
      <c r="T84">
        <f>HYPERLINK("https://klasma.github.io/Logging_2462/kartor/A 28867-2024 karta.png", "A 28867-2024")</f>
        <v/>
      </c>
      <c r="V84">
        <f>HYPERLINK("https://klasma.github.io/Logging_2462/klagomål/A 28867-2024 FSC-klagomål.docx", "A 28867-2024")</f>
        <v/>
      </c>
      <c r="W84">
        <f>HYPERLINK("https://klasma.github.io/Logging_2462/klagomålsmail/A 28867-2024 FSC-klagomål mail.docx", "A 28867-2024")</f>
        <v/>
      </c>
      <c r="X84">
        <f>HYPERLINK("https://klasma.github.io/Logging_2462/tillsyn/A 28867-2024 tillsynsbegäran.docx", "A 28867-2024")</f>
        <v/>
      </c>
      <c r="Y84">
        <f>HYPERLINK("https://klasma.github.io/Logging_2462/tillsynsmail/A 28867-2024 tillsynsbegäran mail.docx", "A 28867-2024")</f>
        <v/>
      </c>
      <c r="Z84">
        <f>HYPERLINK("https://klasma.github.io/Logging_2462/fåglar/A 28867-2024 prioriterade fågelarter.docx", "A 28867-2024")</f>
        <v/>
      </c>
    </row>
    <row r="85" ht="15" customHeight="1">
      <c r="A85" t="inlineStr">
        <is>
          <t>A 31198-2023</t>
        </is>
      </c>
      <c r="B85" s="1" t="n">
        <v>45113</v>
      </c>
      <c r="C85" s="1" t="n">
        <v>45881</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45881</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45881</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45881</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45881</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13604-2022</t>
        </is>
      </c>
      <c r="B90" s="1" t="n">
        <v>44648</v>
      </c>
      <c r="C90" s="1" t="n">
        <v>45881</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45881</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45881</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54780-2024</t>
        </is>
      </c>
      <c r="B93" s="1" t="n">
        <v>45618</v>
      </c>
      <c r="C93" s="1" t="n">
        <v>45881</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9157-2023</t>
        </is>
      </c>
      <c r="B94" s="1" t="n">
        <v>44972</v>
      </c>
      <c r="C94" s="1" t="n">
        <v>45881</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60737-2024</t>
        </is>
      </c>
      <c r="B95" s="1" t="n">
        <v>45644</v>
      </c>
      <c r="C95" s="1" t="n">
        <v>45881</v>
      </c>
      <c r="D95" t="inlineStr">
        <is>
          <t>VÄSTERBOTTENS LÄN</t>
        </is>
      </c>
      <c r="E95" t="inlineStr">
        <is>
          <t>VILHELMINA</t>
        </is>
      </c>
      <c r="G95" t="n">
        <v>199.5</v>
      </c>
      <c r="H95" t="n">
        <v>3</v>
      </c>
      <c r="I95" t="n">
        <v>0</v>
      </c>
      <c r="J95" t="n">
        <v>2</v>
      </c>
      <c r="K95" t="n">
        <v>0</v>
      </c>
      <c r="L95" t="n">
        <v>0</v>
      </c>
      <c r="M95" t="n">
        <v>0</v>
      </c>
      <c r="N95" t="n">
        <v>0</v>
      </c>
      <c r="O95" t="n">
        <v>2</v>
      </c>
      <c r="P95" t="n">
        <v>0</v>
      </c>
      <c r="Q95" t="n">
        <v>3</v>
      </c>
      <c r="R95" s="2" t="inlineStr">
        <is>
          <t>Alfågel
Järpe
Skogsrör</t>
        </is>
      </c>
      <c r="S95">
        <f>HYPERLINK("https://klasma.github.io/Logging_2462/artfynd/A 60737-2024 artfynd.xlsx", "A 60737-2024")</f>
        <v/>
      </c>
      <c r="T95">
        <f>HYPERLINK("https://klasma.github.io/Logging_2462/kartor/A 60737-2024 karta.png", "A 60737-2024")</f>
        <v/>
      </c>
      <c r="V95">
        <f>HYPERLINK("https://klasma.github.io/Logging_2462/klagomål/A 60737-2024 FSC-klagomål.docx", "A 60737-2024")</f>
        <v/>
      </c>
      <c r="W95">
        <f>HYPERLINK("https://klasma.github.io/Logging_2462/klagomålsmail/A 60737-2024 FSC-klagomål mail.docx", "A 60737-2024")</f>
        <v/>
      </c>
      <c r="X95">
        <f>HYPERLINK("https://klasma.github.io/Logging_2462/tillsyn/A 60737-2024 tillsynsbegäran.docx", "A 60737-2024")</f>
        <v/>
      </c>
      <c r="Y95">
        <f>HYPERLINK("https://klasma.github.io/Logging_2462/tillsynsmail/A 60737-2024 tillsynsbegäran mail.docx", "A 60737-2024")</f>
        <v/>
      </c>
      <c r="Z95">
        <f>HYPERLINK("https://klasma.github.io/Logging_2462/fåglar/A 60737-2024 prioriterade fågelarter.docx", "A 60737-2024")</f>
        <v/>
      </c>
    </row>
    <row r="96" ht="15" customHeight="1">
      <c r="A96" t="inlineStr">
        <is>
          <t>A 1224-2025</t>
        </is>
      </c>
      <c r="B96" s="1" t="n">
        <v>45667</v>
      </c>
      <c r="C96" s="1" t="n">
        <v>45881</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16463-2025</t>
        </is>
      </c>
      <c r="B97" s="1" t="n">
        <v>45751</v>
      </c>
      <c r="C97" s="1" t="n">
        <v>45881</v>
      </c>
      <c r="D97" t="inlineStr">
        <is>
          <t>VÄSTERBOTTENS LÄN</t>
        </is>
      </c>
      <c r="E97" t="inlineStr">
        <is>
          <t>VILHELMINA</t>
        </is>
      </c>
      <c r="G97" t="n">
        <v>8.1</v>
      </c>
      <c r="H97" t="n">
        <v>1</v>
      </c>
      <c r="I97" t="n">
        <v>0</v>
      </c>
      <c r="J97" t="n">
        <v>3</v>
      </c>
      <c r="K97" t="n">
        <v>0</v>
      </c>
      <c r="L97" t="n">
        <v>0</v>
      </c>
      <c r="M97" t="n">
        <v>0</v>
      </c>
      <c r="N97" t="n">
        <v>0</v>
      </c>
      <c r="O97" t="n">
        <v>3</v>
      </c>
      <c r="P97" t="n">
        <v>0</v>
      </c>
      <c r="Q97" t="n">
        <v>3</v>
      </c>
      <c r="R97" s="2" t="inlineStr">
        <is>
          <t>Granticka
Gränsticka
Tretåig hackspett</t>
        </is>
      </c>
      <c r="S97">
        <f>HYPERLINK("https://klasma.github.io/Logging_2462/artfynd/A 16463-2025 artfynd.xlsx", "A 16463-2025")</f>
        <v/>
      </c>
      <c r="T97">
        <f>HYPERLINK("https://klasma.github.io/Logging_2462/kartor/A 16463-2025 karta.png", "A 16463-2025")</f>
        <v/>
      </c>
      <c r="V97">
        <f>HYPERLINK("https://klasma.github.io/Logging_2462/klagomål/A 16463-2025 FSC-klagomål.docx", "A 16463-2025")</f>
        <v/>
      </c>
      <c r="W97">
        <f>HYPERLINK("https://klasma.github.io/Logging_2462/klagomålsmail/A 16463-2025 FSC-klagomål mail.docx", "A 16463-2025")</f>
        <v/>
      </c>
      <c r="X97">
        <f>HYPERLINK("https://klasma.github.io/Logging_2462/tillsyn/A 16463-2025 tillsynsbegäran.docx", "A 16463-2025")</f>
        <v/>
      </c>
      <c r="Y97">
        <f>HYPERLINK("https://klasma.github.io/Logging_2462/tillsynsmail/A 16463-2025 tillsynsbegäran mail.docx", "A 16463-2025")</f>
        <v/>
      </c>
      <c r="Z97">
        <f>HYPERLINK("https://klasma.github.io/Logging_2462/fåglar/A 16463-2025 prioriterade fågelarter.docx", "A 16463-2025")</f>
        <v/>
      </c>
    </row>
    <row r="98" ht="15" customHeight="1">
      <c r="A98" t="inlineStr">
        <is>
          <t>A 38534-2024</t>
        </is>
      </c>
      <c r="B98" s="1" t="n">
        <v>45546</v>
      </c>
      <c r="C98" s="1" t="n">
        <v>45881</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38123-2024</t>
        </is>
      </c>
      <c r="B99" s="1" t="n">
        <v>45545</v>
      </c>
      <c r="C99" s="1" t="n">
        <v>45881</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41646-2024</t>
        </is>
      </c>
      <c r="B100" s="1" t="n">
        <v>45560</v>
      </c>
      <c r="C100" s="1" t="n">
        <v>45881</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56618-2024</t>
        </is>
      </c>
      <c r="B101" s="1" t="n">
        <v>45625</v>
      </c>
      <c r="C101" s="1" t="n">
        <v>45881</v>
      </c>
      <c r="D101" t="inlineStr">
        <is>
          <t>VÄSTERBOTTENS LÄN</t>
        </is>
      </c>
      <c r="E101" t="inlineStr">
        <is>
          <t>VILHELMINA</t>
        </is>
      </c>
      <c r="F101" t="inlineStr">
        <is>
          <t>Allmännings- och besparingsskogar</t>
        </is>
      </c>
      <c r="G101" t="n">
        <v>17.1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HYPERLINK("https://klasma.github.io/Logging_2462/artfynd/A 56618-2024 artfynd.xlsx", "A 56618-2024")</f>
        <v/>
      </c>
      <c r="T101">
        <f>HYPERLINK("https://klasma.github.io/Logging_2462/kartor/A 56618-2024 karta.png", "A 56618-2024")</f>
        <v/>
      </c>
      <c r="V101">
        <f>HYPERLINK("https://klasma.github.io/Logging_2462/klagomål/A 56618-2024 FSC-klagomål.docx", "A 56618-2024")</f>
        <v/>
      </c>
      <c r="W101">
        <f>HYPERLINK("https://klasma.github.io/Logging_2462/klagomålsmail/A 56618-2024 FSC-klagomål mail.docx", "A 56618-2024")</f>
        <v/>
      </c>
      <c r="X101">
        <f>HYPERLINK("https://klasma.github.io/Logging_2462/tillsyn/A 56618-2024 tillsynsbegäran.docx", "A 56618-2024")</f>
        <v/>
      </c>
      <c r="Y101">
        <f>HYPERLINK("https://klasma.github.io/Logging_2462/tillsynsmail/A 56618-2024 tillsynsbegäran mail.docx", "A 56618-2024")</f>
        <v/>
      </c>
      <c r="Z101">
        <f>HYPERLINK("https://klasma.github.io/Logging_2462/fåglar/A 56618-2024 prioriterade fågelarter.docx", "A 56618-2024")</f>
        <v/>
      </c>
    </row>
    <row r="102" ht="15" customHeight="1">
      <c r="A102" t="inlineStr">
        <is>
          <t>A 32779-2025</t>
        </is>
      </c>
      <c r="B102" s="1" t="n">
        <v>45839.46946759259</v>
      </c>
      <c r="C102" s="1" t="n">
        <v>45881</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57861-2020</t>
        </is>
      </c>
      <c r="B103" s="1" t="n">
        <v>44141</v>
      </c>
      <c r="C103" s="1" t="n">
        <v>45881</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45881</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19234-2021</t>
        </is>
      </c>
      <c r="B105" s="1" t="n">
        <v>44309</v>
      </c>
      <c r="C105" s="1" t="n">
        <v>45881</v>
      </c>
      <c r="D105" t="inlineStr">
        <is>
          <t>VÄSTERBOTTENS LÄN</t>
        </is>
      </c>
      <c r="E105" t="inlineStr">
        <is>
          <t>VILHELMINA</t>
        </is>
      </c>
      <c r="F105" t="inlineStr">
        <is>
          <t>Övriga Aktiebolag</t>
        </is>
      </c>
      <c r="G105" t="n">
        <v>12</v>
      </c>
      <c r="H105" t="n">
        <v>0</v>
      </c>
      <c r="I105" t="n">
        <v>0</v>
      </c>
      <c r="J105" t="n">
        <v>2</v>
      </c>
      <c r="K105" t="n">
        <v>0</v>
      </c>
      <c r="L105" t="n">
        <v>0</v>
      </c>
      <c r="M105" t="n">
        <v>0</v>
      </c>
      <c r="N105" t="n">
        <v>0</v>
      </c>
      <c r="O105" t="n">
        <v>2</v>
      </c>
      <c r="P105" t="n">
        <v>0</v>
      </c>
      <c r="Q105" t="n">
        <v>2</v>
      </c>
      <c r="R105" s="2" t="inlineStr">
        <is>
          <t>Granticka
Harticka</t>
        </is>
      </c>
      <c r="S105">
        <f>HYPERLINK("https://klasma.github.io/Logging_2462/artfynd/A 19234-2021 artfynd.xlsx", "A 19234-2021")</f>
        <v/>
      </c>
      <c r="T105">
        <f>HYPERLINK("https://klasma.github.io/Logging_2462/kartor/A 19234-2021 karta.png", "A 19234-2021")</f>
        <v/>
      </c>
      <c r="V105">
        <f>HYPERLINK("https://klasma.github.io/Logging_2462/klagomål/A 19234-2021 FSC-klagomål.docx", "A 19234-2021")</f>
        <v/>
      </c>
      <c r="W105">
        <f>HYPERLINK("https://klasma.github.io/Logging_2462/klagomålsmail/A 19234-2021 FSC-klagomål mail.docx", "A 19234-2021")</f>
        <v/>
      </c>
      <c r="X105">
        <f>HYPERLINK("https://klasma.github.io/Logging_2462/tillsyn/A 19234-2021 tillsynsbegäran.docx", "A 19234-2021")</f>
        <v/>
      </c>
      <c r="Y105">
        <f>HYPERLINK("https://klasma.github.io/Logging_2462/tillsynsmail/A 19234-2021 tillsynsbegäran mail.docx", "A 19234-2021")</f>
        <v/>
      </c>
    </row>
    <row r="106" ht="15" customHeight="1">
      <c r="A106" t="inlineStr">
        <is>
          <t>A 65586-2021</t>
        </is>
      </c>
      <c r="B106" s="1" t="n">
        <v>44518</v>
      </c>
      <c r="C106" s="1" t="n">
        <v>45881</v>
      </c>
      <c r="D106" t="inlineStr">
        <is>
          <t>VÄSTERBOTTENS LÄN</t>
        </is>
      </c>
      <c r="E106" t="inlineStr">
        <is>
          <t>VILHELMINA</t>
        </is>
      </c>
      <c r="G106" t="n">
        <v>38</v>
      </c>
      <c r="H106" t="n">
        <v>2</v>
      </c>
      <c r="I106" t="n">
        <v>0</v>
      </c>
      <c r="J106" t="n">
        <v>1</v>
      </c>
      <c r="K106" t="n">
        <v>1</v>
      </c>
      <c r="L106" t="n">
        <v>0</v>
      </c>
      <c r="M106" t="n">
        <v>0</v>
      </c>
      <c r="N106" t="n">
        <v>0</v>
      </c>
      <c r="O106" t="n">
        <v>2</v>
      </c>
      <c r="P106" t="n">
        <v>1</v>
      </c>
      <c r="Q106" t="n">
        <v>2</v>
      </c>
      <c r="R106" s="2" t="inlineStr">
        <is>
          <t>Lappuggla
Tretåig hackspett</t>
        </is>
      </c>
      <c r="S106">
        <f>HYPERLINK("https://klasma.github.io/Logging_2462/artfynd/A 65586-2021 artfynd.xlsx", "A 65586-2021")</f>
        <v/>
      </c>
      <c r="T106">
        <f>HYPERLINK("https://klasma.github.io/Logging_2462/kartor/A 65586-2021 karta.png", "A 65586-2021")</f>
        <v/>
      </c>
      <c r="V106">
        <f>HYPERLINK("https://klasma.github.io/Logging_2462/klagomål/A 65586-2021 FSC-klagomål.docx", "A 65586-2021")</f>
        <v/>
      </c>
      <c r="W106">
        <f>HYPERLINK("https://klasma.github.io/Logging_2462/klagomålsmail/A 65586-2021 FSC-klagomål mail.docx", "A 65586-2021")</f>
        <v/>
      </c>
      <c r="X106">
        <f>HYPERLINK("https://klasma.github.io/Logging_2462/tillsyn/A 65586-2021 tillsynsbegäran.docx", "A 65586-2021")</f>
        <v/>
      </c>
      <c r="Y106">
        <f>HYPERLINK("https://klasma.github.io/Logging_2462/tillsynsmail/A 65586-2021 tillsynsbegäran mail.docx", "A 65586-2021")</f>
        <v/>
      </c>
      <c r="Z106">
        <f>HYPERLINK("https://klasma.github.io/Logging_2462/fåglar/A 65586-2021 prioriterade fågelarter.docx", "A 65586-2021")</f>
        <v/>
      </c>
    </row>
    <row r="107" ht="15" customHeight="1">
      <c r="A107" t="inlineStr">
        <is>
          <t>A 6704-2021</t>
        </is>
      </c>
      <c r="B107" s="1" t="n">
        <v>44235</v>
      </c>
      <c r="C107" s="1" t="n">
        <v>45881</v>
      </c>
      <c r="D107" t="inlineStr">
        <is>
          <t>VÄSTERBOTTENS LÄN</t>
        </is>
      </c>
      <c r="E107" t="inlineStr">
        <is>
          <t>VILHELMINA</t>
        </is>
      </c>
      <c r="G107" t="n">
        <v>14.5</v>
      </c>
      <c r="H107" t="n">
        <v>1</v>
      </c>
      <c r="I107" t="n">
        <v>1</v>
      </c>
      <c r="J107" t="n">
        <v>1</v>
      </c>
      <c r="K107" t="n">
        <v>0</v>
      </c>
      <c r="L107" t="n">
        <v>0</v>
      </c>
      <c r="M107" t="n">
        <v>0</v>
      </c>
      <c r="N107" t="n">
        <v>0</v>
      </c>
      <c r="O107" t="n">
        <v>1</v>
      </c>
      <c r="P107" t="n">
        <v>0</v>
      </c>
      <c r="Q107" t="n">
        <v>2</v>
      </c>
      <c r="R107" s="2" t="inlineStr">
        <is>
          <t>Tretåig hackspett
Trådticka</t>
        </is>
      </c>
      <c r="S107">
        <f>HYPERLINK("https://klasma.github.io/Logging_2462/artfynd/A 6704-2021 artfynd.xlsx", "A 6704-2021")</f>
        <v/>
      </c>
      <c r="T107">
        <f>HYPERLINK("https://klasma.github.io/Logging_2462/kartor/A 6704-2021 karta.png", "A 6704-2021")</f>
        <v/>
      </c>
      <c r="V107">
        <f>HYPERLINK("https://klasma.github.io/Logging_2462/klagomål/A 6704-2021 FSC-klagomål.docx", "A 6704-2021")</f>
        <v/>
      </c>
      <c r="W107">
        <f>HYPERLINK("https://klasma.github.io/Logging_2462/klagomålsmail/A 6704-2021 FSC-klagomål mail.docx", "A 6704-2021")</f>
        <v/>
      </c>
      <c r="X107">
        <f>HYPERLINK("https://klasma.github.io/Logging_2462/tillsyn/A 6704-2021 tillsynsbegäran.docx", "A 6704-2021")</f>
        <v/>
      </c>
      <c r="Y107">
        <f>HYPERLINK("https://klasma.github.io/Logging_2462/tillsynsmail/A 6704-2021 tillsynsbegäran mail.docx", "A 6704-2021")</f>
        <v/>
      </c>
      <c r="Z107">
        <f>HYPERLINK("https://klasma.github.io/Logging_2462/fåglar/A 6704-2021 prioriterade fågelarter.docx", "A 6704-2021")</f>
        <v/>
      </c>
    </row>
    <row r="108" ht="15" customHeight="1">
      <c r="A108" t="inlineStr">
        <is>
          <t>A 60379-2024</t>
        </is>
      </c>
      <c r="B108" s="1" t="n">
        <v>45643</v>
      </c>
      <c r="C108" s="1" t="n">
        <v>45881</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64030-2023</t>
        </is>
      </c>
      <c r="B109" s="1" t="n">
        <v>45278</v>
      </c>
      <c r="C109" s="1" t="n">
        <v>45881</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45881</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45881</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45881</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28012-2023</t>
        </is>
      </c>
      <c r="B113" s="1" t="n">
        <v>45098</v>
      </c>
      <c r="C113" s="1" t="n">
        <v>45881</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45881</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25037-2024</t>
        </is>
      </c>
      <c r="B115" s="1" t="n">
        <v>45461</v>
      </c>
      <c r="C115" s="1" t="n">
        <v>45881</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20983-2025</t>
        </is>
      </c>
      <c r="B116" s="1" t="n">
        <v>45777.46910879629</v>
      </c>
      <c r="C116" s="1" t="n">
        <v>45881</v>
      </c>
      <c r="D116" t="inlineStr">
        <is>
          <t>VÄSTERBOTTENS LÄN</t>
        </is>
      </c>
      <c r="E116" t="inlineStr">
        <is>
          <t>VILHELMINA</t>
        </is>
      </c>
      <c r="F116" t="inlineStr">
        <is>
          <t>SCA</t>
        </is>
      </c>
      <c r="G116" t="n">
        <v>1.2</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20983-2025 artfynd.xlsx", "A 20983-2025")</f>
        <v/>
      </c>
      <c r="T116">
        <f>HYPERLINK("https://klasma.github.io/Logging_2462/kartor/A 20983-2025 karta.png", "A 20983-2025")</f>
        <v/>
      </c>
      <c r="V116">
        <f>HYPERLINK("https://klasma.github.io/Logging_2462/klagomål/A 20983-2025 FSC-klagomål.docx", "A 20983-2025")</f>
        <v/>
      </c>
      <c r="W116">
        <f>HYPERLINK("https://klasma.github.io/Logging_2462/klagomålsmail/A 20983-2025 FSC-klagomål mail.docx", "A 20983-2025")</f>
        <v/>
      </c>
      <c r="X116">
        <f>HYPERLINK("https://klasma.github.io/Logging_2462/tillsyn/A 20983-2025 tillsynsbegäran.docx", "A 20983-2025")</f>
        <v/>
      </c>
      <c r="Y116">
        <f>HYPERLINK("https://klasma.github.io/Logging_2462/tillsynsmail/A 20983-2025 tillsynsbegäran mail.docx", "A 20983-2025")</f>
        <v/>
      </c>
      <c r="Z116">
        <f>HYPERLINK("https://klasma.github.io/Logging_2462/fåglar/A 20983-2025 prioriterade fågelarter.docx", "A 20983-2025")</f>
        <v/>
      </c>
    </row>
    <row r="117" ht="15" customHeight="1">
      <c r="A117" t="inlineStr">
        <is>
          <t>A 30717-2023</t>
        </is>
      </c>
      <c r="B117" s="1" t="n">
        <v>45112</v>
      </c>
      <c r="C117" s="1" t="n">
        <v>45881</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69626-2020</t>
        </is>
      </c>
      <c r="B118" s="1" t="n">
        <v>44195</v>
      </c>
      <c r="C118" s="1" t="n">
        <v>45881</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37785-2021</t>
        </is>
      </c>
      <c r="B119" s="1" t="n">
        <v>44401</v>
      </c>
      <c r="C119" s="1" t="n">
        <v>45881</v>
      </c>
      <c r="D119" t="inlineStr">
        <is>
          <t>VÄSTERBOTTENS LÄN</t>
        </is>
      </c>
      <c r="E119" t="inlineStr">
        <is>
          <t>VILHELMINA</t>
        </is>
      </c>
      <c r="G119" t="n">
        <v>51.5</v>
      </c>
      <c r="H119" t="n">
        <v>1</v>
      </c>
      <c r="I119" t="n">
        <v>0</v>
      </c>
      <c r="J119" t="n">
        <v>1</v>
      </c>
      <c r="K119" t="n">
        <v>0</v>
      </c>
      <c r="L119" t="n">
        <v>0</v>
      </c>
      <c r="M119" t="n">
        <v>0</v>
      </c>
      <c r="N119" t="n">
        <v>0</v>
      </c>
      <c r="O119" t="n">
        <v>1</v>
      </c>
      <c r="P119" t="n">
        <v>0</v>
      </c>
      <c r="Q119" t="n">
        <v>2</v>
      </c>
      <c r="R119" s="2" t="inlineStr">
        <is>
          <t>Ullticka
Fläcknycklar</t>
        </is>
      </c>
      <c r="S119">
        <f>HYPERLINK("https://klasma.github.io/Logging_2462/artfynd/A 37785-2021 artfynd.xlsx", "A 37785-2021")</f>
        <v/>
      </c>
      <c r="T119">
        <f>HYPERLINK("https://klasma.github.io/Logging_2462/kartor/A 37785-2021 karta.png", "A 37785-2021")</f>
        <v/>
      </c>
      <c r="V119">
        <f>HYPERLINK("https://klasma.github.io/Logging_2462/klagomål/A 37785-2021 FSC-klagomål.docx", "A 37785-2021")</f>
        <v/>
      </c>
      <c r="W119">
        <f>HYPERLINK("https://klasma.github.io/Logging_2462/klagomålsmail/A 37785-2021 FSC-klagomål mail.docx", "A 37785-2021")</f>
        <v/>
      </c>
      <c r="X119">
        <f>HYPERLINK("https://klasma.github.io/Logging_2462/tillsyn/A 37785-2021 tillsynsbegäran.docx", "A 37785-2021")</f>
        <v/>
      </c>
      <c r="Y119">
        <f>HYPERLINK("https://klasma.github.io/Logging_2462/tillsynsmail/A 37785-2021 tillsynsbegäran mail.docx", "A 37785-2021")</f>
        <v/>
      </c>
    </row>
    <row r="120" ht="15" customHeight="1">
      <c r="A120" t="inlineStr">
        <is>
          <t>A 29140-2025</t>
        </is>
      </c>
      <c r="B120" s="1" t="n">
        <v>45821</v>
      </c>
      <c r="C120" s="1" t="n">
        <v>45881</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31735-2025</t>
        </is>
      </c>
      <c r="B121" s="1" t="n">
        <v>45834.47067129629</v>
      </c>
      <c r="C121" s="1" t="n">
        <v>45881</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36998-2025</t>
        </is>
      </c>
      <c r="B122" s="1" t="n">
        <v>45874</v>
      </c>
      <c r="C122" s="1" t="n">
        <v>45881</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41645-2024</t>
        </is>
      </c>
      <c r="B123" s="1" t="n">
        <v>45560</v>
      </c>
      <c r="C123" s="1" t="n">
        <v>45881</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69915-2021</t>
        </is>
      </c>
      <c r="B124" s="1" t="n">
        <v>44532</v>
      </c>
      <c r="C124" s="1" t="n">
        <v>45881</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66924-2021</t>
        </is>
      </c>
      <c r="B125" s="1" t="n">
        <v>44522</v>
      </c>
      <c r="C125" s="1" t="n">
        <v>45881</v>
      </c>
      <c r="D125" t="inlineStr">
        <is>
          <t>VÄSTERBOTTENS LÄN</t>
        </is>
      </c>
      <c r="E125" t="inlineStr">
        <is>
          <t>VILHELMINA</t>
        </is>
      </c>
      <c r="F125" t="inlineStr">
        <is>
          <t>Allmännings- och besparingsskogar</t>
        </is>
      </c>
      <c r="G125" t="n">
        <v>335.4</v>
      </c>
      <c r="H125" t="n">
        <v>1</v>
      </c>
      <c r="I125" t="n">
        <v>0</v>
      </c>
      <c r="J125" t="n">
        <v>1</v>
      </c>
      <c r="K125" t="n">
        <v>0</v>
      </c>
      <c r="L125" t="n">
        <v>0</v>
      </c>
      <c r="M125" t="n">
        <v>0</v>
      </c>
      <c r="N125" t="n">
        <v>0</v>
      </c>
      <c r="O125" t="n">
        <v>1</v>
      </c>
      <c r="P125" t="n">
        <v>0</v>
      </c>
      <c r="Q125" t="n">
        <v>1</v>
      </c>
      <c r="R125" s="2" t="inlineStr">
        <is>
          <t>Utter</t>
        </is>
      </c>
      <c r="S125">
        <f>HYPERLINK("https://klasma.github.io/Logging_2462/artfynd/A 66924-2021 artfynd.xlsx", "A 66924-2021")</f>
        <v/>
      </c>
      <c r="T125">
        <f>HYPERLINK("https://klasma.github.io/Logging_2462/kartor/A 66924-2021 karta.png", "A 66924-2021")</f>
        <v/>
      </c>
      <c r="V125">
        <f>HYPERLINK("https://klasma.github.io/Logging_2462/klagomål/A 66924-2021 FSC-klagomål.docx", "A 66924-2021")</f>
        <v/>
      </c>
      <c r="W125">
        <f>HYPERLINK("https://klasma.github.io/Logging_2462/klagomålsmail/A 66924-2021 FSC-klagomål mail.docx", "A 66924-2021")</f>
        <v/>
      </c>
      <c r="X125">
        <f>HYPERLINK("https://klasma.github.io/Logging_2462/tillsyn/A 66924-2021 tillsynsbegäran.docx", "A 66924-2021")</f>
        <v/>
      </c>
      <c r="Y125">
        <f>HYPERLINK("https://klasma.github.io/Logging_2462/tillsynsmail/A 66924-2021 tillsynsbegäran mail.docx", "A 66924-2021")</f>
        <v/>
      </c>
    </row>
    <row r="126" ht="15" customHeight="1">
      <c r="A126" t="inlineStr">
        <is>
          <t>A 60369-2021</t>
        </is>
      </c>
      <c r="B126" s="1" t="n">
        <v>44494</v>
      </c>
      <c r="C126" s="1" t="n">
        <v>45881</v>
      </c>
      <c r="D126" t="inlineStr">
        <is>
          <t>VÄSTERBOTTENS LÄN</t>
        </is>
      </c>
      <c r="E126" t="inlineStr">
        <is>
          <t>VILHELMINA</t>
        </is>
      </c>
      <c r="G126" t="n">
        <v>0.6</v>
      </c>
      <c r="H126" t="n">
        <v>0</v>
      </c>
      <c r="I126" t="n">
        <v>1</v>
      </c>
      <c r="J126" t="n">
        <v>0</v>
      </c>
      <c r="K126" t="n">
        <v>0</v>
      </c>
      <c r="L126" t="n">
        <v>0</v>
      </c>
      <c r="M126" t="n">
        <v>0</v>
      </c>
      <c r="N126" t="n">
        <v>0</v>
      </c>
      <c r="O126" t="n">
        <v>0</v>
      </c>
      <c r="P126" t="n">
        <v>0</v>
      </c>
      <c r="Q126" t="n">
        <v>1</v>
      </c>
      <c r="R126" s="2" t="inlineStr">
        <is>
          <t>Stuplav</t>
        </is>
      </c>
      <c r="S126">
        <f>HYPERLINK("https://klasma.github.io/Logging_2462/artfynd/A 60369-2021 artfynd.xlsx", "A 60369-2021")</f>
        <v/>
      </c>
      <c r="T126">
        <f>HYPERLINK("https://klasma.github.io/Logging_2462/kartor/A 60369-2021 karta.png", "A 60369-2021")</f>
        <v/>
      </c>
      <c r="V126">
        <f>HYPERLINK("https://klasma.github.io/Logging_2462/klagomål/A 60369-2021 FSC-klagomål.docx", "A 60369-2021")</f>
        <v/>
      </c>
      <c r="W126">
        <f>HYPERLINK("https://klasma.github.io/Logging_2462/klagomålsmail/A 60369-2021 FSC-klagomål mail.docx", "A 60369-2021")</f>
        <v/>
      </c>
      <c r="X126">
        <f>HYPERLINK("https://klasma.github.io/Logging_2462/tillsyn/A 60369-2021 tillsynsbegäran.docx", "A 60369-2021")</f>
        <v/>
      </c>
      <c r="Y126">
        <f>HYPERLINK("https://klasma.github.io/Logging_2462/tillsynsmail/A 60369-2021 tillsynsbegäran mail.docx", "A 60369-2021")</f>
        <v/>
      </c>
    </row>
    <row r="127" ht="15" customHeight="1">
      <c r="A127" t="inlineStr">
        <is>
          <t>A 33913-2024</t>
        </is>
      </c>
      <c r="B127" s="1" t="n">
        <v>45523.38783564815</v>
      </c>
      <c r="C127" s="1" t="n">
        <v>45881</v>
      </c>
      <c r="D127" t="inlineStr">
        <is>
          <t>VÄSTERBOTTENS LÄN</t>
        </is>
      </c>
      <c r="E127" t="inlineStr">
        <is>
          <t>VILHELMINA</t>
        </is>
      </c>
      <c r="F127" t="inlineStr">
        <is>
          <t>SCA</t>
        </is>
      </c>
      <c r="G127" t="n">
        <v>2.4</v>
      </c>
      <c r="H127" t="n">
        <v>0</v>
      </c>
      <c r="I127" t="n">
        <v>0</v>
      </c>
      <c r="J127" t="n">
        <v>1</v>
      </c>
      <c r="K127" t="n">
        <v>0</v>
      </c>
      <c r="L127" t="n">
        <v>0</v>
      </c>
      <c r="M127" t="n">
        <v>0</v>
      </c>
      <c r="N127" t="n">
        <v>0</v>
      </c>
      <c r="O127" t="n">
        <v>1</v>
      </c>
      <c r="P127" t="n">
        <v>0</v>
      </c>
      <c r="Q127" t="n">
        <v>1</v>
      </c>
      <c r="R127" s="2" t="inlineStr">
        <is>
          <t>Lunglav</t>
        </is>
      </c>
      <c r="S127">
        <f>HYPERLINK("https://klasma.github.io/Logging_2462/artfynd/A 33913-2024 artfynd.xlsx", "A 33913-2024")</f>
        <v/>
      </c>
      <c r="T127">
        <f>HYPERLINK("https://klasma.github.io/Logging_2462/kartor/A 33913-2024 karta.png", "A 33913-2024")</f>
        <v/>
      </c>
      <c r="V127">
        <f>HYPERLINK("https://klasma.github.io/Logging_2462/klagomål/A 33913-2024 FSC-klagomål.docx", "A 33913-2024")</f>
        <v/>
      </c>
      <c r="W127">
        <f>HYPERLINK("https://klasma.github.io/Logging_2462/klagomålsmail/A 33913-2024 FSC-klagomål mail.docx", "A 33913-2024")</f>
        <v/>
      </c>
      <c r="X127">
        <f>HYPERLINK("https://klasma.github.io/Logging_2462/tillsyn/A 33913-2024 tillsynsbegäran.docx", "A 33913-2024")</f>
        <v/>
      </c>
      <c r="Y127">
        <f>HYPERLINK("https://klasma.github.io/Logging_2462/tillsynsmail/A 33913-2024 tillsynsbegäran mail.docx", "A 33913-2024")</f>
        <v/>
      </c>
    </row>
    <row r="128" ht="15" customHeight="1">
      <c r="A128" t="inlineStr">
        <is>
          <t>A 56247-2023</t>
        </is>
      </c>
      <c r="B128" s="1" t="n">
        <v>45240</v>
      </c>
      <c r="C128" s="1" t="n">
        <v>45881</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45881</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11832-2023</t>
        </is>
      </c>
      <c r="B130" s="1" t="n">
        <v>44994</v>
      </c>
      <c r="C130" s="1" t="n">
        <v>45881</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42489-2024</t>
        </is>
      </c>
      <c r="B131" s="1" t="n">
        <v>45565</v>
      </c>
      <c r="C131" s="1" t="n">
        <v>45881</v>
      </c>
      <c r="D131" t="inlineStr">
        <is>
          <t>VÄSTERBOTTENS LÄN</t>
        </is>
      </c>
      <c r="E131" t="inlineStr">
        <is>
          <t>VILHELMINA</t>
        </is>
      </c>
      <c r="F131" t="inlineStr">
        <is>
          <t>SCA</t>
        </is>
      </c>
      <c r="G131" t="n">
        <v>1.9</v>
      </c>
      <c r="H131" t="n">
        <v>0</v>
      </c>
      <c r="I131" t="n">
        <v>0</v>
      </c>
      <c r="J131" t="n">
        <v>1</v>
      </c>
      <c r="K131" t="n">
        <v>0</v>
      </c>
      <c r="L131" t="n">
        <v>0</v>
      </c>
      <c r="M131" t="n">
        <v>0</v>
      </c>
      <c r="N131" t="n">
        <v>0</v>
      </c>
      <c r="O131" t="n">
        <v>1</v>
      </c>
      <c r="P131" t="n">
        <v>0</v>
      </c>
      <c r="Q131" t="n">
        <v>1</v>
      </c>
      <c r="R131" s="2" t="inlineStr">
        <is>
          <t>Granticka</t>
        </is>
      </c>
      <c r="S131">
        <f>HYPERLINK("https://klasma.github.io/Logging_2462/artfynd/A 42489-2024 artfynd.xlsx", "A 42489-2024")</f>
        <v/>
      </c>
      <c r="T131">
        <f>HYPERLINK("https://klasma.github.io/Logging_2462/kartor/A 42489-2024 karta.png", "A 42489-2024")</f>
        <v/>
      </c>
      <c r="V131">
        <f>HYPERLINK("https://klasma.github.io/Logging_2462/klagomål/A 42489-2024 FSC-klagomål.docx", "A 42489-2024")</f>
        <v/>
      </c>
      <c r="W131">
        <f>HYPERLINK("https://klasma.github.io/Logging_2462/klagomålsmail/A 42489-2024 FSC-klagomål mail.docx", "A 42489-2024")</f>
        <v/>
      </c>
      <c r="X131">
        <f>HYPERLINK("https://klasma.github.io/Logging_2462/tillsyn/A 42489-2024 tillsynsbegäran.docx", "A 42489-2024")</f>
        <v/>
      </c>
      <c r="Y131">
        <f>HYPERLINK("https://klasma.github.io/Logging_2462/tillsynsmail/A 42489-2024 tillsynsbegäran mail.docx", "A 42489-2024")</f>
        <v/>
      </c>
    </row>
    <row r="132" ht="15" customHeight="1">
      <c r="A132" t="inlineStr">
        <is>
          <t>A 59664-2023</t>
        </is>
      </c>
      <c r="B132" s="1" t="n">
        <v>45254</v>
      </c>
      <c r="C132" s="1" t="n">
        <v>45881</v>
      </c>
      <c r="D132" t="inlineStr">
        <is>
          <t>VÄSTERBOTTENS LÄN</t>
        </is>
      </c>
      <c r="E132" t="inlineStr">
        <is>
          <t>VILHELMINA</t>
        </is>
      </c>
      <c r="F132" t="inlineStr">
        <is>
          <t>SCA</t>
        </is>
      </c>
      <c r="G132" t="n">
        <v>3.3</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59664-2023 artfynd.xlsx", "A 59664-2023")</f>
        <v/>
      </c>
      <c r="T132">
        <f>HYPERLINK("https://klasma.github.io/Logging_2462/kartor/A 59664-2023 karta.png", "A 59664-2023")</f>
        <v/>
      </c>
      <c r="V132">
        <f>HYPERLINK("https://klasma.github.io/Logging_2462/klagomål/A 59664-2023 FSC-klagomål.docx", "A 59664-2023")</f>
        <v/>
      </c>
      <c r="W132">
        <f>HYPERLINK("https://klasma.github.io/Logging_2462/klagomålsmail/A 59664-2023 FSC-klagomål mail.docx", "A 59664-2023")</f>
        <v/>
      </c>
      <c r="X132">
        <f>HYPERLINK("https://klasma.github.io/Logging_2462/tillsyn/A 59664-2023 tillsynsbegäran.docx", "A 59664-2023")</f>
        <v/>
      </c>
      <c r="Y132">
        <f>HYPERLINK("https://klasma.github.io/Logging_2462/tillsynsmail/A 59664-2023 tillsynsbegäran mail.docx", "A 59664-2023")</f>
        <v/>
      </c>
      <c r="Z132">
        <f>HYPERLINK("https://klasma.github.io/Logging_2462/fåglar/A 59664-2023 prioriterade fågelarter.docx", "A 59664-2023")</f>
        <v/>
      </c>
    </row>
    <row r="133" ht="15" customHeight="1">
      <c r="A133" t="inlineStr">
        <is>
          <t>A 25368-2024</t>
        </is>
      </c>
      <c r="B133" s="1" t="n">
        <v>45462</v>
      </c>
      <c r="C133" s="1" t="n">
        <v>45881</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25374-2024</t>
        </is>
      </c>
      <c r="B134" s="1" t="n">
        <v>45462.96118055555</v>
      </c>
      <c r="C134" s="1" t="n">
        <v>45881</v>
      </c>
      <c r="D134" t="inlineStr">
        <is>
          <t>VÄSTERBOTTENS LÄN</t>
        </is>
      </c>
      <c r="E134" t="inlineStr">
        <is>
          <t>VILHELMINA</t>
        </is>
      </c>
      <c r="F134" t="inlineStr">
        <is>
          <t>SCA</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25374-2024 artfynd.xlsx", "A 25374-2024")</f>
        <v/>
      </c>
      <c r="T134">
        <f>HYPERLINK("https://klasma.github.io/Logging_2462/kartor/A 25374-2024 karta.png", "A 25374-2024")</f>
        <v/>
      </c>
      <c r="V134">
        <f>HYPERLINK("https://klasma.github.io/Logging_2462/klagomål/A 25374-2024 FSC-klagomål.docx", "A 25374-2024")</f>
        <v/>
      </c>
      <c r="W134">
        <f>HYPERLINK("https://klasma.github.io/Logging_2462/klagomålsmail/A 25374-2024 FSC-klagomål mail.docx", "A 25374-2024")</f>
        <v/>
      </c>
      <c r="X134">
        <f>HYPERLINK("https://klasma.github.io/Logging_2462/tillsyn/A 25374-2024 tillsynsbegäran.docx", "A 25374-2024")</f>
        <v/>
      </c>
      <c r="Y134">
        <f>HYPERLINK("https://klasma.github.io/Logging_2462/tillsynsmail/A 25374-2024 tillsynsbegäran mail.docx", "A 25374-2024")</f>
        <v/>
      </c>
      <c r="Z134">
        <f>HYPERLINK("https://klasma.github.io/Logging_2462/fåglar/A 25374-2024 prioriterade fågelarter.docx", "A 25374-2024")</f>
        <v/>
      </c>
    </row>
    <row r="135" ht="15" customHeight="1">
      <c r="A135" t="inlineStr">
        <is>
          <t>A 44286-2024</t>
        </is>
      </c>
      <c r="B135" s="1" t="n">
        <v>45573</v>
      </c>
      <c r="C135" s="1" t="n">
        <v>45881</v>
      </c>
      <c r="D135" t="inlineStr">
        <is>
          <t>VÄSTERBOTTENS LÄN</t>
        </is>
      </c>
      <c r="E135" t="inlineStr">
        <is>
          <t>VILHELMINA</t>
        </is>
      </c>
      <c r="G135" t="n">
        <v>29.2</v>
      </c>
      <c r="H135" t="n">
        <v>1</v>
      </c>
      <c r="I135" t="n">
        <v>0</v>
      </c>
      <c r="J135" t="n">
        <v>1</v>
      </c>
      <c r="K135" t="n">
        <v>0</v>
      </c>
      <c r="L135" t="n">
        <v>0</v>
      </c>
      <c r="M135" t="n">
        <v>0</v>
      </c>
      <c r="N135" t="n">
        <v>0</v>
      </c>
      <c r="O135" t="n">
        <v>1</v>
      </c>
      <c r="P135" t="n">
        <v>0</v>
      </c>
      <c r="Q135" t="n">
        <v>1</v>
      </c>
      <c r="R135" s="2" t="inlineStr">
        <is>
          <t>Videsparv</t>
        </is>
      </c>
      <c r="S135">
        <f>HYPERLINK("https://klasma.github.io/Logging_2462/artfynd/A 44286-2024 artfynd.xlsx", "A 44286-2024")</f>
        <v/>
      </c>
      <c r="T135">
        <f>HYPERLINK("https://klasma.github.io/Logging_2462/kartor/A 44286-2024 karta.png", "A 44286-2024")</f>
        <v/>
      </c>
      <c r="V135">
        <f>HYPERLINK("https://klasma.github.io/Logging_2462/klagomål/A 44286-2024 FSC-klagomål.docx", "A 44286-2024")</f>
        <v/>
      </c>
      <c r="W135">
        <f>HYPERLINK("https://klasma.github.io/Logging_2462/klagomålsmail/A 44286-2024 FSC-klagomål mail.docx", "A 44286-2024")</f>
        <v/>
      </c>
      <c r="X135">
        <f>HYPERLINK("https://klasma.github.io/Logging_2462/tillsyn/A 44286-2024 tillsynsbegäran.docx", "A 44286-2024")</f>
        <v/>
      </c>
      <c r="Y135">
        <f>HYPERLINK("https://klasma.github.io/Logging_2462/tillsynsmail/A 44286-2024 tillsynsbegäran mail.docx", "A 44286-2024")</f>
        <v/>
      </c>
      <c r="Z135">
        <f>HYPERLINK("https://klasma.github.io/Logging_2462/fåglar/A 44286-2024 prioriterade fågelarter.docx", "A 44286-2024")</f>
        <v/>
      </c>
    </row>
    <row r="136" ht="15" customHeight="1">
      <c r="A136" t="inlineStr">
        <is>
          <t>A 38282-2024</t>
        </is>
      </c>
      <c r="B136" s="1" t="n">
        <v>45545</v>
      </c>
      <c r="C136" s="1" t="n">
        <v>45881</v>
      </c>
      <c r="D136" t="inlineStr">
        <is>
          <t>VÄSTERBOTTENS LÄN</t>
        </is>
      </c>
      <c r="E136" t="inlineStr">
        <is>
          <t>VILHELMINA</t>
        </is>
      </c>
      <c r="F136" t="inlineStr">
        <is>
          <t>SCA</t>
        </is>
      </c>
      <c r="G136" t="n">
        <v>3.4</v>
      </c>
      <c r="H136" t="n">
        <v>0</v>
      </c>
      <c r="I136" t="n">
        <v>0</v>
      </c>
      <c r="J136" t="n">
        <v>1</v>
      </c>
      <c r="K136" t="n">
        <v>0</v>
      </c>
      <c r="L136" t="n">
        <v>0</v>
      </c>
      <c r="M136" t="n">
        <v>0</v>
      </c>
      <c r="N136" t="n">
        <v>0</v>
      </c>
      <c r="O136" t="n">
        <v>1</v>
      </c>
      <c r="P136" t="n">
        <v>0</v>
      </c>
      <c r="Q136" t="n">
        <v>1</v>
      </c>
      <c r="R136" s="2" t="inlineStr">
        <is>
          <t>Gränsticka</t>
        </is>
      </c>
      <c r="S136">
        <f>HYPERLINK("https://klasma.github.io/Logging_2462/artfynd/A 38282-2024 artfynd.xlsx", "A 38282-2024")</f>
        <v/>
      </c>
      <c r="T136">
        <f>HYPERLINK("https://klasma.github.io/Logging_2462/kartor/A 38282-2024 karta.png", "A 38282-2024")</f>
        <v/>
      </c>
      <c r="V136">
        <f>HYPERLINK("https://klasma.github.io/Logging_2462/klagomål/A 38282-2024 FSC-klagomål.docx", "A 38282-2024")</f>
        <v/>
      </c>
      <c r="W136">
        <f>HYPERLINK("https://klasma.github.io/Logging_2462/klagomålsmail/A 38282-2024 FSC-klagomål mail.docx", "A 38282-2024")</f>
        <v/>
      </c>
      <c r="X136">
        <f>HYPERLINK("https://klasma.github.io/Logging_2462/tillsyn/A 38282-2024 tillsynsbegäran.docx", "A 38282-2024")</f>
        <v/>
      </c>
      <c r="Y136">
        <f>HYPERLINK("https://klasma.github.io/Logging_2462/tillsynsmail/A 38282-2024 tillsynsbegäran mail.docx", "A 38282-2024")</f>
        <v/>
      </c>
    </row>
    <row r="137" ht="15" customHeight="1">
      <c r="A137" t="inlineStr">
        <is>
          <t>A 47248-2024</t>
        </is>
      </c>
      <c r="B137" s="1" t="n">
        <v>45586</v>
      </c>
      <c r="C137" s="1" t="n">
        <v>45881</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34769-2024</t>
        </is>
      </c>
      <c r="B138" s="1" t="n">
        <v>45526.62043981482</v>
      </c>
      <c r="C138" s="1" t="n">
        <v>45881</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29376-2021</t>
        </is>
      </c>
      <c r="B139" s="1" t="n">
        <v>44361</v>
      </c>
      <c r="C139" s="1" t="n">
        <v>45881</v>
      </c>
      <c r="D139" t="inlineStr">
        <is>
          <t>VÄSTERBOTTENS LÄN</t>
        </is>
      </c>
      <c r="E139" t="inlineStr">
        <is>
          <t>VILHELMINA</t>
        </is>
      </c>
      <c r="F139" t="inlineStr">
        <is>
          <t>Allmännings- och besparingsskogar</t>
        </is>
      </c>
      <c r="G139" t="n">
        <v>110.8</v>
      </c>
      <c r="H139" t="n">
        <v>1</v>
      </c>
      <c r="I139" t="n">
        <v>0</v>
      </c>
      <c r="J139" t="n">
        <v>0</v>
      </c>
      <c r="K139" t="n">
        <v>0</v>
      </c>
      <c r="L139" t="n">
        <v>0</v>
      </c>
      <c r="M139" t="n">
        <v>0</v>
      </c>
      <c r="N139" t="n">
        <v>0</v>
      </c>
      <c r="O139" t="n">
        <v>0</v>
      </c>
      <c r="P139" t="n">
        <v>0</v>
      </c>
      <c r="Q139" t="n">
        <v>1</v>
      </c>
      <c r="R139" s="2" t="inlineStr">
        <is>
          <t>Lavskrika</t>
        </is>
      </c>
      <c r="S139">
        <f>HYPERLINK("https://klasma.github.io/Logging_2462/artfynd/A 29376-2021 artfynd.xlsx", "A 29376-2021")</f>
        <v/>
      </c>
      <c r="T139">
        <f>HYPERLINK("https://klasma.github.io/Logging_2462/kartor/A 29376-2021 karta.png", "A 29376-2021")</f>
        <v/>
      </c>
      <c r="V139">
        <f>HYPERLINK("https://klasma.github.io/Logging_2462/klagomål/A 29376-2021 FSC-klagomål.docx", "A 29376-2021")</f>
        <v/>
      </c>
      <c r="W139">
        <f>HYPERLINK("https://klasma.github.io/Logging_2462/klagomålsmail/A 29376-2021 FSC-klagomål mail.docx", "A 29376-2021")</f>
        <v/>
      </c>
      <c r="X139">
        <f>HYPERLINK("https://klasma.github.io/Logging_2462/tillsyn/A 29376-2021 tillsynsbegäran.docx", "A 29376-2021")</f>
        <v/>
      </c>
      <c r="Y139">
        <f>HYPERLINK("https://klasma.github.io/Logging_2462/tillsynsmail/A 29376-2021 tillsynsbegäran mail.docx", "A 29376-2021")</f>
        <v/>
      </c>
      <c r="Z139">
        <f>HYPERLINK("https://klasma.github.io/Logging_2462/fåglar/A 29376-2021 prioriterade fågelarter.docx", "A 29376-2021")</f>
        <v/>
      </c>
    </row>
    <row r="140" ht="15" customHeight="1">
      <c r="A140" t="inlineStr">
        <is>
          <t>A 29317-2023</t>
        </is>
      </c>
      <c r="B140" s="1" t="n">
        <v>45105</v>
      </c>
      <c r="C140" s="1" t="n">
        <v>45881</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74395-2021</t>
        </is>
      </c>
      <c r="B141" s="1" t="n">
        <v>44560</v>
      </c>
      <c r="C141" s="1" t="n">
        <v>45881</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25977-2025</t>
        </is>
      </c>
      <c r="B142" s="1" t="n">
        <v>45804</v>
      </c>
      <c r="C142" s="1" t="n">
        <v>45881</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34730-2024</t>
        </is>
      </c>
      <c r="B143" s="1" t="n">
        <v>45526</v>
      </c>
      <c r="C143" s="1" t="n">
        <v>45881</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45881</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13523-2025</t>
        </is>
      </c>
      <c r="B145" s="1" t="n">
        <v>45736</v>
      </c>
      <c r="C145" s="1" t="n">
        <v>45881</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29121-2025</t>
        </is>
      </c>
      <c r="B146" s="1" t="n">
        <v>45821</v>
      </c>
      <c r="C146" s="1" t="n">
        <v>45881</v>
      </c>
      <c r="D146" t="inlineStr">
        <is>
          <t>VÄSTERBOTTENS LÄN</t>
        </is>
      </c>
      <c r="E146" t="inlineStr">
        <is>
          <t>VILHELMINA</t>
        </is>
      </c>
      <c r="F146" t="inlineStr">
        <is>
          <t>SCA</t>
        </is>
      </c>
      <c r="G146" t="n">
        <v>4.4</v>
      </c>
      <c r="H146" t="n">
        <v>0</v>
      </c>
      <c r="I146" t="n">
        <v>0</v>
      </c>
      <c r="J146" t="n">
        <v>1</v>
      </c>
      <c r="K146" t="n">
        <v>0</v>
      </c>
      <c r="L146" t="n">
        <v>0</v>
      </c>
      <c r="M146" t="n">
        <v>0</v>
      </c>
      <c r="N146" t="n">
        <v>0</v>
      </c>
      <c r="O146" t="n">
        <v>1</v>
      </c>
      <c r="P146" t="n">
        <v>0</v>
      </c>
      <c r="Q146" t="n">
        <v>1</v>
      </c>
      <c r="R146" s="2" t="inlineStr">
        <is>
          <t>Ullticka</t>
        </is>
      </c>
      <c r="S146">
        <f>HYPERLINK("https://klasma.github.io/Logging_2462/artfynd/A 29121-2025 artfynd.xlsx", "A 29121-2025")</f>
        <v/>
      </c>
      <c r="T146">
        <f>HYPERLINK("https://klasma.github.io/Logging_2462/kartor/A 29121-2025 karta.png", "A 29121-2025")</f>
        <v/>
      </c>
      <c r="V146">
        <f>HYPERLINK("https://klasma.github.io/Logging_2462/klagomål/A 29121-2025 FSC-klagomål.docx", "A 29121-2025")</f>
        <v/>
      </c>
      <c r="W146">
        <f>HYPERLINK("https://klasma.github.io/Logging_2462/klagomålsmail/A 29121-2025 FSC-klagomål mail.docx", "A 29121-2025")</f>
        <v/>
      </c>
      <c r="X146">
        <f>HYPERLINK("https://klasma.github.io/Logging_2462/tillsyn/A 29121-2025 tillsynsbegäran.docx", "A 29121-2025")</f>
        <v/>
      </c>
      <c r="Y146">
        <f>HYPERLINK("https://klasma.github.io/Logging_2462/tillsynsmail/A 29121-2025 tillsynsbegäran mail.docx", "A 29121-2025")</f>
        <v/>
      </c>
    </row>
    <row r="147" ht="15" customHeight="1">
      <c r="A147" t="inlineStr">
        <is>
          <t>A 32677-2021</t>
        </is>
      </c>
      <c r="B147" s="1" t="n">
        <v>44371</v>
      </c>
      <c r="C147" s="1" t="n">
        <v>45881</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38131-2024</t>
        </is>
      </c>
      <c r="B148" s="1" t="n">
        <v>45545</v>
      </c>
      <c r="C148" s="1" t="n">
        <v>45881</v>
      </c>
      <c r="D148" t="inlineStr">
        <is>
          <t>VÄSTERBOTTENS LÄN</t>
        </is>
      </c>
      <c r="E148" t="inlineStr">
        <is>
          <t>VILHELMINA</t>
        </is>
      </c>
      <c r="F148" t="inlineStr">
        <is>
          <t>SCA</t>
        </is>
      </c>
      <c r="G148" t="n">
        <v>1.5</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38131-2024 artfynd.xlsx", "A 38131-2024")</f>
        <v/>
      </c>
      <c r="T148">
        <f>HYPERLINK("https://klasma.github.io/Logging_2462/kartor/A 38131-2024 karta.png", "A 38131-2024")</f>
        <v/>
      </c>
      <c r="V148">
        <f>HYPERLINK("https://klasma.github.io/Logging_2462/klagomål/A 38131-2024 FSC-klagomål.docx", "A 38131-2024")</f>
        <v/>
      </c>
      <c r="W148">
        <f>HYPERLINK("https://klasma.github.io/Logging_2462/klagomålsmail/A 38131-2024 FSC-klagomål mail.docx", "A 38131-2024")</f>
        <v/>
      </c>
      <c r="X148">
        <f>HYPERLINK("https://klasma.github.io/Logging_2462/tillsyn/A 38131-2024 tillsynsbegäran.docx", "A 38131-2024")</f>
        <v/>
      </c>
      <c r="Y148">
        <f>HYPERLINK("https://klasma.github.io/Logging_2462/tillsynsmail/A 38131-2024 tillsynsbegäran mail.docx", "A 38131-2024")</f>
        <v/>
      </c>
      <c r="Z148">
        <f>HYPERLINK("https://klasma.github.io/Logging_2462/fåglar/A 38131-2024 prioriterade fågelarter.docx", "A 38131-2024")</f>
        <v/>
      </c>
    </row>
    <row r="149" ht="15" customHeight="1">
      <c r="A149" t="inlineStr">
        <is>
          <t>A 29434-2025</t>
        </is>
      </c>
      <c r="B149" s="1" t="n">
        <v>45824</v>
      </c>
      <c r="C149" s="1" t="n">
        <v>45881</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38416-2022</t>
        </is>
      </c>
      <c r="B150" s="1" t="n">
        <v>44812</v>
      </c>
      <c r="C150" s="1" t="n">
        <v>45881</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45881</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29332-2021</t>
        </is>
      </c>
      <c r="B152" s="1" t="n">
        <v>44361</v>
      </c>
      <c r="C152" s="1" t="n">
        <v>45881</v>
      </c>
      <c r="D152" t="inlineStr">
        <is>
          <t>VÄSTERBOTTENS LÄN</t>
        </is>
      </c>
      <c r="E152" t="inlineStr">
        <is>
          <t>VILHELMINA</t>
        </is>
      </c>
      <c r="F152" t="inlineStr">
        <is>
          <t>Allmännings- och besparingsskogar</t>
        </is>
      </c>
      <c r="G152" t="n">
        <v>51.8</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45881</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11076-2022</t>
        </is>
      </c>
      <c r="B154" s="1" t="n">
        <v>44628</v>
      </c>
      <c r="C154" s="1" t="n">
        <v>45881</v>
      </c>
      <c r="D154" t="inlineStr">
        <is>
          <t>VÄSTERBOTTENS LÄN</t>
        </is>
      </c>
      <c r="E154" t="inlineStr">
        <is>
          <t>VILHELMINA</t>
        </is>
      </c>
      <c r="G154" t="n">
        <v>7.4</v>
      </c>
      <c r="H154" t="n">
        <v>0</v>
      </c>
      <c r="I154" t="n">
        <v>0</v>
      </c>
      <c r="J154" t="n">
        <v>0</v>
      </c>
      <c r="K154" t="n">
        <v>0</v>
      </c>
      <c r="L154" t="n">
        <v>0</v>
      </c>
      <c r="M154" t="n">
        <v>0</v>
      </c>
      <c r="N154" t="n">
        <v>0</v>
      </c>
      <c r="O154" t="n">
        <v>0</v>
      </c>
      <c r="P154" t="n">
        <v>0</v>
      </c>
      <c r="Q154" t="n">
        <v>0</v>
      </c>
      <c r="R154" s="2" t="inlineStr"/>
    </row>
    <row r="155" ht="15" customHeight="1">
      <c r="A155" t="inlineStr">
        <is>
          <t>A 9779-2022</t>
        </is>
      </c>
      <c r="B155" s="1" t="n">
        <v>44619.87392361111</v>
      </c>
      <c r="C155" s="1" t="n">
        <v>45881</v>
      </c>
      <c r="D155" t="inlineStr">
        <is>
          <t>VÄSTERBOTTENS LÄN</t>
        </is>
      </c>
      <c r="E155" t="inlineStr">
        <is>
          <t>VILHELMINA</t>
        </is>
      </c>
      <c r="G155" t="n">
        <v>0.8</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45881</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66259-2021</t>
        </is>
      </c>
      <c r="B157" s="1" t="n">
        <v>44518</v>
      </c>
      <c r="C157" s="1" t="n">
        <v>45881</v>
      </c>
      <c r="D157" t="inlineStr">
        <is>
          <t>VÄSTERBOTTENS LÄN</t>
        </is>
      </c>
      <c r="E157" t="inlineStr">
        <is>
          <t>VILHELMINA</t>
        </is>
      </c>
      <c r="G157" t="n">
        <v>14.6</v>
      </c>
      <c r="H157" t="n">
        <v>0</v>
      </c>
      <c r="I157" t="n">
        <v>0</v>
      </c>
      <c r="J157" t="n">
        <v>0</v>
      </c>
      <c r="K157" t="n">
        <v>0</v>
      </c>
      <c r="L157" t="n">
        <v>0</v>
      </c>
      <c r="M157" t="n">
        <v>0</v>
      </c>
      <c r="N157" t="n">
        <v>0</v>
      </c>
      <c r="O157" t="n">
        <v>0</v>
      </c>
      <c r="P157" t="n">
        <v>0</v>
      </c>
      <c r="Q157" t="n">
        <v>0</v>
      </c>
      <c r="R157" s="2" t="inlineStr"/>
    </row>
    <row r="158" ht="15" customHeight="1">
      <c r="A158" t="inlineStr">
        <is>
          <t>A 37655-2022</t>
        </is>
      </c>
      <c r="B158" s="1" t="n">
        <v>44810</v>
      </c>
      <c r="C158" s="1" t="n">
        <v>45881</v>
      </c>
      <c r="D158" t="inlineStr">
        <is>
          <t>VÄSTERBOTTENS LÄN</t>
        </is>
      </c>
      <c r="E158" t="inlineStr">
        <is>
          <t>VILHELMINA</t>
        </is>
      </c>
      <c r="G158" t="n">
        <v>6.3</v>
      </c>
      <c r="H158" t="n">
        <v>0</v>
      </c>
      <c r="I158" t="n">
        <v>0</v>
      </c>
      <c r="J158" t="n">
        <v>0</v>
      </c>
      <c r="K158" t="n">
        <v>0</v>
      </c>
      <c r="L158" t="n">
        <v>0</v>
      </c>
      <c r="M158" t="n">
        <v>0</v>
      </c>
      <c r="N158" t="n">
        <v>0</v>
      </c>
      <c r="O158" t="n">
        <v>0</v>
      </c>
      <c r="P158" t="n">
        <v>0</v>
      </c>
      <c r="Q158" t="n">
        <v>0</v>
      </c>
      <c r="R158" s="2" t="inlineStr"/>
    </row>
    <row r="159" ht="15" customHeight="1">
      <c r="A159" t="inlineStr">
        <is>
          <t>A 51017-2022</t>
        </is>
      </c>
      <c r="B159" s="1" t="n">
        <v>44867.95054398148</v>
      </c>
      <c r="C159" s="1" t="n">
        <v>45881</v>
      </c>
      <c r="D159" t="inlineStr">
        <is>
          <t>VÄSTERBOTTENS LÄN</t>
        </is>
      </c>
      <c r="E159" t="inlineStr">
        <is>
          <t>VILHELMINA</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48768-2022</t>
        </is>
      </c>
      <c r="B160" s="1" t="n">
        <v>44859</v>
      </c>
      <c r="C160" s="1" t="n">
        <v>45881</v>
      </c>
      <c r="D160" t="inlineStr">
        <is>
          <t>VÄSTERBOTTENS LÄN</t>
        </is>
      </c>
      <c r="E160" t="inlineStr">
        <is>
          <t>VILHELMINA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45881</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45881</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45881</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45881</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40100-2020</t>
        </is>
      </c>
      <c r="B165" s="1" t="n">
        <v>44064</v>
      </c>
      <c r="C165" s="1" t="n">
        <v>45881</v>
      </c>
      <c r="D165" t="inlineStr">
        <is>
          <t>VÄSTERBOTTENS LÄN</t>
        </is>
      </c>
      <c r="E165" t="inlineStr">
        <is>
          <t>VILHELMINA</t>
        </is>
      </c>
      <c r="G165" t="n">
        <v>22.5</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45881</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45881</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45881</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45881</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45881</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45881</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45881</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45881</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45881</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45881</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45881</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45881</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45881</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45881</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45881</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45881</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45881</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45881</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45881</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45881</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45881</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45881</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45881</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45881</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45881</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36139-2021</t>
        </is>
      </c>
      <c r="B191" s="1" t="n">
        <v>44389.5819675926</v>
      </c>
      <c r="C191" s="1" t="n">
        <v>45881</v>
      </c>
      <c r="D191" t="inlineStr">
        <is>
          <t>VÄSTERBOTTENS LÄN</t>
        </is>
      </c>
      <c r="E191" t="inlineStr">
        <is>
          <t>VILHELMINA</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45881</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40116-2020</t>
        </is>
      </c>
      <c r="B193" s="1" t="n">
        <v>44064</v>
      </c>
      <c r="C193" s="1" t="n">
        <v>45881</v>
      </c>
      <c r="D193" t="inlineStr">
        <is>
          <t>VÄSTERBOTTENS LÄN</t>
        </is>
      </c>
      <c r="E193" t="inlineStr">
        <is>
          <t>VILHELMINA</t>
        </is>
      </c>
      <c r="G193" t="n">
        <v>19.8</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45881</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45881</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27874-2022</t>
        </is>
      </c>
      <c r="B196" s="1" t="n">
        <v>44743</v>
      </c>
      <c r="C196" s="1" t="n">
        <v>45881</v>
      </c>
      <c r="D196" t="inlineStr">
        <is>
          <t>VÄSTERBOTTENS LÄN</t>
        </is>
      </c>
      <c r="E196" t="inlineStr">
        <is>
          <t>VILHELMINA</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27880-2022</t>
        </is>
      </c>
      <c r="B197" s="1" t="n">
        <v>44743</v>
      </c>
      <c r="C197" s="1" t="n">
        <v>45881</v>
      </c>
      <c r="D197" t="inlineStr">
        <is>
          <t>VÄSTERBOTTENS LÄN</t>
        </is>
      </c>
      <c r="E197" t="inlineStr">
        <is>
          <t>VILHELMINA</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47287-2022</t>
        </is>
      </c>
      <c r="B198" s="1" t="n">
        <v>44852.95145833334</v>
      </c>
      <c r="C198" s="1" t="n">
        <v>45881</v>
      </c>
      <c r="D198" t="inlineStr">
        <is>
          <t>VÄSTERBOTTENS LÄN</t>
        </is>
      </c>
      <c r="E198" t="inlineStr">
        <is>
          <t>VILHELMINA</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47288-2022</t>
        </is>
      </c>
      <c r="B199" s="1" t="n">
        <v>44852</v>
      </c>
      <c r="C199" s="1" t="n">
        <v>45881</v>
      </c>
      <c r="D199" t="inlineStr">
        <is>
          <t>VÄSTERBOTTENS LÄN</t>
        </is>
      </c>
      <c r="E199" t="inlineStr">
        <is>
          <t>VILHELMINA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72488-2021</t>
        </is>
      </c>
      <c r="B200" s="1" t="n">
        <v>44545.9203587963</v>
      </c>
      <c r="C200" s="1" t="n">
        <v>45881</v>
      </c>
      <c r="D200" t="inlineStr">
        <is>
          <t>VÄSTERBOTTENS LÄN</t>
        </is>
      </c>
      <c r="E200" t="inlineStr">
        <is>
          <t>VILHELMINA</t>
        </is>
      </c>
      <c r="G200" t="n">
        <v>2</v>
      </c>
      <c r="H200" t="n">
        <v>0</v>
      </c>
      <c r="I200" t="n">
        <v>0</v>
      </c>
      <c r="J200" t="n">
        <v>0</v>
      </c>
      <c r="K200" t="n">
        <v>0</v>
      </c>
      <c r="L200" t="n">
        <v>0</v>
      </c>
      <c r="M200" t="n">
        <v>0</v>
      </c>
      <c r="N200" t="n">
        <v>0</v>
      </c>
      <c r="O200" t="n">
        <v>0</v>
      </c>
      <c r="P200" t="n">
        <v>0</v>
      </c>
      <c r="Q200" t="n">
        <v>0</v>
      </c>
      <c r="R200" s="2" t="inlineStr"/>
    </row>
    <row r="201" ht="15" customHeight="1">
      <c r="A201" t="inlineStr">
        <is>
          <t>A 72493-2021</t>
        </is>
      </c>
      <c r="B201" s="1" t="n">
        <v>44545</v>
      </c>
      <c r="C201" s="1" t="n">
        <v>45881</v>
      </c>
      <c r="D201" t="inlineStr">
        <is>
          <t>VÄSTERBOTTENS LÄN</t>
        </is>
      </c>
      <c r="E201" t="inlineStr">
        <is>
          <t>VILHELMINA</t>
        </is>
      </c>
      <c r="G201" t="n">
        <v>4.2</v>
      </c>
      <c r="H201" t="n">
        <v>0</v>
      </c>
      <c r="I201" t="n">
        <v>0</v>
      </c>
      <c r="J201" t="n">
        <v>0</v>
      </c>
      <c r="K201" t="n">
        <v>0</v>
      </c>
      <c r="L201" t="n">
        <v>0</v>
      </c>
      <c r="M201" t="n">
        <v>0</v>
      </c>
      <c r="N201" t="n">
        <v>0</v>
      </c>
      <c r="O201" t="n">
        <v>0</v>
      </c>
      <c r="P201" t="n">
        <v>0</v>
      </c>
      <c r="Q201" t="n">
        <v>0</v>
      </c>
      <c r="R201" s="2" t="inlineStr"/>
    </row>
    <row r="202" ht="15" customHeight="1">
      <c r="A202" t="inlineStr">
        <is>
          <t>A 12065-2022</t>
        </is>
      </c>
      <c r="B202" s="1" t="n">
        <v>44637</v>
      </c>
      <c r="C202" s="1" t="n">
        <v>45881</v>
      </c>
      <c r="D202" t="inlineStr">
        <is>
          <t>VÄSTERBOTTENS LÄN</t>
        </is>
      </c>
      <c r="E202" t="inlineStr">
        <is>
          <t>VILHELMINA</t>
        </is>
      </c>
      <c r="G202" t="n">
        <v>27.7</v>
      </c>
      <c r="H202" t="n">
        <v>0</v>
      </c>
      <c r="I202" t="n">
        <v>0</v>
      </c>
      <c r="J202" t="n">
        <v>0</v>
      </c>
      <c r="K202" t="n">
        <v>0</v>
      </c>
      <c r="L202" t="n">
        <v>0</v>
      </c>
      <c r="M202" t="n">
        <v>0</v>
      </c>
      <c r="N202" t="n">
        <v>0</v>
      </c>
      <c r="O202" t="n">
        <v>0</v>
      </c>
      <c r="P202" t="n">
        <v>0</v>
      </c>
      <c r="Q202" t="n">
        <v>0</v>
      </c>
      <c r="R202" s="2" t="inlineStr"/>
    </row>
    <row r="203" ht="15" customHeight="1">
      <c r="A203" t="inlineStr">
        <is>
          <t>A 27879-2022</t>
        </is>
      </c>
      <c r="B203" s="1" t="n">
        <v>44743</v>
      </c>
      <c r="C203" s="1" t="n">
        <v>45881</v>
      </c>
      <c r="D203" t="inlineStr">
        <is>
          <t>VÄSTERBOTTENS LÄN</t>
        </is>
      </c>
      <c r="E203" t="inlineStr">
        <is>
          <t>VILHELMINA</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27935-2022</t>
        </is>
      </c>
      <c r="B204" s="1" t="n">
        <v>44743.94269675926</v>
      </c>
      <c r="C204" s="1" t="n">
        <v>45881</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60317-2021</t>
        </is>
      </c>
      <c r="B205" s="1" t="n">
        <v>44495.94003472223</v>
      </c>
      <c r="C205" s="1" t="n">
        <v>45881</v>
      </c>
      <c r="D205" t="inlineStr">
        <is>
          <t>VÄSTERBOTTENS LÄN</t>
        </is>
      </c>
      <c r="E205" t="inlineStr">
        <is>
          <t>VILHELMINA</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27844-2022</t>
        </is>
      </c>
      <c r="B206" s="1" t="n">
        <v>44743.620625</v>
      </c>
      <c r="C206" s="1" t="n">
        <v>45881</v>
      </c>
      <c r="D206" t="inlineStr">
        <is>
          <t>VÄSTERBOTTENS LÄN</t>
        </is>
      </c>
      <c r="E206" t="inlineStr">
        <is>
          <t>VILHELMINA</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45881</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2193-2021</t>
        </is>
      </c>
      <c r="B208" s="1" t="n">
        <v>44211</v>
      </c>
      <c r="C208" s="1" t="n">
        <v>45881</v>
      </c>
      <c r="D208" t="inlineStr">
        <is>
          <t>VÄSTERBOTTENS LÄN</t>
        </is>
      </c>
      <c r="E208" t="inlineStr">
        <is>
          <t>VILHELMINA</t>
        </is>
      </c>
      <c r="F208" t="inlineStr">
        <is>
          <t>Allmännings- och besparingsskogar</t>
        </is>
      </c>
      <c r="G208" t="n">
        <v>157.8</v>
      </c>
      <c r="H208" t="n">
        <v>0</v>
      </c>
      <c r="I208" t="n">
        <v>0</v>
      </c>
      <c r="J208" t="n">
        <v>0</v>
      </c>
      <c r="K208" t="n">
        <v>0</v>
      </c>
      <c r="L208" t="n">
        <v>0</v>
      </c>
      <c r="M208" t="n">
        <v>0</v>
      </c>
      <c r="N208" t="n">
        <v>0</v>
      </c>
      <c r="O208" t="n">
        <v>0</v>
      </c>
      <c r="P208" t="n">
        <v>0</v>
      </c>
      <c r="Q208" t="n">
        <v>0</v>
      </c>
      <c r="R208" s="2" t="inlineStr"/>
    </row>
    <row r="209" ht="15" customHeight="1">
      <c r="A209" t="inlineStr">
        <is>
          <t>A 51935-2021</t>
        </is>
      </c>
      <c r="B209" s="1" t="n">
        <v>44462</v>
      </c>
      <c r="C209" s="1" t="n">
        <v>45881</v>
      </c>
      <c r="D209" t="inlineStr">
        <is>
          <t>VÄSTERBOTTENS LÄN</t>
        </is>
      </c>
      <c r="E209" t="inlineStr">
        <is>
          <t>VILHELMINA</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39186-2021</t>
        </is>
      </c>
      <c r="B210" s="1" t="n">
        <v>44412</v>
      </c>
      <c r="C210" s="1" t="n">
        <v>45881</v>
      </c>
      <c r="D210" t="inlineStr">
        <is>
          <t>VÄSTERBOTTENS LÄN</t>
        </is>
      </c>
      <c r="E210" t="inlineStr">
        <is>
          <t>VILHELMINA</t>
        </is>
      </c>
      <c r="G210" t="n">
        <v>0.3</v>
      </c>
      <c r="H210" t="n">
        <v>0</v>
      </c>
      <c r="I210" t="n">
        <v>0</v>
      </c>
      <c r="J210" t="n">
        <v>0</v>
      </c>
      <c r="K210" t="n">
        <v>0</v>
      </c>
      <c r="L210" t="n">
        <v>0</v>
      </c>
      <c r="M210" t="n">
        <v>0</v>
      </c>
      <c r="N210" t="n">
        <v>0</v>
      </c>
      <c r="O210" t="n">
        <v>0</v>
      </c>
      <c r="P210" t="n">
        <v>0</v>
      </c>
      <c r="Q210" t="n">
        <v>0</v>
      </c>
      <c r="R210" s="2" t="inlineStr"/>
    </row>
    <row r="211" ht="15" customHeight="1">
      <c r="A211" t="inlineStr">
        <is>
          <t>A 21814-2022</t>
        </is>
      </c>
      <c r="B211" s="1" t="n">
        <v>44708</v>
      </c>
      <c r="C211" s="1" t="n">
        <v>45881</v>
      </c>
      <c r="D211" t="inlineStr">
        <is>
          <t>VÄSTERBOTTENS LÄN</t>
        </is>
      </c>
      <c r="E211" t="inlineStr">
        <is>
          <t>VILHELMINA</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31722-2021</t>
        </is>
      </c>
      <c r="B212" s="1" t="n">
        <v>44369.91984953704</v>
      </c>
      <c r="C212" s="1" t="n">
        <v>45881</v>
      </c>
      <c r="D212" t="inlineStr">
        <is>
          <t>VÄSTERBOTTENS LÄN</t>
        </is>
      </c>
      <c r="E212" t="inlineStr">
        <is>
          <t>VILHELMINA</t>
        </is>
      </c>
      <c r="G212" t="n">
        <v>2.8</v>
      </c>
      <c r="H212" t="n">
        <v>0</v>
      </c>
      <c r="I212" t="n">
        <v>0</v>
      </c>
      <c r="J212" t="n">
        <v>0</v>
      </c>
      <c r="K212" t="n">
        <v>0</v>
      </c>
      <c r="L212" t="n">
        <v>0</v>
      </c>
      <c r="M212" t="n">
        <v>0</v>
      </c>
      <c r="N212" t="n">
        <v>0</v>
      </c>
      <c r="O212" t="n">
        <v>0</v>
      </c>
      <c r="P212" t="n">
        <v>0</v>
      </c>
      <c r="Q212" t="n">
        <v>0</v>
      </c>
      <c r="R212" s="2" t="inlineStr"/>
    </row>
    <row r="213" ht="15" customHeight="1">
      <c r="A213" t="inlineStr">
        <is>
          <t>A 48574-2021</t>
        </is>
      </c>
      <c r="B213" s="1" t="n">
        <v>44452</v>
      </c>
      <c r="C213" s="1" t="n">
        <v>45881</v>
      </c>
      <c r="D213" t="inlineStr">
        <is>
          <t>VÄSTERBOTTENS LÄN</t>
        </is>
      </c>
      <c r="E213" t="inlineStr">
        <is>
          <t>VILHELMINA</t>
        </is>
      </c>
      <c r="F213" t="inlineStr">
        <is>
          <t>Allmännings- och besparingsskogar</t>
        </is>
      </c>
      <c r="G213" t="n">
        <v>85.09999999999999</v>
      </c>
      <c r="H213" t="n">
        <v>0</v>
      </c>
      <c r="I213" t="n">
        <v>0</v>
      </c>
      <c r="J213" t="n">
        <v>0</v>
      </c>
      <c r="K213" t="n">
        <v>0</v>
      </c>
      <c r="L213" t="n">
        <v>0</v>
      </c>
      <c r="M213" t="n">
        <v>0</v>
      </c>
      <c r="N213" t="n">
        <v>0</v>
      </c>
      <c r="O213" t="n">
        <v>0</v>
      </c>
      <c r="P213" t="n">
        <v>0</v>
      </c>
      <c r="Q213" t="n">
        <v>0</v>
      </c>
      <c r="R213" s="2" t="inlineStr"/>
    </row>
    <row r="214" ht="15" customHeight="1">
      <c r="A214" t="inlineStr">
        <is>
          <t>A 69850-2021</t>
        </is>
      </c>
      <c r="B214" s="1" t="n">
        <v>44532</v>
      </c>
      <c r="C214" s="1" t="n">
        <v>45881</v>
      </c>
      <c r="D214" t="inlineStr">
        <is>
          <t>VÄSTERBOTTENS LÄN</t>
        </is>
      </c>
      <c r="E214" t="inlineStr">
        <is>
          <t>VILHELMINA</t>
        </is>
      </c>
      <c r="G214" t="n">
        <v>6.8</v>
      </c>
      <c r="H214" t="n">
        <v>0</v>
      </c>
      <c r="I214" t="n">
        <v>0</v>
      </c>
      <c r="J214" t="n">
        <v>0</v>
      </c>
      <c r="K214" t="n">
        <v>0</v>
      </c>
      <c r="L214" t="n">
        <v>0</v>
      </c>
      <c r="M214" t="n">
        <v>0</v>
      </c>
      <c r="N214" t="n">
        <v>0</v>
      </c>
      <c r="O214" t="n">
        <v>0</v>
      </c>
      <c r="P214" t="n">
        <v>0</v>
      </c>
      <c r="Q214" t="n">
        <v>0</v>
      </c>
      <c r="R214" s="2" t="inlineStr"/>
    </row>
    <row r="215" ht="15" customHeight="1">
      <c r="A215" t="inlineStr">
        <is>
          <t>A 72487-2021</t>
        </is>
      </c>
      <c r="B215" s="1" t="n">
        <v>44545.92033564814</v>
      </c>
      <c r="C215" s="1" t="n">
        <v>45881</v>
      </c>
      <c r="D215" t="inlineStr">
        <is>
          <t>VÄSTERBOTTENS LÄN</t>
        </is>
      </c>
      <c r="E215" t="inlineStr">
        <is>
          <t>VILHELMINA</t>
        </is>
      </c>
      <c r="G215" t="n">
        <v>1.2</v>
      </c>
      <c r="H215" t="n">
        <v>0</v>
      </c>
      <c r="I215" t="n">
        <v>0</v>
      </c>
      <c r="J215" t="n">
        <v>0</v>
      </c>
      <c r="K215" t="n">
        <v>0</v>
      </c>
      <c r="L215" t="n">
        <v>0</v>
      </c>
      <c r="M215" t="n">
        <v>0</v>
      </c>
      <c r="N215" t="n">
        <v>0</v>
      </c>
      <c r="O215" t="n">
        <v>0</v>
      </c>
      <c r="P215" t="n">
        <v>0</v>
      </c>
      <c r="Q215" t="n">
        <v>0</v>
      </c>
      <c r="R215" s="2" t="inlineStr"/>
    </row>
    <row r="216" ht="15" customHeight="1">
      <c r="A216" t="inlineStr">
        <is>
          <t>A 31656-2021</t>
        </is>
      </c>
      <c r="B216" s="1" t="n">
        <v>44377</v>
      </c>
      <c r="C216" s="1" t="n">
        <v>45881</v>
      </c>
      <c r="D216" t="inlineStr">
        <is>
          <t>VÄSTERBOTTENS LÄN</t>
        </is>
      </c>
      <c r="E216" t="inlineStr">
        <is>
          <t>VILHELMINA</t>
        </is>
      </c>
      <c r="G216" t="n">
        <v>0.9</v>
      </c>
      <c r="H216" t="n">
        <v>0</v>
      </c>
      <c r="I216" t="n">
        <v>0</v>
      </c>
      <c r="J216" t="n">
        <v>0</v>
      </c>
      <c r="K216" t="n">
        <v>0</v>
      </c>
      <c r="L216" t="n">
        <v>0</v>
      </c>
      <c r="M216" t="n">
        <v>0</v>
      </c>
      <c r="N216" t="n">
        <v>0</v>
      </c>
      <c r="O216" t="n">
        <v>0</v>
      </c>
      <c r="P216" t="n">
        <v>0</v>
      </c>
      <c r="Q216" t="n">
        <v>0</v>
      </c>
      <c r="R216" s="2" t="inlineStr"/>
    </row>
    <row r="217" ht="15" customHeight="1">
      <c r="A217" t="inlineStr">
        <is>
          <t>A 40471-2021</t>
        </is>
      </c>
      <c r="B217" s="1" t="n">
        <v>44419.94237268518</v>
      </c>
      <c r="C217" s="1" t="n">
        <v>45881</v>
      </c>
      <c r="D217" t="inlineStr">
        <is>
          <t>VÄSTERBOTTENS LÄN</t>
        </is>
      </c>
      <c r="E217" t="inlineStr">
        <is>
          <t>VILHELMINA</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40476-2021</t>
        </is>
      </c>
      <c r="B218" s="1" t="n">
        <v>44419.94289351852</v>
      </c>
      <c r="C218" s="1" t="n">
        <v>45881</v>
      </c>
      <c r="D218" t="inlineStr">
        <is>
          <t>VÄSTERBOTTENS LÄN</t>
        </is>
      </c>
      <c r="E218" t="inlineStr">
        <is>
          <t>VILHELMINA</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40477-2021</t>
        </is>
      </c>
      <c r="B219" s="1" t="n">
        <v>44419.94302083334</v>
      </c>
      <c r="C219" s="1" t="n">
        <v>45881</v>
      </c>
      <c r="D219" t="inlineStr">
        <is>
          <t>VÄSTERBOTTENS LÄN</t>
        </is>
      </c>
      <c r="E219" t="inlineStr">
        <is>
          <t>VILHELMINA</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30018-2022</t>
        </is>
      </c>
      <c r="B220" s="1" t="n">
        <v>44756</v>
      </c>
      <c r="C220" s="1" t="n">
        <v>45881</v>
      </c>
      <c r="D220" t="inlineStr">
        <is>
          <t>VÄSTERBOTTENS LÄN</t>
        </is>
      </c>
      <c r="E220" t="inlineStr">
        <is>
          <t>VILHELMINA</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48600-2021</t>
        </is>
      </c>
      <c r="B221" s="1" t="n">
        <v>44452</v>
      </c>
      <c r="C221" s="1" t="n">
        <v>45881</v>
      </c>
      <c r="D221" t="inlineStr">
        <is>
          <t>VÄSTERBOTTENS LÄN</t>
        </is>
      </c>
      <c r="E221" t="inlineStr">
        <is>
          <t>VILHELMINA</t>
        </is>
      </c>
      <c r="F221" t="inlineStr">
        <is>
          <t>Allmännings- och besparingsskogar</t>
        </is>
      </c>
      <c r="G221" t="n">
        <v>48.6</v>
      </c>
      <c r="H221" t="n">
        <v>0</v>
      </c>
      <c r="I221" t="n">
        <v>0</v>
      </c>
      <c r="J221" t="n">
        <v>0</v>
      </c>
      <c r="K221" t="n">
        <v>0</v>
      </c>
      <c r="L221" t="n">
        <v>0</v>
      </c>
      <c r="M221" t="n">
        <v>0</v>
      </c>
      <c r="N221" t="n">
        <v>0</v>
      </c>
      <c r="O221" t="n">
        <v>0</v>
      </c>
      <c r="P221" t="n">
        <v>0</v>
      </c>
      <c r="Q221" t="n">
        <v>0</v>
      </c>
      <c r="R221" s="2" t="inlineStr"/>
    </row>
    <row r="222" ht="15" customHeight="1">
      <c r="A222" t="inlineStr">
        <is>
          <t>A 36931-2022</t>
        </is>
      </c>
      <c r="B222" s="1" t="n">
        <v>44805</v>
      </c>
      <c r="C222" s="1" t="n">
        <v>45881</v>
      </c>
      <c r="D222" t="inlineStr">
        <is>
          <t>VÄSTERBOTTENS LÄN</t>
        </is>
      </c>
      <c r="E222" t="inlineStr">
        <is>
          <t>VILHELMINA</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24599-2021</t>
        </is>
      </c>
      <c r="B223" s="1" t="n">
        <v>44341</v>
      </c>
      <c r="C223" s="1" t="n">
        <v>45881</v>
      </c>
      <c r="D223" t="inlineStr">
        <is>
          <t>VÄSTERBOTTENS LÄN</t>
        </is>
      </c>
      <c r="E223" t="inlineStr">
        <is>
          <t>VILHELMINA</t>
        </is>
      </c>
      <c r="G223" t="n">
        <v>14.5</v>
      </c>
      <c r="H223" t="n">
        <v>0</v>
      </c>
      <c r="I223" t="n">
        <v>0</v>
      </c>
      <c r="J223" t="n">
        <v>0</v>
      </c>
      <c r="K223" t="n">
        <v>0</v>
      </c>
      <c r="L223" t="n">
        <v>0</v>
      </c>
      <c r="M223" t="n">
        <v>0</v>
      </c>
      <c r="N223" t="n">
        <v>0</v>
      </c>
      <c r="O223" t="n">
        <v>0</v>
      </c>
      <c r="P223" t="n">
        <v>0</v>
      </c>
      <c r="Q223" t="n">
        <v>0</v>
      </c>
      <c r="R223" s="2" t="inlineStr"/>
    </row>
    <row r="224" ht="15" customHeight="1">
      <c r="A224" t="inlineStr">
        <is>
          <t>A 43755-2021</t>
        </is>
      </c>
      <c r="B224" s="1" t="n">
        <v>44433</v>
      </c>
      <c r="C224" s="1" t="n">
        <v>45881</v>
      </c>
      <c r="D224" t="inlineStr">
        <is>
          <t>VÄSTERBOTTENS LÄN</t>
        </is>
      </c>
      <c r="E224" t="inlineStr">
        <is>
          <t>VILHELMINA</t>
        </is>
      </c>
      <c r="F224" t="inlineStr">
        <is>
          <t>Sveaskog</t>
        </is>
      </c>
      <c r="G224" t="n">
        <v>10.4</v>
      </c>
      <c r="H224" t="n">
        <v>0</v>
      </c>
      <c r="I224" t="n">
        <v>0</v>
      </c>
      <c r="J224" t="n">
        <v>0</v>
      </c>
      <c r="K224" t="n">
        <v>0</v>
      </c>
      <c r="L224" t="n">
        <v>0</v>
      </c>
      <c r="M224" t="n">
        <v>0</v>
      </c>
      <c r="N224" t="n">
        <v>0</v>
      </c>
      <c r="O224" t="n">
        <v>0</v>
      </c>
      <c r="P224" t="n">
        <v>0</v>
      </c>
      <c r="Q224" t="n">
        <v>0</v>
      </c>
      <c r="R224" s="2" t="inlineStr"/>
    </row>
    <row r="225" ht="15" customHeight="1">
      <c r="A225" t="inlineStr">
        <is>
          <t>A 29555-2022</t>
        </is>
      </c>
      <c r="B225" s="1" t="n">
        <v>44754</v>
      </c>
      <c r="C225" s="1" t="n">
        <v>45881</v>
      </c>
      <c r="D225" t="inlineStr">
        <is>
          <t>VÄSTERBOTTENS LÄN</t>
        </is>
      </c>
      <c r="E225" t="inlineStr">
        <is>
          <t>VILHELMINA</t>
        </is>
      </c>
      <c r="F225" t="inlineStr">
        <is>
          <t>Övriga Aktiebolag</t>
        </is>
      </c>
      <c r="G225" t="n">
        <v>3.1</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45881</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46375-2021</t>
        </is>
      </c>
      <c r="B227" s="1" t="n">
        <v>44442</v>
      </c>
      <c r="C227" s="1" t="n">
        <v>45881</v>
      </c>
      <c r="D227" t="inlineStr">
        <is>
          <t>VÄSTERBOTTENS LÄN</t>
        </is>
      </c>
      <c r="E227" t="inlineStr">
        <is>
          <t>VILHELMINA</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40842-2020</t>
        </is>
      </c>
      <c r="B228" s="1" t="n">
        <v>44069</v>
      </c>
      <c r="C228" s="1" t="n">
        <v>45881</v>
      </c>
      <c r="D228" t="inlineStr">
        <is>
          <t>VÄSTERBOTTENS LÄN</t>
        </is>
      </c>
      <c r="E228" t="inlineStr">
        <is>
          <t>VILHELMINA</t>
        </is>
      </c>
      <c r="G228" t="n">
        <v>20.4</v>
      </c>
      <c r="H228" t="n">
        <v>0</v>
      </c>
      <c r="I228" t="n">
        <v>0</v>
      </c>
      <c r="J228" t="n">
        <v>0</v>
      </c>
      <c r="K228" t="n">
        <v>0</v>
      </c>
      <c r="L228" t="n">
        <v>0</v>
      </c>
      <c r="M228" t="n">
        <v>0</v>
      </c>
      <c r="N228" t="n">
        <v>0</v>
      </c>
      <c r="O228" t="n">
        <v>0</v>
      </c>
      <c r="P228" t="n">
        <v>0</v>
      </c>
      <c r="Q228" t="n">
        <v>0</v>
      </c>
      <c r="R228" s="2" t="inlineStr"/>
    </row>
    <row r="229" ht="15" customHeight="1">
      <c r="A229" t="inlineStr">
        <is>
          <t>A 28895-2021</t>
        </is>
      </c>
      <c r="B229" s="1" t="n">
        <v>44357</v>
      </c>
      <c r="C229" s="1" t="n">
        <v>45881</v>
      </c>
      <c r="D229" t="inlineStr">
        <is>
          <t>VÄSTERBOTTENS LÄN</t>
        </is>
      </c>
      <c r="E229" t="inlineStr">
        <is>
          <t>VILHELMINA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45881</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43741-2022</t>
        </is>
      </c>
      <c r="B231" s="1" t="n">
        <v>44837</v>
      </c>
      <c r="C231" s="1" t="n">
        <v>45881</v>
      </c>
      <c r="D231" t="inlineStr">
        <is>
          <t>VÄSTERBOTTENS LÄN</t>
        </is>
      </c>
      <c r="E231" t="inlineStr">
        <is>
          <t>VILHELMINA</t>
        </is>
      </c>
      <c r="G231" t="n">
        <v>54.2</v>
      </c>
      <c r="H231" t="n">
        <v>0</v>
      </c>
      <c r="I231" t="n">
        <v>0</v>
      </c>
      <c r="J231" t="n">
        <v>0</v>
      </c>
      <c r="K231" t="n">
        <v>0</v>
      </c>
      <c r="L231" t="n">
        <v>0</v>
      </c>
      <c r="M231" t="n">
        <v>0</v>
      </c>
      <c r="N231" t="n">
        <v>0</v>
      </c>
      <c r="O231" t="n">
        <v>0</v>
      </c>
      <c r="P231" t="n">
        <v>0</v>
      </c>
      <c r="Q231" t="n">
        <v>0</v>
      </c>
      <c r="R231" s="2" t="inlineStr"/>
    </row>
    <row r="232" ht="15" customHeight="1">
      <c r="A232" t="inlineStr">
        <is>
          <t>A 33603-2022</t>
        </is>
      </c>
      <c r="B232" s="1" t="n">
        <v>44789.49009259259</v>
      </c>
      <c r="C232" s="1" t="n">
        <v>45881</v>
      </c>
      <c r="D232" t="inlineStr">
        <is>
          <t>VÄSTERBOTTENS LÄN</t>
        </is>
      </c>
      <c r="E232" t="inlineStr">
        <is>
          <t>VILHELMINA</t>
        </is>
      </c>
      <c r="F232" t="inlineStr">
        <is>
          <t>Sveaskog</t>
        </is>
      </c>
      <c r="G232" t="n">
        <v>15.1</v>
      </c>
      <c r="H232" t="n">
        <v>0</v>
      </c>
      <c r="I232" t="n">
        <v>0</v>
      </c>
      <c r="J232" t="n">
        <v>0</v>
      </c>
      <c r="K232" t="n">
        <v>0</v>
      </c>
      <c r="L232" t="n">
        <v>0</v>
      </c>
      <c r="M232" t="n">
        <v>0</v>
      </c>
      <c r="N232" t="n">
        <v>0</v>
      </c>
      <c r="O232" t="n">
        <v>0</v>
      </c>
      <c r="P232" t="n">
        <v>0</v>
      </c>
      <c r="Q232" t="n">
        <v>0</v>
      </c>
      <c r="R232" s="2" t="inlineStr"/>
    </row>
    <row r="233" ht="15" customHeight="1">
      <c r="A233" t="inlineStr">
        <is>
          <t>A 27920-2022</t>
        </is>
      </c>
      <c r="B233" s="1" t="n">
        <v>44743</v>
      </c>
      <c r="C233" s="1" t="n">
        <v>45881</v>
      </c>
      <c r="D233" t="inlineStr">
        <is>
          <t>VÄSTERBOTTENS LÄN</t>
        </is>
      </c>
      <c r="E233" t="inlineStr">
        <is>
          <t>VILHELMINA</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9732-2022</t>
        </is>
      </c>
      <c r="B234" s="1" t="n">
        <v>44617.9343287037</v>
      </c>
      <c r="C234" s="1" t="n">
        <v>45881</v>
      </c>
      <c r="D234" t="inlineStr">
        <is>
          <t>VÄSTERBOTTENS LÄN</t>
        </is>
      </c>
      <c r="E234" t="inlineStr">
        <is>
          <t>VILHELMINA</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2189-2021</t>
        </is>
      </c>
      <c r="B235" s="1" t="n">
        <v>44211</v>
      </c>
      <c r="C235" s="1" t="n">
        <v>45881</v>
      </c>
      <c r="D235" t="inlineStr">
        <is>
          <t>VÄSTERBOTTENS LÄN</t>
        </is>
      </c>
      <c r="E235" t="inlineStr">
        <is>
          <t>VILHELMINA</t>
        </is>
      </c>
      <c r="F235" t="inlineStr">
        <is>
          <t>Allmännings- och besparingsskogar</t>
        </is>
      </c>
      <c r="G235" t="n">
        <v>20.1</v>
      </c>
      <c r="H235" t="n">
        <v>0</v>
      </c>
      <c r="I235" t="n">
        <v>0</v>
      </c>
      <c r="J235" t="n">
        <v>0</v>
      </c>
      <c r="K235" t="n">
        <v>0</v>
      </c>
      <c r="L235" t="n">
        <v>0</v>
      </c>
      <c r="M235" t="n">
        <v>0</v>
      </c>
      <c r="N235" t="n">
        <v>0</v>
      </c>
      <c r="O235" t="n">
        <v>0</v>
      </c>
      <c r="P235" t="n">
        <v>0</v>
      </c>
      <c r="Q235" t="n">
        <v>0</v>
      </c>
      <c r="R235" s="2" t="inlineStr"/>
    </row>
    <row r="236" ht="15" customHeight="1">
      <c r="A236" t="inlineStr">
        <is>
          <t>A 27194-2024</t>
        </is>
      </c>
      <c r="B236" s="1" t="n">
        <v>45471</v>
      </c>
      <c r="C236" s="1" t="n">
        <v>45881</v>
      </c>
      <c r="D236" t="inlineStr">
        <is>
          <t>VÄSTERBOTTENS LÄN</t>
        </is>
      </c>
      <c r="E236" t="inlineStr">
        <is>
          <t>VILHELMINA</t>
        </is>
      </c>
      <c r="G236" t="n">
        <v>8.5</v>
      </c>
      <c r="H236" t="n">
        <v>0</v>
      </c>
      <c r="I236" t="n">
        <v>0</v>
      </c>
      <c r="J236" t="n">
        <v>0</v>
      </c>
      <c r="K236" t="n">
        <v>0</v>
      </c>
      <c r="L236" t="n">
        <v>0</v>
      </c>
      <c r="M236" t="n">
        <v>0</v>
      </c>
      <c r="N236" t="n">
        <v>0</v>
      </c>
      <c r="O236" t="n">
        <v>0</v>
      </c>
      <c r="P236" t="n">
        <v>0</v>
      </c>
      <c r="Q236" t="n">
        <v>0</v>
      </c>
      <c r="R236" s="2" t="inlineStr"/>
    </row>
    <row r="237" ht="15" customHeight="1">
      <c r="A237" t="inlineStr">
        <is>
          <t>A 9501-2022</t>
        </is>
      </c>
      <c r="B237" s="1" t="n">
        <v>44616.93883101852</v>
      </c>
      <c r="C237" s="1" t="n">
        <v>45881</v>
      </c>
      <c r="D237" t="inlineStr">
        <is>
          <t>VÄSTERBOTTENS LÄN</t>
        </is>
      </c>
      <c r="E237" t="inlineStr">
        <is>
          <t>VILHELMINA</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9780-2022</t>
        </is>
      </c>
      <c r="B238" s="1" t="n">
        <v>44619.88071759259</v>
      </c>
      <c r="C238" s="1" t="n">
        <v>45881</v>
      </c>
      <c r="D238" t="inlineStr">
        <is>
          <t>VÄSTERBOTTENS LÄN</t>
        </is>
      </c>
      <c r="E238" t="inlineStr">
        <is>
          <t>VILHELMINA</t>
        </is>
      </c>
      <c r="G238" t="n">
        <v>1.9</v>
      </c>
      <c r="H238" t="n">
        <v>0</v>
      </c>
      <c r="I238" t="n">
        <v>0</v>
      </c>
      <c r="J238" t="n">
        <v>0</v>
      </c>
      <c r="K238" t="n">
        <v>0</v>
      </c>
      <c r="L238" t="n">
        <v>0</v>
      </c>
      <c r="M238" t="n">
        <v>0</v>
      </c>
      <c r="N238" t="n">
        <v>0</v>
      </c>
      <c r="O238" t="n">
        <v>0</v>
      </c>
      <c r="P238" t="n">
        <v>0</v>
      </c>
      <c r="Q238" t="n">
        <v>0</v>
      </c>
      <c r="R238" s="2" t="inlineStr"/>
    </row>
    <row r="239" ht="15" customHeight="1">
      <c r="A239" t="inlineStr">
        <is>
          <t>A 65146-2021</t>
        </is>
      </c>
      <c r="B239" s="1" t="n">
        <v>44515</v>
      </c>
      <c r="C239" s="1" t="n">
        <v>45881</v>
      </c>
      <c r="D239" t="inlineStr">
        <is>
          <t>VÄSTERBOTTENS LÄN</t>
        </is>
      </c>
      <c r="E239" t="inlineStr">
        <is>
          <t>VILHELMINA</t>
        </is>
      </c>
      <c r="G239" t="n">
        <v>7.4</v>
      </c>
      <c r="H239" t="n">
        <v>0</v>
      </c>
      <c r="I239" t="n">
        <v>0</v>
      </c>
      <c r="J239" t="n">
        <v>0</v>
      </c>
      <c r="K239" t="n">
        <v>0</v>
      </c>
      <c r="L239" t="n">
        <v>0</v>
      </c>
      <c r="M239" t="n">
        <v>0</v>
      </c>
      <c r="N239" t="n">
        <v>0</v>
      </c>
      <c r="O239" t="n">
        <v>0</v>
      </c>
      <c r="P239" t="n">
        <v>0</v>
      </c>
      <c r="Q239" t="n">
        <v>0</v>
      </c>
      <c r="R239" s="2" t="inlineStr"/>
    </row>
    <row r="240" ht="15" customHeight="1">
      <c r="A240" t="inlineStr">
        <is>
          <t>A 41267-2020</t>
        </is>
      </c>
      <c r="B240" s="1" t="n">
        <v>44071</v>
      </c>
      <c r="C240" s="1" t="n">
        <v>45881</v>
      </c>
      <c r="D240" t="inlineStr">
        <is>
          <t>VÄSTERBOTTENS LÄN</t>
        </is>
      </c>
      <c r="E240" t="inlineStr">
        <is>
          <t>VILHELMINA</t>
        </is>
      </c>
      <c r="G240" t="n">
        <v>1.9</v>
      </c>
      <c r="H240" t="n">
        <v>0</v>
      </c>
      <c r="I240" t="n">
        <v>0</v>
      </c>
      <c r="J240" t="n">
        <v>0</v>
      </c>
      <c r="K240" t="n">
        <v>0</v>
      </c>
      <c r="L240" t="n">
        <v>0</v>
      </c>
      <c r="M240" t="n">
        <v>0</v>
      </c>
      <c r="N240" t="n">
        <v>0</v>
      </c>
      <c r="O240" t="n">
        <v>0</v>
      </c>
      <c r="P240" t="n">
        <v>0</v>
      </c>
      <c r="Q240" t="n">
        <v>0</v>
      </c>
      <c r="R240" s="2" t="inlineStr"/>
    </row>
    <row r="241" ht="15" customHeight="1">
      <c r="A241" t="inlineStr">
        <is>
          <t>A 13200-2025</t>
        </is>
      </c>
      <c r="B241" s="1" t="n">
        <v>45735</v>
      </c>
      <c r="C241" s="1" t="n">
        <v>45881</v>
      </c>
      <c r="D241" t="inlineStr">
        <is>
          <t>VÄSTERBOTTENS LÄN</t>
        </is>
      </c>
      <c r="E241" t="inlineStr">
        <is>
          <t>VILHELMINA</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41330-2022</t>
        </is>
      </c>
      <c r="B242" s="1" t="n">
        <v>44826</v>
      </c>
      <c r="C242" s="1" t="n">
        <v>45881</v>
      </c>
      <c r="D242" t="inlineStr">
        <is>
          <t>VÄSTERBOTTENS LÄN</t>
        </is>
      </c>
      <c r="E242" t="inlineStr">
        <is>
          <t>VILHELMINA</t>
        </is>
      </c>
      <c r="G242" t="n">
        <v>3.4</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45881</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57086-2021</t>
        </is>
      </c>
      <c r="B244" s="1" t="n">
        <v>44482</v>
      </c>
      <c r="C244" s="1" t="n">
        <v>45881</v>
      </c>
      <c r="D244" t="inlineStr">
        <is>
          <t>VÄSTERBOTTENS LÄN</t>
        </is>
      </c>
      <c r="E244" t="inlineStr">
        <is>
          <t>VILHELMINA</t>
        </is>
      </c>
      <c r="G244" t="n">
        <v>1.5</v>
      </c>
      <c r="H244" t="n">
        <v>0</v>
      </c>
      <c r="I244" t="n">
        <v>0</v>
      </c>
      <c r="J244" t="n">
        <v>0</v>
      </c>
      <c r="K244" t="n">
        <v>0</v>
      </c>
      <c r="L244" t="n">
        <v>0</v>
      </c>
      <c r="M244" t="n">
        <v>0</v>
      </c>
      <c r="N244" t="n">
        <v>0</v>
      </c>
      <c r="O244" t="n">
        <v>0</v>
      </c>
      <c r="P244" t="n">
        <v>0</v>
      </c>
      <c r="Q244" t="n">
        <v>0</v>
      </c>
      <c r="R244" s="2" t="inlineStr"/>
    </row>
    <row r="245" ht="15" customHeight="1">
      <c r="A245" t="inlineStr">
        <is>
          <t>A 29773-2022</t>
        </is>
      </c>
      <c r="B245" s="1" t="n">
        <v>44755.62866898148</v>
      </c>
      <c r="C245" s="1" t="n">
        <v>45881</v>
      </c>
      <c r="D245" t="inlineStr">
        <is>
          <t>VÄSTERBOTTENS LÄN</t>
        </is>
      </c>
      <c r="E245" t="inlineStr">
        <is>
          <t>VILHELMINA</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8718-2025</t>
        </is>
      </c>
      <c r="B246" s="1" t="n">
        <v>45712</v>
      </c>
      <c r="C246" s="1" t="n">
        <v>45881</v>
      </c>
      <c r="D246" t="inlineStr">
        <is>
          <t>VÄSTERBOTTENS LÄN</t>
        </is>
      </c>
      <c r="E246" t="inlineStr">
        <is>
          <t>VILHELMINA</t>
        </is>
      </c>
      <c r="G246" t="n">
        <v>21.3</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45881</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64759-2020</t>
        </is>
      </c>
      <c r="B248" s="1" t="n">
        <v>44169</v>
      </c>
      <c r="C248" s="1" t="n">
        <v>45881</v>
      </c>
      <c r="D248" t="inlineStr">
        <is>
          <t>VÄSTERBOTTENS LÄN</t>
        </is>
      </c>
      <c r="E248" t="inlineStr">
        <is>
          <t>VILHELMINA</t>
        </is>
      </c>
      <c r="G248" t="n">
        <v>24.6</v>
      </c>
      <c r="H248" t="n">
        <v>0</v>
      </c>
      <c r="I248" t="n">
        <v>0</v>
      </c>
      <c r="J248" t="n">
        <v>0</v>
      </c>
      <c r="K248" t="n">
        <v>0</v>
      </c>
      <c r="L248" t="n">
        <v>0</v>
      </c>
      <c r="M248" t="n">
        <v>0</v>
      </c>
      <c r="N248" t="n">
        <v>0</v>
      </c>
      <c r="O248" t="n">
        <v>0</v>
      </c>
      <c r="P248" t="n">
        <v>0</v>
      </c>
      <c r="Q248" t="n">
        <v>0</v>
      </c>
      <c r="R248" s="2" t="inlineStr"/>
    </row>
    <row r="249" ht="15" customHeight="1">
      <c r="A249" t="inlineStr">
        <is>
          <t>A 19909-2025</t>
        </is>
      </c>
      <c r="B249" s="1" t="n">
        <v>45771.60482638889</v>
      </c>
      <c r="C249" s="1" t="n">
        <v>45881</v>
      </c>
      <c r="D249" t="inlineStr">
        <is>
          <t>VÄSTERBOTTENS LÄN</t>
        </is>
      </c>
      <c r="E249" t="inlineStr">
        <is>
          <t>VILHELMINA</t>
        </is>
      </c>
      <c r="G249" t="n">
        <v>12.4</v>
      </c>
      <c r="H249" t="n">
        <v>0</v>
      </c>
      <c r="I249" t="n">
        <v>0</v>
      </c>
      <c r="J249" t="n">
        <v>0</v>
      </c>
      <c r="K249" t="n">
        <v>0</v>
      </c>
      <c r="L249" t="n">
        <v>0</v>
      </c>
      <c r="M249" t="n">
        <v>0</v>
      </c>
      <c r="N249" t="n">
        <v>0</v>
      </c>
      <c r="O249" t="n">
        <v>0</v>
      </c>
      <c r="P249" t="n">
        <v>0</v>
      </c>
      <c r="Q249" t="n">
        <v>0</v>
      </c>
      <c r="R249" s="2" t="inlineStr"/>
    </row>
    <row r="250" ht="15" customHeight="1">
      <c r="A250" t="inlineStr">
        <is>
          <t>A 45965-2023</t>
        </is>
      </c>
      <c r="B250" s="1" t="n">
        <v>45195.94755787037</v>
      </c>
      <c r="C250" s="1" t="n">
        <v>45881</v>
      </c>
      <c r="D250" t="inlineStr">
        <is>
          <t>VÄSTERBOTTENS LÄN</t>
        </is>
      </c>
      <c r="E250" t="inlineStr">
        <is>
          <t>VILHELMINA</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8003-2021</t>
        </is>
      </c>
      <c r="B251" s="1" t="n">
        <v>44243</v>
      </c>
      <c r="C251" s="1" t="n">
        <v>45881</v>
      </c>
      <c r="D251" t="inlineStr">
        <is>
          <t>VÄSTERBOTTENS LÄN</t>
        </is>
      </c>
      <c r="E251" t="inlineStr">
        <is>
          <t>VILHELMINA</t>
        </is>
      </c>
      <c r="G251" t="n">
        <v>5.1</v>
      </c>
      <c r="H251" t="n">
        <v>0</v>
      </c>
      <c r="I251" t="n">
        <v>0</v>
      </c>
      <c r="J251" t="n">
        <v>0</v>
      </c>
      <c r="K251" t="n">
        <v>0</v>
      </c>
      <c r="L251" t="n">
        <v>0</v>
      </c>
      <c r="M251" t="n">
        <v>0</v>
      </c>
      <c r="N251" t="n">
        <v>0</v>
      </c>
      <c r="O251" t="n">
        <v>0</v>
      </c>
      <c r="P251" t="n">
        <v>0</v>
      </c>
      <c r="Q251" t="n">
        <v>0</v>
      </c>
      <c r="R251" s="2" t="inlineStr"/>
    </row>
    <row r="252" ht="15" customHeight="1">
      <c r="A252" t="inlineStr">
        <is>
          <t>A 31896-2024</t>
        </is>
      </c>
      <c r="B252" s="1" t="n">
        <v>45509</v>
      </c>
      <c r="C252" s="1" t="n">
        <v>45881</v>
      </c>
      <c r="D252" t="inlineStr">
        <is>
          <t>VÄSTERBOTTENS LÄN</t>
        </is>
      </c>
      <c r="E252" t="inlineStr">
        <is>
          <t>VILHELMINA</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39914-2023</t>
        </is>
      </c>
      <c r="B253" s="1" t="n">
        <v>45166</v>
      </c>
      <c r="C253" s="1" t="n">
        <v>45881</v>
      </c>
      <c r="D253" t="inlineStr">
        <is>
          <t>VÄSTERBOTTENS LÄN</t>
        </is>
      </c>
      <c r="E253" t="inlineStr">
        <is>
          <t>VILHELMINA</t>
        </is>
      </c>
      <c r="G253" t="n">
        <v>27.5</v>
      </c>
      <c r="H253" t="n">
        <v>0</v>
      </c>
      <c r="I253" t="n">
        <v>0</v>
      </c>
      <c r="J253" t="n">
        <v>0</v>
      </c>
      <c r="K253" t="n">
        <v>0</v>
      </c>
      <c r="L253" t="n">
        <v>0</v>
      </c>
      <c r="M253" t="n">
        <v>0</v>
      </c>
      <c r="N253" t="n">
        <v>0</v>
      </c>
      <c r="O253" t="n">
        <v>0</v>
      </c>
      <c r="P253" t="n">
        <v>0</v>
      </c>
      <c r="Q253" t="n">
        <v>0</v>
      </c>
      <c r="R253" s="2" t="inlineStr"/>
    </row>
    <row r="254" ht="15" customHeight="1">
      <c r="A254" t="inlineStr">
        <is>
          <t>A 70854-2021</t>
        </is>
      </c>
      <c r="B254" s="1" t="n">
        <v>44532</v>
      </c>
      <c r="C254" s="1" t="n">
        <v>45881</v>
      </c>
      <c r="D254" t="inlineStr">
        <is>
          <t>VÄSTERBOTTENS LÄN</t>
        </is>
      </c>
      <c r="E254" t="inlineStr">
        <is>
          <t>VILHELMINA</t>
        </is>
      </c>
      <c r="G254" t="n">
        <v>2.6</v>
      </c>
      <c r="H254" t="n">
        <v>0</v>
      </c>
      <c r="I254" t="n">
        <v>0</v>
      </c>
      <c r="J254" t="n">
        <v>0</v>
      </c>
      <c r="K254" t="n">
        <v>0</v>
      </c>
      <c r="L254" t="n">
        <v>0</v>
      </c>
      <c r="M254" t="n">
        <v>0</v>
      </c>
      <c r="N254" t="n">
        <v>0</v>
      </c>
      <c r="O254" t="n">
        <v>0</v>
      </c>
      <c r="P254" t="n">
        <v>0</v>
      </c>
      <c r="Q254" t="n">
        <v>0</v>
      </c>
      <c r="R254" s="2" t="inlineStr"/>
    </row>
    <row r="255" ht="15" customHeight="1">
      <c r="A255" t="inlineStr">
        <is>
          <t>A 12593-2022</t>
        </is>
      </c>
      <c r="B255" s="1" t="n">
        <v>44640</v>
      </c>
      <c r="C255" s="1" t="n">
        <v>45881</v>
      </c>
      <c r="D255" t="inlineStr">
        <is>
          <t>VÄSTERBOTTENS LÄN</t>
        </is>
      </c>
      <c r="E255" t="inlineStr">
        <is>
          <t>VILHELMINA</t>
        </is>
      </c>
      <c r="G255" t="n">
        <v>10.4</v>
      </c>
      <c r="H255" t="n">
        <v>0</v>
      </c>
      <c r="I255" t="n">
        <v>0</v>
      </c>
      <c r="J255" t="n">
        <v>0</v>
      </c>
      <c r="K255" t="n">
        <v>0</v>
      </c>
      <c r="L255" t="n">
        <v>0</v>
      </c>
      <c r="M255" t="n">
        <v>0</v>
      </c>
      <c r="N255" t="n">
        <v>0</v>
      </c>
      <c r="O255" t="n">
        <v>0</v>
      </c>
      <c r="P255" t="n">
        <v>0</v>
      </c>
      <c r="Q255" t="n">
        <v>0</v>
      </c>
      <c r="R255" s="2" t="inlineStr"/>
    </row>
    <row r="256" ht="15" customHeight="1">
      <c r="A256" t="inlineStr">
        <is>
          <t>A 47193-2020</t>
        </is>
      </c>
      <c r="B256" s="1" t="n">
        <v>44097</v>
      </c>
      <c r="C256" s="1" t="n">
        <v>45881</v>
      </c>
      <c r="D256" t="inlineStr">
        <is>
          <t>VÄSTERBOTTENS LÄN</t>
        </is>
      </c>
      <c r="E256" t="inlineStr">
        <is>
          <t>VILHELMINA</t>
        </is>
      </c>
      <c r="G256" t="n">
        <v>6.8</v>
      </c>
      <c r="H256" t="n">
        <v>0</v>
      </c>
      <c r="I256" t="n">
        <v>0</v>
      </c>
      <c r="J256" t="n">
        <v>0</v>
      </c>
      <c r="K256" t="n">
        <v>0</v>
      </c>
      <c r="L256" t="n">
        <v>0</v>
      </c>
      <c r="M256" t="n">
        <v>0</v>
      </c>
      <c r="N256" t="n">
        <v>0</v>
      </c>
      <c r="O256" t="n">
        <v>0</v>
      </c>
      <c r="P256" t="n">
        <v>0</v>
      </c>
      <c r="Q256" t="n">
        <v>0</v>
      </c>
      <c r="R256" s="2" t="inlineStr"/>
    </row>
    <row r="257" ht="15" customHeight="1">
      <c r="A257" t="inlineStr">
        <is>
          <t>A 28695-2024</t>
        </is>
      </c>
      <c r="B257" s="1" t="n">
        <v>45478</v>
      </c>
      <c r="C257" s="1" t="n">
        <v>45881</v>
      </c>
      <c r="D257" t="inlineStr">
        <is>
          <t>VÄSTERBOTTENS LÄN</t>
        </is>
      </c>
      <c r="E257" t="inlineStr">
        <is>
          <t>VILHELMINA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45881</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15782-2025</t>
        </is>
      </c>
      <c r="B259" s="1" t="n">
        <v>45748</v>
      </c>
      <c r="C259" s="1" t="n">
        <v>45881</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15792-2025</t>
        </is>
      </c>
      <c r="B260" s="1" t="n">
        <v>45748.63356481482</v>
      </c>
      <c r="C260" s="1" t="n">
        <v>45881</v>
      </c>
      <c r="D260" t="inlineStr">
        <is>
          <t>VÄSTERBOTTENS LÄN</t>
        </is>
      </c>
      <c r="E260" t="inlineStr">
        <is>
          <t>VILHELMINA</t>
        </is>
      </c>
      <c r="G260" t="n">
        <v>5.5</v>
      </c>
      <c r="H260" t="n">
        <v>0</v>
      </c>
      <c r="I260" t="n">
        <v>0</v>
      </c>
      <c r="J260" t="n">
        <v>0</v>
      </c>
      <c r="K260" t="n">
        <v>0</v>
      </c>
      <c r="L260" t="n">
        <v>0</v>
      </c>
      <c r="M260" t="n">
        <v>0</v>
      </c>
      <c r="N260" t="n">
        <v>0</v>
      </c>
      <c r="O260" t="n">
        <v>0</v>
      </c>
      <c r="P260" t="n">
        <v>0</v>
      </c>
      <c r="Q260" t="n">
        <v>0</v>
      </c>
      <c r="R260" s="2" t="inlineStr"/>
    </row>
    <row r="261" ht="15" customHeight="1">
      <c r="A261" t="inlineStr">
        <is>
          <t>A 54727-2022</t>
        </is>
      </c>
      <c r="B261" s="1" t="n">
        <v>44881</v>
      </c>
      <c r="C261" s="1" t="n">
        <v>45881</v>
      </c>
      <c r="D261" t="inlineStr">
        <is>
          <t>VÄSTERBOTTENS LÄN</t>
        </is>
      </c>
      <c r="E261" t="inlineStr">
        <is>
          <t>VILHELMINA</t>
        </is>
      </c>
      <c r="G261" t="n">
        <v>4.3</v>
      </c>
      <c r="H261" t="n">
        <v>0</v>
      </c>
      <c r="I261" t="n">
        <v>0</v>
      </c>
      <c r="J261" t="n">
        <v>0</v>
      </c>
      <c r="K261" t="n">
        <v>0</v>
      </c>
      <c r="L261" t="n">
        <v>0</v>
      </c>
      <c r="M261" t="n">
        <v>0</v>
      </c>
      <c r="N261" t="n">
        <v>0</v>
      </c>
      <c r="O261" t="n">
        <v>0</v>
      </c>
      <c r="P261" t="n">
        <v>0</v>
      </c>
      <c r="Q261" t="n">
        <v>0</v>
      </c>
      <c r="R261" s="2" t="inlineStr"/>
    </row>
    <row r="262" ht="15" customHeight="1">
      <c r="A262" t="inlineStr">
        <is>
          <t>A 23543-2024</t>
        </is>
      </c>
      <c r="B262" s="1" t="n">
        <v>45453</v>
      </c>
      <c r="C262" s="1" t="n">
        <v>45881</v>
      </c>
      <c r="D262" t="inlineStr">
        <is>
          <t>VÄSTERBOTTENS LÄN</t>
        </is>
      </c>
      <c r="E262" t="inlineStr">
        <is>
          <t>VILHELMINA</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40781-2023</t>
        </is>
      </c>
      <c r="B263" s="1" t="n">
        <v>45170.95747685185</v>
      </c>
      <c r="C263" s="1" t="n">
        <v>45881</v>
      </c>
      <c r="D263" t="inlineStr">
        <is>
          <t>VÄSTERBOTTENS LÄN</t>
        </is>
      </c>
      <c r="E263" t="inlineStr">
        <is>
          <t>VILHELMINA</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12190-2024</t>
        </is>
      </c>
      <c r="B264" s="1" t="n">
        <v>45377.94954861111</v>
      </c>
      <c r="C264" s="1" t="n">
        <v>45881</v>
      </c>
      <c r="D264" t="inlineStr">
        <is>
          <t>VÄSTERBOTTENS LÄN</t>
        </is>
      </c>
      <c r="E264" t="inlineStr">
        <is>
          <t>VILHELMINA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15617-2024</t>
        </is>
      </c>
      <c r="B265" s="1" t="n">
        <v>45401.94358796296</v>
      </c>
      <c r="C265" s="1" t="n">
        <v>45881</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17432-2025</t>
        </is>
      </c>
      <c r="B266" s="1" t="n">
        <v>45757</v>
      </c>
      <c r="C266" s="1" t="n">
        <v>45881</v>
      </c>
      <c r="D266" t="inlineStr">
        <is>
          <t>VÄSTERBOTTENS LÄN</t>
        </is>
      </c>
      <c r="E266" t="inlineStr">
        <is>
          <t>VILHELMINA</t>
        </is>
      </c>
      <c r="G266" t="n">
        <v>4.6</v>
      </c>
      <c r="H266" t="n">
        <v>0</v>
      </c>
      <c r="I266" t="n">
        <v>0</v>
      </c>
      <c r="J266" t="n">
        <v>0</v>
      </c>
      <c r="K266" t="n">
        <v>0</v>
      </c>
      <c r="L266" t="n">
        <v>0</v>
      </c>
      <c r="M266" t="n">
        <v>0</v>
      </c>
      <c r="N266" t="n">
        <v>0</v>
      </c>
      <c r="O266" t="n">
        <v>0</v>
      </c>
      <c r="P266" t="n">
        <v>0</v>
      </c>
      <c r="Q266" t="n">
        <v>0</v>
      </c>
      <c r="R266" s="2" t="inlineStr"/>
    </row>
    <row r="267" ht="15" customHeight="1">
      <c r="A267" t="inlineStr">
        <is>
          <t>A 19600-2025</t>
        </is>
      </c>
      <c r="B267" s="1" t="n">
        <v>45770</v>
      </c>
      <c r="C267" s="1" t="n">
        <v>45881</v>
      </c>
      <c r="D267" t="inlineStr">
        <is>
          <t>VÄSTERBOTTENS LÄN</t>
        </is>
      </c>
      <c r="E267" t="inlineStr">
        <is>
          <t>VILHELMINA</t>
        </is>
      </c>
      <c r="G267" t="n">
        <v>3.7</v>
      </c>
      <c r="H267" t="n">
        <v>0</v>
      </c>
      <c r="I267" t="n">
        <v>0</v>
      </c>
      <c r="J267" t="n">
        <v>0</v>
      </c>
      <c r="K267" t="n">
        <v>0</v>
      </c>
      <c r="L267" t="n">
        <v>0</v>
      </c>
      <c r="M267" t="n">
        <v>0</v>
      </c>
      <c r="N267" t="n">
        <v>0</v>
      </c>
      <c r="O267" t="n">
        <v>0</v>
      </c>
      <c r="P267" t="n">
        <v>0</v>
      </c>
      <c r="Q267" t="n">
        <v>0</v>
      </c>
      <c r="R267" s="2" t="inlineStr"/>
    </row>
    <row r="268" ht="15" customHeight="1">
      <c r="A268" t="inlineStr">
        <is>
          <t>A 54985-2023</t>
        </is>
      </c>
      <c r="B268" s="1" t="n">
        <v>45236</v>
      </c>
      <c r="C268" s="1" t="n">
        <v>45881</v>
      </c>
      <c r="D268" t="inlineStr">
        <is>
          <t>VÄSTERBOTTENS LÄN</t>
        </is>
      </c>
      <c r="E268" t="inlineStr">
        <is>
          <t>VILHELMINA</t>
        </is>
      </c>
      <c r="F268" t="inlineStr">
        <is>
          <t>SCA</t>
        </is>
      </c>
      <c r="G268" t="n">
        <v>7.5</v>
      </c>
      <c r="H268" t="n">
        <v>0</v>
      </c>
      <c r="I268" t="n">
        <v>0</v>
      </c>
      <c r="J268" t="n">
        <v>0</v>
      </c>
      <c r="K268" t="n">
        <v>0</v>
      </c>
      <c r="L268" t="n">
        <v>0</v>
      </c>
      <c r="M268" t="n">
        <v>0</v>
      </c>
      <c r="N268" t="n">
        <v>0</v>
      </c>
      <c r="O268" t="n">
        <v>0</v>
      </c>
      <c r="P268" t="n">
        <v>0</v>
      </c>
      <c r="Q268" t="n">
        <v>0</v>
      </c>
      <c r="R268" s="2" t="inlineStr"/>
    </row>
    <row r="269" ht="15" customHeight="1">
      <c r="A269" t="inlineStr">
        <is>
          <t>A 46119-2022</t>
        </is>
      </c>
      <c r="B269" s="1" t="n">
        <v>44847</v>
      </c>
      <c r="C269" s="1" t="n">
        <v>45881</v>
      </c>
      <c r="D269" t="inlineStr">
        <is>
          <t>VÄSTERBOTTENS LÄN</t>
        </is>
      </c>
      <c r="E269" t="inlineStr">
        <is>
          <t>VILHELMINA</t>
        </is>
      </c>
      <c r="G269" t="n">
        <v>12.1</v>
      </c>
      <c r="H269" t="n">
        <v>0</v>
      </c>
      <c r="I269" t="n">
        <v>0</v>
      </c>
      <c r="J269" t="n">
        <v>0</v>
      </c>
      <c r="K269" t="n">
        <v>0</v>
      </c>
      <c r="L269" t="n">
        <v>0</v>
      </c>
      <c r="M269" t="n">
        <v>0</v>
      </c>
      <c r="N269" t="n">
        <v>0</v>
      </c>
      <c r="O269" t="n">
        <v>0</v>
      </c>
      <c r="P269" t="n">
        <v>0</v>
      </c>
      <c r="Q269" t="n">
        <v>0</v>
      </c>
      <c r="R269" s="2" t="inlineStr"/>
    </row>
    <row r="270" ht="15" customHeight="1">
      <c r="A270" t="inlineStr">
        <is>
          <t>A 46121-2022</t>
        </is>
      </c>
      <c r="B270" s="1" t="n">
        <v>44847</v>
      </c>
      <c r="C270" s="1" t="n">
        <v>45881</v>
      </c>
      <c r="D270" t="inlineStr">
        <is>
          <t>VÄSTERBOTTENS LÄN</t>
        </is>
      </c>
      <c r="E270" t="inlineStr">
        <is>
          <t>VILHELMINA</t>
        </is>
      </c>
      <c r="G270" t="n">
        <v>2.6</v>
      </c>
      <c r="H270" t="n">
        <v>0</v>
      </c>
      <c r="I270" t="n">
        <v>0</v>
      </c>
      <c r="J270" t="n">
        <v>0</v>
      </c>
      <c r="K270" t="n">
        <v>0</v>
      </c>
      <c r="L270" t="n">
        <v>0</v>
      </c>
      <c r="M270" t="n">
        <v>0</v>
      </c>
      <c r="N270" t="n">
        <v>0</v>
      </c>
      <c r="O270" t="n">
        <v>0</v>
      </c>
      <c r="P270" t="n">
        <v>0</v>
      </c>
      <c r="Q270" t="n">
        <v>0</v>
      </c>
      <c r="R270" s="2" t="inlineStr"/>
    </row>
    <row r="271" ht="15" customHeight="1">
      <c r="A271" t="inlineStr">
        <is>
          <t>A 20769-2024</t>
        </is>
      </c>
      <c r="B271" s="1" t="n">
        <v>45436.94604166667</v>
      </c>
      <c r="C271" s="1" t="n">
        <v>45881</v>
      </c>
      <c r="D271" t="inlineStr">
        <is>
          <t>VÄSTERBOTTENS LÄN</t>
        </is>
      </c>
      <c r="E271" t="inlineStr">
        <is>
          <t>VILHELMINA</t>
        </is>
      </c>
      <c r="F271" t="inlineStr">
        <is>
          <t>SCA</t>
        </is>
      </c>
      <c r="G271" t="n">
        <v>7</v>
      </c>
      <c r="H271" t="n">
        <v>0</v>
      </c>
      <c r="I271" t="n">
        <v>0</v>
      </c>
      <c r="J271" t="n">
        <v>0</v>
      </c>
      <c r="K271" t="n">
        <v>0</v>
      </c>
      <c r="L271" t="n">
        <v>0</v>
      </c>
      <c r="M271" t="n">
        <v>0</v>
      </c>
      <c r="N271" t="n">
        <v>0</v>
      </c>
      <c r="O271" t="n">
        <v>0</v>
      </c>
      <c r="P271" t="n">
        <v>0</v>
      </c>
      <c r="Q271" t="n">
        <v>0</v>
      </c>
      <c r="R271" s="2" t="inlineStr"/>
    </row>
    <row r="272" ht="15" customHeight="1">
      <c r="A272" t="inlineStr">
        <is>
          <t>A 49599-2022</t>
        </is>
      </c>
      <c r="B272" s="1" t="n">
        <v>44859</v>
      </c>
      <c r="C272" s="1" t="n">
        <v>45881</v>
      </c>
      <c r="D272" t="inlineStr">
        <is>
          <t>VÄSTERBOTTENS LÄN</t>
        </is>
      </c>
      <c r="E272" t="inlineStr">
        <is>
          <t>VILHELMINA</t>
        </is>
      </c>
      <c r="G272" t="n">
        <v>3.6</v>
      </c>
      <c r="H272" t="n">
        <v>0</v>
      </c>
      <c r="I272" t="n">
        <v>0</v>
      </c>
      <c r="J272" t="n">
        <v>0</v>
      </c>
      <c r="K272" t="n">
        <v>0</v>
      </c>
      <c r="L272" t="n">
        <v>0</v>
      </c>
      <c r="M272" t="n">
        <v>0</v>
      </c>
      <c r="N272" t="n">
        <v>0</v>
      </c>
      <c r="O272" t="n">
        <v>0</v>
      </c>
      <c r="P272" t="n">
        <v>0</v>
      </c>
      <c r="Q272" t="n">
        <v>0</v>
      </c>
      <c r="R272" s="2" t="inlineStr"/>
    </row>
    <row r="273" ht="15" customHeight="1">
      <c r="A273" t="inlineStr">
        <is>
          <t>A 23261-2021</t>
        </is>
      </c>
      <c r="B273" s="1" t="n">
        <v>44330</v>
      </c>
      <c r="C273" s="1" t="n">
        <v>45881</v>
      </c>
      <c r="D273" t="inlineStr">
        <is>
          <t>VÄSTERBOTTENS LÄN</t>
        </is>
      </c>
      <c r="E273" t="inlineStr">
        <is>
          <t>VILHELMINA</t>
        </is>
      </c>
      <c r="G273" t="n">
        <v>4.5</v>
      </c>
      <c r="H273" t="n">
        <v>0</v>
      </c>
      <c r="I273" t="n">
        <v>0</v>
      </c>
      <c r="J273" t="n">
        <v>0</v>
      </c>
      <c r="K273" t="n">
        <v>0</v>
      </c>
      <c r="L273" t="n">
        <v>0</v>
      </c>
      <c r="M273" t="n">
        <v>0</v>
      </c>
      <c r="N273" t="n">
        <v>0</v>
      </c>
      <c r="O273" t="n">
        <v>0</v>
      </c>
      <c r="P273" t="n">
        <v>0</v>
      </c>
      <c r="Q273" t="n">
        <v>0</v>
      </c>
      <c r="R273" s="2" t="inlineStr"/>
    </row>
    <row r="274" ht="15" customHeight="1">
      <c r="A274" t="inlineStr">
        <is>
          <t>A 6706-2021</t>
        </is>
      </c>
      <c r="B274" s="1" t="n">
        <v>44235</v>
      </c>
      <c r="C274" s="1" t="n">
        <v>45881</v>
      </c>
      <c r="D274" t="inlineStr">
        <is>
          <t>VÄSTERBOTTENS LÄN</t>
        </is>
      </c>
      <c r="E274" t="inlineStr">
        <is>
          <t>VILHELMINA</t>
        </is>
      </c>
      <c r="G274" t="n">
        <v>3.8</v>
      </c>
      <c r="H274" t="n">
        <v>0</v>
      </c>
      <c r="I274" t="n">
        <v>0</v>
      </c>
      <c r="J274" t="n">
        <v>0</v>
      </c>
      <c r="K274" t="n">
        <v>0</v>
      </c>
      <c r="L274" t="n">
        <v>0</v>
      </c>
      <c r="M274" t="n">
        <v>0</v>
      </c>
      <c r="N274" t="n">
        <v>0</v>
      </c>
      <c r="O274" t="n">
        <v>0</v>
      </c>
      <c r="P274" t="n">
        <v>0</v>
      </c>
      <c r="Q274" t="n">
        <v>0</v>
      </c>
      <c r="R274" s="2" t="inlineStr"/>
    </row>
    <row r="275" ht="15" customHeight="1">
      <c r="A275" t="inlineStr">
        <is>
          <t>A 53606-2024</t>
        </is>
      </c>
      <c r="B275" s="1" t="n">
        <v>45614</v>
      </c>
      <c r="C275" s="1" t="n">
        <v>45881</v>
      </c>
      <c r="D275" t="inlineStr">
        <is>
          <t>VÄSTERBOTTENS LÄN</t>
        </is>
      </c>
      <c r="E275" t="inlineStr">
        <is>
          <t>VILHELMINA</t>
        </is>
      </c>
      <c r="F275" t="inlineStr">
        <is>
          <t>SCA</t>
        </is>
      </c>
      <c r="G275" t="n">
        <v>10.1</v>
      </c>
      <c r="H275" t="n">
        <v>0</v>
      </c>
      <c r="I275" t="n">
        <v>0</v>
      </c>
      <c r="J275" t="n">
        <v>0</v>
      </c>
      <c r="K275" t="n">
        <v>0</v>
      </c>
      <c r="L275" t="n">
        <v>0</v>
      </c>
      <c r="M275" t="n">
        <v>0</v>
      </c>
      <c r="N275" t="n">
        <v>0</v>
      </c>
      <c r="O275" t="n">
        <v>0</v>
      </c>
      <c r="P275" t="n">
        <v>0</v>
      </c>
      <c r="Q275" t="n">
        <v>0</v>
      </c>
      <c r="R275" s="2" t="inlineStr"/>
    </row>
    <row r="276" ht="15" customHeight="1">
      <c r="A276" t="inlineStr">
        <is>
          <t>A 62101-2024</t>
        </is>
      </c>
      <c r="B276" s="1" t="n">
        <v>45656.51119212963</v>
      </c>
      <c r="C276" s="1" t="n">
        <v>45881</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33786-2024</t>
        </is>
      </c>
      <c r="B277" s="1" t="n">
        <v>45520.58966435185</v>
      </c>
      <c r="C277" s="1" t="n">
        <v>45881</v>
      </c>
      <c r="D277" t="inlineStr">
        <is>
          <t>VÄSTERBOTTENS LÄN</t>
        </is>
      </c>
      <c r="E277" t="inlineStr">
        <is>
          <t>VILHELMINA</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20336-2025</t>
        </is>
      </c>
      <c r="B278" s="1" t="n">
        <v>45775.36528935185</v>
      </c>
      <c r="C278" s="1" t="n">
        <v>45881</v>
      </c>
      <c r="D278" t="inlineStr">
        <is>
          <t>VÄSTERBOTTENS LÄN</t>
        </is>
      </c>
      <c r="E278" t="inlineStr">
        <is>
          <t>VILHELMINA</t>
        </is>
      </c>
      <c r="F278" t="inlineStr">
        <is>
          <t>SCA</t>
        </is>
      </c>
      <c r="G278" t="n">
        <v>9.4</v>
      </c>
      <c r="H278" t="n">
        <v>0</v>
      </c>
      <c r="I278" t="n">
        <v>0</v>
      </c>
      <c r="J278" t="n">
        <v>0</v>
      </c>
      <c r="K278" t="n">
        <v>0</v>
      </c>
      <c r="L278" t="n">
        <v>0</v>
      </c>
      <c r="M278" t="n">
        <v>0</v>
      </c>
      <c r="N278" t="n">
        <v>0</v>
      </c>
      <c r="O278" t="n">
        <v>0</v>
      </c>
      <c r="P278" t="n">
        <v>0</v>
      </c>
      <c r="Q278" t="n">
        <v>0</v>
      </c>
      <c r="R278" s="2" t="inlineStr"/>
    </row>
    <row r="279" ht="15" customHeight="1">
      <c r="A279" t="inlineStr">
        <is>
          <t>A 28869-2024</t>
        </is>
      </c>
      <c r="B279" s="1" t="n">
        <v>45478.94722222222</v>
      </c>
      <c r="C279" s="1" t="n">
        <v>45881</v>
      </c>
      <c r="D279" t="inlineStr">
        <is>
          <t>VÄSTERBOTTENS LÄN</t>
        </is>
      </c>
      <c r="E279" t="inlineStr">
        <is>
          <t>VILHELMINA</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15050-2024</t>
        </is>
      </c>
      <c r="B280" s="1" t="n">
        <v>45399</v>
      </c>
      <c r="C280" s="1" t="n">
        <v>45881</v>
      </c>
      <c r="D280" t="inlineStr">
        <is>
          <t>VÄSTERBOTTENS LÄN</t>
        </is>
      </c>
      <c r="E280" t="inlineStr">
        <is>
          <t>VILHELMINA</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15059-2024</t>
        </is>
      </c>
      <c r="B281" s="1" t="n">
        <v>45399</v>
      </c>
      <c r="C281" s="1" t="n">
        <v>45881</v>
      </c>
      <c r="D281" t="inlineStr">
        <is>
          <t>VÄSTERBOTTENS LÄN</t>
        </is>
      </c>
      <c r="E281" t="inlineStr">
        <is>
          <t>VILHELMINA</t>
        </is>
      </c>
      <c r="G281" t="n">
        <v>0.8</v>
      </c>
      <c r="H281" t="n">
        <v>0</v>
      </c>
      <c r="I281" t="n">
        <v>0</v>
      </c>
      <c r="J281" t="n">
        <v>0</v>
      </c>
      <c r="K281" t="n">
        <v>0</v>
      </c>
      <c r="L281" t="n">
        <v>0</v>
      </c>
      <c r="M281" t="n">
        <v>0</v>
      </c>
      <c r="N281" t="n">
        <v>0</v>
      </c>
      <c r="O281" t="n">
        <v>0</v>
      </c>
      <c r="P281" t="n">
        <v>0</v>
      </c>
      <c r="Q281" t="n">
        <v>0</v>
      </c>
      <c r="R281" s="2" t="inlineStr"/>
    </row>
    <row r="282" ht="15" customHeight="1">
      <c r="A282" t="inlineStr">
        <is>
          <t>A 237-2025</t>
        </is>
      </c>
      <c r="B282" s="1" t="n">
        <v>45660.40270833333</v>
      </c>
      <c r="C282" s="1" t="n">
        <v>45881</v>
      </c>
      <c r="D282" t="inlineStr">
        <is>
          <t>VÄSTERBOTTENS LÄN</t>
        </is>
      </c>
      <c r="E282" t="inlineStr">
        <is>
          <t>VILHELMINA</t>
        </is>
      </c>
      <c r="G282" t="n">
        <v>4.6</v>
      </c>
      <c r="H282" t="n">
        <v>0</v>
      </c>
      <c r="I282" t="n">
        <v>0</v>
      </c>
      <c r="J282" t="n">
        <v>0</v>
      </c>
      <c r="K282" t="n">
        <v>0</v>
      </c>
      <c r="L282" t="n">
        <v>0</v>
      </c>
      <c r="M282" t="n">
        <v>0</v>
      </c>
      <c r="N282" t="n">
        <v>0</v>
      </c>
      <c r="O282" t="n">
        <v>0</v>
      </c>
      <c r="P282" t="n">
        <v>0</v>
      </c>
      <c r="Q282" t="n">
        <v>0</v>
      </c>
      <c r="R282" s="2" t="inlineStr"/>
    </row>
    <row r="283" ht="15" customHeight="1">
      <c r="A283" t="inlineStr">
        <is>
          <t>A 242-2025</t>
        </is>
      </c>
      <c r="B283" s="1" t="n">
        <v>45660.41033564815</v>
      </c>
      <c r="C283" s="1" t="n">
        <v>45881</v>
      </c>
      <c r="D283" t="inlineStr">
        <is>
          <t>VÄSTERBOTTENS LÄN</t>
        </is>
      </c>
      <c r="E283" t="inlineStr">
        <is>
          <t>VILHELMINA</t>
        </is>
      </c>
      <c r="G283" t="n">
        <v>2.7</v>
      </c>
      <c r="H283" t="n">
        <v>0</v>
      </c>
      <c r="I283" t="n">
        <v>0</v>
      </c>
      <c r="J283" t="n">
        <v>0</v>
      </c>
      <c r="K283" t="n">
        <v>0</v>
      </c>
      <c r="L283" t="n">
        <v>0</v>
      </c>
      <c r="M283" t="n">
        <v>0</v>
      </c>
      <c r="N283" t="n">
        <v>0</v>
      </c>
      <c r="O283" t="n">
        <v>0</v>
      </c>
      <c r="P283" t="n">
        <v>0</v>
      </c>
      <c r="Q283" t="n">
        <v>0</v>
      </c>
      <c r="R283" s="2" t="inlineStr"/>
    </row>
    <row r="284" ht="15" customHeight="1">
      <c r="A284" t="inlineStr">
        <is>
          <t>A 296-2025</t>
        </is>
      </c>
      <c r="B284" s="1" t="n">
        <v>45660.53215277778</v>
      </c>
      <c r="C284" s="1" t="n">
        <v>45881</v>
      </c>
      <c r="D284" t="inlineStr">
        <is>
          <t>VÄSTERBOTTENS LÄN</t>
        </is>
      </c>
      <c r="E284" t="inlineStr">
        <is>
          <t>VILHELMINA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18790-2021</t>
        </is>
      </c>
      <c r="B285" s="1" t="n">
        <v>44307</v>
      </c>
      <c r="C285" s="1" t="n">
        <v>45881</v>
      </c>
      <c r="D285" t="inlineStr">
        <is>
          <t>VÄSTERBOTTENS LÄN</t>
        </is>
      </c>
      <c r="E285" t="inlineStr">
        <is>
          <t>VILHELMINA</t>
        </is>
      </c>
      <c r="G285" t="n">
        <v>1.1</v>
      </c>
      <c r="H285" t="n">
        <v>0</v>
      </c>
      <c r="I285" t="n">
        <v>0</v>
      </c>
      <c r="J285" t="n">
        <v>0</v>
      </c>
      <c r="K285" t="n">
        <v>0</v>
      </c>
      <c r="L285" t="n">
        <v>0</v>
      </c>
      <c r="M285" t="n">
        <v>0</v>
      </c>
      <c r="N285" t="n">
        <v>0</v>
      </c>
      <c r="O285" t="n">
        <v>0</v>
      </c>
      <c r="P285" t="n">
        <v>0</v>
      </c>
      <c r="Q285" t="n">
        <v>0</v>
      </c>
      <c r="R285" s="2" t="inlineStr"/>
    </row>
    <row r="286" ht="15" customHeight="1">
      <c r="A286" t="inlineStr">
        <is>
          <t>A 36082-2022</t>
        </is>
      </c>
      <c r="B286" s="1" t="n">
        <v>44802</v>
      </c>
      <c r="C286" s="1" t="n">
        <v>45881</v>
      </c>
      <c r="D286" t="inlineStr">
        <is>
          <t>VÄSTERBOTTENS LÄN</t>
        </is>
      </c>
      <c r="E286" t="inlineStr">
        <is>
          <t>VILHELMINA</t>
        </is>
      </c>
      <c r="F286" t="inlineStr">
        <is>
          <t>SCA</t>
        </is>
      </c>
      <c r="G286" t="n">
        <v>6.2</v>
      </c>
      <c r="H286" t="n">
        <v>0</v>
      </c>
      <c r="I286" t="n">
        <v>0</v>
      </c>
      <c r="J286" t="n">
        <v>0</v>
      </c>
      <c r="K286" t="n">
        <v>0</v>
      </c>
      <c r="L286" t="n">
        <v>0</v>
      </c>
      <c r="M286" t="n">
        <v>0</v>
      </c>
      <c r="N286" t="n">
        <v>0</v>
      </c>
      <c r="O286" t="n">
        <v>0</v>
      </c>
      <c r="P286" t="n">
        <v>0</v>
      </c>
      <c r="Q286" t="n">
        <v>0</v>
      </c>
      <c r="R286" s="2" t="inlineStr"/>
    </row>
    <row r="287" ht="15" customHeight="1">
      <c r="A287" t="inlineStr">
        <is>
          <t>A 468-2024</t>
        </is>
      </c>
      <c r="B287" s="1" t="n">
        <v>45297</v>
      </c>
      <c r="C287" s="1" t="n">
        <v>45881</v>
      </c>
      <c r="D287" t="inlineStr">
        <is>
          <t>VÄSTERBOTTENS LÄN</t>
        </is>
      </c>
      <c r="E287" t="inlineStr">
        <is>
          <t>VILHELMINA</t>
        </is>
      </c>
      <c r="G287" t="n">
        <v>6.7</v>
      </c>
      <c r="H287" t="n">
        <v>0</v>
      </c>
      <c r="I287" t="n">
        <v>0</v>
      </c>
      <c r="J287" t="n">
        <v>0</v>
      </c>
      <c r="K287" t="n">
        <v>0</v>
      </c>
      <c r="L287" t="n">
        <v>0</v>
      </c>
      <c r="M287" t="n">
        <v>0</v>
      </c>
      <c r="N287" t="n">
        <v>0</v>
      </c>
      <c r="O287" t="n">
        <v>0</v>
      </c>
      <c r="P287" t="n">
        <v>0</v>
      </c>
      <c r="Q287" t="n">
        <v>0</v>
      </c>
      <c r="R287" s="2" t="inlineStr"/>
    </row>
    <row r="288" ht="15" customHeight="1">
      <c r="A288" t="inlineStr">
        <is>
          <t>A 46071-2022</t>
        </is>
      </c>
      <c r="B288" s="1" t="n">
        <v>44847</v>
      </c>
      <c r="C288" s="1" t="n">
        <v>45881</v>
      </c>
      <c r="D288" t="inlineStr">
        <is>
          <t>VÄSTERBOTTENS LÄN</t>
        </is>
      </c>
      <c r="E288" t="inlineStr">
        <is>
          <t>VILHELMINA</t>
        </is>
      </c>
      <c r="G288" t="n">
        <v>10.6</v>
      </c>
      <c r="H288" t="n">
        <v>0</v>
      </c>
      <c r="I288" t="n">
        <v>0</v>
      </c>
      <c r="J288" t="n">
        <v>0</v>
      </c>
      <c r="K288" t="n">
        <v>0</v>
      </c>
      <c r="L288" t="n">
        <v>0</v>
      </c>
      <c r="M288" t="n">
        <v>0</v>
      </c>
      <c r="N288" t="n">
        <v>0</v>
      </c>
      <c r="O288" t="n">
        <v>0</v>
      </c>
      <c r="P288" t="n">
        <v>0</v>
      </c>
      <c r="Q288" t="n">
        <v>0</v>
      </c>
      <c r="R288" s="2" t="inlineStr"/>
    </row>
    <row r="289" ht="15" customHeight="1">
      <c r="A289" t="inlineStr">
        <is>
          <t>A 25102-2021</t>
        </is>
      </c>
      <c r="B289" s="1" t="n">
        <v>44341</v>
      </c>
      <c r="C289" s="1" t="n">
        <v>45881</v>
      </c>
      <c r="D289" t="inlineStr">
        <is>
          <t>VÄSTERBOTTENS LÄN</t>
        </is>
      </c>
      <c r="E289" t="inlineStr">
        <is>
          <t>VILHELMINA</t>
        </is>
      </c>
      <c r="G289" t="n">
        <v>6.7</v>
      </c>
      <c r="H289" t="n">
        <v>0</v>
      </c>
      <c r="I289" t="n">
        <v>0</v>
      </c>
      <c r="J289" t="n">
        <v>0</v>
      </c>
      <c r="K289" t="n">
        <v>0</v>
      </c>
      <c r="L289" t="n">
        <v>0</v>
      </c>
      <c r="M289" t="n">
        <v>0</v>
      </c>
      <c r="N289" t="n">
        <v>0</v>
      </c>
      <c r="O289" t="n">
        <v>0</v>
      </c>
      <c r="P289" t="n">
        <v>0</v>
      </c>
      <c r="Q289" t="n">
        <v>0</v>
      </c>
      <c r="R289" s="2" t="inlineStr"/>
    </row>
    <row r="290" ht="15" customHeight="1">
      <c r="A290" t="inlineStr">
        <is>
          <t>A 20322-2022</t>
        </is>
      </c>
      <c r="B290" s="1" t="n">
        <v>44698</v>
      </c>
      <c r="C290" s="1" t="n">
        <v>45881</v>
      </c>
      <c r="D290" t="inlineStr">
        <is>
          <t>VÄSTERBOTTENS LÄN</t>
        </is>
      </c>
      <c r="E290" t="inlineStr">
        <is>
          <t>VILHELMINA</t>
        </is>
      </c>
      <c r="G290" t="n">
        <v>10.5</v>
      </c>
      <c r="H290" t="n">
        <v>0</v>
      </c>
      <c r="I290" t="n">
        <v>0</v>
      </c>
      <c r="J290" t="n">
        <v>0</v>
      </c>
      <c r="K290" t="n">
        <v>0</v>
      </c>
      <c r="L290" t="n">
        <v>0</v>
      </c>
      <c r="M290" t="n">
        <v>0</v>
      </c>
      <c r="N290" t="n">
        <v>0</v>
      </c>
      <c r="O290" t="n">
        <v>0</v>
      </c>
      <c r="P290" t="n">
        <v>0</v>
      </c>
      <c r="Q290" t="n">
        <v>0</v>
      </c>
      <c r="R290" s="2" t="inlineStr"/>
    </row>
    <row r="291" ht="15" customHeight="1">
      <c r="A291" t="inlineStr">
        <is>
          <t>A 17996-2024</t>
        </is>
      </c>
      <c r="B291" s="1" t="n">
        <v>45419</v>
      </c>
      <c r="C291" s="1" t="n">
        <v>45881</v>
      </c>
      <c r="D291" t="inlineStr">
        <is>
          <t>VÄSTERBOTTENS LÄN</t>
        </is>
      </c>
      <c r="E291" t="inlineStr">
        <is>
          <t>VILHELMINA</t>
        </is>
      </c>
      <c r="G291" t="n">
        <v>5.3</v>
      </c>
      <c r="H291" t="n">
        <v>0</v>
      </c>
      <c r="I291" t="n">
        <v>0</v>
      </c>
      <c r="J291" t="n">
        <v>0</v>
      </c>
      <c r="K291" t="n">
        <v>0</v>
      </c>
      <c r="L291" t="n">
        <v>0</v>
      </c>
      <c r="M291" t="n">
        <v>0</v>
      </c>
      <c r="N291" t="n">
        <v>0</v>
      </c>
      <c r="O291" t="n">
        <v>0</v>
      </c>
      <c r="P291" t="n">
        <v>0</v>
      </c>
      <c r="Q291" t="n">
        <v>0</v>
      </c>
      <c r="R291" s="2" t="inlineStr"/>
    </row>
    <row r="292" ht="15" customHeight="1">
      <c r="A292" t="inlineStr">
        <is>
          <t>A 2742-2023</t>
        </is>
      </c>
      <c r="B292" s="1" t="n">
        <v>44943</v>
      </c>
      <c r="C292" s="1" t="n">
        <v>45881</v>
      </c>
      <c r="D292" t="inlineStr">
        <is>
          <t>VÄSTERBOTTENS LÄN</t>
        </is>
      </c>
      <c r="E292" t="inlineStr">
        <is>
          <t>VILHELMINA</t>
        </is>
      </c>
      <c r="G292" t="n">
        <v>34.8</v>
      </c>
      <c r="H292" t="n">
        <v>0</v>
      </c>
      <c r="I292" t="n">
        <v>0</v>
      </c>
      <c r="J292" t="n">
        <v>0</v>
      </c>
      <c r="K292" t="n">
        <v>0</v>
      </c>
      <c r="L292" t="n">
        <v>0</v>
      </c>
      <c r="M292" t="n">
        <v>0</v>
      </c>
      <c r="N292" t="n">
        <v>0</v>
      </c>
      <c r="O292" t="n">
        <v>0</v>
      </c>
      <c r="P292" t="n">
        <v>0</v>
      </c>
      <c r="Q292" t="n">
        <v>0</v>
      </c>
      <c r="R292" s="2" t="inlineStr"/>
    </row>
    <row r="293" ht="15" customHeight="1">
      <c r="A293" t="inlineStr">
        <is>
          <t>A 56830-2023</t>
        </is>
      </c>
      <c r="B293" s="1" t="n">
        <v>45238</v>
      </c>
      <c r="C293" s="1" t="n">
        <v>45881</v>
      </c>
      <c r="D293" t="inlineStr">
        <is>
          <t>VÄSTERBOTTENS LÄN</t>
        </is>
      </c>
      <c r="E293" t="inlineStr">
        <is>
          <t>VILHELMINA</t>
        </is>
      </c>
      <c r="F293" t="inlineStr">
        <is>
          <t>Allmännings- och besparingsskogar</t>
        </is>
      </c>
      <c r="G293" t="n">
        <v>66</v>
      </c>
      <c r="H293" t="n">
        <v>0</v>
      </c>
      <c r="I293" t="n">
        <v>0</v>
      </c>
      <c r="J293" t="n">
        <v>0</v>
      </c>
      <c r="K293" t="n">
        <v>0</v>
      </c>
      <c r="L293" t="n">
        <v>0</v>
      </c>
      <c r="M293" t="n">
        <v>0</v>
      </c>
      <c r="N293" t="n">
        <v>0</v>
      </c>
      <c r="O293" t="n">
        <v>0</v>
      </c>
      <c r="P293" t="n">
        <v>0</v>
      </c>
      <c r="Q293" t="n">
        <v>0</v>
      </c>
      <c r="R293" s="2" t="inlineStr"/>
    </row>
    <row r="294" ht="15" customHeight="1">
      <c r="A294" t="inlineStr">
        <is>
          <t>A 56847-2023</t>
        </is>
      </c>
      <c r="B294" s="1" t="n">
        <v>45238</v>
      </c>
      <c r="C294" s="1" t="n">
        <v>45881</v>
      </c>
      <c r="D294" t="inlineStr">
        <is>
          <t>VÄSTERBOTTENS LÄN</t>
        </is>
      </c>
      <c r="E294" t="inlineStr">
        <is>
          <t>VILHELMINA</t>
        </is>
      </c>
      <c r="F294" t="inlineStr">
        <is>
          <t>Allmännings- och besparingsskogar</t>
        </is>
      </c>
      <c r="G294" t="n">
        <v>41</v>
      </c>
      <c r="H294" t="n">
        <v>0</v>
      </c>
      <c r="I294" t="n">
        <v>0</v>
      </c>
      <c r="J294" t="n">
        <v>0</v>
      </c>
      <c r="K294" t="n">
        <v>0</v>
      </c>
      <c r="L294" t="n">
        <v>0</v>
      </c>
      <c r="M294" t="n">
        <v>0</v>
      </c>
      <c r="N294" t="n">
        <v>0</v>
      </c>
      <c r="O294" t="n">
        <v>0</v>
      </c>
      <c r="P294" t="n">
        <v>0</v>
      </c>
      <c r="Q294" t="n">
        <v>0</v>
      </c>
      <c r="R294" s="2" t="inlineStr"/>
    </row>
    <row r="295" ht="15" customHeight="1">
      <c r="A295" t="inlineStr">
        <is>
          <t>A 23180-2024</t>
        </is>
      </c>
      <c r="B295" s="1" t="n">
        <v>45450.9444212963</v>
      </c>
      <c r="C295" s="1" t="n">
        <v>45881</v>
      </c>
      <c r="D295" t="inlineStr">
        <is>
          <t>VÄSTERBOTTENS LÄN</t>
        </is>
      </c>
      <c r="E295" t="inlineStr">
        <is>
          <t>VILHELMINA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26947-2024</t>
        </is>
      </c>
      <c r="B296" s="1" t="n">
        <v>45470.9693287037</v>
      </c>
      <c r="C296" s="1" t="n">
        <v>45881</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20534-2025</t>
        </is>
      </c>
      <c r="B297" s="1" t="n">
        <v>45775.61550925926</v>
      </c>
      <c r="C297" s="1" t="n">
        <v>45881</v>
      </c>
      <c r="D297" t="inlineStr">
        <is>
          <t>VÄSTERBOTTENS LÄN</t>
        </is>
      </c>
      <c r="E297" t="inlineStr">
        <is>
          <t>VILHELMINA</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26557-2023</t>
        </is>
      </c>
      <c r="B298" s="1" t="n">
        <v>45089</v>
      </c>
      <c r="C298" s="1" t="n">
        <v>45881</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56823-2023</t>
        </is>
      </c>
      <c r="B299" s="1" t="n">
        <v>45238</v>
      </c>
      <c r="C299" s="1" t="n">
        <v>45881</v>
      </c>
      <c r="D299" t="inlineStr">
        <is>
          <t>VÄSTERBOTTENS LÄN</t>
        </is>
      </c>
      <c r="E299" t="inlineStr">
        <is>
          <t>VILHELMINA</t>
        </is>
      </c>
      <c r="F299" t="inlineStr">
        <is>
          <t>Allmännings- och besparingsskogar</t>
        </is>
      </c>
      <c r="G299" t="n">
        <v>82</v>
      </c>
      <c r="H299" t="n">
        <v>0</v>
      </c>
      <c r="I299" t="n">
        <v>0</v>
      </c>
      <c r="J299" t="n">
        <v>0</v>
      </c>
      <c r="K299" t="n">
        <v>0</v>
      </c>
      <c r="L299" t="n">
        <v>0</v>
      </c>
      <c r="M299" t="n">
        <v>0</v>
      </c>
      <c r="N299" t="n">
        <v>0</v>
      </c>
      <c r="O299" t="n">
        <v>0</v>
      </c>
      <c r="P299" t="n">
        <v>0</v>
      </c>
      <c r="Q299" t="n">
        <v>0</v>
      </c>
      <c r="R299" s="2" t="inlineStr"/>
    </row>
    <row r="300" ht="15" customHeight="1">
      <c r="A300" t="inlineStr">
        <is>
          <t>A 48068-2022</t>
        </is>
      </c>
      <c r="B300" s="1" t="n">
        <v>44855</v>
      </c>
      <c r="C300" s="1" t="n">
        <v>45881</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36288-2021</t>
        </is>
      </c>
      <c r="B301" s="1" t="n">
        <v>44389</v>
      </c>
      <c r="C301" s="1" t="n">
        <v>45881</v>
      </c>
      <c r="D301" t="inlineStr">
        <is>
          <t>VÄSTERBOTTENS LÄN</t>
        </is>
      </c>
      <c r="E301" t="inlineStr">
        <is>
          <t>VILHELMINA</t>
        </is>
      </c>
      <c r="G301" t="n">
        <v>20.5</v>
      </c>
      <c r="H301" t="n">
        <v>0</v>
      </c>
      <c r="I301" t="n">
        <v>0</v>
      </c>
      <c r="J301" t="n">
        <v>0</v>
      </c>
      <c r="K301" t="n">
        <v>0</v>
      </c>
      <c r="L301" t="n">
        <v>0</v>
      </c>
      <c r="M301" t="n">
        <v>0</v>
      </c>
      <c r="N301" t="n">
        <v>0</v>
      </c>
      <c r="O301" t="n">
        <v>0</v>
      </c>
      <c r="P301" t="n">
        <v>0</v>
      </c>
      <c r="Q301" t="n">
        <v>0</v>
      </c>
      <c r="R301" s="2" t="inlineStr"/>
    </row>
    <row r="302" ht="15" customHeight="1">
      <c r="A302" t="inlineStr">
        <is>
          <t>A 55722-2023</t>
        </is>
      </c>
      <c r="B302" s="1" t="n">
        <v>45232</v>
      </c>
      <c r="C302" s="1" t="n">
        <v>45881</v>
      </c>
      <c r="D302" t="inlineStr">
        <is>
          <t>VÄSTERBOTTENS LÄN</t>
        </is>
      </c>
      <c r="E302" t="inlineStr">
        <is>
          <t>VILHELMINA</t>
        </is>
      </c>
      <c r="G302" t="n">
        <v>5.8</v>
      </c>
      <c r="H302" t="n">
        <v>0</v>
      </c>
      <c r="I302" t="n">
        <v>0</v>
      </c>
      <c r="J302" t="n">
        <v>0</v>
      </c>
      <c r="K302" t="n">
        <v>0</v>
      </c>
      <c r="L302" t="n">
        <v>0</v>
      </c>
      <c r="M302" t="n">
        <v>0</v>
      </c>
      <c r="N302" t="n">
        <v>0</v>
      </c>
      <c r="O302" t="n">
        <v>0</v>
      </c>
      <c r="P302" t="n">
        <v>0</v>
      </c>
      <c r="Q302" t="n">
        <v>0</v>
      </c>
      <c r="R302" s="2" t="inlineStr"/>
    </row>
    <row r="303" ht="15" customHeight="1">
      <c r="A303" t="inlineStr">
        <is>
          <t>A 12189-2024</t>
        </is>
      </c>
      <c r="B303" s="1" t="n">
        <v>45377.94945601852</v>
      </c>
      <c r="C303" s="1" t="n">
        <v>45881</v>
      </c>
      <c r="D303" t="inlineStr">
        <is>
          <t>VÄSTERBOTTENS LÄN</t>
        </is>
      </c>
      <c r="E303" t="inlineStr">
        <is>
          <t>VILHELMINA</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22107-2024</t>
        </is>
      </c>
      <c r="B304" s="1" t="n">
        <v>45443</v>
      </c>
      <c r="C304" s="1" t="n">
        <v>45881</v>
      </c>
      <c r="D304" t="inlineStr">
        <is>
          <t>VÄSTERBOTTENS LÄN</t>
        </is>
      </c>
      <c r="E304" t="inlineStr">
        <is>
          <t>VILHELMINA</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36957-2023</t>
        </is>
      </c>
      <c r="B305" s="1" t="n">
        <v>45154.92628472222</v>
      </c>
      <c r="C305" s="1" t="n">
        <v>45881</v>
      </c>
      <c r="D305" t="inlineStr">
        <is>
          <t>VÄSTERBOTTENS LÄN</t>
        </is>
      </c>
      <c r="E305" t="inlineStr">
        <is>
          <t>VILHELMINA</t>
        </is>
      </c>
      <c r="G305" t="n">
        <v>0.5</v>
      </c>
      <c r="H305" t="n">
        <v>0</v>
      </c>
      <c r="I305" t="n">
        <v>0</v>
      </c>
      <c r="J305" t="n">
        <v>0</v>
      </c>
      <c r="K305" t="n">
        <v>0</v>
      </c>
      <c r="L305" t="n">
        <v>0</v>
      </c>
      <c r="M305" t="n">
        <v>0</v>
      </c>
      <c r="N305" t="n">
        <v>0</v>
      </c>
      <c r="O305" t="n">
        <v>0</v>
      </c>
      <c r="P305" t="n">
        <v>0</v>
      </c>
      <c r="Q305" t="n">
        <v>0</v>
      </c>
      <c r="R305" s="2" t="inlineStr"/>
    </row>
    <row r="306" ht="15" customHeight="1">
      <c r="A306" t="inlineStr">
        <is>
          <t>A 60842-2023</t>
        </is>
      </c>
      <c r="B306" s="1" t="n">
        <v>45260.9258912037</v>
      </c>
      <c r="C306" s="1" t="n">
        <v>45881</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23544-2024</t>
        </is>
      </c>
      <c r="B307" s="1" t="n">
        <v>45453.95314814815</v>
      </c>
      <c r="C307" s="1" t="n">
        <v>45881</v>
      </c>
      <c r="D307" t="inlineStr">
        <is>
          <t>VÄSTERBOTTENS LÄN</t>
        </is>
      </c>
      <c r="E307" t="inlineStr">
        <is>
          <t>VILHELMINA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23545-2024</t>
        </is>
      </c>
      <c r="B308" s="1" t="n">
        <v>45453.95326388889</v>
      </c>
      <c r="C308" s="1" t="n">
        <v>45881</v>
      </c>
      <c r="D308" t="inlineStr">
        <is>
          <t>VÄSTERBOTTENS LÄN</t>
        </is>
      </c>
      <c r="E308" t="inlineStr">
        <is>
          <t>VILHELMINA</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12374-2025</t>
        </is>
      </c>
      <c r="B309" s="1" t="n">
        <v>45730</v>
      </c>
      <c r="C309" s="1" t="n">
        <v>45881</v>
      </c>
      <c r="D309" t="inlineStr">
        <is>
          <t>VÄSTERBOTTENS LÄN</t>
        </is>
      </c>
      <c r="E309" t="inlineStr">
        <is>
          <t>VILHELMINA</t>
        </is>
      </c>
      <c r="F309" t="inlineStr">
        <is>
          <t>Övriga statliga verk och myndigheter</t>
        </is>
      </c>
      <c r="G309" t="n">
        <v>18.7</v>
      </c>
      <c r="H309" t="n">
        <v>0</v>
      </c>
      <c r="I309" t="n">
        <v>0</v>
      </c>
      <c r="J309" t="n">
        <v>0</v>
      </c>
      <c r="K309" t="n">
        <v>0</v>
      </c>
      <c r="L309" t="n">
        <v>0</v>
      </c>
      <c r="M309" t="n">
        <v>0</v>
      </c>
      <c r="N309" t="n">
        <v>0</v>
      </c>
      <c r="O309" t="n">
        <v>0</v>
      </c>
      <c r="P309" t="n">
        <v>0</v>
      </c>
      <c r="Q309" t="n">
        <v>0</v>
      </c>
      <c r="R309" s="2" t="inlineStr"/>
    </row>
    <row r="310" ht="15" customHeight="1">
      <c r="A310" t="inlineStr">
        <is>
          <t>A 12375-2025</t>
        </is>
      </c>
      <c r="B310" s="1" t="n">
        <v>45730</v>
      </c>
      <c r="C310" s="1" t="n">
        <v>45881</v>
      </c>
      <c r="D310" t="inlineStr">
        <is>
          <t>VÄSTERBOTTENS LÄN</t>
        </is>
      </c>
      <c r="E310" t="inlineStr">
        <is>
          <t>VILHELMINA</t>
        </is>
      </c>
      <c r="F310" t="inlineStr">
        <is>
          <t>Övriga statliga verk och myndigheter</t>
        </is>
      </c>
      <c r="G310" t="n">
        <v>22.3</v>
      </c>
      <c r="H310" t="n">
        <v>0</v>
      </c>
      <c r="I310" t="n">
        <v>0</v>
      </c>
      <c r="J310" t="n">
        <v>0</v>
      </c>
      <c r="K310" t="n">
        <v>0</v>
      </c>
      <c r="L310" t="n">
        <v>0</v>
      </c>
      <c r="M310" t="n">
        <v>0</v>
      </c>
      <c r="N310" t="n">
        <v>0</v>
      </c>
      <c r="O310" t="n">
        <v>0</v>
      </c>
      <c r="P310" t="n">
        <v>0</v>
      </c>
      <c r="Q310" t="n">
        <v>0</v>
      </c>
      <c r="R310" s="2" t="inlineStr"/>
    </row>
    <row r="311" ht="15" customHeight="1">
      <c r="A311" t="inlineStr">
        <is>
          <t>A 12784-2023</t>
        </is>
      </c>
      <c r="B311" s="1" t="n">
        <v>45000</v>
      </c>
      <c r="C311" s="1" t="n">
        <v>45881</v>
      </c>
      <c r="D311" t="inlineStr">
        <is>
          <t>VÄSTERBOTTENS LÄN</t>
        </is>
      </c>
      <c r="E311" t="inlineStr">
        <is>
          <t>VILHELMINA</t>
        </is>
      </c>
      <c r="G311" t="n">
        <v>18.6</v>
      </c>
      <c r="H311" t="n">
        <v>0</v>
      </c>
      <c r="I311" t="n">
        <v>0</v>
      </c>
      <c r="J311" t="n">
        <v>0</v>
      </c>
      <c r="K311" t="n">
        <v>0</v>
      </c>
      <c r="L311" t="n">
        <v>0</v>
      </c>
      <c r="M311" t="n">
        <v>0</v>
      </c>
      <c r="N311" t="n">
        <v>0</v>
      </c>
      <c r="O311" t="n">
        <v>0</v>
      </c>
      <c r="P311" t="n">
        <v>0</v>
      </c>
      <c r="Q311" t="n">
        <v>0</v>
      </c>
      <c r="R311" s="2" t="inlineStr"/>
    </row>
    <row r="312" ht="15" customHeight="1">
      <c r="A312" t="inlineStr">
        <is>
          <t>A 5947-2023</t>
        </is>
      </c>
      <c r="B312" s="1" t="n">
        <v>44963.92259259259</v>
      </c>
      <c r="C312" s="1" t="n">
        <v>45881</v>
      </c>
      <c r="D312" t="inlineStr">
        <is>
          <t>VÄSTERBOTTENS LÄN</t>
        </is>
      </c>
      <c r="E312" t="inlineStr">
        <is>
          <t>VILHELMINA</t>
        </is>
      </c>
      <c r="G312" t="n">
        <v>4.3</v>
      </c>
      <c r="H312" t="n">
        <v>0</v>
      </c>
      <c r="I312" t="n">
        <v>0</v>
      </c>
      <c r="J312" t="n">
        <v>0</v>
      </c>
      <c r="K312" t="n">
        <v>0</v>
      </c>
      <c r="L312" t="n">
        <v>0</v>
      </c>
      <c r="M312" t="n">
        <v>0</v>
      </c>
      <c r="N312" t="n">
        <v>0</v>
      </c>
      <c r="O312" t="n">
        <v>0</v>
      </c>
      <c r="P312" t="n">
        <v>0</v>
      </c>
      <c r="Q312" t="n">
        <v>0</v>
      </c>
      <c r="R312" s="2" t="inlineStr"/>
    </row>
    <row r="313" ht="15" customHeight="1">
      <c r="A313" t="inlineStr">
        <is>
          <t>A 65179-2021</t>
        </is>
      </c>
      <c r="B313" s="1" t="n">
        <v>44515</v>
      </c>
      <c r="C313" s="1" t="n">
        <v>45881</v>
      </c>
      <c r="D313" t="inlineStr">
        <is>
          <t>VÄSTERBOTTENS LÄN</t>
        </is>
      </c>
      <c r="E313" t="inlineStr">
        <is>
          <t>VILHELMINA</t>
        </is>
      </c>
      <c r="G313" t="n">
        <v>8</v>
      </c>
      <c r="H313" t="n">
        <v>0</v>
      </c>
      <c r="I313" t="n">
        <v>0</v>
      </c>
      <c r="J313" t="n">
        <v>0</v>
      </c>
      <c r="K313" t="n">
        <v>0</v>
      </c>
      <c r="L313" t="n">
        <v>0</v>
      </c>
      <c r="M313" t="n">
        <v>0</v>
      </c>
      <c r="N313" t="n">
        <v>0</v>
      </c>
      <c r="O313" t="n">
        <v>0</v>
      </c>
      <c r="P313" t="n">
        <v>0</v>
      </c>
      <c r="Q313" t="n">
        <v>0</v>
      </c>
      <c r="R313" s="2" t="inlineStr"/>
    </row>
    <row r="314" ht="15" customHeight="1">
      <c r="A314" t="inlineStr">
        <is>
          <t>A 48471-2023</t>
        </is>
      </c>
      <c r="B314" s="1" t="n">
        <v>45206.9575462963</v>
      </c>
      <c r="C314" s="1" t="n">
        <v>45881</v>
      </c>
      <c r="D314" t="inlineStr">
        <is>
          <t>VÄSTERBOTTENS LÄN</t>
        </is>
      </c>
      <c r="E314" t="inlineStr">
        <is>
          <t>VILHELMINA</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32655-2021</t>
        </is>
      </c>
      <c r="B315" s="1" t="n">
        <v>44371</v>
      </c>
      <c r="C315" s="1" t="n">
        <v>45881</v>
      </c>
      <c r="D315" t="inlineStr">
        <is>
          <t>VÄSTERBOTTENS LÄN</t>
        </is>
      </c>
      <c r="E315" t="inlineStr">
        <is>
          <t>VILHELMINA</t>
        </is>
      </c>
      <c r="G315" t="n">
        <v>0.2</v>
      </c>
      <c r="H315" t="n">
        <v>0</v>
      </c>
      <c r="I315" t="n">
        <v>0</v>
      </c>
      <c r="J315" t="n">
        <v>0</v>
      </c>
      <c r="K315" t="n">
        <v>0</v>
      </c>
      <c r="L315" t="n">
        <v>0</v>
      </c>
      <c r="M315" t="n">
        <v>0</v>
      </c>
      <c r="N315" t="n">
        <v>0</v>
      </c>
      <c r="O315" t="n">
        <v>0</v>
      </c>
      <c r="P315" t="n">
        <v>0</v>
      </c>
      <c r="Q315" t="n">
        <v>0</v>
      </c>
      <c r="R315" s="2" t="inlineStr"/>
    </row>
    <row r="316" ht="15" customHeight="1">
      <c r="A316" t="inlineStr">
        <is>
          <t>A 26137-2024</t>
        </is>
      </c>
      <c r="B316" s="1" t="n">
        <v>45468</v>
      </c>
      <c r="C316" s="1" t="n">
        <v>45881</v>
      </c>
      <c r="D316" t="inlineStr">
        <is>
          <t>VÄSTERBOTTENS LÄN</t>
        </is>
      </c>
      <c r="E316" t="inlineStr">
        <is>
          <t>VILHELMINA</t>
        </is>
      </c>
      <c r="G316" t="n">
        <v>3.5</v>
      </c>
      <c r="H316" t="n">
        <v>0</v>
      </c>
      <c r="I316" t="n">
        <v>0</v>
      </c>
      <c r="J316" t="n">
        <v>0</v>
      </c>
      <c r="K316" t="n">
        <v>0</v>
      </c>
      <c r="L316" t="n">
        <v>0</v>
      </c>
      <c r="M316" t="n">
        <v>0</v>
      </c>
      <c r="N316" t="n">
        <v>0</v>
      </c>
      <c r="O316" t="n">
        <v>0</v>
      </c>
      <c r="P316" t="n">
        <v>0</v>
      </c>
      <c r="Q316" t="n">
        <v>0</v>
      </c>
      <c r="R316" s="2" t="inlineStr"/>
    </row>
    <row r="317" ht="15" customHeight="1">
      <c r="A317" t="inlineStr">
        <is>
          <t>A 19506-2025</t>
        </is>
      </c>
      <c r="B317" s="1" t="n">
        <v>45770</v>
      </c>
      <c r="C317" s="1" t="n">
        <v>45881</v>
      </c>
      <c r="D317" t="inlineStr">
        <is>
          <t>VÄSTERBOTTENS LÄN</t>
        </is>
      </c>
      <c r="E317" t="inlineStr">
        <is>
          <t>VILHELMINA</t>
        </is>
      </c>
      <c r="G317" t="n">
        <v>22.4</v>
      </c>
      <c r="H317" t="n">
        <v>0</v>
      </c>
      <c r="I317" t="n">
        <v>0</v>
      </c>
      <c r="J317" t="n">
        <v>0</v>
      </c>
      <c r="K317" t="n">
        <v>0</v>
      </c>
      <c r="L317" t="n">
        <v>0</v>
      </c>
      <c r="M317" t="n">
        <v>0</v>
      </c>
      <c r="N317" t="n">
        <v>0</v>
      </c>
      <c r="O317" t="n">
        <v>0</v>
      </c>
      <c r="P317" t="n">
        <v>0</v>
      </c>
      <c r="Q317" t="n">
        <v>0</v>
      </c>
      <c r="R317" s="2" t="inlineStr"/>
    </row>
    <row r="318" ht="15" customHeight="1">
      <c r="A318" t="inlineStr">
        <is>
          <t>A 26499-2024</t>
        </is>
      </c>
      <c r="B318" s="1" t="n">
        <v>45469</v>
      </c>
      <c r="C318" s="1" t="n">
        <v>45881</v>
      </c>
      <c r="D318" t="inlineStr">
        <is>
          <t>VÄSTERBOTTENS LÄN</t>
        </is>
      </c>
      <c r="E318" t="inlineStr">
        <is>
          <t>VILHELMINA</t>
        </is>
      </c>
      <c r="F318" t="inlineStr">
        <is>
          <t>Sveaskog</t>
        </is>
      </c>
      <c r="G318" t="n">
        <v>5.1</v>
      </c>
      <c r="H318" t="n">
        <v>0</v>
      </c>
      <c r="I318" t="n">
        <v>0</v>
      </c>
      <c r="J318" t="n">
        <v>0</v>
      </c>
      <c r="K318" t="n">
        <v>0</v>
      </c>
      <c r="L318" t="n">
        <v>0</v>
      </c>
      <c r="M318" t="n">
        <v>0</v>
      </c>
      <c r="N318" t="n">
        <v>0</v>
      </c>
      <c r="O318" t="n">
        <v>0</v>
      </c>
      <c r="P318" t="n">
        <v>0</v>
      </c>
      <c r="Q318" t="n">
        <v>0</v>
      </c>
      <c r="R318" s="2" t="inlineStr"/>
    </row>
    <row r="319" ht="15" customHeight="1">
      <c r="A319" t="inlineStr">
        <is>
          <t>A 44368-2024</t>
        </is>
      </c>
      <c r="B319" s="1" t="n">
        <v>45573</v>
      </c>
      <c r="C319" s="1" t="n">
        <v>45881</v>
      </c>
      <c r="D319" t="inlineStr">
        <is>
          <t>VÄSTERBOTTENS LÄN</t>
        </is>
      </c>
      <c r="E319" t="inlineStr">
        <is>
          <t>VILHELMINA</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8745-2023</t>
        </is>
      </c>
      <c r="B320" s="1" t="n">
        <v>44972</v>
      </c>
      <c r="C320" s="1" t="n">
        <v>45881</v>
      </c>
      <c r="D320" t="inlineStr">
        <is>
          <t>VÄSTERBOTTENS LÄN</t>
        </is>
      </c>
      <c r="E320" t="inlineStr">
        <is>
          <t>VILHELMINA</t>
        </is>
      </c>
      <c r="F320" t="inlineStr">
        <is>
          <t>Allmännings- och besparingsskogar</t>
        </is>
      </c>
      <c r="G320" t="n">
        <v>41</v>
      </c>
      <c r="H320" t="n">
        <v>0</v>
      </c>
      <c r="I320" t="n">
        <v>0</v>
      </c>
      <c r="J320" t="n">
        <v>0</v>
      </c>
      <c r="K320" t="n">
        <v>0</v>
      </c>
      <c r="L320" t="n">
        <v>0</v>
      </c>
      <c r="M320" t="n">
        <v>0</v>
      </c>
      <c r="N320" t="n">
        <v>0</v>
      </c>
      <c r="O320" t="n">
        <v>0</v>
      </c>
      <c r="P320" t="n">
        <v>0</v>
      </c>
      <c r="Q320" t="n">
        <v>0</v>
      </c>
      <c r="R320" s="2" t="inlineStr"/>
    </row>
    <row r="321" ht="15" customHeight="1">
      <c r="A321" t="inlineStr">
        <is>
          <t>A 32921-2024</t>
        </is>
      </c>
      <c r="B321" s="1" t="n">
        <v>45516.9525462963</v>
      </c>
      <c r="C321" s="1" t="n">
        <v>45881</v>
      </c>
      <c r="D321" t="inlineStr">
        <is>
          <t>VÄSTERBOTTENS LÄN</t>
        </is>
      </c>
      <c r="E321" t="inlineStr">
        <is>
          <t>VILHELMINA</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25701-2024</t>
        </is>
      </c>
      <c r="B322" s="1" t="n">
        <v>45463.94247685185</v>
      </c>
      <c r="C322" s="1" t="n">
        <v>45881</v>
      </c>
      <c r="D322" t="inlineStr">
        <is>
          <t>VÄSTERBOTTENS LÄN</t>
        </is>
      </c>
      <c r="E322" t="inlineStr">
        <is>
          <t>VILHELMINA</t>
        </is>
      </c>
      <c r="F322" t="inlineStr">
        <is>
          <t>SCA</t>
        </is>
      </c>
      <c r="G322" t="n">
        <v>8.6</v>
      </c>
      <c r="H322" t="n">
        <v>0</v>
      </c>
      <c r="I322" t="n">
        <v>0</v>
      </c>
      <c r="J322" t="n">
        <v>0</v>
      </c>
      <c r="K322" t="n">
        <v>0</v>
      </c>
      <c r="L322" t="n">
        <v>0</v>
      </c>
      <c r="M322" t="n">
        <v>0</v>
      </c>
      <c r="N322" t="n">
        <v>0</v>
      </c>
      <c r="O322" t="n">
        <v>0</v>
      </c>
      <c r="P322" t="n">
        <v>0</v>
      </c>
      <c r="Q322" t="n">
        <v>0</v>
      </c>
      <c r="R322" s="2" t="inlineStr"/>
    </row>
    <row r="323" ht="15" customHeight="1">
      <c r="A323" t="inlineStr">
        <is>
          <t>A 55688-2023</t>
        </is>
      </c>
      <c r="B323" s="1" t="n">
        <v>45232</v>
      </c>
      <c r="C323" s="1" t="n">
        <v>45881</v>
      </c>
      <c r="D323" t="inlineStr">
        <is>
          <t>VÄSTERBOTTENS LÄN</t>
        </is>
      </c>
      <c r="E323" t="inlineStr">
        <is>
          <t>VILHELMINA</t>
        </is>
      </c>
      <c r="G323" t="n">
        <v>6.4</v>
      </c>
      <c r="H323" t="n">
        <v>0</v>
      </c>
      <c r="I323" t="n">
        <v>0</v>
      </c>
      <c r="J323" t="n">
        <v>0</v>
      </c>
      <c r="K323" t="n">
        <v>0</v>
      </c>
      <c r="L323" t="n">
        <v>0</v>
      </c>
      <c r="M323" t="n">
        <v>0</v>
      </c>
      <c r="N323" t="n">
        <v>0</v>
      </c>
      <c r="O323" t="n">
        <v>0</v>
      </c>
      <c r="P323" t="n">
        <v>0</v>
      </c>
      <c r="Q323" t="n">
        <v>0</v>
      </c>
      <c r="R323" s="2" t="inlineStr"/>
    </row>
    <row r="324" ht="15" customHeight="1">
      <c r="A324" t="inlineStr">
        <is>
          <t>A 6653-2021</t>
        </is>
      </c>
      <c r="B324" s="1" t="n">
        <v>44235</v>
      </c>
      <c r="C324" s="1" t="n">
        <v>45881</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6669-2021</t>
        </is>
      </c>
      <c r="B325" s="1" t="n">
        <v>44235</v>
      </c>
      <c r="C325" s="1" t="n">
        <v>45881</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16719-2025</t>
        </is>
      </c>
      <c r="B326" s="1" t="n">
        <v>45754.49008101852</v>
      </c>
      <c r="C326" s="1" t="n">
        <v>45881</v>
      </c>
      <c r="D326" t="inlineStr">
        <is>
          <t>VÄSTERBOTTENS LÄN</t>
        </is>
      </c>
      <c r="E326" t="inlineStr">
        <is>
          <t>VILHELMINA</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34762-2024</t>
        </is>
      </c>
      <c r="B327" s="1" t="n">
        <v>45526.61637731481</v>
      </c>
      <c r="C327" s="1" t="n">
        <v>45881</v>
      </c>
      <c r="D327" t="inlineStr">
        <is>
          <t>VÄSTERBOTTENS LÄN</t>
        </is>
      </c>
      <c r="E327" t="inlineStr">
        <is>
          <t>VILHELMINA</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37325-2022</t>
        </is>
      </c>
      <c r="B328" s="1" t="n">
        <v>44806</v>
      </c>
      <c r="C328" s="1" t="n">
        <v>45881</v>
      </c>
      <c r="D328" t="inlineStr">
        <is>
          <t>VÄSTERBOTTENS LÄN</t>
        </is>
      </c>
      <c r="E328" t="inlineStr">
        <is>
          <t>VILHELMINA</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8733-2023</t>
        </is>
      </c>
      <c r="B329" s="1" t="n">
        <v>44972</v>
      </c>
      <c r="C329" s="1" t="n">
        <v>45881</v>
      </c>
      <c r="D329" t="inlineStr">
        <is>
          <t>VÄSTERBOTTENS LÄN</t>
        </is>
      </c>
      <c r="E329" t="inlineStr">
        <is>
          <t>VILHELMINA</t>
        </is>
      </c>
      <c r="F329" t="inlineStr">
        <is>
          <t>Allmännings- och besparingsskogar</t>
        </is>
      </c>
      <c r="G329" t="n">
        <v>20</v>
      </c>
      <c r="H329" t="n">
        <v>0</v>
      </c>
      <c r="I329" t="n">
        <v>0</v>
      </c>
      <c r="J329" t="n">
        <v>0</v>
      </c>
      <c r="K329" t="n">
        <v>0</v>
      </c>
      <c r="L329" t="n">
        <v>0</v>
      </c>
      <c r="M329" t="n">
        <v>0</v>
      </c>
      <c r="N329" t="n">
        <v>0</v>
      </c>
      <c r="O329" t="n">
        <v>0</v>
      </c>
      <c r="P329" t="n">
        <v>0</v>
      </c>
      <c r="Q329" t="n">
        <v>0</v>
      </c>
      <c r="R329" s="2" t="inlineStr"/>
    </row>
    <row r="330" ht="15" customHeight="1">
      <c r="A330" t="inlineStr">
        <is>
          <t>A 8759-2023</t>
        </is>
      </c>
      <c r="B330" s="1" t="n">
        <v>44972</v>
      </c>
      <c r="C330" s="1" t="n">
        <v>45881</v>
      </c>
      <c r="D330" t="inlineStr">
        <is>
          <t>VÄSTERBOTTENS LÄN</t>
        </is>
      </c>
      <c r="E330" t="inlineStr">
        <is>
          <t>VILHELMINA</t>
        </is>
      </c>
      <c r="F330" t="inlineStr">
        <is>
          <t>Allmännings- och besparingsskogar</t>
        </is>
      </c>
      <c r="G330" t="n">
        <v>23.4</v>
      </c>
      <c r="H330" t="n">
        <v>0</v>
      </c>
      <c r="I330" t="n">
        <v>0</v>
      </c>
      <c r="J330" t="n">
        <v>0</v>
      </c>
      <c r="K330" t="n">
        <v>0</v>
      </c>
      <c r="L330" t="n">
        <v>0</v>
      </c>
      <c r="M330" t="n">
        <v>0</v>
      </c>
      <c r="N330" t="n">
        <v>0</v>
      </c>
      <c r="O330" t="n">
        <v>0</v>
      </c>
      <c r="P330" t="n">
        <v>0</v>
      </c>
      <c r="Q330" t="n">
        <v>0</v>
      </c>
      <c r="R330" s="2" t="inlineStr"/>
    </row>
    <row r="331" ht="15" customHeight="1">
      <c r="A331" t="inlineStr">
        <is>
          <t>A 8916-2023</t>
        </is>
      </c>
      <c r="B331" s="1" t="n">
        <v>44972</v>
      </c>
      <c r="C331" s="1" t="n">
        <v>45881</v>
      </c>
      <c r="D331" t="inlineStr">
        <is>
          <t>VÄSTERBOTTENS LÄN</t>
        </is>
      </c>
      <c r="E331" t="inlineStr">
        <is>
          <t>VILHELMINA</t>
        </is>
      </c>
      <c r="F331" t="inlineStr">
        <is>
          <t>Allmännings- och besparingsskogar</t>
        </is>
      </c>
      <c r="G331" t="n">
        <v>22.1</v>
      </c>
      <c r="H331" t="n">
        <v>0</v>
      </c>
      <c r="I331" t="n">
        <v>0</v>
      </c>
      <c r="J331" t="n">
        <v>0</v>
      </c>
      <c r="K331" t="n">
        <v>0</v>
      </c>
      <c r="L331" t="n">
        <v>0</v>
      </c>
      <c r="M331" t="n">
        <v>0</v>
      </c>
      <c r="N331" t="n">
        <v>0</v>
      </c>
      <c r="O331" t="n">
        <v>0</v>
      </c>
      <c r="P331" t="n">
        <v>0</v>
      </c>
      <c r="Q331" t="n">
        <v>0</v>
      </c>
      <c r="R331" s="2" t="inlineStr"/>
    </row>
    <row r="332" ht="15" customHeight="1">
      <c r="A332" t="inlineStr">
        <is>
          <t>A 10268-2025</t>
        </is>
      </c>
      <c r="B332" s="1" t="n">
        <v>45720</v>
      </c>
      <c r="C332" s="1" t="n">
        <v>45881</v>
      </c>
      <c r="D332" t="inlineStr">
        <is>
          <t>VÄSTERBOTTENS LÄN</t>
        </is>
      </c>
      <c r="E332" t="inlineStr">
        <is>
          <t>VILHELMINA</t>
        </is>
      </c>
      <c r="G332" t="n">
        <v>1.9</v>
      </c>
      <c r="H332" t="n">
        <v>0</v>
      </c>
      <c r="I332" t="n">
        <v>0</v>
      </c>
      <c r="J332" t="n">
        <v>0</v>
      </c>
      <c r="K332" t="n">
        <v>0</v>
      </c>
      <c r="L332" t="n">
        <v>0</v>
      </c>
      <c r="M332" t="n">
        <v>0</v>
      </c>
      <c r="N332" t="n">
        <v>0</v>
      </c>
      <c r="O332" t="n">
        <v>0</v>
      </c>
      <c r="P332" t="n">
        <v>0</v>
      </c>
      <c r="Q332" t="n">
        <v>0</v>
      </c>
      <c r="R332" s="2" t="inlineStr"/>
    </row>
    <row r="333" ht="15" customHeight="1">
      <c r="A333" t="inlineStr">
        <is>
          <t>A 61270-2022</t>
        </is>
      </c>
      <c r="B333" s="1" t="n">
        <v>44909</v>
      </c>
      <c r="C333" s="1" t="n">
        <v>45881</v>
      </c>
      <c r="D333" t="inlineStr">
        <is>
          <t>VÄSTERBOTTENS LÄN</t>
        </is>
      </c>
      <c r="E333" t="inlineStr">
        <is>
          <t>VILHELMINA</t>
        </is>
      </c>
      <c r="G333" t="n">
        <v>8.9</v>
      </c>
      <c r="H333" t="n">
        <v>0</v>
      </c>
      <c r="I333" t="n">
        <v>0</v>
      </c>
      <c r="J333" t="n">
        <v>0</v>
      </c>
      <c r="K333" t="n">
        <v>0</v>
      </c>
      <c r="L333" t="n">
        <v>0</v>
      </c>
      <c r="M333" t="n">
        <v>0</v>
      </c>
      <c r="N333" t="n">
        <v>0</v>
      </c>
      <c r="O333" t="n">
        <v>0</v>
      </c>
      <c r="P333" t="n">
        <v>0</v>
      </c>
      <c r="Q333" t="n">
        <v>0</v>
      </c>
      <c r="R333" s="2" t="inlineStr"/>
    </row>
    <row r="334" ht="15" customHeight="1">
      <c r="A334" t="inlineStr">
        <is>
          <t>A 54729-2022</t>
        </is>
      </c>
      <c r="B334" s="1" t="n">
        <v>44881</v>
      </c>
      <c r="C334" s="1" t="n">
        <v>45881</v>
      </c>
      <c r="D334" t="inlineStr">
        <is>
          <t>VÄSTERBOTTENS LÄN</t>
        </is>
      </c>
      <c r="E334" t="inlineStr">
        <is>
          <t>VILHELMINA</t>
        </is>
      </c>
      <c r="G334" t="n">
        <v>19.2</v>
      </c>
      <c r="H334" t="n">
        <v>0</v>
      </c>
      <c r="I334" t="n">
        <v>0</v>
      </c>
      <c r="J334" t="n">
        <v>0</v>
      </c>
      <c r="K334" t="n">
        <v>0</v>
      </c>
      <c r="L334" t="n">
        <v>0</v>
      </c>
      <c r="M334" t="n">
        <v>0</v>
      </c>
      <c r="N334" t="n">
        <v>0</v>
      </c>
      <c r="O334" t="n">
        <v>0</v>
      </c>
      <c r="P334" t="n">
        <v>0</v>
      </c>
      <c r="Q334" t="n">
        <v>0</v>
      </c>
      <c r="R334" s="2" t="inlineStr"/>
    </row>
    <row r="335" ht="15" customHeight="1">
      <c r="A335" t="inlineStr">
        <is>
          <t>A 34807-2023</t>
        </is>
      </c>
      <c r="B335" s="1" t="n">
        <v>45140</v>
      </c>
      <c r="C335" s="1" t="n">
        <v>45881</v>
      </c>
      <c r="D335" t="inlineStr">
        <is>
          <t>VÄSTERBOTTENS LÄN</t>
        </is>
      </c>
      <c r="E335" t="inlineStr">
        <is>
          <t>VILHELMINA</t>
        </is>
      </c>
      <c r="G335" t="n">
        <v>8.1</v>
      </c>
      <c r="H335" t="n">
        <v>0</v>
      </c>
      <c r="I335" t="n">
        <v>0</v>
      </c>
      <c r="J335" t="n">
        <v>0</v>
      </c>
      <c r="K335" t="n">
        <v>0</v>
      </c>
      <c r="L335" t="n">
        <v>0</v>
      </c>
      <c r="M335" t="n">
        <v>0</v>
      </c>
      <c r="N335" t="n">
        <v>0</v>
      </c>
      <c r="O335" t="n">
        <v>0</v>
      </c>
      <c r="P335" t="n">
        <v>0</v>
      </c>
      <c r="Q335" t="n">
        <v>0</v>
      </c>
      <c r="R335" s="2" t="inlineStr"/>
    </row>
    <row r="336" ht="15" customHeight="1">
      <c r="A336" t="inlineStr">
        <is>
          <t>A 64028-2023</t>
        </is>
      </c>
      <c r="B336" s="1" t="n">
        <v>45278.94263888889</v>
      </c>
      <c r="C336" s="1" t="n">
        <v>45881</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28656-2024</t>
        </is>
      </c>
      <c r="B337" s="1" t="n">
        <v>45478</v>
      </c>
      <c r="C337" s="1" t="n">
        <v>45881</v>
      </c>
      <c r="D337" t="inlineStr">
        <is>
          <t>VÄSTERBOTTENS LÄN</t>
        </is>
      </c>
      <c r="E337" t="inlineStr">
        <is>
          <t>VILHELMINA</t>
        </is>
      </c>
      <c r="F337" t="inlineStr">
        <is>
          <t>Allmännings- och besparingsskogar</t>
        </is>
      </c>
      <c r="G337" t="n">
        <v>1.6</v>
      </c>
      <c r="H337" t="n">
        <v>0</v>
      </c>
      <c r="I337" t="n">
        <v>0</v>
      </c>
      <c r="J337" t="n">
        <v>0</v>
      </c>
      <c r="K337" t="n">
        <v>0</v>
      </c>
      <c r="L337" t="n">
        <v>0</v>
      </c>
      <c r="M337" t="n">
        <v>0</v>
      </c>
      <c r="N337" t="n">
        <v>0</v>
      </c>
      <c r="O337" t="n">
        <v>0</v>
      </c>
      <c r="P337" t="n">
        <v>0</v>
      </c>
      <c r="Q337" t="n">
        <v>0</v>
      </c>
      <c r="R337" s="2" t="inlineStr"/>
    </row>
    <row r="338" ht="15" customHeight="1">
      <c r="A338" t="inlineStr">
        <is>
          <t>A 59693-2024</t>
        </is>
      </c>
      <c r="B338" s="1" t="n">
        <v>45639</v>
      </c>
      <c r="C338" s="1" t="n">
        <v>45881</v>
      </c>
      <c r="D338" t="inlineStr">
        <is>
          <t>VÄSTERBOTTENS LÄN</t>
        </is>
      </c>
      <c r="E338" t="inlineStr">
        <is>
          <t>VILHELMINA</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36972-2023</t>
        </is>
      </c>
      <c r="B339" s="1" t="n">
        <v>45154</v>
      </c>
      <c r="C339" s="1" t="n">
        <v>45881</v>
      </c>
      <c r="D339" t="inlineStr">
        <is>
          <t>VÄSTERBOTTENS LÄN</t>
        </is>
      </c>
      <c r="E339" t="inlineStr">
        <is>
          <t>VILHELMINA</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56891-2023</t>
        </is>
      </c>
      <c r="B340" s="1" t="n">
        <v>45239</v>
      </c>
      <c r="C340" s="1" t="n">
        <v>45881</v>
      </c>
      <c r="D340" t="inlineStr">
        <is>
          <t>VÄSTERBOTTENS LÄN</t>
        </is>
      </c>
      <c r="E340" t="inlineStr">
        <is>
          <t>VILHELMINA</t>
        </is>
      </c>
      <c r="G340" t="n">
        <v>1.1</v>
      </c>
      <c r="H340" t="n">
        <v>0</v>
      </c>
      <c r="I340" t="n">
        <v>0</v>
      </c>
      <c r="J340" t="n">
        <v>0</v>
      </c>
      <c r="K340" t="n">
        <v>0</v>
      </c>
      <c r="L340" t="n">
        <v>0</v>
      </c>
      <c r="M340" t="n">
        <v>0</v>
      </c>
      <c r="N340" t="n">
        <v>0</v>
      </c>
      <c r="O340" t="n">
        <v>0</v>
      </c>
      <c r="P340" t="n">
        <v>0</v>
      </c>
      <c r="Q340" t="n">
        <v>0</v>
      </c>
      <c r="R340" s="2" t="inlineStr"/>
    </row>
    <row r="341" ht="15" customHeight="1">
      <c r="A341" t="inlineStr">
        <is>
          <t>A 60227-2022</t>
        </is>
      </c>
      <c r="B341" s="1" t="n">
        <v>44903</v>
      </c>
      <c r="C341" s="1" t="n">
        <v>45881</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10956-2023</t>
        </is>
      </c>
      <c r="B342" s="1" t="n">
        <v>44985</v>
      </c>
      <c r="C342" s="1" t="n">
        <v>45881</v>
      </c>
      <c r="D342" t="inlineStr">
        <is>
          <t>VÄSTERBOTTENS LÄN</t>
        </is>
      </c>
      <c r="E342" t="inlineStr">
        <is>
          <t>VILHELMINA</t>
        </is>
      </c>
      <c r="G342" t="n">
        <v>3.3</v>
      </c>
      <c r="H342" t="n">
        <v>0</v>
      </c>
      <c r="I342" t="n">
        <v>0</v>
      </c>
      <c r="J342" t="n">
        <v>0</v>
      </c>
      <c r="K342" t="n">
        <v>0</v>
      </c>
      <c r="L342" t="n">
        <v>0</v>
      </c>
      <c r="M342" t="n">
        <v>0</v>
      </c>
      <c r="N342" t="n">
        <v>0</v>
      </c>
      <c r="O342" t="n">
        <v>0</v>
      </c>
      <c r="P342" t="n">
        <v>0</v>
      </c>
      <c r="Q342" t="n">
        <v>0</v>
      </c>
      <c r="R342" s="2" t="inlineStr"/>
    </row>
    <row r="343" ht="15" customHeight="1">
      <c r="A343" t="inlineStr">
        <is>
          <t>A 19223-2025</t>
        </is>
      </c>
      <c r="B343" s="1" t="n">
        <v>45769</v>
      </c>
      <c r="C343" s="1" t="n">
        <v>45881</v>
      </c>
      <c r="D343" t="inlineStr">
        <is>
          <t>VÄSTERBOTTENS LÄN</t>
        </is>
      </c>
      <c r="E343" t="inlineStr">
        <is>
          <t>VILHELMINA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33661-2023</t>
        </is>
      </c>
      <c r="B344" s="1" t="n">
        <v>45119</v>
      </c>
      <c r="C344" s="1" t="n">
        <v>45881</v>
      </c>
      <c r="D344" t="inlineStr">
        <is>
          <t>VÄSTERBOTTENS LÄN</t>
        </is>
      </c>
      <c r="E344" t="inlineStr">
        <is>
          <t>VILHELMINA</t>
        </is>
      </c>
      <c r="G344" t="n">
        <v>1.8</v>
      </c>
      <c r="H344" t="n">
        <v>0</v>
      </c>
      <c r="I344" t="n">
        <v>0</v>
      </c>
      <c r="J344" t="n">
        <v>0</v>
      </c>
      <c r="K344" t="n">
        <v>0</v>
      </c>
      <c r="L344" t="n">
        <v>0</v>
      </c>
      <c r="M344" t="n">
        <v>0</v>
      </c>
      <c r="N344" t="n">
        <v>0</v>
      </c>
      <c r="O344" t="n">
        <v>0</v>
      </c>
      <c r="P344" t="n">
        <v>0</v>
      </c>
      <c r="Q344" t="n">
        <v>0</v>
      </c>
      <c r="R344" s="2" t="inlineStr"/>
    </row>
    <row r="345" ht="15" customHeight="1">
      <c r="A345" t="inlineStr">
        <is>
          <t>A 47254-2022</t>
        </is>
      </c>
      <c r="B345" s="1" t="n">
        <v>44852.94685185186</v>
      </c>
      <c r="C345" s="1" t="n">
        <v>45881</v>
      </c>
      <c r="D345" t="inlineStr">
        <is>
          <t>VÄSTERBOTTENS LÄN</t>
        </is>
      </c>
      <c r="E345" t="inlineStr">
        <is>
          <t>VILHELMINA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22109-2024</t>
        </is>
      </c>
      <c r="B346" s="1" t="n">
        <v>45443</v>
      </c>
      <c r="C346" s="1" t="n">
        <v>45881</v>
      </c>
      <c r="D346" t="inlineStr">
        <is>
          <t>VÄSTERBOTTENS LÄN</t>
        </is>
      </c>
      <c r="E346" t="inlineStr">
        <is>
          <t>VILHELMINA</t>
        </is>
      </c>
      <c r="F346" t="inlineStr">
        <is>
          <t>SCA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44371-2023</t>
        </is>
      </c>
      <c r="B347" s="1" t="n">
        <v>45188</v>
      </c>
      <c r="C347" s="1" t="n">
        <v>45881</v>
      </c>
      <c r="D347" t="inlineStr">
        <is>
          <t>VÄSTERBOTTENS LÄN</t>
        </is>
      </c>
      <c r="E347" t="inlineStr">
        <is>
          <t>VILHELMINA</t>
        </is>
      </c>
      <c r="G347" t="n">
        <v>11</v>
      </c>
      <c r="H347" t="n">
        <v>0</v>
      </c>
      <c r="I347" t="n">
        <v>0</v>
      </c>
      <c r="J347" t="n">
        <v>0</v>
      </c>
      <c r="K347" t="n">
        <v>0</v>
      </c>
      <c r="L347" t="n">
        <v>0</v>
      </c>
      <c r="M347" t="n">
        <v>0</v>
      </c>
      <c r="N347" t="n">
        <v>0</v>
      </c>
      <c r="O347" t="n">
        <v>0</v>
      </c>
      <c r="P347" t="n">
        <v>0</v>
      </c>
      <c r="Q347" t="n">
        <v>0</v>
      </c>
      <c r="R347" s="2" t="inlineStr"/>
    </row>
    <row r="348" ht="15" customHeight="1">
      <c r="A348" t="inlineStr">
        <is>
          <t>A 33349-2023</t>
        </is>
      </c>
      <c r="B348" s="1" t="n">
        <v>45117</v>
      </c>
      <c r="C348" s="1" t="n">
        <v>45881</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38187-2024</t>
        </is>
      </c>
      <c r="B349" s="1" t="n">
        <v>45545.49028935185</v>
      </c>
      <c r="C349" s="1" t="n">
        <v>45881</v>
      </c>
      <c r="D349" t="inlineStr">
        <is>
          <t>VÄSTERBOTTENS LÄN</t>
        </is>
      </c>
      <c r="E349" t="inlineStr">
        <is>
          <t>VILHELMINA</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22440-2025</t>
        </is>
      </c>
      <c r="B350" s="1" t="n">
        <v>45786</v>
      </c>
      <c r="C350" s="1" t="n">
        <v>45881</v>
      </c>
      <c r="D350" t="inlineStr">
        <is>
          <t>VÄSTERBOTTENS LÄN</t>
        </is>
      </c>
      <c r="E350" t="inlineStr">
        <is>
          <t>VILHELMINA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11139-2022</t>
        </is>
      </c>
      <c r="B351" s="1" t="n">
        <v>44628</v>
      </c>
      <c r="C351" s="1" t="n">
        <v>45881</v>
      </c>
      <c r="D351" t="inlineStr">
        <is>
          <t>VÄSTERBOTTENS LÄN</t>
        </is>
      </c>
      <c r="E351" t="inlineStr">
        <is>
          <t>VILHELMINA</t>
        </is>
      </c>
      <c r="G351" t="n">
        <v>13.6</v>
      </c>
      <c r="H351" t="n">
        <v>0</v>
      </c>
      <c r="I351" t="n">
        <v>0</v>
      </c>
      <c r="J351" t="n">
        <v>0</v>
      </c>
      <c r="K351" t="n">
        <v>0</v>
      </c>
      <c r="L351" t="n">
        <v>0</v>
      </c>
      <c r="M351" t="n">
        <v>0</v>
      </c>
      <c r="N351" t="n">
        <v>0</v>
      </c>
      <c r="O351" t="n">
        <v>0</v>
      </c>
      <c r="P351" t="n">
        <v>0</v>
      </c>
      <c r="Q351" t="n">
        <v>0</v>
      </c>
      <c r="R351" s="2" t="inlineStr"/>
    </row>
    <row r="352" ht="15" customHeight="1">
      <c r="A352" t="inlineStr">
        <is>
          <t>A 706-2024</t>
        </is>
      </c>
      <c r="B352" s="1" t="n">
        <v>45300</v>
      </c>
      <c r="C352" s="1" t="n">
        <v>45881</v>
      </c>
      <c r="D352" t="inlineStr">
        <is>
          <t>VÄSTERBOTTENS LÄN</t>
        </is>
      </c>
      <c r="E352" t="inlineStr">
        <is>
          <t>VILHELMINA</t>
        </is>
      </c>
      <c r="G352" t="n">
        <v>2.8</v>
      </c>
      <c r="H352" t="n">
        <v>0</v>
      </c>
      <c r="I352" t="n">
        <v>0</v>
      </c>
      <c r="J352" t="n">
        <v>0</v>
      </c>
      <c r="K352" t="n">
        <v>0</v>
      </c>
      <c r="L352" t="n">
        <v>0</v>
      </c>
      <c r="M352" t="n">
        <v>0</v>
      </c>
      <c r="N352" t="n">
        <v>0</v>
      </c>
      <c r="O352" t="n">
        <v>0</v>
      </c>
      <c r="P352" t="n">
        <v>0</v>
      </c>
      <c r="Q352" t="n">
        <v>0</v>
      </c>
      <c r="R352" s="2" t="inlineStr"/>
    </row>
    <row r="353" ht="15" customHeight="1">
      <c r="A353" t="inlineStr">
        <is>
          <t>A 40468-2021</t>
        </is>
      </c>
      <c r="B353" s="1" t="n">
        <v>44419.94174768519</v>
      </c>
      <c r="C353" s="1" t="n">
        <v>45881</v>
      </c>
      <c r="D353" t="inlineStr">
        <is>
          <t>VÄSTERBOTTENS LÄN</t>
        </is>
      </c>
      <c r="E353" t="inlineStr">
        <is>
          <t>VILHELMINA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56754-2023</t>
        </is>
      </c>
      <c r="B354" s="1" t="n">
        <v>45238</v>
      </c>
      <c r="C354" s="1" t="n">
        <v>45881</v>
      </c>
      <c r="D354" t="inlineStr">
        <is>
          <t>VÄSTERBOTTENS LÄN</t>
        </is>
      </c>
      <c r="E354" t="inlineStr">
        <is>
          <t>VILHELMINA</t>
        </is>
      </c>
      <c r="F354" t="inlineStr">
        <is>
          <t>Allmännings- och besparingsskogar</t>
        </is>
      </c>
      <c r="G354" t="n">
        <v>18</v>
      </c>
      <c r="H354" t="n">
        <v>0</v>
      </c>
      <c r="I354" t="n">
        <v>0</v>
      </c>
      <c r="J354" t="n">
        <v>0</v>
      </c>
      <c r="K354" t="n">
        <v>0</v>
      </c>
      <c r="L354" t="n">
        <v>0</v>
      </c>
      <c r="M354" t="n">
        <v>0</v>
      </c>
      <c r="N354" t="n">
        <v>0</v>
      </c>
      <c r="O354" t="n">
        <v>0</v>
      </c>
      <c r="P354" t="n">
        <v>0</v>
      </c>
      <c r="Q354" t="n">
        <v>0</v>
      </c>
      <c r="R354" s="2" t="inlineStr"/>
    </row>
    <row r="355" ht="15" customHeight="1">
      <c r="A355" t="inlineStr">
        <is>
          <t>A 16720-2025</t>
        </is>
      </c>
      <c r="B355" s="1" t="n">
        <v>45754.49039351852</v>
      </c>
      <c r="C355" s="1" t="n">
        <v>45881</v>
      </c>
      <c r="D355" t="inlineStr">
        <is>
          <t>VÄSTERBOTTENS LÄN</t>
        </is>
      </c>
      <c r="E355" t="inlineStr">
        <is>
          <t>VILHELMINA</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32683-2024</t>
        </is>
      </c>
      <c r="B356" s="1" t="n">
        <v>45515</v>
      </c>
      <c r="C356" s="1" t="n">
        <v>45881</v>
      </c>
      <c r="D356" t="inlineStr">
        <is>
          <t>VÄSTERBOTTENS LÄN</t>
        </is>
      </c>
      <c r="E356" t="inlineStr">
        <is>
          <t>VILHELMINA</t>
        </is>
      </c>
      <c r="G356" t="n">
        <v>6.1</v>
      </c>
      <c r="H356" t="n">
        <v>0</v>
      </c>
      <c r="I356" t="n">
        <v>0</v>
      </c>
      <c r="J356" t="n">
        <v>0</v>
      </c>
      <c r="K356" t="n">
        <v>0</v>
      </c>
      <c r="L356" t="n">
        <v>0</v>
      </c>
      <c r="M356" t="n">
        <v>0</v>
      </c>
      <c r="N356" t="n">
        <v>0</v>
      </c>
      <c r="O356" t="n">
        <v>0</v>
      </c>
      <c r="P356" t="n">
        <v>0</v>
      </c>
      <c r="Q356" t="n">
        <v>0</v>
      </c>
      <c r="R356" s="2" t="inlineStr"/>
    </row>
    <row r="357" ht="15" customHeight="1">
      <c r="A357" t="inlineStr">
        <is>
          <t>A 58450-2024</t>
        </is>
      </c>
      <c r="B357" s="1" t="n">
        <v>45635.34425925926</v>
      </c>
      <c r="C357" s="1" t="n">
        <v>45881</v>
      </c>
      <c r="D357" t="inlineStr">
        <is>
          <t>VÄSTERBOTTENS LÄN</t>
        </is>
      </c>
      <c r="E357" t="inlineStr">
        <is>
          <t>VILHELMINA</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55720-2023</t>
        </is>
      </c>
      <c r="B358" s="1" t="n">
        <v>45232</v>
      </c>
      <c r="C358" s="1" t="n">
        <v>45881</v>
      </c>
      <c r="D358" t="inlineStr">
        <is>
          <t>VÄSTERBOTTENS LÄN</t>
        </is>
      </c>
      <c r="E358" t="inlineStr">
        <is>
          <t>VILHELMINA</t>
        </is>
      </c>
      <c r="G358" t="n">
        <v>0.8</v>
      </c>
      <c r="H358" t="n">
        <v>0</v>
      </c>
      <c r="I358" t="n">
        <v>0</v>
      </c>
      <c r="J358" t="n">
        <v>0</v>
      </c>
      <c r="K358" t="n">
        <v>0</v>
      </c>
      <c r="L358" t="n">
        <v>0</v>
      </c>
      <c r="M358" t="n">
        <v>0</v>
      </c>
      <c r="N358" t="n">
        <v>0</v>
      </c>
      <c r="O358" t="n">
        <v>0</v>
      </c>
      <c r="P358" t="n">
        <v>0</v>
      </c>
      <c r="Q358" t="n">
        <v>0</v>
      </c>
      <c r="R358" s="2" t="inlineStr"/>
    </row>
    <row r="359" ht="15" customHeight="1">
      <c r="A359" t="inlineStr">
        <is>
          <t>A 34763-2024</t>
        </is>
      </c>
      <c r="B359" s="1" t="n">
        <v>45526.61646990741</v>
      </c>
      <c r="C359" s="1" t="n">
        <v>45881</v>
      </c>
      <c r="D359" t="inlineStr">
        <is>
          <t>VÄSTERBOTTENS LÄN</t>
        </is>
      </c>
      <c r="E359" t="inlineStr">
        <is>
          <t>VILHELMINA</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34764-2024</t>
        </is>
      </c>
      <c r="B360" s="1" t="n">
        <v>45526.61664351852</v>
      </c>
      <c r="C360" s="1" t="n">
        <v>45881</v>
      </c>
      <c r="D360" t="inlineStr">
        <is>
          <t>VÄSTERBOTTENS LÄN</t>
        </is>
      </c>
      <c r="E360" t="inlineStr">
        <is>
          <t>VILHELMINA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38363-2023</t>
        </is>
      </c>
      <c r="B361" s="1" t="n">
        <v>45161</v>
      </c>
      <c r="C361" s="1" t="n">
        <v>45881</v>
      </c>
      <c r="D361" t="inlineStr">
        <is>
          <t>VÄSTERBOTTENS LÄN</t>
        </is>
      </c>
      <c r="E361" t="inlineStr">
        <is>
          <t>VILHELMINA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402-2023</t>
        </is>
      </c>
      <c r="B362" s="1" t="n">
        <v>44923</v>
      </c>
      <c r="C362" s="1" t="n">
        <v>45881</v>
      </c>
      <c r="D362" t="inlineStr">
        <is>
          <t>VÄSTERBOTTENS LÄN</t>
        </is>
      </c>
      <c r="E362" t="inlineStr">
        <is>
          <t>VILHELMINA</t>
        </is>
      </c>
      <c r="G362" t="n">
        <v>14.7</v>
      </c>
      <c r="H362" t="n">
        <v>0</v>
      </c>
      <c r="I362" t="n">
        <v>0</v>
      </c>
      <c r="J362" t="n">
        <v>0</v>
      </c>
      <c r="K362" t="n">
        <v>0</v>
      </c>
      <c r="L362" t="n">
        <v>0</v>
      </c>
      <c r="M362" t="n">
        <v>0</v>
      </c>
      <c r="N362" t="n">
        <v>0</v>
      </c>
      <c r="O362" t="n">
        <v>0</v>
      </c>
      <c r="P362" t="n">
        <v>0</v>
      </c>
      <c r="Q362" t="n">
        <v>0</v>
      </c>
      <c r="R362" s="2" t="inlineStr"/>
    </row>
    <row r="363" ht="15" customHeight="1">
      <c r="A363" t="inlineStr">
        <is>
          <t>A 6638-2025</t>
        </is>
      </c>
      <c r="B363" s="1" t="n">
        <v>45700</v>
      </c>
      <c r="C363" s="1" t="n">
        <v>45881</v>
      </c>
      <c r="D363" t="inlineStr">
        <is>
          <t>VÄSTERBOTTENS LÄN</t>
        </is>
      </c>
      <c r="E363" t="inlineStr">
        <is>
          <t>VILHELMINA</t>
        </is>
      </c>
      <c r="G363" t="n">
        <v>21.5</v>
      </c>
      <c r="H363" t="n">
        <v>0</v>
      </c>
      <c r="I363" t="n">
        <v>0</v>
      </c>
      <c r="J363" t="n">
        <v>0</v>
      </c>
      <c r="K363" t="n">
        <v>0</v>
      </c>
      <c r="L363" t="n">
        <v>0</v>
      </c>
      <c r="M363" t="n">
        <v>0</v>
      </c>
      <c r="N363" t="n">
        <v>0</v>
      </c>
      <c r="O363" t="n">
        <v>0</v>
      </c>
      <c r="P363" t="n">
        <v>0</v>
      </c>
      <c r="Q363" t="n">
        <v>0</v>
      </c>
      <c r="R363" s="2" t="inlineStr"/>
    </row>
    <row r="364" ht="15" customHeight="1">
      <c r="A364" t="inlineStr">
        <is>
          <t>A 210-2022</t>
        </is>
      </c>
      <c r="B364" s="1" t="n">
        <v>44564.80189814815</v>
      </c>
      <c r="C364" s="1" t="n">
        <v>45881</v>
      </c>
      <c r="D364" t="inlineStr">
        <is>
          <t>VÄSTERBOTTENS LÄN</t>
        </is>
      </c>
      <c r="E364" t="inlineStr">
        <is>
          <t>VILHELMINA</t>
        </is>
      </c>
      <c r="G364" t="n">
        <v>2</v>
      </c>
      <c r="H364" t="n">
        <v>0</v>
      </c>
      <c r="I364" t="n">
        <v>0</v>
      </c>
      <c r="J364" t="n">
        <v>0</v>
      </c>
      <c r="K364" t="n">
        <v>0</v>
      </c>
      <c r="L364" t="n">
        <v>0</v>
      </c>
      <c r="M364" t="n">
        <v>0</v>
      </c>
      <c r="N364" t="n">
        <v>0</v>
      </c>
      <c r="O364" t="n">
        <v>0</v>
      </c>
      <c r="P364" t="n">
        <v>0</v>
      </c>
      <c r="Q364" t="n">
        <v>0</v>
      </c>
      <c r="R364" s="2" t="inlineStr"/>
    </row>
    <row r="365" ht="15" customHeight="1">
      <c r="A365" t="inlineStr">
        <is>
          <t>A 22108-2024</t>
        </is>
      </c>
      <c r="B365" s="1" t="n">
        <v>45443</v>
      </c>
      <c r="C365" s="1" t="n">
        <v>45881</v>
      </c>
      <c r="D365" t="inlineStr">
        <is>
          <t>VÄSTERBOTTENS LÄN</t>
        </is>
      </c>
      <c r="E365" t="inlineStr">
        <is>
          <t>VILHELMINA</t>
        </is>
      </c>
      <c r="F365" t="inlineStr">
        <is>
          <t>SCA</t>
        </is>
      </c>
      <c r="G365" t="n">
        <v>4.9</v>
      </c>
      <c r="H365" t="n">
        <v>0</v>
      </c>
      <c r="I365" t="n">
        <v>0</v>
      </c>
      <c r="J365" t="n">
        <v>0</v>
      </c>
      <c r="K365" t="n">
        <v>0</v>
      </c>
      <c r="L365" t="n">
        <v>0</v>
      </c>
      <c r="M365" t="n">
        <v>0</v>
      </c>
      <c r="N365" t="n">
        <v>0</v>
      </c>
      <c r="O365" t="n">
        <v>0</v>
      </c>
      <c r="P365" t="n">
        <v>0</v>
      </c>
      <c r="Q365" t="n">
        <v>0</v>
      </c>
      <c r="R365" s="2" t="inlineStr"/>
    </row>
    <row r="366" ht="15" customHeight="1">
      <c r="A366" t="inlineStr">
        <is>
          <t>A 10418-2023</t>
        </is>
      </c>
      <c r="B366" s="1" t="n">
        <v>44987</v>
      </c>
      <c r="C366" s="1" t="n">
        <v>45881</v>
      </c>
      <c r="D366" t="inlineStr">
        <is>
          <t>VÄSTERBOTTENS LÄN</t>
        </is>
      </c>
      <c r="E366" t="inlineStr">
        <is>
          <t>VILHELMINA</t>
        </is>
      </c>
      <c r="G366" t="n">
        <v>3.2</v>
      </c>
      <c r="H366" t="n">
        <v>0</v>
      </c>
      <c r="I366" t="n">
        <v>0</v>
      </c>
      <c r="J366" t="n">
        <v>0</v>
      </c>
      <c r="K366" t="n">
        <v>0</v>
      </c>
      <c r="L366" t="n">
        <v>0</v>
      </c>
      <c r="M366" t="n">
        <v>0</v>
      </c>
      <c r="N366" t="n">
        <v>0</v>
      </c>
      <c r="O366" t="n">
        <v>0</v>
      </c>
      <c r="P366" t="n">
        <v>0</v>
      </c>
      <c r="Q366" t="n">
        <v>0</v>
      </c>
      <c r="R366" s="2" t="inlineStr"/>
    </row>
    <row r="367" ht="15" customHeight="1">
      <c r="A367" t="inlineStr">
        <is>
          <t>A 36408-2023</t>
        </is>
      </c>
      <c r="B367" s="1" t="n">
        <v>45152</v>
      </c>
      <c r="C367" s="1" t="n">
        <v>45881</v>
      </c>
      <c r="D367" t="inlineStr">
        <is>
          <t>VÄSTERBOTTENS LÄN</t>
        </is>
      </c>
      <c r="E367" t="inlineStr">
        <is>
          <t>VILHELMINA</t>
        </is>
      </c>
      <c r="G367" t="n">
        <v>4.4</v>
      </c>
      <c r="H367" t="n">
        <v>0</v>
      </c>
      <c r="I367" t="n">
        <v>0</v>
      </c>
      <c r="J367" t="n">
        <v>0</v>
      </c>
      <c r="K367" t="n">
        <v>0</v>
      </c>
      <c r="L367" t="n">
        <v>0</v>
      </c>
      <c r="M367" t="n">
        <v>0</v>
      </c>
      <c r="N367" t="n">
        <v>0</v>
      </c>
      <c r="O367" t="n">
        <v>0</v>
      </c>
      <c r="P367" t="n">
        <v>0</v>
      </c>
      <c r="Q367" t="n">
        <v>0</v>
      </c>
      <c r="R367" s="2" t="inlineStr"/>
    </row>
    <row r="368" ht="15" customHeight="1">
      <c r="A368" t="inlineStr">
        <is>
          <t>A 34087-2023</t>
        </is>
      </c>
      <c r="B368" s="1" t="n">
        <v>45125</v>
      </c>
      <c r="C368" s="1" t="n">
        <v>45881</v>
      </c>
      <c r="D368" t="inlineStr">
        <is>
          <t>VÄSTERBOTTENS LÄN</t>
        </is>
      </c>
      <c r="E368" t="inlineStr">
        <is>
          <t>VILHELMINA</t>
        </is>
      </c>
      <c r="G368" t="n">
        <v>13.2</v>
      </c>
      <c r="H368" t="n">
        <v>0</v>
      </c>
      <c r="I368" t="n">
        <v>0</v>
      </c>
      <c r="J368" t="n">
        <v>0</v>
      </c>
      <c r="K368" t="n">
        <v>0</v>
      </c>
      <c r="L368" t="n">
        <v>0</v>
      </c>
      <c r="M368" t="n">
        <v>0</v>
      </c>
      <c r="N368" t="n">
        <v>0</v>
      </c>
      <c r="O368" t="n">
        <v>0</v>
      </c>
      <c r="P368" t="n">
        <v>0</v>
      </c>
      <c r="Q368" t="n">
        <v>0</v>
      </c>
      <c r="R368" s="2" t="inlineStr"/>
    </row>
    <row r="369" ht="15" customHeight="1">
      <c r="A369" t="inlineStr">
        <is>
          <t>A 57108-2023</t>
        </is>
      </c>
      <c r="B369" s="1" t="n">
        <v>45239</v>
      </c>
      <c r="C369" s="1" t="n">
        <v>45881</v>
      </c>
      <c r="D369" t="inlineStr">
        <is>
          <t>VÄSTERBOTTENS LÄN</t>
        </is>
      </c>
      <c r="E369" t="inlineStr">
        <is>
          <t>VILHELMINA</t>
        </is>
      </c>
      <c r="G369" t="n">
        <v>0.6</v>
      </c>
      <c r="H369" t="n">
        <v>0</v>
      </c>
      <c r="I369" t="n">
        <v>0</v>
      </c>
      <c r="J369" t="n">
        <v>0</v>
      </c>
      <c r="K369" t="n">
        <v>0</v>
      </c>
      <c r="L369" t="n">
        <v>0</v>
      </c>
      <c r="M369" t="n">
        <v>0</v>
      </c>
      <c r="N369" t="n">
        <v>0</v>
      </c>
      <c r="O369" t="n">
        <v>0</v>
      </c>
      <c r="P369" t="n">
        <v>0</v>
      </c>
      <c r="Q369" t="n">
        <v>0</v>
      </c>
      <c r="R369" s="2" t="inlineStr"/>
    </row>
    <row r="370" ht="15" customHeight="1">
      <c r="A370" t="inlineStr">
        <is>
          <t>A 38555-2024</t>
        </is>
      </c>
      <c r="B370" s="1" t="n">
        <v>45546</v>
      </c>
      <c r="C370" s="1" t="n">
        <v>45881</v>
      </c>
      <c r="D370" t="inlineStr">
        <is>
          <t>VÄSTERBOTTENS LÄN</t>
        </is>
      </c>
      <c r="E370" t="inlineStr">
        <is>
          <t>VILHELMINA</t>
        </is>
      </c>
      <c r="G370" t="n">
        <v>7.8</v>
      </c>
      <c r="H370" t="n">
        <v>0</v>
      </c>
      <c r="I370" t="n">
        <v>0</v>
      </c>
      <c r="J370" t="n">
        <v>0</v>
      </c>
      <c r="K370" t="n">
        <v>0</v>
      </c>
      <c r="L370" t="n">
        <v>0</v>
      </c>
      <c r="M370" t="n">
        <v>0</v>
      </c>
      <c r="N370" t="n">
        <v>0</v>
      </c>
      <c r="O370" t="n">
        <v>0</v>
      </c>
      <c r="P370" t="n">
        <v>0</v>
      </c>
      <c r="Q370" t="n">
        <v>0</v>
      </c>
      <c r="R370" s="2" t="inlineStr"/>
    </row>
    <row r="371" ht="15" customHeight="1">
      <c r="A371" t="inlineStr">
        <is>
          <t>A 19464-2025</t>
        </is>
      </c>
      <c r="B371" s="1" t="n">
        <v>45770</v>
      </c>
      <c r="C371" s="1" t="n">
        <v>45881</v>
      </c>
      <c r="D371" t="inlineStr">
        <is>
          <t>VÄSTERBOTTENS LÄN</t>
        </is>
      </c>
      <c r="E371" t="inlineStr">
        <is>
          <t>VILHELMINA</t>
        </is>
      </c>
      <c r="F371" t="inlineStr">
        <is>
          <t>SCA</t>
        </is>
      </c>
      <c r="G371" t="n">
        <v>7.3</v>
      </c>
      <c r="H371" t="n">
        <v>0</v>
      </c>
      <c r="I371" t="n">
        <v>0</v>
      </c>
      <c r="J371" t="n">
        <v>0</v>
      </c>
      <c r="K371" t="n">
        <v>0</v>
      </c>
      <c r="L371" t="n">
        <v>0</v>
      </c>
      <c r="M371" t="n">
        <v>0</v>
      </c>
      <c r="N371" t="n">
        <v>0</v>
      </c>
      <c r="O371" t="n">
        <v>0</v>
      </c>
      <c r="P371" t="n">
        <v>0</v>
      </c>
      <c r="Q371" t="n">
        <v>0</v>
      </c>
      <c r="R371" s="2" t="inlineStr"/>
    </row>
    <row r="372" ht="15" customHeight="1">
      <c r="A372" t="inlineStr">
        <is>
          <t>A 61920-2020</t>
        </is>
      </c>
      <c r="B372" s="1" t="n">
        <v>44155</v>
      </c>
      <c r="C372" s="1" t="n">
        <v>45881</v>
      </c>
      <c r="D372" t="inlineStr">
        <is>
          <t>VÄSTERBOTTENS LÄN</t>
        </is>
      </c>
      <c r="E372" t="inlineStr">
        <is>
          <t>VILHELMINA</t>
        </is>
      </c>
      <c r="G372" t="n">
        <v>7.7</v>
      </c>
      <c r="H372" t="n">
        <v>0</v>
      </c>
      <c r="I372" t="n">
        <v>0</v>
      </c>
      <c r="J372" t="n">
        <v>0</v>
      </c>
      <c r="K372" t="n">
        <v>0</v>
      </c>
      <c r="L372" t="n">
        <v>0</v>
      </c>
      <c r="M372" t="n">
        <v>0</v>
      </c>
      <c r="N372" t="n">
        <v>0</v>
      </c>
      <c r="O372" t="n">
        <v>0</v>
      </c>
      <c r="P372" t="n">
        <v>0</v>
      </c>
      <c r="Q372" t="n">
        <v>0</v>
      </c>
      <c r="R372" s="2" t="inlineStr"/>
    </row>
    <row r="373" ht="15" customHeight="1">
      <c r="A373" t="inlineStr">
        <is>
          <t>A 49236-2024</t>
        </is>
      </c>
      <c r="B373" s="1" t="n">
        <v>45595</v>
      </c>
      <c r="C373" s="1" t="n">
        <v>45881</v>
      </c>
      <c r="D373" t="inlineStr">
        <is>
          <t>VÄSTERBOTTENS LÄN</t>
        </is>
      </c>
      <c r="E373" t="inlineStr">
        <is>
          <t>VILHELMINA</t>
        </is>
      </c>
      <c r="G373" t="n">
        <v>4.1</v>
      </c>
      <c r="H373" t="n">
        <v>0</v>
      </c>
      <c r="I373" t="n">
        <v>0</v>
      </c>
      <c r="J373" t="n">
        <v>0</v>
      </c>
      <c r="K373" t="n">
        <v>0</v>
      </c>
      <c r="L373" t="n">
        <v>0</v>
      </c>
      <c r="M373" t="n">
        <v>0</v>
      </c>
      <c r="N373" t="n">
        <v>0</v>
      </c>
      <c r="O373" t="n">
        <v>0</v>
      </c>
      <c r="P373" t="n">
        <v>0</v>
      </c>
      <c r="Q373" t="n">
        <v>0</v>
      </c>
      <c r="R373" s="2" t="inlineStr"/>
    </row>
    <row r="374" ht="15" customHeight="1">
      <c r="A374" t="inlineStr">
        <is>
          <t>A 8726-2023</t>
        </is>
      </c>
      <c r="B374" s="1" t="n">
        <v>44972</v>
      </c>
      <c r="C374" s="1" t="n">
        <v>45881</v>
      </c>
      <c r="D374" t="inlineStr">
        <is>
          <t>VÄSTERBOTTENS LÄN</t>
        </is>
      </c>
      <c r="E374" t="inlineStr">
        <is>
          <t>VILHELMINA</t>
        </is>
      </c>
      <c r="F374" t="inlineStr">
        <is>
          <t>Allmännings- och besparingsskogar</t>
        </is>
      </c>
      <c r="G374" t="n">
        <v>50</v>
      </c>
      <c r="H374" t="n">
        <v>0</v>
      </c>
      <c r="I374" t="n">
        <v>0</v>
      </c>
      <c r="J374" t="n">
        <v>0</v>
      </c>
      <c r="K374" t="n">
        <v>0</v>
      </c>
      <c r="L374" t="n">
        <v>0</v>
      </c>
      <c r="M374" t="n">
        <v>0</v>
      </c>
      <c r="N374" t="n">
        <v>0</v>
      </c>
      <c r="O374" t="n">
        <v>0</v>
      </c>
      <c r="P374" t="n">
        <v>0</v>
      </c>
      <c r="Q374" t="n">
        <v>0</v>
      </c>
      <c r="R374" s="2" t="inlineStr"/>
    </row>
    <row r="375" ht="15" customHeight="1">
      <c r="A375" t="inlineStr">
        <is>
          <t>A 29463-2024</t>
        </is>
      </c>
      <c r="B375" s="1" t="n">
        <v>45483.96994212963</v>
      </c>
      <c r="C375" s="1" t="n">
        <v>45881</v>
      </c>
      <c r="D375" t="inlineStr">
        <is>
          <t>VÄSTERBOTTENS LÄN</t>
        </is>
      </c>
      <c r="E375" t="inlineStr">
        <is>
          <t>VILHELMINA</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36348-2024</t>
        </is>
      </c>
      <c r="B376" s="1" t="n">
        <v>45534.64422453703</v>
      </c>
      <c r="C376" s="1" t="n">
        <v>45881</v>
      </c>
      <c r="D376" t="inlineStr">
        <is>
          <t>VÄSTERBOTTENS LÄN</t>
        </is>
      </c>
      <c r="E376" t="inlineStr">
        <is>
          <t>VILHELMINA</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36355-2024</t>
        </is>
      </c>
      <c r="B377" s="1" t="n">
        <v>45534.64508101852</v>
      </c>
      <c r="C377" s="1" t="n">
        <v>45881</v>
      </c>
      <c r="D377" t="inlineStr">
        <is>
          <t>VÄSTERBOTTENS LÄN</t>
        </is>
      </c>
      <c r="E377" t="inlineStr">
        <is>
          <t>VILHELMINA</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61778-2023</t>
        </is>
      </c>
      <c r="B378" s="1" t="n">
        <v>45265.95667824074</v>
      </c>
      <c r="C378" s="1" t="n">
        <v>45881</v>
      </c>
      <c r="D378" t="inlineStr">
        <is>
          <t>VÄSTERBOTTENS LÄN</t>
        </is>
      </c>
      <c r="E378" t="inlineStr">
        <is>
          <t>VILHELMINA</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29104-2024</t>
        </is>
      </c>
      <c r="B379" s="1" t="n">
        <v>45481.95178240741</v>
      </c>
      <c r="C379" s="1" t="n">
        <v>45881</v>
      </c>
      <c r="D379" t="inlineStr">
        <is>
          <t>VÄSTERBOTTENS LÄN</t>
        </is>
      </c>
      <c r="E379" t="inlineStr">
        <is>
          <t>VILHELMINA</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475-2024</t>
        </is>
      </c>
      <c r="B380" s="1" t="n">
        <v>45297.83246527778</v>
      </c>
      <c r="C380" s="1" t="n">
        <v>45881</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53034-2023</t>
        </is>
      </c>
      <c r="B381" s="1" t="n">
        <v>45226.96258101852</v>
      </c>
      <c r="C381" s="1" t="n">
        <v>45881</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61801-2024</t>
        </is>
      </c>
      <c r="B382" s="1" t="n">
        <v>45649.56392361111</v>
      </c>
      <c r="C382" s="1" t="n">
        <v>45881</v>
      </c>
      <c r="D382" t="inlineStr">
        <is>
          <t>VÄSTERBOTTENS LÄN</t>
        </is>
      </c>
      <c r="E382" t="inlineStr">
        <is>
          <t>VILHELMINA</t>
        </is>
      </c>
      <c r="G382" t="n">
        <v>2.5</v>
      </c>
      <c r="H382" t="n">
        <v>0</v>
      </c>
      <c r="I382" t="n">
        <v>0</v>
      </c>
      <c r="J382" t="n">
        <v>0</v>
      </c>
      <c r="K382" t="n">
        <v>0</v>
      </c>
      <c r="L382" t="n">
        <v>0</v>
      </c>
      <c r="M382" t="n">
        <v>0</v>
      </c>
      <c r="N382" t="n">
        <v>0</v>
      </c>
      <c r="O382" t="n">
        <v>0</v>
      </c>
      <c r="P382" t="n">
        <v>0</v>
      </c>
      <c r="Q382" t="n">
        <v>0</v>
      </c>
      <c r="R382" s="2" t="inlineStr"/>
    </row>
    <row r="383" ht="15" customHeight="1">
      <c r="A383" t="inlineStr">
        <is>
          <t>A 46164-2023</t>
        </is>
      </c>
      <c r="B383" s="1" t="n">
        <v>45190</v>
      </c>
      <c r="C383" s="1" t="n">
        <v>45881</v>
      </c>
      <c r="D383" t="inlineStr">
        <is>
          <t>VÄSTERBOTTENS LÄN</t>
        </is>
      </c>
      <c r="E383" t="inlineStr">
        <is>
          <t>VILHELMINA</t>
        </is>
      </c>
      <c r="G383" t="n">
        <v>6.3</v>
      </c>
      <c r="H383" t="n">
        <v>0</v>
      </c>
      <c r="I383" t="n">
        <v>0</v>
      </c>
      <c r="J383" t="n">
        <v>0</v>
      </c>
      <c r="K383" t="n">
        <v>0</v>
      </c>
      <c r="L383" t="n">
        <v>0</v>
      </c>
      <c r="M383" t="n">
        <v>0</v>
      </c>
      <c r="N383" t="n">
        <v>0</v>
      </c>
      <c r="O383" t="n">
        <v>0</v>
      </c>
      <c r="P383" t="n">
        <v>0</v>
      </c>
      <c r="Q383" t="n">
        <v>0</v>
      </c>
      <c r="R383" s="2" t="inlineStr"/>
    </row>
    <row r="384" ht="15" customHeight="1">
      <c r="A384" t="inlineStr">
        <is>
          <t>A 61780-2023</t>
        </is>
      </c>
      <c r="B384" s="1" t="n">
        <v>45265.95685185185</v>
      </c>
      <c r="C384" s="1" t="n">
        <v>45881</v>
      </c>
      <c r="D384" t="inlineStr">
        <is>
          <t>VÄSTERBOTTENS LÄN</t>
        </is>
      </c>
      <c r="E384" t="inlineStr">
        <is>
          <t>VILHELMINA</t>
        </is>
      </c>
      <c r="F384" t="inlineStr">
        <is>
          <t>SCA</t>
        </is>
      </c>
      <c r="G384" t="n">
        <v>4.9</v>
      </c>
      <c r="H384" t="n">
        <v>0</v>
      </c>
      <c r="I384" t="n">
        <v>0</v>
      </c>
      <c r="J384" t="n">
        <v>0</v>
      </c>
      <c r="K384" t="n">
        <v>0</v>
      </c>
      <c r="L384" t="n">
        <v>0</v>
      </c>
      <c r="M384" t="n">
        <v>0</v>
      </c>
      <c r="N384" t="n">
        <v>0</v>
      </c>
      <c r="O384" t="n">
        <v>0</v>
      </c>
      <c r="P384" t="n">
        <v>0</v>
      </c>
      <c r="Q384" t="n">
        <v>0</v>
      </c>
      <c r="R384" s="2" t="inlineStr"/>
    </row>
    <row r="385" ht="15" customHeight="1">
      <c r="A385" t="inlineStr">
        <is>
          <t>A 32253-2024</t>
        </is>
      </c>
      <c r="B385" s="1" t="n">
        <v>45511.95214120371</v>
      </c>
      <c r="C385" s="1" t="n">
        <v>45881</v>
      </c>
      <c r="D385" t="inlineStr">
        <is>
          <t>VÄSTERBOTTENS LÄN</t>
        </is>
      </c>
      <c r="E385" t="inlineStr">
        <is>
          <t>VILHELMINA</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57795-2023</t>
        </is>
      </c>
      <c r="B386" s="1" t="n">
        <v>45246.96861111111</v>
      </c>
      <c r="C386" s="1" t="n">
        <v>45881</v>
      </c>
      <c r="D386" t="inlineStr">
        <is>
          <t>VÄSTERBOTTENS LÄN</t>
        </is>
      </c>
      <c r="E386" t="inlineStr">
        <is>
          <t>VILHELMINA</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52174-2020</t>
        </is>
      </c>
      <c r="B387" s="1" t="n">
        <v>44105</v>
      </c>
      <c r="C387" s="1" t="n">
        <v>45881</v>
      </c>
      <c r="D387" t="inlineStr">
        <is>
          <t>VÄSTERBOTTENS LÄN</t>
        </is>
      </c>
      <c r="E387" t="inlineStr">
        <is>
          <t>VILHELMINA</t>
        </is>
      </c>
      <c r="G387" t="n">
        <v>3</v>
      </c>
      <c r="H387" t="n">
        <v>0</v>
      </c>
      <c r="I387" t="n">
        <v>0</v>
      </c>
      <c r="J387" t="n">
        <v>0</v>
      </c>
      <c r="K387" t="n">
        <v>0</v>
      </c>
      <c r="L387" t="n">
        <v>0</v>
      </c>
      <c r="M387" t="n">
        <v>0</v>
      </c>
      <c r="N387" t="n">
        <v>0</v>
      </c>
      <c r="O387" t="n">
        <v>0</v>
      </c>
      <c r="P387" t="n">
        <v>0</v>
      </c>
      <c r="Q387" t="n">
        <v>0</v>
      </c>
      <c r="R387" s="2" t="inlineStr"/>
    </row>
    <row r="388" ht="15" customHeight="1">
      <c r="A388" t="inlineStr">
        <is>
          <t>A 28380-2023</t>
        </is>
      </c>
      <c r="B388" s="1" t="n">
        <v>45099</v>
      </c>
      <c r="C388" s="1" t="n">
        <v>45881</v>
      </c>
      <c r="D388" t="inlineStr">
        <is>
          <t>VÄSTERBOTTENS LÄN</t>
        </is>
      </c>
      <c r="E388" t="inlineStr">
        <is>
          <t>VILHELMINA</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65151-2021</t>
        </is>
      </c>
      <c r="B389" s="1" t="n">
        <v>44515</v>
      </c>
      <c r="C389" s="1" t="n">
        <v>45881</v>
      </c>
      <c r="D389" t="inlineStr">
        <is>
          <t>VÄSTERBOTTENS LÄN</t>
        </is>
      </c>
      <c r="E389" t="inlineStr">
        <is>
          <t>VILHELMINA</t>
        </is>
      </c>
      <c r="G389" t="n">
        <v>11.8</v>
      </c>
      <c r="H389" t="n">
        <v>0</v>
      </c>
      <c r="I389" t="n">
        <v>0</v>
      </c>
      <c r="J389" t="n">
        <v>0</v>
      </c>
      <c r="K389" t="n">
        <v>0</v>
      </c>
      <c r="L389" t="n">
        <v>0</v>
      </c>
      <c r="M389" t="n">
        <v>0</v>
      </c>
      <c r="N389" t="n">
        <v>0</v>
      </c>
      <c r="O389" t="n">
        <v>0</v>
      </c>
      <c r="P389" t="n">
        <v>0</v>
      </c>
      <c r="Q389" t="n">
        <v>0</v>
      </c>
      <c r="R389" s="2" t="inlineStr"/>
    </row>
    <row r="390" ht="15" customHeight="1">
      <c r="A390" t="inlineStr">
        <is>
          <t>A 65159-2021</t>
        </is>
      </c>
      <c r="B390" s="1" t="n">
        <v>44515</v>
      </c>
      <c r="C390" s="1" t="n">
        <v>45881</v>
      </c>
      <c r="D390" t="inlineStr">
        <is>
          <t>VÄSTERBOTTENS LÄN</t>
        </is>
      </c>
      <c r="E390" t="inlineStr">
        <is>
          <t>VILHELMINA</t>
        </is>
      </c>
      <c r="G390" t="n">
        <v>5</v>
      </c>
      <c r="H390" t="n">
        <v>0</v>
      </c>
      <c r="I390" t="n">
        <v>0</v>
      </c>
      <c r="J390" t="n">
        <v>0</v>
      </c>
      <c r="K390" t="n">
        <v>0</v>
      </c>
      <c r="L390" t="n">
        <v>0</v>
      </c>
      <c r="M390" t="n">
        <v>0</v>
      </c>
      <c r="N390" t="n">
        <v>0</v>
      </c>
      <c r="O390" t="n">
        <v>0</v>
      </c>
      <c r="P390" t="n">
        <v>0</v>
      </c>
      <c r="Q390" t="n">
        <v>0</v>
      </c>
      <c r="R390" s="2" t="inlineStr"/>
    </row>
    <row r="391" ht="15" customHeight="1">
      <c r="A391" t="inlineStr">
        <is>
          <t>A 8555-2023</t>
        </is>
      </c>
      <c r="B391" s="1" t="n">
        <v>44972</v>
      </c>
      <c r="C391" s="1" t="n">
        <v>45881</v>
      </c>
      <c r="D391" t="inlineStr">
        <is>
          <t>VÄSTERBOTTENS LÄN</t>
        </is>
      </c>
      <c r="E391" t="inlineStr">
        <is>
          <t>VILHELMINA</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58179-2024</t>
        </is>
      </c>
      <c r="B392" s="1" t="n">
        <v>45632.4690162037</v>
      </c>
      <c r="C392" s="1" t="n">
        <v>45881</v>
      </c>
      <c r="D392" t="inlineStr">
        <is>
          <t>VÄSTERBOTTENS LÄN</t>
        </is>
      </c>
      <c r="E392" t="inlineStr">
        <is>
          <t>VILHELMINA</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367-2024</t>
        </is>
      </c>
      <c r="B393" s="1" t="n">
        <v>45295</v>
      </c>
      <c r="C393" s="1" t="n">
        <v>45881</v>
      </c>
      <c r="D393" t="inlineStr">
        <is>
          <t>VÄSTERBOTTENS LÄN</t>
        </is>
      </c>
      <c r="E393" t="inlineStr">
        <is>
          <t>VILHELMINA</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12765-2025</t>
        </is>
      </c>
      <c r="B394" s="1" t="n">
        <v>45733</v>
      </c>
      <c r="C394" s="1" t="n">
        <v>45881</v>
      </c>
      <c r="D394" t="inlineStr">
        <is>
          <t>VÄSTERBOTTENS LÄN</t>
        </is>
      </c>
      <c r="E394" t="inlineStr">
        <is>
          <t>VILHELMINA</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60682-2022</t>
        </is>
      </c>
      <c r="B395" s="1" t="n">
        <v>44911.94</v>
      </c>
      <c r="C395" s="1" t="n">
        <v>45881</v>
      </c>
      <c r="D395" t="inlineStr">
        <is>
          <t>VÄSTERBOTTENS LÄN</t>
        </is>
      </c>
      <c r="E395" t="inlineStr">
        <is>
          <t>VILHELMINA</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37716-2024</t>
        </is>
      </c>
      <c r="B396" s="1" t="n">
        <v>45541.63592592593</v>
      </c>
      <c r="C396" s="1" t="n">
        <v>45881</v>
      </c>
      <c r="D396" t="inlineStr">
        <is>
          <t>VÄSTERBOTTENS LÄN</t>
        </is>
      </c>
      <c r="E396" t="inlineStr">
        <is>
          <t>VILHELMINA</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37717-2024</t>
        </is>
      </c>
      <c r="B397" s="1" t="n">
        <v>45541</v>
      </c>
      <c r="C397" s="1" t="n">
        <v>45881</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33828-2024</t>
        </is>
      </c>
      <c r="B398" s="1" t="n">
        <v>45520.61695601852</v>
      </c>
      <c r="C398" s="1" t="n">
        <v>45881</v>
      </c>
      <c r="D398" t="inlineStr">
        <is>
          <t>VÄSTERBOTTENS LÄN</t>
        </is>
      </c>
      <c r="E398" t="inlineStr">
        <is>
          <t>VILHELMINA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13557-2024</t>
        </is>
      </c>
      <c r="B399" s="1" t="n">
        <v>45388</v>
      </c>
      <c r="C399" s="1" t="n">
        <v>45881</v>
      </c>
      <c r="D399" t="inlineStr">
        <is>
          <t>VÄSTERBOTTENS LÄN</t>
        </is>
      </c>
      <c r="E399" t="inlineStr">
        <is>
          <t>VILHELMINA</t>
        </is>
      </c>
      <c r="G399" t="n">
        <v>11.2</v>
      </c>
      <c r="H399" t="n">
        <v>0</v>
      </c>
      <c r="I399" t="n">
        <v>0</v>
      </c>
      <c r="J399" t="n">
        <v>0</v>
      </c>
      <c r="K399" t="n">
        <v>0</v>
      </c>
      <c r="L399" t="n">
        <v>0</v>
      </c>
      <c r="M399" t="n">
        <v>0</v>
      </c>
      <c r="N399" t="n">
        <v>0</v>
      </c>
      <c r="O399" t="n">
        <v>0</v>
      </c>
      <c r="P399" t="n">
        <v>0</v>
      </c>
      <c r="Q399" t="n">
        <v>0</v>
      </c>
      <c r="R399" s="2" t="inlineStr"/>
    </row>
    <row r="400" ht="15" customHeight="1">
      <c r="A400" t="inlineStr">
        <is>
          <t>A 54984-2023</t>
        </is>
      </c>
      <c r="B400" s="1" t="n">
        <v>45236</v>
      </c>
      <c r="C400" s="1" t="n">
        <v>45881</v>
      </c>
      <c r="D400" t="inlineStr">
        <is>
          <t>VÄSTERBOTTENS LÄN</t>
        </is>
      </c>
      <c r="E400" t="inlineStr">
        <is>
          <t>VILHELMINA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27917-2024</t>
        </is>
      </c>
      <c r="B401" s="1" t="n">
        <v>45475.94844907407</v>
      </c>
      <c r="C401" s="1" t="n">
        <v>45881</v>
      </c>
      <c r="D401" t="inlineStr">
        <is>
          <t>VÄSTERBOTTENS LÄN</t>
        </is>
      </c>
      <c r="E401" t="inlineStr">
        <is>
          <t>VILHELMINA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45258-2024</t>
        </is>
      </c>
      <c r="B402" s="1" t="n">
        <v>45576.34444444445</v>
      </c>
      <c r="C402" s="1" t="n">
        <v>45881</v>
      </c>
      <c r="D402" t="inlineStr">
        <is>
          <t>VÄSTERBOTTENS LÄN</t>
        </is>
      </c>
      <c r="E402" t="inlineStr">
        <is>
          <t>VILHELMINA</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50505-2023</t>
        </is>
      </c>
      <c r="B403" s="1" t="n">
        <v>45216.95800925926</v>
      </c>
      <c r="C403" s="1" t="n">
        <v>45881</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6369-2024</t>
        </is>
      </c>
      <c r="B404" s="1" t="n">
        <v>45338</v>
      </c>
      <c r="C404" s="1" t="n">
        <v>45881</v>
      </c>
      <c r="D404" t="inlineStr">
        <is>
          <t>VÄSTERBOTTENS LÄN</t>
        </is>
      </c>
      <c r="E404" t="inlineStr">
        <is>
          <t>VILHELMINA</t>
        </is>
      </c>
      <c r="G404" t="n">
        <v>3.6</v>
      </c>
      <c r="H404" t="n">
        <v>0</v>
      </c>
      <c r="I404" t="n">
        <v>0</v>
      </c>
      <c r="J404" t="n">
        <v>0</v>
      </c>
      <c r="K404" t="n">
        <v>0</v>
      </c>
      <c r="L404" t="n">
        <v>0</v>
      </c>
      <c r="M404" t="n">
        <v>0</v>
      </c>
      <c r="N404" t="n">
        <v>0</v>
      </c>
      <c r="O404" t="n">
        <v>0</v>
      </c>
      <c r="P404" t="n">
        <v>0</v>
      </c>
      <c r="Q404" t="n">
        <v>0</v>
      </c>
      <c r="R404" s="2" t="inlineStr"/>
    </row>
    <row r="405" ht="15" customHeight="1">
      <c r="A405" t="inlineStr">
        <is>
          <t>A 10941-2023</t>
        </is>
      </c>
      <c r="B405" s="1" t="n">
        <v>44985</v>
      </c>
      <c r="C405" s="1" t="n">
        <v>45881</v>
      </c>
      <c r="D405" t="inlineStr">
        <is>
          <t>VÄSTERBOTTENS LÄN</t>
        </is>
      </c>
      <c r="E405" t="inlineStr">
        <is>
          <t>VILHELMINA</t>
        </is>
      </c>
      <c r="G405" t="n">
        <v>16.7</v>
      </c>
      <c r="H405" t="n">
        <v>0</v>
      </c>
      <c r="I405" t="n">
        <v>0</v>
      </c>
      <c r="J405" t="n">
        <v>0</v>
      </c>
      <c r="K405" t="n">
        <v>0</v>
      </c>
      <c r="L405" t="n">
        <v>0</v>
      </c>
      <c r="M405" t="n">
        <v>0</v>
      </c>
      <c r="N405" t="n">
        <v>0</v>
      </c>
      <c r="O405" t="n">
        <v>0</v>
      </c>
      <c r="P405" t="n">
        <v>0</v>
      </c>
      <c r="Q405" t="n">
        <v>0</v>
      </c>
      <c r="R405" s="2" t="inlineStr"/>
    </row>
    <row r="406" ht="15" customHeight="1">
      <c r="A406" t="inlineStr">
        <is>
          <t>A 38222-2024</t>
        </is>
      </c>
      <c r="B406" s="1" t="n">
        <v>45545.53619212963</v>
      </c>
      <c r="C406" s="1" t="n">
        <v>45881</v>
      </c>
      <c r="D406" t="inlineStr">
        <is>
          <t>VÄSTERBOTTENS LÄN</t>
        </is>
      </c>
      <c r="E406" t="inlineStr">
        <is>
          <t>VILHELMINA</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3237-2024</t>
        </is>
      </c>
      <c r="B407" s="1" t="n">
        <v>45316.9474537037</v>
      </c>
      <c r="C407" s="1" t="n">
        <v>45881</v>
      </c>
      <c r="D407" t="inlineStr">
        <is>
          <t>VÄSTERBOTTENS LÄN</t>
        </is>
      </c>
      <c r="E407" t="inlineStr">
        <is>
          <t>VILHELMINA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36909-2024</t>
        </is>
      </c>
      <c r="B408" s="1" t="n">
        <v>45538.63577546296</v>
      </c>
      <c r="C408" s="1" t="n">
        <v>45881</v>
      </c>
      <c r="D408" t="inlineStr">
        <is>
          <t>VÄSTERBOTTENS LÄN</t>
        </is>
      </c>
      <c r="E408" t="inlineStr">
        <is>
          <t>VILHELMINA</t>
        </is>
      </c>
      <c r="F408" t="inlineStr">
        <is>
          <t>SCA</t>
        </is>
      </c>
      <c r="G408" t="n">
        <v>16.8</v>
      </c>
      <c r="H408" t="n">
        <v>0</v>
      </c>
      <c r="I408" t="n">
        <v>0</v>
      </c>
      <c r="J408" t="n">
        <v>0</v>
      </c>
      <c r="K408" t="n">
        <v>0</v>
      </c>
      <c r="L408" t="n">
        <v>0</v>
      </c>
      <c r="M408" t="n">
        <v>0</v>
      </c>
      <c r="N408" t="n">
        <v>0</v>
      </c>
      <c r="O408" t="n">
        <v>0</v>
      </c>
      <c r="P408" t="n">
        <v>0</v>
      </c>
      <c r="Q408" t="n">
        <v>0</v>
      </c>
      <c r="R408" s="2" t="inlineStr"/>
    </row>
    <row r="409" ht="15" customHeight="1">
      <c r="A409" t="inlineStr">
        <is>
          <t>A 2054-2023</t>
        </is>
      </c>
      <c r="B409" s="1" t="n">
        <v>44939</v>
      </c>
      <c r="C409" s="1" t="n">
        <v>45881</v>
      </c>
      <c r="D409" t="inlineStr">
        <is>
          <t>VÄSTERBOTTENS LÄN</t>
        </is>
      </c>
      <c r="E409" t="inlineStr">
        <is>
          <t>VILHELMINA</t>
        </is>
      </c>
      <c r="F409" t="inlineStr">
        <is>
          <t>Sveaskog</t>
        </is>
      </c>
      <c r="G409" t="n">
        <v>19.2</v>
      </c>
      <c r="H409" t="n">
        <v>0</v>
      </c>
      <c r="I409" t="n">
        <v>0</v>
      </c>
      <c r="J409" t="n">
        <v>0</v>
      </c>
      <c r="K409" t="n">
        <v>0</v>
      </c>
      <c r="L409" t="n">
        <v>0</v>
      </c>
      <c r="M409" t="n">
        <v>0</v>
      </c>
      <c r="N409" t="n">
        <v>0</v>
      </c>
      <c r="O409" t="n">
        <v>0</v>
      </c>
      <c r="P409" t="n">
        <v>0</v>
      </c>
      <c r="Q409" t="n">
        <v>0</v>
      </c>
      <c r="R409" s="2" t="inlineStr"/>
    </row>
    <row r="410" ht="15" customHeight="1">
      <c r="A410" t="inlineStr">
        <is>
          <t>A 41644-2024</t>
        </is>
      </c>
      <c r="B410" s="1" t="n">
        <v>45560</v>
      </c>
      <c r="C410" s="1" t="n">
        <v>45881</v>
      </c>
      <c r="D410" t="inlineStr">
        <is>
          <t>VÄSTERBOTTENS LÄN</t>
        </is>
      </c>
      <c r="E410" t="inlineStr">
        <is>
          <t>VILHELMINA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55978-2024</t>
        </is>
      </c>
      <c r="B411" s="1" t="n">
        <v>45623</v>
      </c>
      <c r="C411" s="1" t="n">
        <v>45881</v>
      </c>
      <c r="D411" t="inlineStr">
        <is>
          <t>VÄSTERBOTTENS LÄN</t>
        </is>
      </c>
      <c r="E411" t="inlineStr">
        <is>
          <t>VILHELMINA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45972-2023</t>
        </is>
      </c>
      <c r="B412" s="1" t="n">
        <v>45195</v>
      </c>
      <c r="C412" s="1" t="n">
        <v>45881</v>
      </c>
      <c r="D412" t="inlineStr">
        <is>
          <t>VÄSTERBOTTENS LÄN</t>
        </is>
      </c>
      <c r="E412" t="inlineStr">
        <is>
          <t>VILHELMINA</t>
        </is>
      </c>
      <c r="F412" t="inlineStr">
        <is>
          <t>SCA</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48422-2023</t>
        </is>
      </c>
      <c r="B413" s="1" t="n">
        <v>45205</v>
      </c>
      <c r="C413" s="1" t="n">
        <v>45881</v>
      </c>
      <c r="D413" t="inlineStr">
        <is>
          <t>VÄSTERBOTTENS LÄN</t>
        </is>
      </c>
      <c r="E413" t="inlineStr">
        <is>
          <t>VILHELMINA</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48483-2023</t>
        </is>
      </c>
      <c r="B414" s="1" t="n">
        <v>45206.95854166667</v>
      </c>
      <c r="C414" s="1" t="n">
        <v>45881</v>
      </c>
      <c r="D414" t="inlineStr">
        <is>
          <t>VÄSTERBOTTENS LÄN</t>
        </is>
      </c>
      <c r="E414" t="inlineStr">
        <is>
          <t>VILHELMINA</t>
        </is>
      </c>
      <c r="F414" t="inlineStr">
        <is>
          <t>SCA</t>
        </is>
      </c>
      <c r="G414" t="n">
        <v>7.6</v>
      </c>
      <c r="H414" t="n">
        <v>0</v>
      </c>
      <c r="I414" t="n">
        <v>0</v>
      </c>
      <c r="J414" t="n">
        <v>0</v>
      </c>
      <c r="K414" t="n">
        <v>0</v>
      </c>
      <c r="L414" t="n">
        <v>0</v>
      </c>
      <c r="M414" t="n">
        <v>0</v>
      </c>
      <c r="N414" t="n">
        <v>0</v>
      </c>
      <c r="O414" t="n">
        <v>0</v>
      </c>
      <c r="P414" t="n">
        <v>0</v>
      </c>
      <c r="Q414" t="n">
        <v>0</v>
      </c>
      <c r="R414" s="2" t="inlineStr"/>
    </row>
    <row r="415" ht="15" customHeight="1">
      <c r="A415" t="inlineStr">
        <is>
          <t>A 48505-2023</t>
        </is>
      </c>
      <c r="B415" s="1" t="n">
        <v>45207.93900462963</v>
      </c>
      <c r="C415" s="1" t="n">
        <v>45881</v>
      </c>
      <c r="D415" t="inlineStr">
        <is>
          <t>VÄSTERBOTTENS LÄN</t>
        </is>
      </c>
      <c r="E415" t="inlineStr">
        <is>
          <t>VILHELMINA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1470-2021</t>
        </is>
      </c>
      <c r="B416" s="1" t="n">
        <v>44208</v>
      </c>
      <c r="C416" s="1" t="n">
        <v>45881</v>
      </c>
      <c r="D416" t="inlineStr">
        <is>
          <t>VÄSTERBOTTENS LÄN</t>
        </is>
      </c>
      <c r="E416" t="inlineStr">
        <is>
          <t>VILHELMINA</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50489-2023</t>
        </is>
      </c>
      <c r="B417" s="1" t="n">
        <v>45216.95556712963</v>
      </c>
      <c r="C417" s="1" t="n">
        <v>45881</v>
      </c>
      <c r="D417" t="inlineStr">
        <is>
          <t>VÄSTERBOTTENS LÄN</t>
        </is>
      </c>
      <c r="E417" t="inlineStr">
        <is>
          <t>VILHELMINA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50506-2023</t>
        </is>
      </c>
      <c r="B418" s="1" t="n">
        <v>45216.9580787037</v>
      </c>
      <c r="C418" s="1" t="n">
        <v>45881</v>
      </c>
      <c r="D418" t="inlineStr">
        <is>
          <t>VÄSTERBOTTENS LÄN</t>
        </is>
      </c>
      <c r="E418" t="inlineStr">
        <is>
          <t>VILHELMINA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31868-2024</t>
        </is>
      </c>
      <c r="B419" s="1" t="n">
        <v>45509</v>
      </c>
      <c r="C419" s="1" t="n">
        <v>45881</v>
      </c>
      <c r="D419" t="inlineStr">
        <is>
          <t>VÄSTERBOTTENS LÄN</t>
        </is>
      </c>
      <c r="E419" t="inlineStr">
        <is>
          <t>VILHELMINA</t>
        </is>
      </c>
      <c r="G419" t="n">
        <v>4.5</v>
      </c>
      <c r="H419" t="n">
        <v>0</v>
      </c>
      <c r="I419" t="n">
        <v>0</v>
      </c>
      <c r="J419" t="n">
        <v>0</v>
      </c>
      <c r="K419" t="n">
        <v>0</v>
      </c>
      <c r="L419" t="n">
        <v>0</v>
      </c>
      <c r="M419" t="n">
        <v>0</v>
      </c>
      <c r="N419" t="n">
        <v>0</v>
      </c>
      <c r="O419" t="n">
        <v>0</v>
      </c>
      <c r="P419" t="n">
        <v>0</v>
      </c>
      <c r="Q419" t="n">
        <v>0</v>
      </c>
      <c r="R419" s="2" t="inlineStr"/>
    </row>
    <row r="420" ht="15" customHeight="1">
      <c r="A420" t="inlineStr">
        <is>
          <t>A 21844-2024</t>
        </is>
      </c>
      <c r="B420" s="1" t="n">
        <v>45442</v>
      </c>
      <c r="C420" s="1" t="n">
        <v>45881</v>
      </c>
      <c r="D420" t="inlineStr">
        <is>
          <t>VÄSTERBOTTENS LÄN</t>
        </is>
      </c>
      <c r="E420" t="inlineStr">
        <is>
          <t>VILHELMINA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12371-2025</t>
        </is>
      </c>
      <c r="B421" s="1" t="n">
        <v>45730</v>
      </c>
      <c r="C421" s="1" t="n">
        <v>45881</v>
      </c>
      <c r="D421" t="inlineStr">
        <is>
          <t>VÄSTERBOTTENS LÄN</t>
        </is>
      </c>
      <c r="E421" t="inlineStr">
        <is>
          <t>VILHELMINA</t>
        </is>
      </c>
      <c r="F421" t="inlineStr">
        <is>
          <t>Övriga statliga verk och myndigheter</t>
        </is>
      </c>
      <c r="G421" t="n">
        <v>37.1</v>
      </c>
      <c r="H421" t="n">
        <v>0</v>
      </c>
      <c r="I421" t="n">
        <v>0</v>
      </c>
      <c r="J421" t="n">
        <v>0</v>
      </c>
      <c r="K421" t="n">
        <v>0</v>
      </c>
      <c r="L421" t="n">
        <v>0</v>
      </c>
      <c r="M421" t="n">
        <v>0</v>
      </c>
      <c r="N421" t="n">
        <v>0</v>
      </c>
      <c r="O421" t="n">
        <v>0</v>
      </c>
      <c r="P421" t="n">
        <v>0</v>
      </c>
      <c r="Q421" t="n">
        <v>0</v>
      </c>
      <c r="R421" s="2" t="inlineStr"/>
    </row>
    <row r="422" ht="15" customHeight="1">
      <c r="A422" t="inlineStr">
        <is>
          <t>A 14993-2025</t>
        </is>
      </c>
      <c r="B422" s="1" t="n">
        <v>45743</v>
      </c>
      <c r="C422" s="1" t="n">
        <v>45881</v>
      </c>
      <c r="D422" t="inlineStr">
        <is>
          <t>VÄSTERBOTTENS LÄN</t>
        </is>
      </c>
      <c r="E422" t="inlineStr">
        <is>
          <t>VILHELMINA</t>
        </is>
      </c>
      <c r="G422" t="n">
        <v>2.1</v>
      </c>
      <c r="H422" t="n">
        <v>0</v>
      </c>
      <c r="I422" t="n">
        <v>0</v>
      </c>
      <c r="J422" t="n">
        <v>0</v>
      </c>
      <c r="K422" t="n">
        <v>0</v>
      </c>
      <c r="L422" t="n">
        <v>0</v>
      </c>
      <c r="M422" t="n">
        <v>0</v>
      </c>
      <c r="N422" t="n">
        <v>0</v>
      </c>
      <c r="O422" t="n">
        <v>0</v>
      </c>
      <c r="P422" t="n">
        <v>0</v>
      </c>
      <c r="Q422" t="n">
        <v>0</v>
      </c>
      <c r="R422" s="2" t="inlineStr"/>
    </row>
    <row r="423" ht="15" customHeight="1">
      <c r="A423" t="inlineStr">
        <is>
          <t>A 38569-2024</t>
        </is>
      </c>
      <c r="B423" s="1" t="n">
        <v>45546.63689814815</v>
      </c>
      <c r="C423" s="1" t="n">
        <v>45881</v>
      </c>
      <c r="D423" t="inlineStr">
        <is>
          <t>VÄSTERBOTTENS LÄN</t>
        </is>
      </c>
      <c r="E423" t="inlineStr">
        <is>
          <t>VILHELMINA</t>
        </is>
      </c>
      <c r="G423" t="n">
        <v>31.5</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45881</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59030-2022</t>
        </is>
      </c>
      <c r="B425" s="1" t="n">
        <v>44903</v>
      </c>
      <c r="C425" s="1" t="n">
        <v>45881</v>
      </c>
      <c r="D425" t="inlineStr">
        <is>
          <t>VÄSTERBOTTENS LÄN</t>
        </is>
      </c>
      <c r="E425" t="inlineStr">
        <is>
          <t>VILHELMINA</t>
        </is>
      </c>
      <c r="G425" t="n">
        <v>17.8</v>
      </c>
      <c r="H425" t="n">
        <v>0</v>
      </c>
      <c r="I425" t="n">
        <v>0</v>
      </c>
      <c r="J425" t="n">
        <v>0</v>
      </c>
      <c r="K425" t="n">
        <v>0</v>
      </c>
      <c r="L425" t="n">
        <v>0</v>
      </c>
      <c r="M425" t="n">
        <v>0</v>
      </c>
      <c r="N425" t="n">
        <v>0</v>
      </c>
      <c r="O425" t="n">
        <v>0</v>
      </c>
      <c r="P425" t="n">
        <v>0</v>
      </c>
      <c r="Q425" t="n">
        <v>0</v>
      </c>
      <c r="R425" s="2" t="inlineStr"/>
    </row>
    <row r="426" ht="15" customHeight="1">
      <c r="A426" t="inlineStr">
        <is>
          <t>A 33318-2024</t>
        </is>
      </c>
      <c r="B426" s="1" t="n">
        <v>45518.97211805556</v>
      </c>
      <c r="C426" s="1" t="n">
        <v>45881</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33321-2024</t>
        </is>
      </c>
      <c r="B427" s="1" t="n">
        <v>45518.97256944444</v>
      </c>
      <c r="C427" s="1" t="n">
        <v>45881</v>
      </c>
      <c r="D427" t="inlineStr">
        <is>
          <t>VÄSTERBOTTENS LÄN</t>
        </is>
      </c>
      <c r="E427" t="inlineStr">
        <is>
          <t>VILHELMINA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15884-2025</t>
        </is>
      </c>
      <c r="B428" s="1" t="n">
        <v>45749</v>
      </c>
      <c r="C428" s="1" t="n">
        <v>45881</v>
      </c>
      <c r="D428" t="inlineStr">
        <is>
          <t>VÄSTERBOTTENS LÄN</t>
        </is>
      </c>
      <c r="E428" t="inlineStr">
        <is>
          <t>VILHELMINA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62630-2022</t>
        </is>
      </c>
      <c r="B429" s="1" t="n">
        <v>44917</v>
      </c>
      <c r="C429" s="1" t="n">
        <v>45881</v>
      </c>
      <c r="D429" t="inlineStr">
        <is>
          <t>VÄSTERBOTTENS LÄN</t>
        </is>
      </c>
      <c r="E429" t="inlineStr">
        <is>
          <t>VILHELMINA</t>
        </is>
      </c>
      <c r="G429" t="n">
        <v>0.9</v>
      </c>
      <c r="H429" t="n">
        <v>0</v>
      </c>
      <c r="I429" t="n">
        <v>0</v>
      </c>
      <c r="J429" t="n">
        <v>0</v>
      </c>
      <c r="K429" t="n">
        <v>0</v>
      </c>
      <c r="L429" t="n">
        <v>0</v>
      </c>
      <c r="M429" t="n">
        <v>0</v>
      </c>
      <c r="N429" t="n">
        <v>0</v>
      </c>
      <c r="O429" t="n">
        <v>0</v>
      </c>
      <c r="P429" t="n">
        <v>0</v>
      </c>
      <c r="Q429" t="n">
        <v>0</v>
      </c>
      <c r="R429" s="2" t="inlineStr"/>
    </row>
    <row r="430" ht="15" customHeight="1">
      <c r="A430" t="inlineStr">
        <is>
          <t>A 19397-2023</t>
        </is>
      </c>
      <c r="B430" s="1" t="n">
        <v>45048</v>
      </c>
      <c r="C430" s="1" t="n">
        <v>45881</v>
      </c>
      <c r="D430" t="inlineStr">
        <is>
          <t>VÄSTERBOTTENS LÄN</t>
        </is>
      </c>
      <c r="E430" t="inlineStr">
        <is>
          <t>VILHELMINA</t>
        </is>
      </c>
      <c r="G430" t="n">
        <v>12.8</v>
      </c>
      <c r="H430" t="n">
        <v>0</v>
      </c>
      <c r="I430" t="n">
        <v>0</v>
      </c>
      <c r="J430" t="n">
        <v>0</v>
      </c>
      <c r="K430" t="n">
        <v>0</v>
      </c>
      <c r="L430" t="n">
        <v>0</v>
      </c>
      <c r="M430" t="n">
        <v>0</v>
      </c>
      <c r="N430" t="n">
        <v>0</v>
      </c>
      <c r="O430" t="n">
        <v>0</v>
      </c>
      <c r="P430" t="n">
        <v>0</v>
      </c>
      <c r="Q430" t="n">
        <v>0</v>
      </c>
      <c r="R430" s="2" t="inlineStr"/>
    </row>
    <row r="431" ht="15" customHeight="1">
      <c r="A431" t="inlineStr">
        <is>
          <t>A 16626-2024</t>
        </is>
      </c>
      <c r="B431" s="1" t="n">
        <v>45408</v>
      </c>
      <c r="C431" s="1" t="n">
        <v>45881</v>
      </c>
      <c r="D431" t="inlineStr">
        <is>
          <t>VÄSTERBOTTENS LÄN</t>
        </is>
      </c>
      <c r="E431" t="inlineStr">
        <is>
          <t>VILHELMINA</t>
        </is>
      </c>
      <c r="G431" t="n">
        <v>15.5</v>
      </c>
      <c r="H431" t="n">
        <v>0</v>
      </c>
      <c r="I431" t="n">
        <v>0</v>
      </c>
      <c r="J431" t="n">
        <v>0</v>
      </c>
      <c r="K431" t="n">
        <v>0</v>
      </c>
      <c r="L431" t="n">
        <v>0</v>
      </c>
      <c r="M431" t="n">
        <v>0</v>
      </c>
      <c r="N431" t="n">
        <v>0</v>
      </c>
      <c r="O431" t="n">
        <v>0</v>
      </c>
      <c r="P431" t="n">
        <v>0</v>
      </c>
      <c r="Q431" t="n">
        <v>0</v>
      </c>
      <c r="R431" s="2" t="inlineStr"/>
    </row>
    <row r="432" ht="15" customHeight="1">
      <c r="A432" t="inlineStr">
        <is>
          <t>A 2043-2023</t>
        </is>
      </c>
      <c r="B432" s="1" t="n">
        <v>44939</v>
      </c>
      <c r="C432" s="1" t="n">
        <v>45881</v>
      </c>
      <c r="D432" t="inlineStr">
        <is>
          <t>VÄSTERBOTTENS LÄN</t>
        </is>
      </c>
      <c r="E432" t="inlineStr">
        <is>
          <t>VILHELMINA</t>
        </is>
      </c>
      <c r="F432" t="inlineStr">
        <is>
          <t>Sveaskog</t>
        </is>
      </c>
      <c r="G432" t="n">
        <v>10.5</v>
      </c>
      <c r="H432" t="n">
        <v>0</v>
      </c>
      <c r="I432" t="n">
        <v>0</v>
      </c>
      <c r="J432" t="n">
        <v>0</v>
      </c>
      <c r="K432" t="n">
        <v>0</v>
      </c>
      <c r="L432" t="n">
        <v>0</v>
      </c>
      <c r="M432" t="n">
        <v>0</v>
      </c>
      <c r="N432" t="n">
        <v>0</v>
      </c>
      <c r="O432" t="n">
        <v>0</v>
      </c>
      <c r="P432" t="n">
        <v>0</v>
      </c>
      <c r="Q432" t="n">
        <v>0</v>
      </c>
      <c r="R432" s="2" t="inlineStr"/>
    </row>
    <row r="433" ht="15" customHeight="1">
      <c r="A433" t="inlineStr">
        <is>
          <t>A 33412-2023</t>
        </is>
      </c>
      <c r="B433" s="1" t="n">
        <v>45117</v>
      </c>
      <c r="C433" s="1" t="n">
        <v>45881</v>
      </c>
      <c r="D433" t="inlineStr">
        <is>
          <t>VÄSTERBOTTENS LÄN</t>
        </is>
      </c>
      <c r="E433" t="inlineStr">
        <is>
          <t>VILHELMINA</t>
        </is>
      </c>
      <c r="F433" t="inlineStr">
        <is>
          <t>Övriga Aktiebolag</t>
        </is>
      </c>
      <c r="G433" t="n">
        <v>0.3</v>
      </c>
      <c r="H433" t="n">
        <v>0</v>
      </c>
      <c r="I433" t="n">
        <v>0</v>
      </c>
      <c r="J433" t="n">
        <v>0</v>
      </c>
      <c r="K433" t="n">
        <v>0</v>
      </c>
      <c r="L433" t="n">
        <v>0</v>
      </c>
      <c r="M433" t="n">
        <v>0</v>
      </c>
      <c r="N433" t="n">
        <v>0</v>
      </c>
      <c r="O433" t="n">
        <v>0</v>
      </c>
      <c r="P433" t="n">
        <v>0</v>
      </c>
      <c r="Q433" t="n">
        <v>0</v>
      </c>
      <c r="R433" s="2" t="inlineStr"/>
    </row>
    <row r="434" ht="15" customHeight="1">
      <c r="A434" t="inlineStr">
        <is>
          <t>A 57246-2023</t>
        </is>
      </c>
      <c r="B434" s="1" t="n">
        <v>45239</v>
      </c>
      <c r="C434" s="1" t="n">
        <v>45881</v>
      </c>
      <c r="D434" t="inlineStr">
        <is>
          <t>VÄSTERBOTTENS LÄN</t>
        </is>
      </c>
      <c r="E434" t="inlineStr">
        <is>
          <t>VILHELMINA</t>
        </is>
      </c>
      <c r="G434" t="n">
        <v>15.3</v>
      </c>
      <c r="H434" t="n">
        <v>0</v>
      </c>
      <c r="I434" t="n">
        <v>0</v>
      </c>
      <c r="J434" t="n">
        <v>0</v>
      </c>
      <c r="K434" t="n">
        <v>0</v>
      </c>
      <c r="L434" t="n">
        <v>0</v>
      </c>
      <c r="M434" t="n">
        <v>0</v>
      </c>
      <c r="N434" t="n">
        <v>0</v>
      </c>
      <c r="O434" t="n">
        <v>0</v>
      </c>
      <c r="P434" t="n">
        <v>0</v>
      </c>
      <c r="Q434" t="n">
        <v>0</v>
      </c>
      <c r="R434" s="2" t="inlineStr"/>
    </row>
    <row r="435" ht="15" customHeight="1">
      <c r="A435" t="inlineStr">
        <is>
          <t>A 55870-2022</t>
        </is>
      </c>
      <c r="B435" s="1" t="n">
        <v>44888</v>
      </c>
      <c r="C435" s="1" t="n">
        <v>45881</v>
      </c>
      <c r="D435" t="inlineStr">
        <is>
          <t>VÄSTERBOTTENS LÄN</t>
        </is>
      </c>
      <c r="E435" t="inlineStr">
        <is>
          <t>VILHELMINA</t>
        </is>
      </c>
      <c r="G435" t="n">
        <v>13.6</v>
      </c>
      <c r="H435" t="n">
        <v>0</v>
      </c>
      <c r="I435" t="n">
        <v>0</v>
      </c>
      <c r="J435" t="n">
        <v>0</v>
      </c>
      <c r="K435" t="n">
        <v>0</v>
      </c>
      <c r="L435" t="n">
        <v>0</v>
      </c>
      <c r="M435" t="n">
        <v>0</v>
      </c>
      <c r="N435" t="n">
        <v>0</v>
      </c>
      <c r="O435" t="n">
        <v>0</v>
      </c>
      <c r="P435" t="n">
        <v>0</v>
      </c>
      <c r="Q435" t="n">
        <v>0</v>
      </c>
      <c r="R435" s="2" t="inlineStr"/>
    </row>
    <row r="436" ht="15" customHeight="1">
      <c r="A436" t="inlineStr">
        <is>
          <t>A 48423-2023</t>
        </is>
      </c>
      <c r="B436" s="1" t="n">
        <v>45205</v>
      </c>
      <c r="C436" s="1" t="n">
        <v>45881</v>
      </c>
      <c r="D436" t="inlineStr">
        <is>
          <t>VÄSTERBOTTENS LÄN</t>
        </is>
      </c>
      <c r="E436" t="inlineStr">
        <is>
          <t>VILHELMINA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56246-2023</t>
        </is>
      </c>
      <c r="B437" s="1" t="n">
        <v>45240</v>
      </c>
      <c r="C437" s="1" t="n">
        <v>45881</v>
      </c>
      <c r="D437" t="inlineStr">
        <is>
          <t>VÄSTERBOTTENS LÄN</t>
        </is>
      </c>
      <c r="E437" t="inlineStr">
        <is>
          <t>VILHELMINA</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12866-2023</t>
        </is>
      </c>
      <c r="B438" s="1" t="n">
        <v>45000</v>
      </c>
      <c r="C438" s="1" t="n">
        <v>45881</v>
      </c>
      <c r="D438" t="inlineStr">
        <is>
          <t>VÄSTERBOTTENS LÄN</t>
        </is>
      </c>
      <c r="E438" t="inlineStr">
        <is>
          <t>VILHELMINA</t>
        </is>
      </c>
      <c r="G438" t="n">
        <v>2.6</v>
      </c>
      <c r="H438" t="n">
        <v>0</v>
      </c>
      <c r="I438" t="n">
        <v>0</v>
      </c>
      <c r="J438" t="n">
        <v>0</v>
      </c>
      <c r="K438" t="n">
        <v>0</v>
      </c>
      <c r="L438" t="n">
        <v>0</v>
      </c>
      <c r="M438" t="n">
        <v>0</v>
      </c>
      <c r="N438" t="n">
        <v>0</v>
      </c>
      <c r="O438" t="n">
        <v>0</v>
      </c>
      <c r="P438" t="n">
        <v>0</v>
      </c>
      <c r="Q438" t="n">
        <v>0</v>
      </c>
      <c r="R438" s="2" t="inlineStr"/>
    </row>
    <row r="439" ht="15" customHeight="1">
      <c r="A439" t="inlineStr">
        <is>
          <t>A 51131-2024</t>
        </is>
      </c>
      <c r="B439" s="1" t="n">
        <v>45603</v>
      </c>
      <c r="C439" s="1" t="n">
        <v>45881</v>
      </c>
      <c r="D439" t="inlineStr">
        <is>
          <t>VÄSTERBOTTENS LÄN</t>
        </is>
      </c>
      <c r="E439" t="inlineStr">
        <is>
          <t>VILHELMINA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54931-2023</t>
        </is>
      </c>
      <c r="B440" s="1" t="n">
        <v>45229</v>
      </c>
      <c r="C440" s="1" t="n">
        <v>45881</v>
      </c>
      <c r="D440" t="inlineStr">
        <is>
          <t>VÄSTERBOTTENS LÄN</t>
        </is>
      </c>
      <c r="E440" t="inlineStr">
        <is>
          <t>VILHELMINA</t>
        </is>
      </c>
      <c r="G440" t="n">
        <v>14.5</v>
      </c>
      <c r="H440" t="n">
        <v>0</v>
      </c>
      <c r="I440" t="n">
        <v>0</v>
      </c>
      <c r="J440" t="n">
        <v>0</v>
      </c>
      <c r="K440" t="n">
        <v>0</v>
      </c>
      <c r="L440" t="n">
        <v>0</v>
      </c>
      <c r="M440" t="n">
        <v>0</v>
      </c>
      <c r="N440" t="n">
        <v>0</v>
      </c>
      <c r="O440" t="n">
        <v>0</v>
      </c>
      <c r="P440" t="n">
        <v>0</v>
      </c>
      <c r="Q440" t="n">
        <v>0</v>
      </c>
      <c r="R440" s="2" t="inlineStr"/>
    </row>
    <row r="441" ht="15" customHeight="1">
      <c r="A441" t="inlineStr">
        <is>
          <t>A 42976-2024</t>
        </is>
      </c>
      <c r="B441" s="1" t="n">
        <v>45567.37387731481</v>
      </c>
      <c r="C441" s="1" t="n">
        <v>45881</v>
      </c>
      <c r="D441" t="inlineStr">
        <is>
          <t>VÄSTERBOTTENS LÄN</t>
        </is>
      </c>
      <c r="E441" t="inlineStr">
        <is>
          <t>VILHELMINA</t>
        </is>
      </c>
      <c r="F441" t="inlineStr">
        <is>
          <t>SCA</t>
        </is>
      </c>
      <c r="G441" t="n">
        <v>20.6</v>
      </c>
      <c r="H441" t="n">
        <v>0</v>
      </c>
      <c r="I441" t="n">
        <v>0</v>
      </c>
      <c r="J441" t="n">
        <v>0</v>
      </c>
      <c r="K441" t="n">
        <v>0</v>
      </c>
      <c r="L441" t="n">
        <v>0</v>
      </c>
      <c r="M441" t="n">
        <v>0</v>
      </c>
      <c r="N441" t="n">
        <v>0</v>
      </c>
      <c r="O441" t="n">
        <v>0</v>
      </c>
      <c r="P441" t="n">
        <v>0</v>
      </c>
      <c r="Q441" t="n">
        <v>0</v>
      </c>
      <c r="R441" s="2" t="inlineStr"/>
    </row>
    <row r="442" ht="15" customHeight="1">
      <c r="A442" t="inlineStr">
        <is>
          <t>A 72494-2021</t>
        </is>
      </c>
      <c r="B442" s="1" t="n">
        <v>44545.92059027778</v>
      </c>
      <c r="C442" s="1" t="n">
        <v>45881</v>
      </c>
      <c r="D442" t="inlineStr">
        <is>
          <t>VÄSTERBOTTENS LÄN</t>
        </is>
      </c>
      <c r="E442" t="inlineStr">
        <is>
          <t>VILHELMINA</t>
        </is>
      </c>
      <c r="G442" t="n">
        <v>4.2</v>
      </c>
      <c r="H442" t="n">
        <v>0</v>
      </c>
      <c r="I442" t="n">
        <v>0</v>
      </c>
      <c r="J442" t="n">
        <v>0</v>
      </c>
      <c r="K442" t="n">
        <v>0</v>
      </c>
      <c r="L442" t="n">
        <v>0</v>
      </c>
      <c r="M442" t="n">
        <v>0</v>
      </c>
      <c r="N442" t="n">
        <v>0</v>
      </c>
      <c r="O442" t="n">
        <v>0</v>
      </c>
      <c r="P442" t="n">
        <v>0</v>
      </c>
      <c r="Q442" t="n">
        <v>0</v>
      </c>
      <c r="R442" s="2" t="inlineStr"/>
    </row>
    <row r="443" ht="15" customHeight="1">
      <c r="A443" t="inlineStr">
        <is>
          <t>A 58207-2022</t>
        </is>
      </c>
      <c r="B443" s="1" t="n">
        <v>44901</v>
      </c>
      <c r="C443" s="1" t="n">
        <v>45881</v>
      </c>
      <c r="D443" t="inlineStr">
        <is>
          <t>VÄSTERBOTTENS LÄN</t>
        </is>
      </c>
      <c r="E443" t="inlineStr">
        <is>
          <t>VILHELMINA</t>
        </is>
      </c>
      <c r="G443" t="n">
        <v>143.2</v>
      </c>
      <c r="H443" t="n">
        <v>0</v>
      </c>
      <c r="I443" t="n">
        <v>0</v>
      </c>
      <c r="J443" t="n">
        <v>0</v>
      </c>
      <c r="K443" t="n">
        <v>0</v>
      </c>
      <c r="L443" t="n">
        <v>0</v>
      </c>
      <c r="M443" t="n">
        <v>0</v>
      </c>
      <c r="N443" t="n">
        <v>0</v>
      </c>
      <c r="O443" t="n">
        <v>0</v>
      </c>
      <c r="P443" t="n">
        <v>0</v>
      </c>
      <c r="Q443" t="n">
        <v>0</v>
      </c>
      <c r="R443" s="2" t="inlineStr"/>
    </row>
    <row r="444" ht="15" customHeight="1">
      <c r="A444" t="inlineStr">
        <is>
          <t>A 7982-2025</t>
        </is>
      </c>
      <c r="B444" s="1" t="n">
        <v>45707.46905092592</v>
      </c>
      <c r="C444" s="1" t="n">
        <v>45881</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43987-2024</t>
        </is>
      </c>
      <c r="B445" s="1" t="n">
        <v>45572.51092592593</v>
      </c>
      <c r="C445" s="1" t="n">
        <v>45881</v>
      </c>
      <c r="D445" t="inlineStr">
        <is>
          <t>VÄSTERBOTTENS LÄN</t>
        </is>
      </c>
      <c r="E445" t="inlineStr">
        <is>
          <t>VILHELMINA</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248-2025</t>
        </is>
      </c>
      <c r="B446" s="1" t="n">
        <v>45660.419375</v>
      </c>
      <c r="C446" s="1" t="n">
        <v>45881</v>
      </c>
      <c r="D446" t="inlineStr">
        <is>
          <t>VÄSTERBOTTENS LÄN</t>
        </is>
      </c>
      <c r="E446" t="inlineStr">
        <is>
          <t>VILHELMINA</t>
        </is>
      </c>
      <c r="G446" t="n">
        <v>11</v>
      </c>
      <c r="H446" t="n">
        <v>0</v>
      </c>
      <c r="I446" t="n">
        <v>0</v>
      </c>
      <c r="J446" t="n">
        <v>0</v>
      </c>
      <c r="K446" t="n">
        <v>0</v>
      </c>
      <c r="L446" t="n">
        <v>0</v>
      </c>
      <c r="M446" t="n">
        <v>0</v>
      </c>
      <c r="N446" t="n">
        <v>0</v>
      </c>
      <c r="O446" t="n">
        <v>0</v>
      </c>
      <c r="P446" t="n">
        <v>0</v>
      </c>
      <c r="Q446" t="n">
        <v>0</v>
      </c>
      <c r="R446" s="2" t="inlineStr"/>
    </row>
    <row r="447" ht="15" customHeight="1">
      <c r="A447" t="inlineStr">
        <is>
          <t>A 9197-2023</t>
        </is>
      </c>
      <c r="B447" s="1" t="n">
        <v>44977</v>
      </c>
      <c r="C447" s="1" t="n">
        <v>45881</v>
      </c>
      <c r="D447" t="inlineStr">
        <is>
          <t>VÄSTERBOTTENS LÄN</t>
        </is>
      </c>
      <c r="E447" t="inlineStr">
        <is>
          <t>VILHELMINA</t>
        </is>
      </c>
      <c r="G447" t="n">
        <v>8.9</v>
      </c>
      <c r="H447" t="n">
        <v>0</v>
      </c>
      <c r="I447" t="n">
        <v>0</v>
      </c>
      <c r="J447" t="n">
        <v>0</v>
      </c>
      <c r="K447" t="n">
        <v>0</v>
      </c>
      <c r="L447" t="n">
        <v>0</v>
      </c>
      <c r="M447" t="n">
        <v>0</v>
      </c>
      <c r="N447" t="n">
        <v>0</v>
      </c>
      <c r="O447" t="n">
        <v>0</v>
      </c>
      <c r="P447" t="n">
        <v>0</v>
      </c>
      <c r="Q447" t="n">
        <v>0</v>
      </c>
      <c r="R447" s="2" t="inlineStr"/>
    </row>
    <row r="448" ht="15" customHeight="1">
      <c r="A448" t="inlineStr">
        <is>
          <t>A 15176-2022</t>
        </is>
      </c>
      <c r="B448" s="1" t="n">
        <v>44658</v>
      </c>
      <c r="C448" s="1" t="n">
        <v>45881</v>
      </c>
      <c r="D448" t="inlineStr">
        <is>
          <t>VÄSTERBOTTENS LÄN</t>
        </is>
      </c>
      <c r="E448" t="inlineStr">
        <is>
          <t>VILHELMINA</t>
        </is>
      </c>
      <c r="G448" t="n">
        <v>1.6</v>
      </c>
      <c r="H448" t="n">
        <v>0</v>
      </c>
      <c r="I448" t="n">
        <v>0</v>
      </c>
      <c r="J448" t="n">
        <v>0</v>
      </c>
      <c r="K448" t="n">
        <v>0</v>
      </c>
      <c r="L448" t="n">
        <v>0</v>
      </c>
      <c r="M448" t="n">
        <v>0</v>
      </c>
      <c r="N448" t="n">
        <v>0</v>
      </c>
      <c r="O448" t="n">
        <v>0</v>
      </c>
      <c r="P448" t="n">
        <v>0</v>
      </c>
      <c r="Q448" t="n">
        <v>0</v>
      </c>
      <c r="R448" s="2" t="inlineStr"/>
    </row>
    <row r="449" ht="15" customHeight="1">
      <c r="A449" t="inlineStr">
        <is>
          <t>A 46316-2022</t>
        </is>
      </c>
      <c r="B449" s="1" t="n">
        <v>44847</v>
      </c>
      <c r="C449" s="1" t="n">
        <v>45881</v>
      </c>
      <c r="D449" t="inlineStr">
        <is>
          <t>VÄSTERBOTTENS LÄN</t>
        </is>
      </c>
      <c r="E449" t="inlineStr">
        <is>
          <t>VILHELMINA</t>
        </is>
      </c>
      <c r="G449" t="n">
        <v>2.1</v>
      </c>
      <c r="H449" t="n">
        <v>0</v>
      </c>
      <c r="I449" t="n">
        <v>0</v>
      </c>
      <c r="J449" t="n">
        <v>0</v>
      </c>
      <c r="K449" t="n">
        <v>0</v>
      </c>
      <c r="L449" t="n">
        <v>0</v>
      </c>
      <c r="M449" t="n">
        <v>0</v>
      </c>
      <c r="N449" t="n">
        <v>0</v>
      </c>
      <c r="O449" t="n">
        <v>0</v>
      </c>
      <c r="P449" t="n">
        <v>0</v>
      </c>
      <c r="Q449" t="n">
        <v>0</v>
      </c>
      <c r="R449" s="2" t="inlineStr"/>
    </row>
    <row r="450" ht="15" customHeight="1">
      <c r="A450" t="inlineStr">
        <is>
          <t>A 35755-2023</t>
        </is>
      </c>
      <c r="B450" s="1" t="n">
        <v>45147.9540625</v>
      </c>
      <c r="C450" s="1" t="n">
        <v>45881</v>
      </c>
      <c r="D450" t="inlineStr">
        <is>
          <t>VÄSTERBOTTENS LÄN</t>
        </is>
      </c>
      <c r="E450" t="inlineStr">
        <is>
          <t>VILHELMINA</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664-2022</t>
        </is>
      </c>
      <c r="B451" s="1" t="n">
        <v>44568</v>
      </c>
      <c r="C451" s="1" t="n">
        <v>45881</v>
      </c>
      <c r="D451" t="inlineStr">
        <is>
          <t>VÄSTERBOTTENS LÄN</t>
        </is>
      </c>
      <c r="E451" t="inlineStr">
        <is>
          <t>VILHELMINA</t>
        </is>
      </c>
      <c r="G451" t="n">
        <v>1.8</v>
      </c>
      <c r="H451" t="n">
        <v>0</v>
      </c>
      <c r="I451" t="n">
        <v>0</v>
      </c>
      <c r="J451" t="n">
        <v>0</v>
      </c>
      <c r="K451" t="n">
        <v>0</v>
      </c>
      <c r="L451" t="n">
        <v>0</v>
      </c>
      <c r="M451" t="n">
        <v>0</v>
      </c>
      <c r="N451" t="n">
        <v>0</v>
      </c>
      <c r="O451" t="n">
        <v>0</v>
      </c>
      <c r="P451" t="n">
        <v>0</v>
      </c>
      <c r="Q451" t="n">
        <v>0</v>
      </c>
      <c r="R451" s="2" t="inlineStr"/>
    </row>
    <row r="452" ht="15" customHeight="1">
      <c r="A452" t="inlineStr">
        <is>
          <t>A 36219-2023</t>
        </is>
      </c>
      <c r="B452" s="1" t="n">
        <v>45149.95310185185</v>
      </c>
      <c r="C452" s="1" t="n">
        <v>45881</v>
      </c>
      <c r="D452" t="inlineStr">
        <is>
          <t>VÄSTERBOTTENS LÄN</t>
        </is>
      </c>
      <c r="E452" t="inlineStr">
        <is>
          <t>VILHELMINA</t>
        </is>
      </c>
      <c r="F452" t="inlineStr">
        <is>
          <t>SCA</t>
        </is>
      </c>
      <c r="G452" t="n">
        <v>7.3</v>
      </c>
      <c r="H452" t="n">
        <v>0</v>
      </c>
      <c r="I452" t="n">
        <v>0</v>
      </c>
      <c r="J452" t="n">
        <v>0</v>
      </c>
      <c r="K452" t="n">
        <v>0</v>
      </c>
      <c r="L452" t="n">
        <v>0</v>
      </c>
      <c r="M452" t="n">
        <v>0</v>
      </c>
      <c r="N452" t="n">
        <v>0</v>
      </c>
      <c r="O452" t="n">
        <v>0</v>
      </c>
      <c r="P452" t="n">
        <v>0</v>
      </c>
      <c r="Q452" t="n">
        <v>0</v>
      </c>
      <c r="R452" s="2" t="inlineStr"/>
    </row>
    <row r="453" ht="15" customHeight="1">
      <c r="A453" t="inlineStr">
        <is>
          <t>A 11538-2024</t>
        </is>
      </c>
      <c r="B453" s="1" t="n">
        <v>45372</v>
      </c>
      <c r="C453" s="1" t="n">
        <v>45881</v>
      </c>
      <c r="D453" t="inlineStr">
        <is>
          <t>VÄSTERBOTTENS LÄN</t>
        </is>
      </c>
      <c r="E453" t="inlineStr">
        <is>
          <t>VILHELMINA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35758-2023</t>
        </is>
      </c>
      <c r="B454" s="1" t="n">
        <v>45147.95452546296</v>
      </c>
      <c r="C454" s="1" t="n">
        <v>45881</v>
      </c>
      <c r="D454" t="inlineStr">
        <is>
          <t>VÄSTERBOTTENS LÄN</t>
        </is>
      </c>
      <c r="E454" t="inlineStr">
        <is>
          <t>VILHELMINA</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35409-2024</t>
        </is>
      </c>
      <c r="B455" s="1" t="n">
        <v>45531</v>
      </c>
      <c r="C455" s="1" t="n">
        <v>45881</v>
      </c>
      <c r="D455" t="inlineStr">
        <is>
          <t>VÄSTERBOTTENS LÄN</t>
        </is>
      </c>
      <c r="E455" t="inlineStr">
        <is>
          <t>VILHELMINA</t>
        </is>
      </c>
      <c r="F455" t="inlineStr">
        <is>
          <t>SCA</t>
        </is>
      </c>
      <c r="G455" t="n">
        <v>13.1</v>
      </c>
      <c r="H455" t="n">
        <v>0</v>
      </c>
      <c r="I455" t="n">
        <v>0</v>
      </c>
      <c r="J455" t="n">
        <v>0</v>
      </c>
      <c r="K455" t="n">
        <v>0</v>
      </c>
      <c r="L455" t="n">
        <v>0</v>
      </c>
      <c r="M455" t="n">
        <v>0</v>
      </c>
      <c r="N455" t="n">
        <v>0</v>
      </c>
      <c r="O455" t="n">
        <v>0</v>
      </c>
      <c r="P455" t="n">
        <v>0</v>
      </c>
      <c r="Q455" t="n">
        <v>0</v>
      </c>
      <c r="R455" s="2" t="inlineStr"/>
    </row>
    <row r="456" ht="15" customHeight="1">
      <c r="A456" t="inlineStr">
        <is>
          <t>A 58456-2023</t>
        </is>
      </c>
      <c r="B456" s="1" t="n">
        <v>45250.96092592592</v>
      </c>
      <c r="C456" s="1" t="n">
        <v>45881</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38125-2024</t>
        </is>
      </c>
      <c r="B457" s="1" t="n">
        <v>45545.40717592592</v>
      </c>
      <c r="C457" s="1" t="n">
        <v>45881</v>
      </c>
      <c r="D457" t="inlineStr">
        <is>
          <t>VÄSTERBOTTENS LÄN</t>
        </is>
      </c>
      <c r="E457" t="inlineStr">
        <is>
          <t>VILHELMINA</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38126-2024</t>
        </is>
      </c>
      <c r="B458" s="1" t="n">
        <v>45545</v>
      </c>
      <c r="C458" s="1" t="n">
        <v>45881</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38130-2024</t>
        </is>
      </c>
      <c r="B459" s="1" t="n">
        <v>45545</v>
      </c>
      <c r="C459" s="1" t="n">
        <v>45881</v>
      </c>
      <c r="D459" t="inlineStr">
        <is>
          <t>VÄSTERBOTTENS LÄN</t>
        </is>
      </c>
      <c r="E459" t="inlineStr">
        <is>
          <t>VILHELMINA</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60549-2022</t>
        </is>
      </c>
      <c r="B460" s="1" t="n">
        <v>44911.51318287037</v>
      </c>
      <c r="C460" s="1" t="n">
        <v>45881</v>
      </c>
      <c r="D460" t="inlineStr">
        <is>
          <t>VÄSTERBOTTENS LÄN</t>
        </is>
      </c>
      <c r="E460" t="inlineStr">
        <is>
          <t>VILHELMINA</t>
        </is>
      </c>
      <c r="G460" t="n">
        <v>3.8</v>
      </c>
      <c r="H460" t="n">
        <v>0</v>
      </c>
      <c r="I460" t="n">
        <v>0</v>
      </c>
      <c r="J460" t="n">
        <v>0</v>
      </c>
      <c r="K460" t="n">
        <v>0</v>
      </c>
      <c r="L460" t="n">
        <v>0</v>
      </c>
      <c r="M460" t="n">
        <v>0</v>
      </c>
      <c r="N460" t="n">
        <v>0</v>
      </c>
      <c r="O460" t="n">
        <v>0</v>
      </c>
      <c r="P460" t="n">
        <v>0</v>
      </c>
      <c r="Q460" t="n">
        <v>0</v>
      </c>
      <c r="R460" s="2" t="inlineStr"/>
    </row>
    <row r="461" ht="15" customHeight="1">
      <c r="A461" t="inlineStr">
        <is>
          <t>A 39670-2024</t>
        </is>
      </c>
      <c r="B461" s="1" t="n">
        <v>45552.5315162037</v>
      </c>
      <c r="C461" s="1" t="n">
        <v>45881</v>
      </c>
      <c r="D461" t="inlineStr">
        <is>
          <t>VÄSTERBOTTENS LÄN</t>
        </is>
      </c>
      <c r="E461" t="inlineStr">
        <is>
          <t>VILHELMINA</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12368-2025</t>
        </is>
      </c>
      <c r="B462" s="1" t="n">
        <v>45730.37633101852</v>
      </c>
      <c r="C462" s="1" t="n">
        <v>45881</v>
      </c>
      <c r="D462" t="inlineStr">
        <is>
          <t>VÄSTERBOTTENS LÄN</t>
        </is>
      </c>
      <c r="E462" t="inlineStr">
        <is>
          <t>VILHELMINA</t>
        </is>
      </c>
      <c r="F462" t="inlineStr">
        <is>
          <t>Övriga statliga verk och myndigheter</t>
        </is>
      </c>
      <c r="G462" t="n">
        <v>14.8</v>
      </c>
      <c r="H462" t="n">
        <v>0</v>
      </c>
      <c r="I462" t="n">
        <v>0</v>
      </c>
      <c r="J462" t="n">
        <v>0</v>
      </c>
      <c r="K462" t="n">
        <v>0</v>
      </c>
      <c r="L462" t="n">
        <v>0</v>
      </c>
      <c r="M462" t="n">
        <v>0</v>
      </c>
      <c r="N462" t="n">
        <v>0</v>
      </c>
      <c r="O462" t="n">
        <v>0</v>
      </c>
      <c r="P462" t="n">
        <v>0</v>
      </c>
      <c r="Q462" t="n">
        <v>0</v>
      </c>
      <c r="R462" s="2" t="inlineStr"/>
    </row>
    <row r="463" ht="15" customHeight="1">
      <c r="A463" t="inlineStr">
        <is>
          <t>A 12373-2025</t>
        </is>
      </c>
      <c r="B463" s="1" t="n">
        <v>45730</v>
      </c>
      <c r="C463" s="1" t="n">
        <v>45881</v>
      </c>
      <c r="D463" t="inlineStr">
        <is>
          <t>VÄSTERBOTTENS LÄN</t>
        </is>
      </c>
      <c r="E463" t="inlineStr">
        <is>
          <t>VILHELMINA</t>
        </is>
      </c>
      <c r="F463" t="inlineStr">
        <is>
          <t>Övriga statliga verk och myndigheter</t>
        </is>
      </c>
      <c r="G463" t="n">
        <v>25.5</v>
      </c>
      <c r="H463" t="n">
        <v>0</v>
      </c>
      <c r="I463" t="n">
        <v>0</v>
      </c>
      <c r="J463" t="n">
        <v>0</v>
      </c>
      <c r="K463" t="n">
        <v>0</v>
      </c>
      <c r="L463" t="n">
        <v>0</v>
      </c>
      <c r="M463" t="n">
        <v>0</v>
      </c>
      <c r="N463" t="n">
        <v>0</v>
      </c>
      <c r="O463" t="n">
        <v>0</v>
      </c>
      <c r="P463" t="n">
        <v>0</v>
      </c>
      <c r="Q463" t="n">
        <v>0</v>
      </c>
      <c r="R463" s="2" t="inlineStr"/>
    </row>
    <row r="464" ht="15" customHeight="1">
      <c r="A464" t="inlineStr">
        <is>
          <t>A 64254-2020</t>
        </is>
      </c>
      <c r="B464" s="1" t="n">
        <v>44168</v>
      </c>
      <c r="C464" s="1" t="n">
        <v>45881</v>
      </c>
      <c r="D464" t="inlineStr">
        <is>
          <t>VÄSTERBOTTENS LÄN</t>
        </is>
      </c>
      <c r="E464" t="inlineStr">
        <is>
          <t>VILHELMINA</t>
        </is>
      </c>
      <c r="G464" t="n">
        <v>17.6</v>
      </c>
      <c r="H464" t="n">
        <v>0</v>
      </c>
      <c r="I464" t="n">
        <v>0</v>
      </c>
      <c r="J464" t="n">
        <v>0</v>
      </c>
      <c r="K464" t="n">
        <v>0</v>
      </c>
      <c r="L464" t="n">
        <v>0</v>
      </c>
      <c r="M464" t="n">
        <v>0</v>
      </c>
      <c r="N464" t="n">
        <v>0</v>
      </c>
      <c r="O464" t="n">
        <v>0</v>
      </c>
      <c r="P464" t="n">
        <v>0</v>
      </c>
      <c r="Q464" t="n">
        <v>0</v>
      </c>
      <c r="R464" s="2" t="inlineStr"/>
    </row>
    <row r="465" ht="15" customHeight="1">
      <c r="A465" t="inlineStr">
        <is>
          <t>A 60782-2023</t>
        </is>
      </c>
      <c r="B465" s="1" t="n">
        <v>45259</v>
      </c>
      <c r="C465" s="1" t="n">
        <v>45881</v>
      </c>
      <c r="D465" t="inlineStr">
        <is>
          <t>VÄSTERBOTTENS LÄN</t>
        </is>
      </c>
      <c r="E465" t="inlineStr">
        <is>
          <t>VILHELMINA</t>
        </is>
      </c>
      <c r="G465" t="n">
        <v>12.7</v>
      </c>
      <c r="H465" t="n">
        <v>0</v>
      </c>
      <c r="I465" t="n">
        <v>0</v>
      </c>
      <c r="J465" t="n">
        <v>0</v>
      </c>
      <c r="K465" t="n">
        <v>0</v>
      </c>
      <c r="L465" t="n">
        <v>0</v>
      </c>
      <c r="M465" t="n">
        <v>0</v>
      </c>
      <c r="N465" t="n">
        <v>0</v>
      </c>
      <c r="O465" t="n">
        <v>0</v>
      </c>
      <c r="P465" t="n">
        <v>0</v>
      </c>
      <c r="Q465" t="n">
        <v>0</v>
      </c>
      <c r="R465" s="2" t="inlineStr"/>
    </row>
    <row r="466" ht="15" customHeight="1">
      <c r="A466" t="inlineStr">
        <is>
          <t>A 22457-2025</t>
        </is>
      </c>
      <c r="B466" s="1" t="n">
        <v>45786</v>
      </c>
      <c r="C466" s="1" t="n">
        <v>45881</v>
      </c>
      <c r="D466" t="inlineStr">
        <is>
          <t>VÄSTERBOTTENS LÄN</t>
        </is>
      </c>
      <c r="E466" t="inlineStr">
        <is>
          <t>VILHELMINA</t>
        </is>
      </c>
      <c r="G466" t="n">
        <v>10.8</v>
      </c>
      <c r="H466" t="n">
        <v>0</v>
      </c>
      <c r="I466" t="n">
        <v>0</v>
      </c>
      <c r="J466" t="n">
        <v>0</v>
      </c>
      <c r="K466" t="n">
        <v>0</v>
      </c>
      <c r="L466" t="n">
        <v>0</v>
      </c>
      <c r="M466" t="n">
        <v>0</v>
      </c>
      <c r="N466" t="n">
        <v>0</v>
      </c>
      <c r="O466" t="n">
        <v>0</v>
      </c>
      <c r="P466" t="n">
        <v>0</v>
      </c>
      <c r="Q466" t="n">
        <v>0</v>
      </c>
      <c r="R466" s="2" t="inlineStr"/>
    </row>
    <row r="467" ht="15" customHeight="1">
      <c r="A467" t="inlineStr">
        <is>
          <t>A 9815-2024</t>
        </is>
      </c>
      <c r="B467" s="1" t="n">
        <v>45362.96927083333</v>
      </c>
      <c r="C467" s="1" t="n">
        <v>45881</v>
      </c>
      <c r="D467" t="inlineStr">
        <is>
          <t>VÄSTERBOTTENS LÄN</t>
        </is>
      </c>
      <c r="E467" t="inlineStr">
        <is>
          <t>VILHELMINA</t>
        </is>
      </c>
      <c r="G467" t="n">
        <v>1.3</v>
      </c>
      <c r="H467" t="n">
        <v>0</v>
      </c>
      <c r="I467" t="n">
        <v>0</v>
      </c>
      <c r="J467" t="n">
        <v>0</v>
      </c>
      <c r="K467" t="n">
        <v>0</v>
      </c>
      <c r="L467" t="n">
        <v>0</v>
      </c>
      <c r="M467" t="n">
        <v>0</v>
      </c>
      <c r="N467" t="n">
        <v>0</v>
      </c>
      <c r="O467" t="n">
        <v>0</v>
      </c>
      <c r="P467" t="n">
        <v>0</v>
      </c>
      <c r="Q467" t="n">
        <v>0</v>
      </c>
      <c r="R467" s="2" t="inlineStr"/>
    </row>
    <row r="468" ht="15" customHeight="1">
      <c r="A468" t="inlineStr">
        <is>
          <t>A 60151-2024</t>
        </is>
      </c>
      <c r="B468" s="1" t="n">
        <v>45642.61490740741</v>
      </c>
      <c r="C468" s="1" t="n">
        <v>45881</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8908-2023</t>
        </is>
      </c>
      <c r="B469" s="1" t="n">
        <v>44972</v>
      </c>
      <c r="C469" s="1" t="n">
        <v>45881</v>
      </c>
      <c r="D469" t="inlineStr">
        <is>
          <t>VÄSTERBOTTENS LÄN</t>
        </is>
      </c>
      <c r="E469" t="inlineStr">
        <is>
          <t>VILHELMINA</t>
        </is>
      </c>
      <c r="F469" t="inlineStr">
        <is>
          <t>Allmännings- och besparingsskogar</t>
        </is>
      </c>
      <c r="G469" t="n">
        <v>22.3</v>
      </c>
      <c r="H469" t="n">
        <v>0</v>
      </c>
      <c r="I469" t="n">
        <v>0</v>
      </c>
      <c r="J469" t="n">
        <v>0</v>
      </c>
      <c r="K469" t="n">
        <v>0</v>
      </c>
      <c r="L469" t="n">
        <v>0</v>
      </c>
      <c r="M469" t="n">
        <v>0</v>
      </c>
      <c r="N469" t="n">
        <v>0</v>
      </c>
      <c r="O469" t="n">
        <v>0</v>
      </c>
      <c r="P469" t="n">
        <v>0</v>
      </c>
      <c r="Q469" t="n">
        <v>0</v>
      </c>
      <c r="R469" s="2" t="inlineStr"/>
    </row>
    <row r="470" ht="15" customHeight="1">
      <c r="A470" t="inlineStr">
        <is>
          <t>A 37514-2024</t>
        </is>
      </c>
      <c r="B470" s="1" t="n">
        <v>45541.38586805556</v>
      </c>
      <c r="C470" s="1" t="n">
        <v>45881</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61048-2022</t>
        </is>
      </c>
      <c r="B471" s="1" t="n">
        <v>44914</v>
      </c>
      <c r="C471" s="1" t="n">
        <v>45881</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12229-2022</t>
        </is>
      </c>
      <c r="B472" s="1" t="n">
        <v>44637</v>
      </c>
      <c r="C472" s="1" t="n">
        <v>45881</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45007-2024</t>
        </is>
      </c>
      <c r="B473" s="1" t="n">
        <v>45575.49100694444</v>
      </c>
      <c r="C473" s="1" t="n">
        <v>45881</v>
      </c>
      <c r="D473" t="inlineStr">
        <is>
          <t>VÄSTERBOTTENS LÄN</t>
        </is>
      </c>
      <c r="E473" t="inlineStr">
        <is>
          <t>VILHELMINA</t>
        </is>
      </c>
      <c r="F473" t="inlineStr">
        <is>
          <t>SCA</t>
        </is>
      </c>
      <c r="G473" t="n">
        <v>14.8</v>
      </c>
      <c r="H473" t="n">
        <v>0</v>
      </c>
      <c r="I473" t="n">
        <v>0</v>
      </c>
      <c r="J473" t="n">
        <v>0</v>
      </c>
      <c r="K473" t="n">
        <v>0</v>
      </c>
      <c r="L473" t="n">
        <v>0</v>
      </c>
      <c r="M473" t="n">
        <v>0</v>
      </c>
      <c r="N473" t="n">
        <v>0</v>
      </c>
      <c r="O473" t="n">
        <v>0</v>
      </c>
      <c r="P473" t="n">
        <v>0</v>
      </c>
      <c r="Q473" t="n">
        <v>0</v>
      </c>
      <c r="R473" s="2" t="inlineStr"/>
    </row>
    <row r="474" ht="15" customHeight="1">
      <c r="A474" t="inlineStr">
        <is>
          <t>A 2382-2023</t>
        </is>
      </c>
      <c r="B474" s="1" t="n">
        <v>44942</v>
      </c>
      <c r="C474" s="1" t="n">
        <v>45881</v>
      </c>
      <c r="D474" t="inlineStr">
        <is>
          <t>VÄSTERBOTTENS LÄN</t>
        </is>
      </c>
      <c r="E474" t="inlineStr">
        <is>
          <t>VILHELMINA</t>
        </is>
      </c>
      <c r="G474" t="n">
        <v>29.7</v>
      </c>
      <c r="H474" t="n">
        <v>0</v>
      </c>
      <c r="I474" t="n">
        <v>0</v>
      </c>
      <c r="J474" t="n">
        <v>0</v>
      </c>
      <c r="K474" t="n">
        <v>0</v>
      </c>
      <c r="L474" t="n">
        <v>0</v>
      </c>
      <c r="M474" t="n">
        <v>0</v>
      </c>
      <c r="N474" t="n">
        <v>0</v>
      </c>
      <c r="O474" t="n">
        <v>0</v>
      </c>
      <c r="P474" t="n">
        <v>0</v>
      </c>
      <c r="Q474" t="n">
        <v>0</v>
      </c>
      <c r="R474" s="2" t="inlineStr"/>
    </row>
    <row r="475" ht="15" customHeight="1">
      <c r="A475" t="inlineStr">
        <is>
          <t>A 70849-2021</t>
        </is>
      </c>
      <c r="B475" s="1" t="n">
        <v>44532</v>
      </c>
      <c r="C475" s="1" t="n">
        <v>45881</v>
      </c>
      <c r="D475" t="inlineStr">
        <is>
          <t>VÄSTERBOTTENS LÄN</t>
        </is>
      </c>
      <c r="E475" t="inlineStr">
        <is>
          <t>VILHELMINA</t>
        </is>
      </c>
      <c r="G475" t="n">
        <v>21.4</v>
      </c>
      <c r="H475" t="n">
        <v>0</v>
      </c>
      <c r="I475" t="n">
        <v>0</v>
      </c>
      <c r="J475" t="n">
        <v>0</v>
      </c>
      <c r="K475" t="n">
        <v>0</v>
      </c>
      <c r="L475" t="n">
        <v>0</v>
      </c>
      <c r="M475" t="n">
        <v>0</v>
      </c>
      <c r="N475" t="n">
        <v>0</v>
      </c>
      <c r="O475" t="n">
        <v>0</v>
      </c>
      <c r="P475" t="n">
        <v>0</v>
      </c>
      <c r="Q475" t="n">
        <v>0</v>
      </c>
      <c r="R475" s="2" t="inlineStr"/>
    </row>
    <row r="476" ht="15" customHeight="1">
      <c r="A476" t="inlineStr">
        <is>
          <t>A 21370-2024</t>
        </is>
      </c>
      <c r="B476" s="1" t="n">
        <v>45440.95310185185</v>
      </c>
      <c r="C476" s="1" t="n">
        <v>45881</v>
      </c>
      <c r="D476" t="inlineStr">
        <is>
          <t>VÄSTERBOTTENS LÄN</t>
        </is>
      </c>
      <c r="E476" t="inlineStr">
        <is>
          <t>VILHELMINA</t>
        </is>
      </c>
      <c r="F476" t="inlineStr">
        <is>
          <t>SCA</t>
        </is>
      </c>
      <c r="G476" t="n">
        <v>5.2</v>
      </c>
      <c r="H476" t="n">
        <v>0</v>
      </c>
      <c r="I476" t="n">
        <v>0</v>
      </c>
      <c r="J476" t="n">
        <v>0</v>
      </c>
      <c r="K476" t="n">
        <v>0</v>
      </c>
      <c r="L476" t="n">
        <v>0</v>
      </c>
      <c r="M476" t="n">
        <v>0</v>
      </c>
      <c r="N476" t="n">
        <v>0</v>
      </c>
      <c r="O476" t="n">
        <v>0</v>
      </c>
      <c r="P476" t="n">
        <v>0</v>
      </c>
      <c r="Q476" t="n">
        <v>0</v>
      </c>
      <c r="R476" s="2" t="inlineStr"/>
    </row>
    <row r="477" ht="15" customHeight="1">
      <c r="A477" t="inlineStr">
        <is>
          <t>A 19423-2022</t>
        </is>
      </c>
      <c r="B477" s="1" t="n">
        <v>44693.32515046297</v>
      </c>
      <c r="C477" s="1" t="n">
        <v>45881</v>
      </c>
      <c r="D477" t="inlineStr">
        <is>
          <t>VÄSTERBOTTENS LÄN</t>
        </is>
      </c>
      <c r="E477" t="inlineStr">
        <is>
          <t>VILHELMINA</t>
        </is>
      </c>
      <c r="G477" t="n">
        <v>1.9</v>
      </c>
      <c r="H477" t="n">
        <v>0</v>
      </c>
      <c r="I477" t="n">
        <v>0</v>
      </c>
      <c r="J477" t="n">
        <v>0</v>
      </c>
      <c r="K477" t="n">
        <v>0</v>
      </c>
      <c r="L477" t="n">
        <v>0</v>
      </c>
      <c r="M477" t="n">
        <v>0</v>
      </c>
      <c r="N477" t="n">
        <v>0</v>
      </c>
      <c r="O477" t="n">
        <v>0</v>
      </c>
      <c r="P477" t="n">
        <v>0</v>
      </c>
      <c r="Q477" t="n">
        <v>0</v>
      </c>
      <c r="R477" s="2" t="inlineStr"/>
    </row>
    <row r="478" ht="15" customHeight="1">
      <c r="A478" t="inlineStr">
        <is>
          <t>A 34719-2024</t>
        </is>
      </c>
      <c r="B478" s="1" t="n">
        <v>45526.56435185186</v>
      </c>
      <c r="C478" s="1" t="n">
        <v>45881</v>
      </c>
      <c r="D478" t="inlineStr">
        <is>
          <t>VÄSTERBOTTENS LÄN</t>
        </is>
      </c>
      <c r="E478" t="inlineStr">
        <is>
          <t>VILHELMINA</t>
        </is>
      </c>
      <c r="G478" t="n">
        <v>1.7</v>
      </c>
      <c r="H478" t="n">
        <v>0</v>
      </c>
      <c r="I478" t="n">
        <v>0</v>
      </c>
      <c r="J478" t="n">
        <v>0</v>
      </c>
      <c r="K478" t="n">
        <v>0</v>
      </c>
      <c r="L478" t="n">
        <v>0</v>
      </c>
      <c r="M478" t="n">
        <v>0</v>
      </c>
      <c r="N478" t="n">
        <v>0</v>
      </c>
      <c r="O478" t="n">
        <v>0</v>
      </c>
      <c r="P478" t="n">
        <v>0</v>
      </c>
      <c r="Q478" t="n">
        <v>0</v>
      </c>
      <c r="R478" s="2" t="inlineStr"/>
    </row>
    <row r="479" ht="15" customHeight="1">
      <c r="A479" t="inlineStr">
        <is>
          <t>A 34630-2024</t>
        </is>
      </c>
      <c r="B479" s="1" t="n">
        <v>45526.46234953704</v>
      </c>
      <c r="C479" s="1" t="n">
        <v>45881</v>
      </c>
      <c r="D479" t="inlineStr">
        <is>
          <t>VÄSTERBOTTENS LÄN</t>
        </is>
      </c>
      <c r="E479" t="inlineStr">
        <is>
          <t>VILHELMINA</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6665-2021</t>
        </is>
      </c>
      <c r="B480" s="1" t="n">
        <v>44235</v>
      </c>
      <c r="C480" s="1" t="n">
        <v>45881</v>
      </c>
      <c r="D480" t="inlineStr">
        <is>
          <t>VÄSTERBOTTENS LÄN</t>
        </is>
      </c>
      <c r="E480" t="inlineStr">
        <is>
          <t>VILHELMINA</t>
        </is>
      </c>
      <c r="G480" t="n">
        <v>20</v>
      </c>
      <c r="H480" t="n">
        <v>0</v>
      </c>
      <c r="I480" t="n">
        <v>0</v>
      </c>
      <c r="J480" t="n">
        <v>0</v>
      </c>
      <c r="K480" t="n">
        <v>0</v>
      </c>
      <c r="L480" t="n">
        <v>0</v>
      </c>
      <c r="M480" t="n">
        <v>0</v>
      </c>
      <c r="N480" t="n">
        <v>0</v>
      </c>
      <c r="O480" t="n">
        <v>0</v>
      </c>
      <c r="P480" t="n">
        <v>0</v>
      </c>
      <c r="Q480" t="n">
        <v>0</v>
      </c>
      <c r="R480" s="2" t="inlineStr"/>
    </row>
    <row r="481" ht="15" customHeight="1">
      <c r="A481" t="inlineStr">
        <is>
          <t>A 48424-2023</t>
        </is>
      </c>
      <c r="B481" s="1" t="n">
        <v>45205</v>
      </c>
      <c r="C481" s="1" t="n">
        <v>45881</v>
      </c>
      <c r="D481" t="inlineStr">
        <is>
          <t>VÄSTERBOTTENS LÄN</t>
        </is>
      </c>
      <c r="E481" t="inlineStr">
        <is>
          <t>VILHELMINA</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44714-2021</t>
        </is>
      </c>
      <c r="B482" s="1" t="n">
        <v>44435</v>
      </c>
      <c r="C482" s="1" t="n">
        <v>45881</v>
      </c>
      <c r="D482" t="inlineStr">
        <is>
          <t>VÄSTERBOTTENS LÄN</t>
        </is>
      </c>
      <c r="E482" t="inlineStr">
        <is>
          <t>VILHELMINA</t>
        </is>
      </c>
      <c r="G482" t="n">
        <v>4.3</v>
      </c>
      <c r="H482" t="n">
        <v>0</v>
      </c>
      <c r="I482" t="n">
        <v>0</v>
      </c>
      <c r="J482" t="n">
        <v>0</v>
      </c>
      <c r="K482" t="n">
        <v>0</v>
      </c>
      <c r="L482" t="n">
        <v>0</v>
      </c>
      <c r="M482" t="n">
        <v>0</v>
      </c>
      <c r="N482" t="n">
        <v>0</v>
      </c>
      <c r="O482" t="n">
        <v>0</v>
      </c>
      <c r="P482" t="n">
        <v>0</v>
      </c>
      <c r="Q482" t="n">
        <v>0</v>
      </c>
      <c r="R482" s="2" t="inlineStr"/>
    </row>
    <row r="483" ht="15" customHeight="1">
      <c r="A483" t="inlineStr">
        <is>
          <t>A 7102-2024</t>
        </is>
      </c>
      <c r="B483" s="1" t="n">
        <v>45343</v>
      </c>
      <c r="C483" s="1" t="n">
        <v>45881</v>
      </c>
      <c r="D483" t="inlineStr">
        <is>
          <t>VÄSTERBOTTENS LÄN</t>
        </is>
      </c>
      <c r="E483" t="inlineStr">
        <is>
          <t>VILHELMINA</t>
        </is>
      </c>
      <c r="G483" t="n">
        <v>3.2</v>
      </c>
      <c r="H483" t="n">
        <v>0</v>
      </c>
      <c r="I483" t="n">
        <v>0</v>
      </c>
      <c r="J483" t="n">
        <v>0</v>
      </c>
      <c r="K483" t="n">
        <v>0</v>
      </c>
      <c r="L483" t="n">
        <v>0</v>
      </c>
      <c r="M483" t="n">
        <v>0</v>
      </c>
      <c r="N483" t="n">
        <v>0</v>
      </c>
      <c r="O483" t="n">
        <v>0</v>
      </c>
      <c r="P483" t="n">
        <v>0</v>
      </c>
      <c r="Q483" t="n">
        <v>0</v>
      </c>
      <c r="R483" s="2" t="inlineStr"/>
    </row>
    <row r="484" ht="15" customHeight="1">
      <c r="A484" t="inlineStr">
        <is>
          <t>A 2488-2023</t>
        </is>
      </c>
      <c r="B484" s="1" t="n">
        <v>44943</v>
      </c>
      <c r="C484" s="1" t="n">
        <v>45881</v>
      </c>
      <c r="D484" t="inlineStr">
        <is>
          <t>VÄSTERBOTTENS LÄN</t>
        </is>
      </c>
      <c r="E484" t="inlineStr">
        <is>
          <t>VILHELMINA</t>
        </is>
      </c>
      <c r="G484" t="n">
        <v>69.3</v>
      </c>
      <c r="H484" t="n">
        <v>0</v>
      </c>
      <c r="I484" t="n">
        <v>0</v>
      </c>
      <c r="J484" t="n">
        <v>0</v>
      </c>
      <c r="K484" t="n">
        <v>0</v>
      </c>
      <c r="L484" t="n">
        <v>0</v>
      </c>
      <c r="M484" t="n">
        <v>0</v>
      </c>
      <c r="N484" t="n">
        <v>0</v>
      </c>
      <c r="O484" t="n">
        <v>0</v>
      </c>
      <c r="P484" t="n">
        <v>0</v>
      </c>
      <c r="Q484" t="n">
        <v>0</v>
      </c>
      <c r="R484" s="2" t="inlineStr"/>
    </row>
    <row r="485" ht="15" customHeight="1">
      <c r="A485" t="inlineStr">
        <is>
          <t>A 26401-2022</t>
        </is>
      </c>
      <c r="B485" s="1" t="n">
        <v>44735</v>
      </c>
      <c r="C485" s="1" t="n">
        <v>45881</v>
      </c>
      <c r="D485" t="inlineStr">
        <is>
          <t>VÄSTERBOTTENS LÄN</t>
        </is>
      </c>
      <c r="E485" t="inlineStr">
        <is>
          <t>VILHELMINA</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19221-2025</t>
        </is>
      </c>
      <c r="B486" s="1" t="n">
        <v>45769</v>
      </c>
      <c r="C486" s="1" t="n">
        <v>45881</v>
      </c>
      <c r="D486" t="inlineStr">
        <is>
          <t>VÄSTERBOTTENS LÄN</t>
        </is>
      </c>
      <c r="E486" t="inlineStr">
        <is>
          <t>VILHELMINA</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8556-2025</t>
        </is>
      </c>
      <c r="B487" s="1" t="n">
        <v>45709</v>
      </c>
      <c r="C487" s="1" t="n">
        <v>45881</v>
      </c>
      <c r="D487" t="inlineStr">
        <is>
          <t>VÄSTERBOTTENS LÄN</t>
        </is>
      </c>
      <c r="E487" t="inlineStr">
        <is>
          <t>VILHELMINA</t>
        </is>
      </c>
      <c r="G487" t="n">
        <v>1</v>
      </c>
      <c r="H487" t="n">
        <v>0</v>
      </c>
      <c r="I487" t="n">
        <v>0</v>
      </c>
      <c r="J487" t="n">
        <v>0</v>
      </c>
      <c r="K487" t="n">
        <v>0</v>
      </c>
      <c r="L487" t="n">
        <v>0</v>
      </c>
      <c r="M487" t="n">
        <v>0</v>
      </c>
      <c r="N487" t="n">
        <v>0</v>
      </c>
      <c r="O487" t="n">
        <v>0</v>
      </c>
      <c r="P487" t="n">
        <v>0</v>
      </c>
      <c r="Q487" t="n">
        <v>0</v>
      </c>
      <c r="R487" s="2" t="inlineStr"/>
    </row>
    <row r="488" ht="15" customHeight="1">
      <c r="A488" t="inlineStr">
        <is>
          <t>A 57324-2022</t>
        </is>
      </c>
      <c r="B488" s="1" t="n">
        <v>44889</v>
      </c>
      <c r="C488" s="1" t="n">
        <v>45881</v>
      </c>
      <c r="D488" t="inlineStr">
        <is>
          <t>VÄSTERBOTTENS LÄN</t>
        </is>
      </c>
      <c r="E488" t="inlineStr">
        <is>
          <t>VILHELMINA</t>
        </is>
      </c>
      <c r="G488" t="n">
        <v>1.7</v>
      </c>
      <c r="H488" t="n">
        <v>0</v>
      </c>
      <c r="I488" t="n">
        <v>0</v>
      </c>
      <c r="J488" t="n">
        <v>0</v>
      </c>
      <c r="K488" t="n">
        <v>0</v>
      </c>
      <c r="L488" t="n">
        <v>0</v>
      </c>
      <c r="M488" t="n">
        <v>0</v>
      </c>
      <c r="N488" t="n">
        <v>0</v>
      </c>
      <c r="O488" t="n">
        <v>0</v>
      </c>
      <c r="P488" t="n">
        <v>0</v>
      </c>
      <c r="Q488" t="n">
        <v>0</v>
      </c>
      <c r="R488" s="2" t="inlineStr"/>
    </row>
    <row r="489" ht="15" customHeight="1">
      <c r="A489" t="inlineStr">
        <is>
          <t>A 38674-2023</t>
        </is>
      </c>
      <c r="B489" s="1" t="n">
        <v>45162.94335648148</v>
      </c>
      <c r="C489" s="1" t="n">
        <v>45881</v>
      </c>
      <c r="D489" t="inlineStr">
        <is>
          <t>VÄSTERBOTTENS LÄN</t>
        </is>
      </c>
      <c r="E489" t="inlineStr">
        <is>
          <t>VILHELMINA</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63218-2021</t>
        </is>
      </c>
      <c r="B490" s="1" t="n">
        <v>44505</v>
      </c>
      <c r="C490" s="1" t="n">
        <v>45881</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11544-2023</t>
        </is>
      </c>
      <c r="B491" s="1" t="n">
        <v>44993.94818287037</v>
      </c>
      <c r="C491" s="1" t="n">
        <v>45881</v>
      </c>
      <c r="D491" t="inlineStr">
        <is>
          <t>VÄSTERBOTTENS LÄN</t>
        </is>
      </c>
      <c r="E491" t="inlineStr">
        <is>
          <t>VILHELMINA</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14254-2025</t>
        </is>
      </c>
      <c r="B492" s="1" t="n">
        <v>45740.61644675926</v>
      </c>
      <c r="C492" s="1" t="n">
        <v>45881</v>
      </c>
      <c r="D492" t="inlineStr">
        <is>
          <t>VÄSTERBOTTENS LÄN</t>
        </is>
      </c>
      <c r="E492" t="inlineStr">
        <is>
          <t>VILHELMINA</t>
        </is>
      </c>
      <c r="G492" t="n">
        <v>2</v>
      </c>
      <c r="H492" t="n">
        <v>0</v>
      </c>
      <c r="I492" t="n">
        <v>0</v>
      </c>
      <c r="J492" t="n">
        <v>0</v>
      </c>
      <c r="K492" t="n">
        <v>0</v>
      </c>
      <c r="L492" t="n">
        <v>0</v>
      </c>
      <c r="M492" t="n">
        <v>0</v>
      </c>
      <c r="N492" t="n">
        <v>0</v>
      </c>
      <c r="O492" t="n">
        <v>0</v>
      </c>
      <c r="P492" t="n">
        <v>0</v>
      </c>
      <c r="Q492" t="n">
        <v>0</v>
      </c>
      <c r="R492" s="2" t="inlineStr"/>
    </row>
    <row r="493" ht="15" customHeight="1">
      <c r="A493" t="inlineStr">
        <is>
          <t>A 9534-2023</t>
        </is>
      </c>
      <c r="B493" s="1" t="n">
        <v>44981.72646990741</v>
      </c>
      <c r="C493" s="1" t="n">
        <v>45881</v>
      </c>
      <c r="D493" t="inlineStr">
        <is>
          <t>VÄSTERBOTTENS LÄN</t>
        </is>
      </c>
      <c r="E493" t="inlineStr">
        <is>
          <t>VILHELMINA</t>
        </is>
      </c>
      <c r="G493" t="n">
        <v>1.7</v>
      </c>
      <c r="H493" t="n">
        <v>0</v>
      </c>
      <c r="I493" t="n">
        <v>0</v>
      </c>
      <c r="J493" t="n">
        <v>0</v>
      </c>
      <c r="K493" t="n">
        <v>0</v>
      </c>
      <c r="L493" t="n">
        <v>0</v>
      </c>
      <c r="M493" t="n">
        <v>0</v>
      </c>
      <c r="N493" t="n">
        <v>0</v>
      </c>
      <c r="O493" t="n">
        <v>0</v>
      </c>
      <c r="P493" t="n">
        <v>0</v>
      </c>
      <c r="Q493" t="n">
        <v>0</v>
      </c>
      <c r="R493" s="2" t="inlineStr"/>
    </row>
    <row r="494" ht="15" customHeight="1">
      <c r="A494" t="inlineStr">
        <is>
          <t>A 56747-2023</t>
        </is>
      </c>
      <c r="B494" s="1" t="n">
        <v>45238</v>
      </c>
      <c r="C494" s="1" t="n">
        <v>45881</v>
      </c>
      <c r="D494" t="inlineStr">
        <is>
          <t>VÄSTERBOTTENS LÄN</t>
        </is>
      </c>
      <c r="E494" t="inlineStr">
        <is>
          <t>VILHELMINA</t>
        </is>
      </c>
      <c r="F494" t="inlineStr">
        <is>
          <t>Allmännings- och besparingsskogar</t>
        </is>
      </c>
      <c r="G494" t="n">
        <v>16.2</v>
      </c>
      <c r="H494" t="n">
        <v>0</v>
      </c>
      <c r="I494" t="n">
        <v>0</v>
      </c>
      <c r="J494" t="n">
        <v>0</v>
      </c>
      <c r="K494" t="n">
        <v>0</v>
      </c>
      <c r="L494" t="n">
        <v>0</v>
      </c>
      <c r="M494" t="n">
        <v>0</v>
      </c>
      <c r="N494" t="n">
        <v>0</v>
      </c>
      <c r="O494" t="n">
        <v>0</v>
      </c>
      <c r="P494" t="n">
        <v>0</v>
      </c>
      <c r="Q494" t="n">
        <v>0</v>
      </c>
      <c r="R494" s="2" t="inlineStr"/>
    </row>
    <row r="495" ht="15" customHeight="1">
      <c r="A495" t="inlineStr">
        <is>
          <t>A 56758-2023</t>
        </is>
      </c>
      <c r="B495" s="1" t="n">
        <v>45238</v>
      </c>
      <c r="C495" s="1" t="n">
        <v>45881</v>
      </c>
      <c r="D495" t="inlineStr">
        <is>
          <t>VÄSTERBOTTENS LÄN</t>
        </is>
      </c>
      <c r="E495" t="inlineStr">
        <is>
          <t>VILHELMINA</t>
        </is>
      </c>
      <c r="F495" t="inlineStr">
        <is>
          <t>Allmännings- och besparingsskogar</t>
        </is>
      </c>
      <c r="G495" t="n">
        <v>371.4</v>
      </c>
      <c r="H495" t="n">
        <v>0</v>
      </c>
      <c r="I495" t="n">
        <v>0</v>
      </c>
      <c r="J495" t="n">
        <v>0</v>
      </c>
      <c r="K495" t="n">
        <v>0</v>
      </c>
      <c r="L495" t="n">
        <v>0</v>
      </c>
      <c r="M495" t="n">
        <v>0</v>
      </c>
      <c r="N495" t="n">
        <v>0</v>
      </c>
      <c r="O495" t="n">
        <v>0</v>
      </c>
      <c r="P495" t="n">
        <v>0</v>
      </c>
      <c r="Q495" t="n">
        <v>0</v>
      </c>
      <c r="R495" s="2" t="inlineStr"/>
    </row>
    <row r="496" ht="15" customHeight="1">
      <c r="A496" t="inlineStr">
        <is>
          <t>A 58377-2021</t>
        </is>
      </c>
      <c r="B496" s="1" t="n">
        <v>44488</v>
      </c>
      <c r="C496" s="1" t="n">
        <v>45881</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9916-2021</t>
        </is>
      </c>
      <c r="B497" s="1" t="n">
        <v>44253</v>
      </c>
      <c r="C497" s="1" t="n">
        <v>45881</v>
      </c>
      <c r="D497" t="inlineStr">
        <is>
          <t>VÄSTERBOTTENS LÄN</t>
        </is>
      </c>
      <c r="E497" t="inlineStr">
        <is>
          <t>VILHELMINA</t>
        </is>
      </c>
      <c r="G497" t="n">
        <v>1</v>
      </c>
      <c r="H497" t="n">
        <v>0</v>
      </c>
      <c r="I497" t="n">
        <v>0</v>
      </c>
      <c r="J497" t="n">
        <v>0</v>
      </c>
      <c r="K497" t="n">
        <v>0</v>
      </c>
      <c r="L497" t="n">
        <v>0</v>
      </c>
      <c r="M497" t="n">
        <v>0</v>
      </c>
      <c r="N497" t="n">
        <v>0</v>
      </c>
      <c r="O497" t="n">
        <v>0</v>
      </c>
      <c r="P497" t="n">
        <v>0</v>
      </c>
      <c r="Q497" t="n">
        <v>0</v>
      </c>
      <c r="R497" s="2" t="inlineStr"/>
    </row>
    <row r="498" ht="15" customHeight="1">
      <c r="A498" t="inlineStr">
        <is>
          <t>A 15326-2024</t>
        </is>
      </c>
      <c r="B498" s="1" t="n">
        <v>45400</v>
      </c>
      <c r="C498" s="1" t="n">
        <v>45881</v>
      </c>
      <c r="D498" t="inlineStr">
        <is>
          <t>VÄSTERBOTTENS LÄN</t>
        </is>
      </c>
      <c r="E498" t="inlineStr">
        <is>
          <t>VILHELMINA</t>
        </is>
      </c>
      <c r="G498" t="n">
        <v>4.7</v>
      </c>
      <c r="H498" t="n">
        <v>0</v>
      </c>
      <c r="I498" t="n">
        <v>0</v>
      </c>
      <c r="J498" t="n">
        <v>0</v>
      </c>
      <c r="K498" t="n">
        <v>0</v>
      </c>
      <c r="L498" t="n">
        <v>0</v>
      </c>
      <c r="M498" t="n">
        <v>0</v>
      </c>
      <c r="N498" t="n">
        <v>0</v>
      </c>
      <c r="O498" t="n">
        <v>0</v>
      </c>
      <c r="P498" t="n">
        <v>0</v>
      </c>
      <c r="Q498" t="n">
        <v>0</v>
      </c>
      <c r="R498" s="2" t="inlineStr"/>
    </row>
    <row r="499" ht="15" customHeight="1">
      <c r="A499" t="inlineStr">
        <is>
          <t>A 3435-2021</t>
        </is>
      </c>
      <c r="B499" s="1" t="n">
        <v>44216</v>
      </c>
      <c r="C499" s="1" t="n">
        <v>45881</v>
      </c>
      <c r="D499" t="inlineStr">
        <is>
          <t>VÄSTERBOTTENS LÄN</t>
        </is>
      </c>
      <c r="E499" t="inlineStr">
        <is>
          <t>VILHELMINA</t>
        </is>
      </c>
      <c r="G499" t="n">
        <v>20.5</v>
      </c>
      <c r="H499" t="n">
        <v>0</v>
      </c>
      <c r="I499" t="n">
        <v>0</v>
      </c>
      <c r="J499" t="n">
        <v>0</v>
      </c>
      <c r="K499" t="n">
        <v>0</v>
      </c>
      <c r="L499" t="n">
        <v>0</v>
      </c>
      <c r="M499" t="n">
        <v>0</v>
      </c>
      <c r="N499" t="n">
        <v>0</v>
      </c>
      <c r="O499" t="n">
        <v>0</v>
      </c>
      <c r="P499" t="n">
        <v>0</v>
      </c>
      <c r="Q499" t="n">
        <v>0</v>
      </c>
      <c r="R499" s="2" t="inlineStr"/>
    </row>
    <row r="500" ht="15" customHeight="1">
      <c r="A500" t="inlineStr">
        <is>
          <t>A 55327-2023</t>
        </is>
      </c>
      <c r="B500" s="1" t="n">
        <v>45237.97375</v>
      </c>
      <c r="C500" s="1" t="n">
        <v>45881</v>
      </c>
      <c r="D500" t="inlineStr">
        <is>
          <t>VÄSTERBOTTENS LÄN</t>
        </is>
      </c>
      <c r="E500" t="inlineStr">
        <is>
          <t>VILHELMINA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17307-2025</t>
        </is>
      </c>
      <c r="B501" s="1" t="n">
        <v>45756</v>
      </c>
      <c r="C501" s="1" t="n">
        <v>45881</v>
      </c>
      <c r="D501" t="inlineStr">
        <is>
          <t>VÄSTERBOTTENS LÄN</t>
        </is>
      </c>
      <c r="E501" t="inlineStr">
        <is>
          <t>VILHELMINA</t>
        </is>
      </c>
      <c r="G501" t="n">
        <v>11.2</v>
      </c>
      <c r="H501" t="n">
        <v>0</v>
      </c>
      <c r="I501" t="n">
        <v>0</v>
      </c>
      <c r="J501" t="n">
        <v>0</v>
      </c>
      <c r="K501" t="n">
        <v>0</v>
      </c>
      <c r="L501" t="n">
        <v>0</v>
      </c>
      <c r="M501" t="n">
        <v>0</v>
      </c>
      <c r="N501" t="n">
        <v>0</v>
      </c>
      <c r="O501" t="n">
        <v>0</v>
      </c>
      <c r="P501" t="n">
        <v>0</v>
      </c>
      <c r="Q501" t="n">
        <v>0</v>
      </c>
      <c r="R501" s="2" t="inlineStr"/>
    </row>
    <row r="502" ht="15" customHeight="1">
      <c r="A502" t="inlineStr">
        <is>
          <t>A 35006-2023</t>
        </is>
      </c>
      <c r="B502" s="1" t="n">
        <v>45142.95103009259</v>
      </c>
      <c r="C502" s="1" t="n">
        <v>45881</v>
      </c>
      <c r="D502" t="inlineStr">
        <is>
          <t>VÄSTERBOTTENS LÄN</t>
        </is>
      </c>
      <c r="E502" t="inlineStr">
        <is>
          <t>VILHELMINA</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252-2025</t>
        </is>
      </c>
      <c r="B503" s="1" t="n">
        <v>45660.42734953704</v>
      </c>
      <c r="C503" s="1" t="n">
        <v>45881</v>
      </c>
      <c r="D503" t="inlineStr">
        <is>
          <t>VÄSTERBOTTENS LÄN</t>
        </is>
      </c>
      <c r="E503" t="inlineStr">
        <is>
          <t>VILHELMINA</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43791-2024</t>
        </is>
      </c>
      <c r="B504" s="1" t="n">
        <v>45571</v>
      </c>
      <c r="C504" s="1" t="n">
        <v>45881</v>
      </c>
      <c r="D504" t="inlineStr">
        <is>
          <t>VÄSTERBOTTENS LÄN</t>
        </is>
      </c>
      <c r="E504" t="inlineStr">
        <is>
          <t>VILHELMINA</t>
        </is>
      </c>
      <c r="G504" t="n">
        <v>30.3</v>
      </c>
      <c r="H504" t="n">
        <v>0</v>
      </c>
      <c r="I504" t="n">
        <v>0</v>
      </c>
      <c r="J504" t="n">
        <v>0</v>
      </c>
      <c r="K504" t="n">
        <v>0</v>
      </c>
      <c r="L504" t="n">
        <v>0</v>
      </c>
      <c r="M504" t="n">
        <v>0</v>
      </c>
      <c r="N504" t="n">
        <v>0</v>
      </c>
      <c r="O504" t="n">
        <v>0</v>
      </c>
      <c r="P504" t="n">
        <v>0</v>
      </c>
      <c r="Q504" t="n">
        <v>0</v>
      </c>
      <c r="R504" s="2" t="inlineStr"/>
    </row>
    <row r="505" ht="15" customHeight="1">
      <c r="A505" t="inlineStr">
        <is>
          <t>A 43792-2024</t>
        </is>
      </c>
      <c r="B505" s="1" t="n">
        <v>45571</v>
      </c>
      <c r="C505" s="1" t="n">
        <v>45881</v>
      </c>
      <c r="D505" t="inlineStr">
        <is>
          <t>VÄSTERBOTTENS LÄN</t>
        </is>
      </c>
      <c r="E505" t="inlineStr">
        <is>
          <t>VILHELMINA</t>
        </is>
      </c>
      <c r="G505" t="n">
        <v>25.3</v>
      </c>
      <c r="H505" t="n">
        <v>0</v>
      </c>
      <c r="I505" t="n">
        <v>0</v>
      </c>
      <c r="J505" t="n">
        <v>0</v>
      </c>
      <c r="K505" t="n">
        <v>0</v>
      </c>
      <c r="L505" t="n">
        <v>0</v>
      </c>
      <c r="M505" t="n">
        <v>0</v>
      </c>
      <c r="N505" t="n">
        <v>0</v>
      </c>
      <c r="O505" t="n">
        <v>0</v>
      </c>
      <c r="P505" t="n">
        <v>0</v>
      </c>
      <c r="Q505" t="n">
        <v>0</v>
      </c>
      <c r="R505" s="2" t="inlineStr"/>
    </row>
    <row r="506" ht="15" customHeight="1">
      <c r="A506" t="inlineStr">
        <is>
          <t>A 36376-2023</t>
        </is>
      </c>
      <c r="B506" s="1" t="n">
        <v>45152</v>
      </c>
      <c r="C506" s="1" t="n">
        <v>45881</v>
      </c>
      <c r="D506" t="inlineStr">
        <is>
          <t>VÄSTERBOTTENS LÄN</t>
        </is>
      </c>
      <c r="E506" t="inlineStr">
        <is>
          <t>VILHELMINA</t>
        </is>
      </c>
      <c r="G506" t="n">
        <v>12.7</v>
      </c>
      <c r="H506" t="n">
        <v>0</v>
      </c>
      <c r="I506" t="n">
        <v>0</v>
      </c>
      <c r="J506" t="n">
        <v>0</v>
      </c>
      <c r="K506" t="n">
        <v>0</v>
      </c>
      <c r="L506" t="n">
        <v>0</v>
      </c>
      <c r="M506" t="n">
        <v>0</v>
      </c>
      <c r="N506" t="n">
        <v>0</v>
      </c>
      <c r="O506" t="n">
        <v>0</v>
      </c>
      <c r="P506" t="n">
        <v>0</v>
      </c>
      <c r="Q506" t="n">
        <v>0</v>
      </c>
      <c r="R506" s="2" t="inlineStr"/>
    </row>
    <row r="507" ht="15" customHeight="1">
      <c r="A507" t="inlineStr">
        <is>
          <t>A 48229-2024</t>
        </is>
      </c>
      <c r="B507" s="1" t="n">
        <v>45590.37554398148</v>
      </c>
      <c r="C507" s="1" t="n">
        <v>45881</v>
      </c>
      <c r="D507" t="inlineStr">
        <is>
          <t>VÄSTERBOTTENS LÄN</t>
        </is>
      </c>
      <c r="E507" t="inlineStr">
        <is>
          <t>VILHELMINA</t>
        </is>
      </c>
      <c r="G507" t="n">
        <v>11.6</v>
      </c>
      <c r="H507" t="n">
        <v>0</v>
      </c>
      <c r="I507" t="n">
        <v>0</v>
      </c>
      <c r="J507" t="n">
        <v>0</v>
      </c>
      <c r="K507" t="n">
        <v>0</v>
      </c>
      <c r="L507" t="n">
        <v>0</v>
      </c>
      <c r="M507" t="n">
        <v>0</v>
      </c>
      <c r="N507" t="n">
        <v>0</v>
      </c>
      <c r="O507" t="n">
        <v>0</v>
      </c>
      <c r="P507" t="n">
        <v>0</v>
      </c>
      <c r="Q507" t="n">
        <v>0</v>
      </c>
      <c r="R507" s="2" t="inlineStr"/>
    </row>
    <row r="508" ht="15" customHeight="1">
      <c r="A508" t="inlineStr">
        <is>
          <t>A 30575-2024</t>
        </is>
      </c>
      <c r="B508" s="1" t="n">
        <v>45492.95818287037</v>
      </c>
      <c r="C508" s="1" t="n">
        <v>45881</v>
      </c>
      <c r="D508" t="inlineStr">
        <is>
          <t>VÄSTERBOTTENS LÄN</t>
        </is>
      </c>
      <c r="E508" t="inlineStr">
        <is>
          <t>VILHELMINA</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30578-2024</t>
        </is>
      </c>
      <c r="B509" s="1" t="n">
        <v>45492.95939814814</v>
      </c>
      <c r="C509" s="1" t="n">
        <v>45881</v>
      </c>
      <c r="D509" t="inlineStr">
        <is>
          <t>VÄSTERBOTTENS LÄN</t>
        </is>
      </c>
      <c r="E509" t="inlineStr">
        <is>
          <t>VILHELMINA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30580-2024</t>
        </is>
      </c>
      <c r="B510" s="1" t="n">
        <v>45492.95981481481</v>
      </c>
      <c r="C510" s="1" t="n">
        <v>45881</v>
      </c>
      <c r="D510" t="inlineStr">
        <is>
          <t>VÄSTERBOTTENS LÄN</t>
        </is>
      </c>
      <c r="E510" t="inlineStr">
        <is>
          <t>VILHELMINA</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72153-2021</t>
        </is>
      </c>
      <c r="B511" s="1" t="n">
        <v>44543</v>
      </c>
      <c r="C511" s="1" t="n">
        <v>45881</v>
      </c>
      <c r="D511" t="inlineStr">
        <is>
          <t>VÄSTERBOTTENS LÄN</t>
        </is>
      </c>
      <c r="E511" t="inlineStr">
        <is>
          <t>VILHELMINA</t>
        </is>
      </c>
      <c r="G511" t="n">
        <v>6.7</v>
      </c>
      <c r="H511" t="n">
        <v>0</v>
      </c>
      <c r="I511" t="n">
        <v>0</v>
      </c>
      <c r="J511" t="n">
        <v>0</v>
      </c>
      <c r="K511" t="n">
        <v>0</v>
      </c>
      <c r="L511" t="n">
        <v>0</v>
      </c>
      <c r="M511" t="n">
        <v>0</v>
      </c>
      <c r="N511" t="n">
        <v>0</v>
      </c>
      <c r="O511" t="n">
        <v>0</v>
      </c>
      <c r="P511" t="n">
        <v>0</v>
      </c>
      <c r="Q511" t="n">
        <v>0</v>
      </c>
      <c r="R511" s="2" t="inlineStr"/>
    </row>
    <row r="512" ht="15" customHeight="1">
      <c r="A512" t="inlineStr">
        <is>
          <t>A 35983-2023</t>
        </is>
      </c>
      <c r="B512" s="1" t="n">
        <v>45148.96185185185</v>
      </c>
      <c r="C512" s="1" t="n">
        <v>45881</v>
      </c>
      <c r="D512" t="inlineStr">
        <is>
          <t>VÄSTERBOTTENS LÄN</t>
        </is>
      </c>
      <c r="E512" t="inlineStr">
        <is>
          <t>VILHELMINA</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23536-2024</t>
        </is>
      </c>
      <c r="B513" s="1" t="n">
        <v>45453.95199074074</v>
      </c>
      <c r="C513" s="1" t="n">
        <v>45881</v>
      </c>
      <c r="D513" t="inlineStr">
        <is>
          <t>VÄSTERBOTTENS LÄN</t>
        </is>
      </c>
      <c r="E513" t="inlineStr">
        <is>
          <t>VILHELMINA</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2008-2025</t>
        </is>
      </c>
      <c r="B514" s="1" t="n">
        <v>45672.45302083333</v>
      </c>
      <c r="C514" s="1" t="n">
        <v>45881</v>
      </c>
      <c r="D514" t="inlineStr">
        <is>
          <t>VÄSTERBOTTENS LÄN</t>
        </is>
      </c>
      <c r="E514" t="inlineStr">
        <is>
          <t>VILHELMINA</t>
        </is>
      </c>
      <c r="G514" t="n">
        <v>0.7</v>
      </c>
      <c r="H514" t="n">
        <v>0</v>
      </c>
      <c r="I514" t="n">
        <v>0</v>
      </c>
      <c r="J514" t="n">
        <v>0</v>
      </c>
      <c r="K514" t="n">
        <v>0</v>
      </c>
      <c r="L514" t="n">
        <v>0</v>
      </c>
      <c r="M514" t="n">
        <v>0</v>
      </c>
      <c r="N514" t="n">
        <v>0</v>
      </c>
      <c r="O514" t="n">
        <v>0</v>
      </c>
      <c r="P514" t="n">
        <v>0</v>
      </c>
      <c r="Q514" t="n">
        <v>0</v>
      </c>
      <c r="R514" s="2" t="inlineStr"/>
    </row>
    <row r="515" ht="15" customHeight="1">
      <c r="A515" t="inlineStr">
        <is>
          <t>A 18848-2025</t>
        </is>
      </c>
      <c r="B515" s="1" t="n">
        <v>45764</v>
      </c>
      <c r="C515" s="1" t="n">
        <v>45881</v>
      </c>
      <c r="D515" t="inlineStr">
        <is>
          <t>VÄSTERBOTTENS LÄN</t>
        </is>
      </c>
      <c r="E515" t="inlineStr">
        <is>
          <t>VILHELMINA</t>
        </is>
      </c>
      <c r="G515" t="n">
        <v>16.4</v>
      </c>
      <c r="H515" t="n">
        <v>0</v>
      </c>
      <c r="I515" t="n">
        <v>0</v>
      </c>
      <c r="J515" t="n">
        <v>0</v>
      </c>
      <c r="K515" t="n">
        <v>0</v>
      </c>
      <c r="L515" t="n">
        <v>0</v>
      </c>
      <c r="M515" t="n">
        <v>0</v>
      </c>
      <c r="N515" t="n">
        <v>0</v>
      </c>
      <c r="O515" t="n">
        <v>0</v>
      </c>
      <c r="P515" t="n">
        <v>0</v>
      </c>
      <c r="Q515" t="n">
        <v>0</v>
      </c>
      <c r="R515" s="2" t="inlineStr"/>
    </row>
    <row r="516" ht="15" customHeight="1">
      <c r="A516" t="inlineStr">
        <is>
          <t>A 66917-2021</t>
        </is>
      </c>
      <c r="B516" s="1" t="n">
        <v>44522</v>
      </c>
      <c r="C516" s="1" t="n">
        <v>45881</v>
      </c>
      <c r="D516" t="inlineStr">
        <is>
          <t>VÄSTERBOTTENS LÄN</t>
        </is>
      </c>
      <c r="E516" t="inlineStr">
        <is>
          <t>VILHELMINA</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40796-2024</t>
        </is>
      </c>
      <c r="B517" s="1" t="n">
        <v>45558</v>
      </c>
      <c r="C517" s="1" t="n">
        <v>45881</v>
      </c>
      <c r="D517" t="inlineStr">
        <is>
          <t>VÄSTERBOTTENS LÄN</t>
        </is>
      </c>
      <c r="E517" t="inlineStr">
        <is>
          <t>VILHELMINA</t>
        </is>
      </c>
      <c r="F517" t="inlineStr">
        <is>
          <t>Allmännings- och besparingsskogar</t>
        </is>
      </c>
      <c r="G517" t="n">
        <v>2.8</v>
      </c>
      <c r="H517" t="n">
        <v>0</v>
      </c>
      <c r="I517" t="n">
        <v>0</v>
      </c>
      <c r="J517" t="n">
        <v>0</v>
      </c>
      <c r="K517" t="n">
        <v>0</v>
      </c>
      <c r="L517" t="n">
        <v>0</v>
      </c>
      <c r="M517" t="n">
        <v>0</v>
      </c>
      <c r="N517" t="n">
        <v>0</v>
      </c>
      <c r="O517" t="n">
        <v>0</v>
      </c>
      <c r="P517" t="n">
        <v>0</v>
      </c>
      <c r="Q517" t="n">
        <v>0</v>
      </c>
      <c r="R517" s="2" t="inlineStr"/>
    </row>
    <row r="518" ht="15" customHeight="1">
      <c r="A518" t="inlineStr">
        <is>
          <t>A 25551-2024</t>
        </is>
      </c>
      <c r="B518" s="1" t="n">
        <v>45463</v>
      </c>
      <c r="C518" s="1" t="n">
        <v>45881</v>
      </c>
      <c r="D518" t="inlineStr">
        <is>
          <t>VÄSTERBOTTENS LÄN</t>
        </is>
      </c>
      <c r="E518" t="inlineStr">
        <is>
          <t>VILHELMINA</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29954-2023</t>
        </is>
      </c>
      <c r="B519" s="1" t="n">
        <v>45107</v>
      </c>
      <c r="C519" s="1" t="n">
        <v>45881</v>
      </c>
      <c r="D519" t="inlineStr">
        <is>
          <t>VÄSTERBOTTENS LÄN</t>
        </is>
      </c>
      <c r="E519" t="inlineStr">
        <is>
          <t>VILHELMINA</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37714-2024</t>
        </is>
      </c>
      <c r="B520" s="1" t="n">
        <v>45541.63569444444</v>
      </c>
      <c r="C520" s="1" t="n">
        <v>45881</v>
      </c>
      <c r="D520" t="inlineStr">
        <is>
          <t>VÄSTERBOTTENS LÄN</t>
        </is>
      </c>
      <c r="E520" t="inlineStr">
        <is>
          <t>VILHELMINA</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37715-2024</t>
        </is>
      </c>
      <c r="B521" s="1" t="n">
        <v>45541.63581018519</v>
      </c>
      <c r="C521" s="1" t="n">
        <v>45881</v>
      </c>
      <c r="D521" t="inlineStr">
        <is>
          <t>VÄSTERBOTTENS LÄN</t>
        </is>
      </c>
      <c r="E521" t="inlineStr">
        <is>
          <t>VILHELMINA</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44285-2024</t>
        </is>
      </c>
      <c r="B522" s="1" t="n">
        <v>45573</v>
      </c>
      <c r="C522" s="1" t="n">
        <v>45881</v>
      </c>
      <c r="D522" t="inlineStr">
        <is>
          <t>VÄSTERBOTTENS LÄN</t>
        </is>
      </c>
      <c r="E522" t="inlineStr">
        <is>
          <t>VILHELMINA</t>
        </is>
      </c>
      <c r="G522" t="n">
        <v>30.9</v>
      </c>
      <c r="H522" t="n">
        <v>0</v>
      </c>
      <c r="I522" t="n">
        <v>0</v>
      </c>
      <c r="J522" t="n">
        <v>0</v>
      </c>
      <c r="K522" t="n">
        <v>0</v>
      </c>
      <c r="L522" t="n">
        <v>0</v>
      </c>
      <c r="M522" t="n">
        <v>0</v>
      </c>
      <c r="N522" t="n">
        <v>0</v>
      </c>
      <c r="O522" t="n">
        <v>0</v>
      </c>
      <c r="P522" t="n">
        <v>0</v>
      </c>
      <c r="Q522" t="n">
        <v>0</v>
      </c>
      <c r="R522" s="2" t="inlineStr"/>
    </row>
    <row r="523" ht="15" customHeight="1">
      <c r="A523" t="inlineStr">
        <is>
          <t>A 8652-2023</t>
        </is>
      </c>
      <c r="B523" s="1" t="n">
        <v>44977.98401620371</v>
      </c>
      <c r="C523" s="1" t="n">
        <v>45881</v>
      </c>
      <c r="D523" t="inlineStr">
        <is>
          <t>VÄSTERBOTTENS LÄN</t>
        </is>
      </c>
      <c r="E523" t="inlineStr">
        <is>
          <t>VILHELMINA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8653-2023</t>
        </is>
      </c>
      <c r="B524" s="1" t="n">
        <v>44977</v>
      </c>
      <c r="C524" s="1" t="n">
        <v>45881</v>
      </c>
      <c r="D524" t="inlineStr">
        <is>
          <t>VÄSTERBOTTENS LÄN</t>
        </is>
      </c>
      <c r="E524" t="inlineStr">
        <is>
          <t>VILHELMINA</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5955-2023</t>
        </is>
      </c>
      <c r="B525" s="1" t="n">
        <v>44963.93989583333</v>
      </c>
      <c r="C525" s="1" t="n">
        <v>45881</v>
      </c>
      <c r="D525" t="inlineStr">
        <is>
          <t>VÄSTERBOTTENS LÄN</t>
        </is>
      </c>
      <c r="E525" t="inlineStr">
        <is>
          <t>VILHELMINA</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34135-2024</t>
        </is>
      </c>
      <c r="B526" s="1" t="n">
        <v>45524.35605324074</v>
      </c>
      <c r="C526" s="1" t="n">
        <v>45881</v>
      </c>
      <c r="D526" t="inlineStr">
        <is>
          <t>VÄSTERBOTTENS LÄN</t>
        </is>
      </c>
      <c r="E526" t="inlineStr">
        <is>
          <t>VILHELMINA</t>
        </is>
      </c>
      <c r="F526" t="inlineStr">
        <is>
          <t>Sveaskog</t>
        </is>
      </c>
      <c r="G526" t="n">
        <v>5.7</v>
      </c>
      <c r="H526" t="n">
        <v>0</v>
      </c>
      <c r="I526" t="n">
        <v>0</v>
      </c>
      <c r="J526" t="n">
        <v>0</v>
      </c>
      <c r="K526" t="n">
        <v>0</v>
      </c>
      <c r="L526" t="n">
        <v>0</v>
      </c>
      <c r="M526" t="n">
        <v>0</v>
      </c>
      <c r="N526" t="n">
        <v>0</v>
      </c>
      <c r="O526" t="n">
        <v>0</v>
      </c>
      <c r="P526" t="n">
        <v>0</v>
      </c>
      <c r="Q526" t="n">
        <v>0</v>
      </c>
      <c r="R526" s="2" t="inlineStr"/>
    </row>
    <row r="527" ht="15" customHeight="1">
      <c r="A527" t="inlineStr">
        <is>
          <t>A 42478-2024</t>
        </is>
      </c>
      <c r="B527" s="1" t="n">
        <v>45565.4912962963</v>
      </c>
      <c r="C527" s="1" t="n">
        <v>45881</v>
      </c>
      <c r="D527" t="inlineStr">
        <is>
          <t>VÄSTERBOTTENS LÄN</t>
        </is>
      </c>
      <c r="E527" t="inlineStr">
        <is>
          <t>VILHELMINA</t>
        </is>
      </c>
      <c r="F527" t="inlineStr">
        <is>
          <t>SCA</t>
        </is>
      </c>
      <c r="G527" t="n">
        <v>6.6</v>
      </c>
      <c r="H527" t="n">
        <v>0</v>
      </c>
      <c r="I527" t="n">
        <v>0</v>
      </c>
      <c r="J527" t="n">
        <v>0</v>
      </c>
      <c r="K527" t="n">
        <v>0</v>
      </c>
      <c r="L527" t="n">
        <v>0</v>
      </c>
      <c r="M527" t="n">
        <v>0</v>
      </c>
      <c r="N527" t="n">
        <v>0</v>
      </c>
      <c r="O527" t="n">
        <v>0</v>
      </c>
      <c r="P527" t="n">
        <v>0</v>
      </c>
      <c r="Q527" t="n">
        <v>0</v>
      </c>
      <c r="R527" s="2" t="inlineStr"/>
    </row>
    <row r="528" ht="15" customHeight="1">
      <c r="A528" t="inlineStr">
        <is>
          <t>A 64421-2023</t>
        </is>
      </c>
      <c r="B528" s="1" t="n">
        <v>45280</v>
      </c>
      <c r="C528" s="1" t="n">
        <v>45881</v>
      </c>
      <c r="D528" t="inlineStr">
        <is>
          <t>VÄSTERBOTTENS LÄN</t>
        </is>
      </c>
      <c r="E528" t="inlineStr">
        <is>
          <t>VILHELMINA</t>
        </is>
      </c>
      <c r="G528" t="n">
        <v>4.9</v>
      </c>
      <c r="H528" t="n">
        <v>0</v>
      </c>
      <c r="I528" t="n">
        <v>0</v>
      </c>
      <c r="J528" t="n">
        <v>0</v>
      </c>
      <c r="K528" t="n">
        <v>0</v>
      </c>
      <c r="L528" t="n">
        <v>0</v>
      </c>
      <c r="M528" t="n">
        <v>0</v>
      </c>
      <c r="N528" t="n">
        <v>0</v>
      </c>
      <c r="O528" t="n">
        <v>0</v>
      </c>
      <c r="P528" t="n">
        <v>0</v>
      </c>
      <c r="Q528" t="n">
        <v>0</v>
      </c>
      <c r="R528" s="2" t="inlineStr"/>
    </row>
    <row r="529" ht="15" customHeight="1">
      <c r="A529" t="inlineStr">
        <is>
          <t>A 24828-2023</t>
        </is>
      </c>
      <c r="B529" s="1" t="n">
        <v>45084</v>
      </c>
      <c r="C529" s="1" t="n">
        <v>45881</v>
      </c>
      <c r="D529" t="inlineStr">
        <is>
          <t>VÄSTERBOTTENS LÄN</t>
        </is>
      </c>
      <c r="E529" t="inlineStr">
        <is>
          <t>VILHELMINA</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6664-2021</t>
        </is>
      </c>
      <c r="B530" s="1" t="n">
        <v>44235</v>
      </c>
      <c r="C530" s="1" t="n">
        <v>45881</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6699-2021</t>
        </is>
      </c>
      <c r="B531" s="1" t="n">
        <v>44235</v>
      </c>
      <c r="C531" s="1" t="n">
        <v>45881</v>
      </c>
      <c r="D531" t="inlineStr">
        <is>
          <t>VÄSTERBOTTENS LÄN</t>
        </is>
      </c>
      <c r="E531" t="inlineStr">
        <is>
          <t>VILHELMINA</t>
        </is>
      </c>
      <c r="G531" t="n">
        <v>6.9</v>
      </c>
      <c r="H531" t="n">
        <v>0</v>
      </c>
      <c r="I531" t="n">
        <v>0</v>
      </c>
      <c r="J531" t="n">
        <v>0</v>
      </c>
      <c r="K531" t="n">
        <v>0</v>
      </c>
      <c r="L531" t="n">
        <v>0</v>
      </c>
      <c r="M531" t="n">
        <v>0</v>
      </c>
      <c r="N531" t="n">
        <v>0</v>
      </c>
      <c r="O531" t="n">
        <v>0</v>
      </c>
      <c r="P531" t="n">
        <v>0</v>
      </c>
      <c r="Q531" t="n">
        <v>0</v>
      </c>
      <c r="R531" s="2" t="inlineStr"/>
    </row>
    <row r="532" ht="15" customHeight="1">
      <c r="A532" t="inlineStr">
        <is>
          <t>A 61779-2023</t>
        </is>
      </c>
      <c r="B532" s="1" t="n">
        <v>45265.95677083333</v>
      </c>
      <c r="C532" s="1" t="n">
        <v>45881</v>
      </c>
      <c r="D532" t="inlineStr">
        <is>
          <t>VÄSTERBOTTENS LÄN</t>
        </is>
      </c>
      <c r="E532" t="inlineStr">
        <is>
          <t>VILHELMINA</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18398-2025</t>
        </is>
      </c>
      <c r="B533" s="1" t="n">
        <v>45762.59491898148</v>
      </c>
      <c r="C533" s="1" t="n">
        <v>45881</v>
      </c>
      <c r="D533" t="inlineStr">
        <is>
          <t>VÄSTERBOTTENS LÄN</t>
        </is>
      </c>
      <c r="E533" t="inlineStr">
        <is>
          <t>VILHELMINA</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12364-2025</t>
        </is>
      </c>
      <c r="B534" s="1" t="n">
        <v>45730.37515046296</v>
      </c>
      <c r="C534" s="1" t="n">
        <v>45881</v>
      </c>
      <c r="D534" t="inlineStr">
        <is>
          <t>VÄSTERBOTTENS LÄN</t>
        </is>
      </c>
      <c r="E534" t="inlineStr">
        <is>
          <t>VILHELMINA</t>
        </is>
      </c>
      <c r="F534" t="inlineStr">
        <is>
          <t>Övriga statliga verk och myndigheter</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12377-2025</t>
        </is>
      </c>
      <c r="B535" s="1" t="n">
        <v>45730</v>
      </c>
      <c r="C535" s="1" t="n">
        <v>45881</v>
      </c>
      <c r="D535" t="inlineStr">
        <is>
          <t>VÄSTERBOTTENS LÄN</t>
        </is>
      </c>
      <c r="E535" t="inlineStr">
        <is>
          <t>VILHELMINA</t>
        </is>
      </c>
      <c r="F535" t="inlineStr">
        <is>
          <t>Övriga statliga verk och myndigheter</t>
        </is>
      </c>
      <c r="G535" t="n">
        <v>37.1</v>
      </c>
      <c r="H535" t="n">
        <v>0</v>
      </c>
      <c r="I535" t="n">
        <v>0</v>
      </c>
      <c r="J535" t="n">
        <v>0</v>
      </c>
      <c r="K535" t="n">
        <v>0</v>
      </c>
      <c r="L535" t="n">
        <v>0</v>
      </c>
      <c r="M535" t="n">
        <v>0</v>
      </c>
      <c r="N535" t="n">
        <v>0</v>
      </c>
      <c r="O535" t="n">
        <v>0</v>
      </c>
      <c r="P535" t="n">
        <v>0</v>
      </c>
      <c r="Q535" t="n">
        <v>0</v>
      </c>
      <c r="R535" s="2" t="inlineStr"/>
    </row>
    <row r="536" ht="15" customHeight="1">
      <c r="A536" t="inlineStr">
        <is>
          <t>A 59671-2023</t>
        </is>
      </c>
      <c r="B536" s="1" t="n">
        <v>45254.96524305556</v>
      </c>
      <c r="C536" s="1" t="n">
        <v>45881</v>
      </c>
      <c r="D536" t="inlineStr">
        <is>
          <t>VÄSTERBOTTENS LÄN</t>
        </is>
      </c>
      <c r="E536" t="inlineStr">
        <is>
          <t>VILHELMINA</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56396-2022</t>
        </is>
      </c>
      <c r="B537" s="1" t="n">
        <v>44890</v>
      </c>
      <c r="C537" s="1" t="n">
        <v>45881</v>
      </c>
      <c r="D537" t="inlineStr">
        <is>
          <t>VÄSTERBOTTENS LÄN</t>
        </is>
      </c>
      <c r="E537" t="inlineStr">
        <is>
          <t>VILHELMINA</t>
        </is>
      </c>
      <c r="G537" t="n">
        <v>1.6</v>
      </c>
      <c r="H537" t="n">
        <v>0</v>
      </c>
      <c r="I537" t="n">
        <v>0</v>
      </c>
      <c r="J537" t="n">
        <v>0</v>
      </c>
      <c r="K537" t="n">
        <v>0</v>
      </c>
      <c r="L537" t="n">
        <v>0</v>
      </c>
      <c r="M537" t="n">
        <v>0</v>
      </c>
      <c r="N537" t="n">
        <v>0</v>
      </c>
      <c r="O537" t="n">
        <v>0</v>
      </c>
      <c r="P537" t="n">
        <v>0</v>
      </c>
      <c r="Q537" t="n">
        <v>0</v>
      </c>
      <c r="R537" s="2" t="inlineStr"/>
    </row>
    <row r="538" ht="15" customHeight="1">
      <c r="A538" t="inlineStr">
        <is>
          <t>A 58749-2023</t>
        </is>
      </c>
      <c r="B538" s="1" t="n">
        <v>45251.92947916667</v>
      </c>
      <c r="C538" s="1" t="n">
        <v>45881</v>
      </c>
      <c r="D538" t="inlineStr">
        <is>
          <t>VÄSTERBOTTENS LÄN</t>
        </is>
      </c>
      <c r="E538" t="inlineStr">
        <is>
          <t>VILHELMINA</t>
        </is>
      </c>
      <c r="G538" t="n">
        <v>2.8</v>
      </c>
      <c r="H538" t="n">
        <v>0</v>
      </c>
      <c r="I538" t="n">
        <v>0</v>
      </c>
      <c r="J538" t="n">
        <v>0</v>
      </c>
      <c r="K538" t="n">
        <v>0</v>
      </c>
      <c r="L538" t="n">
        <v>0</v>
      </c>
      <c r="M538" t="n">
        <v>0</v>
      </c>
      <c r="N538" t="n">
        <v>0</v>
      </c>
      <c r="O538" t="n">
        <v>0</v>
      </c>
      <c r="P538" t="n">
        <v>0</v>
      </c>
      <c r="Q538" t="n">
        <v>0</v>
      </c>
      <c r="R538" s="2" t="inlineStr"/>
    </row>
    <row r="539" ht="15" customHeight="1">
      <c r="A539" t="inlineStr">
        <is>
          <t>A 38361-2023</t>
        </is>
      </c>
      <c r="B539" s="1" t="n">
        <v>45161.94315972222</v>
      </c>
      <c r="C539" s="1" t="n">
        <v>45881</v>
      </c>
      <c r="D539" t="inlineStr">
        <is>
          <t>VÄSTERBOTTENS LÄN</t>
        </is>
      </c>
      <c r="E539" t="inlineStr">
        <is>
          <t>VILHELMINA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54430-2024</t>
        </is>
      </c>
      <c r="B540" s="1" t="n">
        <v>45617.49107638889</v>
      </c>
      <c r="C540" s="1" t="n">
        <v>45881</v>
      </c>
      <c r="D540" t="inlineStr">
        <is>
          <t>VÄSTERBOTTENS LÄN</t>
        </is>
      </c>
      <c r="E540" t="inlineStr">
        <is>
          <t>VILHELMINA</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58824-2024</t>
        </is>
      </c>
      <c r="B541" s="1" t="n">
        <v>45636.36488425926</v>
      </c>
      <c r="C541" s="1" t="n">
        <v>45881</v>
      </c>
      <c r="D541" t="inlineStr">
        <is>
          <t>VÄSTERBOTTENS LÄN</t>
        </is>
      </c>
      <c r="E541" t="inlineStr">
        <is>
          <t>VILHELMINA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60377-2024</t>
        </is>
      </c>
      <c r="B542" s="1" t="n">
        <v>45643</v>
      </c>
      <c r="C542" s="1" t="n">
        <v>45881</v>
      </c>
      <c r="D542" t="inlineStr">
        <is>
          <t>VÄSTERBOTTENS LÄN</t>
        </is>
      </c>
      <c r="E542" t="inlineStr">
        <is>
          <t>VILHELMINA</t>
        </is>
      </c>
      <c r="F542" t="inlineStr">
        <is>
          <t>SCA</t>
        </is>
      </c>
      <c r="G542" t="n">
        <v>16.2</v>
      </c>
      <c r="H542" t="n">
        <v>0</v>
      </c>
      <c r="I542" t="n">
        <v>0</v>
      </c>
      <c r="J542" t="n">
        <v>0</v>
      </c>
      <c r="K542" t="n">
        <v>0</v>
      </c>
      <c r="L542" t="n">
        <v>0</v>
      </c>
      <c r="M542" t="n">
        <v>0</v>
      </c>
      <c r="N542" t="n">
        <v>0</v>
      </c>
      <c r="O542" t="n">
        <v>0</v>
      </c>
      <c r="P542" t="n">
        <v>0</v>
      </c>
      <c r="Q542" t="n">
        <v>0</v>
      </c>
      <c r="R542" s="2" t="inlineStr"/>
    </row>
    <row r="543" ht="15" customHeight="1">
      <c r="A543" t="inlineStr">
        <is>
          <t>A 61953-2024</t>
        </is>
      </c>
      <c r="B543" s="1" t="n">
        <v>45653.5150462963</v>
      </c>
      <c r="C543" s="1" t="n">
        <v>45881</v>
      </c>
      <c r="D543" t="inlineStr">
        <is>
          <t>VÄSTERBOTTENS LÄN</t>
        </is>
      </c>
      <c r="E543" t="inlineStr">
        <is>
          <t>VILHELMINA</t>
        </is>
      </c>
      <c r="F543" t="inlineStr">
        <is>
          <t>Kommuner</t>
        </is>
      </c>
      <c r="G543" t="n">
        <v>10.2</v>
      </c>
      <c r="H543" t="n">
        <v>0</v>
      </c>
      <c r="I543" t="n">
        <v>0</v>
      </c>
      <c r="J543" t="n">
        <v>0</v>
      </c>
      <c r="K543" t="n">
        <v>0</v>
      </c>
      <c r="L543" t="n">
        <v>0</v>
      </c>
      <c r="M543" t="n">
        <v>0</v>
      </c>
      <c r="N543" t="n">
        <v>0</v>
      </c>
      <c r="O543" t="n">
        <v>0</v>
      </c>
      <c r="P543" t="n">
        <v>0</v>
      </c>
      <c r="Q543" t="n">
        <v>0</v>
      </c>
      <c r="R543" s="2" t="inlineStr"/>
    </row>
    <row r="544" ht="15" customHeight="1">
      <c r="A544" t="inlineStr">
        <is>
          <t>A 62100-2024</t>
        </is>
      </c>
      <c r="B544" s="1" t="n">
        <v>45656</v>
      </c>
      <c r="C544" s="1" t="n">
        <v>45881</v>
      </c>
      <c r="D544" t="inlineStr">
        <is>
          <t>VÄSTERBOTTENS LÄN</t>
        </is>
      </c>
      <c r="E544" t="inlineStr">
        <is>
          <t>VILHELMINA</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16721-2025</t>
        </is>
      </c>
      <c r="B545" s="1" t="n">
        <v>45754.49045138889</v>
      </c>
      <c r="C545" s="1" t="n">
        <v>45881</v>
      </c>
      <c r="D545" t="inlineStr">
        <is>
          <t>VÄSTERBOTTENS LÄN</t>
        </is>
      </c>
      <c r="E545" t="inlineStr">
        <is>
          <t>VILHELMINA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60376-2024</t>
        </is>
      </c>
      <c r="B546" s="1" t="n">
        <v>45643</v>
      </c>
      <c r="C546" s="1" t="n">
        <v>45881</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19465-2025</t>
        </is>
      </c>
      <c r="B547" s="1" t="n">
        <v>45770</v>
      </c>
      <c r="C547" s="1" t="n">
        <v>45881</v>
      </c>
      <c r="D547" t="inlineStr">
        <is>
          <t>VÄSTERBOTTENS LÄN</t>
        </is>
      </c>
      <c r="E547" t="inlineStr">
        <is>
          <t>VILHELMINA</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15062-2024</t>
        </is>
      </c>
      <c r="B548" s="1" t="n">
        <v>45399</v>
      </c>
      <c r="C548" s="1" t="n">
        <v>45881</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15066-2024</t>
        </is>
      </c>
      <c r="B549" s="1" t="n">
        <v>45399</v>
      </c>
      <c r="C549" s="1" t="n">
        <v>45881</v>
      </c>
      <c r="D549" t="inlineStr">
        <is>
          <t>VÄSTERBOTTENS LÄN</t>
        </is>
      </c>
      <c r="E549" t="inlineStr">
        <is>
          <t>VILHELMINA</t>
        </is>
      </c>
      <c r="G549" t="n">
        <v>4.6</v>
      </c>
      <c r="H549" t="n">
        <v>0</v>
      </c>
      <c r="I549" t="n">
        <v>0</v>
      </c>
      <c r="J549" t="n">
        <v>0</v>
      </c>
      <c r="K549" t="n">
        <v>0</v>
      </c>
      <c r="L549" t="n">
        <v>0</v>
      </c>
      <c r="M549" t="n">
        <v>0</v>
      </c>
      <c r="N549" t="n">
        <v>0</v>
      </c>
      <c r="O549" t="n">
        <v>0</v>
      </c>
      <c r="P549" t="n">
        <v>0</v>
      </c>
      <c r="Q549" t="n">
        <v>0</v>
      </c>
      <c r="R549" s="2" t="inlineStr"/>
    </row>
    <row r="550" ht="15" customHeight="1">
      <c r="A550" t="inlineStr">
        <is>
          <t>A 8229-2022</t>
        </is>
      </c>
      <c r="B550" s="1" t="n">
        <v>44609</v>
      </c>
      <c r="C550" s="1" t="n">
        <v>45881</v>
      </c>
      <c r="D550" t="inlineStr">
        <is>
          <t>VÄSTERBOTTENS LÄN</t>
        </is>
      </c>
      <c r="E550" t="inlineStr">
        <is>
          <t>VILHELMINA</t>
        </is>
      </c>
      <c r="F550" t="inlineStr">
        <is>
          <t>SCA</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52749-2023</t>
        </is>
      </c>
      <c r="B551" s="1" t="n">
        <v>45225.9678587963</v>
      </c>
      <c r="C551" s="1" t="n">
        <v>45881</v>
      </c>
      <c r="D551" t="inlineStr">
        <is>
          <t>VÄSTERBOTTENS LÄN</t>
        </is>
      </c>
      <c r="E551" t="inlineStr">
        <is>
          <t>VILHELMINA</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31496-2023</t>
        </is>
      </c>
      <c r="B552" s="1" t="n">
        <v>45114.94138888889</v>
      </c>
      <c r="C552" s="1" t="n">
        <v>45881</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62405-2022</t>
        </is>
      </c>
      <c r="B553" s="1" t="n">
        <v>44923</v>
      </c>
      <c r="C553" s="1" t="n">
        <v>45881</v>
      </c>
      <c r="D553" t="inlineStr">
        <is>
          <t>VÄSTERBOTTENS LÄN</t>
        </is>
      </c>
      <c r="E553" t="inlineStr">
        <is>
          <t>VILHELMINA</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49886-2024</t>
        </is>
      </c>
      <c r="B554" s="1" t="n">
        <v>45597</v>
      </c>
      <c r="C554" s="1" t="n">
        <v>45881</v>
      </c>
      <c r="D554" t="inlineStr">
        <is>
          <t>VÄSTERBOTTENS LÄN</t>
        </is>
      </c>
      <c r="E554" t="inlineStr">
        <is>
          <t>VILHELMINA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51134-2024</t>
        </is>
      </c>
      <c r="B555" s="1" t="n">
        <v>45603</v>
      </c>
      <c r="C555" s="1" t="n">
        <v>45881</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50635-2021</t>
        </is>
      </c>
      <c r="B556" s="1" t="n">
        <v>44459.71978009259</v>
      </c>
      <c r="C556" s="1" t="n">
        <v>45881</v>
      </c>
      <c r="D556" t="inlineStr">
        <is>
          <t>VÄSTERBOTTENS LÄN</t>
        </is>
      </c>
      <c r="E556" t="inlineStr">
        <is>
          <t>VILHELMINA</t>
        </is>
      </c>
      <c r="F556" t="inlineStr">
        <is>
          <t>Kommuner</t>
        </is>
      </c>
      <c r="G556" t="n">
        <v>11</v>
      </c>
      <c r="H556" t="n">
        <v>0</v>
      </c>
      <c r="I556" t="n">
        <v>0</v>
      </c>
      <c r="J556" t="n">
        <v>0</v>
      </c>
      <c r="K556" t="n">
        <v>0</v>
      </c>
      <c r="L556" t="n">
        <v>0</v>
      </c>
      <c r="M556" t="n">
        <v>0</v>
      </c>
      <c r="N556" t="n">
        <v>0</v>
      </c>
      <c r="O556" t="n">
        <v>0</v>
      </c>
      <c r="P556" t="n">
        <v>0</v>
      </c>
      <c r="Q556" t="n">
        <v>0</v>
      </c>
      <c r="R556" s="2" t="inlineStr"/>
    </row>
    <row r="557" ht="15" customHeight="1">
      <c r="A557" t="inlineStr">
        <is>
          <t>A 28870-2024</t>
        </is>
      </c>
      <c r="B557" s="1" t="n">
        <v>45478.94733796296</v>
      </c>
      <c r="C557" s="1" t="n">
        <v>45881</v>
      </c>
      <c r="D557" t="inlineStr">
        <is>
          <t>VÄSTERBOTTENS LÄN</t>
        </is>
      </c>
      <c r="E557" t="inlineStr">
        <is>
          <t>VILHELMINA</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15786-2025</t>
        </is>
      </c>
      <c r="B558" s="1" t="n">
        <v>45748.62240740741</v>
      </c>
      <c r="C558" s="1" t="n">
        <v>45881</v>
      </c>
      <c r="D558" t="inlineStr">
        <is>
          <t>VÄSTERBOTTENS LÄN</t>
        </is>
      </c>
      <c r="E558" t="inlineStr">
        <is>
          <t>VILHELMINA</t>
        </is>
      </c>
      <c r="G558" t="n">
        <v>1.1</v>
      </c>
      <c r="H558" t="n">
        <v>0</v>
      </c>
      <c r="I558" t="n">
        <v>0</v>
      </c>
      <c r="J558" t="n">
        <v>0</v>
      </c>
      <c r="K558" t="n">
        <v>0</v>
      </c>
      <c r="L558" t="n">
        <v>0</v>
      </c>
      <c r="M558" t="n">
        <v>0</v>
      </c>
      <c r="N558" t="n">
        <v>0</v>
      </c>
      <c r="O558" t="n">
        <v>0</v>
      </c>
      <c r="P558" t="n">
        <v>0</v>
      </c>
      <c r="Q558" t="n">
        <v>0</v>
      </c>
      <c r="R558" s="2" t="inlineStr"/>
    </row>
    <row r="559" ht="15" customHeight="1">
      <c r="A559" t="inlineStr">
        <is>
          <t>A 30583-2024</t>
        </is>
      </c>
      <c r="B559" s="1" t="n">
        <v>45492.96108796296</v>
      </c>
      <c r="C559" s="1" t="n">
        <v>45881</v>
      </c>
      <c r="D559" t="inlineStr">
        <is>
          <t>VÄSTERBOTTENS LÄN</t>
        </is>
      </c>
      <c r="E559" t="inlineStr">
        <is>
          <t>VILHELMINA</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45593-2024</t>
        </is>
      </c>
      <c r="B560" s="1" t="n">
        <v>45579</v>
      </c>
      <c r="C560" s="1" t="n">
        <v>45881</v>
      </c>
      <c r="D560" t="inlineStr">
        <is>
          <t>VÄSTERBOTTENS LÄN</t>
        </is>
      </c>
      <c r="E560" t="inlineStr">
        <is>
          <t>VILHELMINA</t>
        </is>
      </c>
      <c r="G560" t="n">
        <v>0.9</v>
      </c>
      <c r="H560" t="n">
        <v>0</v>
      </c>
      <c r="I560" t="n">
        <v>0</v>
      </c>
      <c r="J560" t="n">
        <v>0</v>
      </c>
      <c r="K560" t="n">
        <v>0</v>
      </c>
      <c r="L560" t="n">
        <v>0</v>
      </c>
      <c r="M560" t="n">
        <v>0</v>
      </c>
      <c r="N560" t="n">
        <v>0</v>
      </c>
      <c r="O560" t="n">
        <v>0</v>
      </c>
      <c r="P560" t="n">
        <v>0</v>
      </c>
      <c r="Q560" t="n">
        <v>0</v>
      </c>
      <c r="R560" s="2" t="inlineStr"/>
    </row>
    <row r="561" ht="15" customHeight="1">
      <c r="A561" t="inlineStr">
        <is>
          <t>A 54727-2024</t>
        </is>
      </c>
      <c r="B561" s="1" t="n">
        <v>45618.43804398148</v>
      </c>
      <c r="C561" s="1" t="n">
        <v>45881</v>
      </c>
      <c r="D561" t="inlineStr">
        <is>
          <t>VÄSTERBOTTENS LÄN</t>
        </is>
      </c>
      <c r="E561" t="inlineStr">
        <is>
          <t>VILHELMINA</t>
        </is>
      </c>
      <c r="F561" t="inlineStr">
        <is>
          <t>SCA</t>
        </is>
      </c>
      <c r="G561" t="n">
        <v>4</v>
      </c>
      <c r="H561" t="n">
        <v>0</v>
      </c>
      <c r="I561" t="n">
        <v>0</v>
      </c>
      <c r="J561" t="n">
        <v>0</v>
      </c>
      <c r="K561" t="n">
        <v>0</v>
      </c>
      <c r="L561" t="n">
        <v>0</v>
      </c>
      <c r="M561" t="n">
        <v>0</v>
      </c>
      <c r="N561" t="n">
        <v>0</v>
      </c>
      <c r="O561" t="n">
        <v>0</v>
      </c>
      <c r="P561" t="n">
        <v>0</v>
      </c>
      <c r="Q561" t="n">
        <v>0</v>
      </c>
      <c r="R561" s="2" t="inlineStr"/>
    </row>
    <row r="562" ht="15" customHeight="1">
      <c r="A562" t="inlineStr">
        <is>
          <t>A 54804-2024</t>
        </is>
      </c>
      <c r="B562" s="1" t="n">
        <v>45618</v>
      </c>
      <c r="C562" s="1" t="n">
        <v>45881</v>
      </c>
      <c r="D562" t="inlineStr">
        <is>
          <t>VÄSTERBOTTENS LÄN</t>
        </is>
      </c>
      <c r="E562" t="inlineStr">
        <is>
          <t>VILHELMINA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20653-2021</t>
        </is>
      </c>
      <c r="B563" s="1" t="n">
        <v>44316.41677083333</v>
      </c>
      <c r="C563" s="1" t="n">
        <v>45881</v>
      </c>
      <c r="D563" t="inlineStr">
        <is>
          <t>VÄSTERBOTTENS LÄN</t>
        </is>
      </c>
      <c r="E563" t="inlineStr">
        <is>
          <t>VILHELMINA</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21035-2025</t>
        </is>
      </c>
      <c r="B564" s="1" t="n">
        <v>45777.53157407408</v>
      </c>
      <c r="C564" s="1" t="n">
        <v>45881</v>
      </c>
      <c r="D564" t="inlineStr">
        <is>
          <t>VÄSTERBOTTENS LÄN</t>
        </is>
      </c>
      <c r="E564" t="inlineStr">
        <is>
          <t>VILHELMINA</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21069-2025</t>
        </is>
      </c>
      <c r="B565" s="1" t="n">
        <v>45777.59427083333</v>
      </c>
      <c r="C565" s="1" t="n">
        <v>45881</v>
      </c>
      <c r="D565" t="inlineStr">
        <is>
          <t>VÄSTERBOTTENS LÄN</t>
        </is>
      </c>
      <c r="E565" t="inlineStr">
        <is>
          <t>VILHELMINA</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49221-2024</t>
        </is>
      </c>
      <c r="B566" s="1" t="n">
        <v>45595.41166666667</v>
      </c>
      <c r="C566" s="1" t="n">
        <v>45881</v>
      </c>
      <c r="D566" t="inlineStr">
        <is>
          <t>VÄSTERBOTTENS LÄN</t>
        </is>
      </c>
      <c r="E566" t="inlineStr">
        <is>
          <t>VILHELMINA</t>
        </is>
      </c>
      <c r="G566" t="n">
        <v>11.4</v>
      </c>
      <c r="H566" t="n">
        <v>0</v>
      </c>
      <c r="I566" t="n">
        <v>0</v>
      </c>
      <c r="J566" t="n">
        <v>0</v>
      </c>
      <c r="K566" t="n">
        <v>0</v>
      </c>
      <c r="L566" t="n">
        <v>0</v>
      </c>
      <c r="M566" t="n">
        <v>0</v>
      </c>
      <c r="N566" t="n">
        <v>0</v>
      </c>
      <c r="O566" t="n">
        <v>0</v>
      </c>
      <c r="P566" t="n">
        <v>0</v>
      </c>
      <c r="Q566" t="n">
        <v>0</v>
      </c>
      <c r="R566" s="2" t="inlineStr"/>
    </row>
    <row r="567" ht="15" customHeight="1">
      <c r="A567" t="inlineStr">
        <is>
          <t>A 49246-2024</t>
        </is>
      </c>
      <c r="B567" s="1" t="n">
        <v>45595.4618287037</v>
      </c>
      <c r="C567" s="1" t="n">
        <v>45881</v>
      </c>
      <c r="D567" t="inlineStr">
        <is>
          <t>VÄSTERBOTTENS LÄN</t>
        </is>
      </c>
      <c r="E567" t="inlineStr">
        <is>
          <t>VILHELMINA</t>
        </is>
      </c>
      <c r="G567" t="n">
        <v>0.9</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44628.925625</v>
      </c>
      <c r="C568" s="1" t="n">
        <v>45881</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56763-2023</t>
        </is>
      </c>
      <c r="B569" s="1" t="n">
        <v>45238</v>
      </c>
      <c r="C569" s="1" t="n">
        <v>45881</v>
      </c>
      <c r="D569" t="inlineStr">
        <is>
          <t>VÄSTERBOTTENS LÄN</t>
        </is>
      </c>
      <c r="E569" t="inlineStr">
        <is>
          <t>VILHELMINA</t>
        </is>
      </c>
      <c r="F569" t="inlineStr">
        <is>
          <t>Allmännings- och besparingsskogar</t>
        </is>
      </c>
      <c r="G569" t="n">
        <v>77</v>
      </c>
      <c r="H569" t="n">
        <v>0</v>
      </c>
      <c r="I569" t="n">
        <v>0</v>
      </c>
      <c r="J569" t="n">
        <v>0</v>
      </c>
      <c r="K569" t="n">
        <v>0</v>
      </c>
      <c r="L569" t="n">
        <v>0</v>
      </c>
      <c r="M569" t="n">
        <v>0</v>
      </c>
      <c r="N569" t="n">
        <v>0</v>
      </c>
      <c r="O569" t="n">
        <v>0</v>
      </c>
      <c r="P569" t="n">
        <v>0</v>
      </c>
      <c r="Q569" t="n">
        <v>0</v>
      </c>
      <c r="R569" s="2" t="inlineStr"/>
    </row>
    <row r="570" ht="15" customHeight="1">
      <c r="A570" t="inlineStr">
        <is>
          <t>A 5435-2024</t>
        </is>
      </c>
      <c r="B570" s="1" t="n">
        <v>45331</v>
      </c>
      <c r="C570" s="1" t="n">
        <v>45881</v>
      </c>
      <c r="D570" t="inlineStr">
        <is>
          <t>VÄSTERBOTTENS LÄN</t>
        </is>
      </c>
      <c r="E570" t="inlineStr">
        <is>
          <t>VILHELMINA</t>
        </is>
      </c>
      <c r="G570" t="n">
        <v>6</v>
      </c>
      <c r="H570" t="n">
        <v>0</v>
      </c>
      <c r="I570" t="n">
        <v>0</v>
      </c>
      <c r="J570" t="n">
        <v>0</v>
      </c>
      <c r="K570" t="n">
        <v>0</v>
      </c>
      <c r="L570" t="n">
        <v>0</v>
      </c>
      <c r="M570" t="n">
        <v>0</v>
      </c>
      <c r="N570" t="n">
        <v>0</v>
      </c>
      <c r="O570" t="n">
        <v>0</v>
      </c>
      <c r="P570" t="n">
        <v>0</v>
      </c>
      <c r="Q570" t="n">
        <v>0</v>
      </c>
      <c r="R570" s="2" t="inlineStr"/>
    </row>
    <row r="571" ht="15" customHeight="1">
      <c r="A571" t="inlineStr">
        <is>
          <t>A 21410-2025</t>
        </is>
      </c>
      <c r="B571" s="1" t="n">
        <v>45782</v>
      </c>
      <c r="C571" s="1" t="n">
        <v>45881</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3745-2023</t>
        </is>
      </c>
      <c r="B572" s="1" t="n">
        <v>44949</v>
      </c>
      <c r="C572" s="1" t="n">
        <v>45881</v>
      </c>
      <c r="D572" t="inlineStr">
        <is>
          <t>VÄSTERBOTTENS LÄN</t>
        </is>
      </c>
      <c r="E572" t="inlineStr">
        <is>
          <t>VILHELMINA</t>
        </is>
      </c>
      <c r="G572" t="n">
        <v>36.6</v>
      </c>
      <c r="H572" t="n">
        <v>0</v>
      </c>
      <c r="I572" t="n">
        <v>0</v>
      </c>
      <c r="J572" t="n">
        <v>0</v>
      </c>
      <c r="K572" t="n">
        <v>0</v>
      </c>
      <c r="L572" t="n">
        <v>0</v>
      </c>
      <c r="M572" t="n">
        <v>0</v>
      </c>
      <c r="N572" t="n">
        <v>0</v>
      </c>
      <c r="O572" t="n">
        <v>0</v>
      </c>
      <c r="P572" t="n">
        <v>0</v>
      </c>
      <c r="Q572" t="n">
        <v>0</v>
      </c>
      <c r="R572" s="2" t="inlineStr"/>
    </row>
    <row r="573" ht="15" customHeight="1">
      <c r="A573" t="inlineStr">
        <is>
          <t>A 21205-2025</t>
        </is>
      </c>
      <c r="B573" s="1" t="n">
        <v>45779</v>
      </c>
      <c r="C573" s="1" t="n">
        <v>45881</v>
      </c>
      <c r="D573" t="inlineStr">
        <is>
          <t>VÄSTERBOTTENS LÄN</t>
        </is>
      </c>
      <c r="E573" t="inlineStr">
        <is>
          <t>VILHELMINA</t>
        </is>
      </c>
      <c r="F573" t="inlineStr">
        <is>
          <t>Allmännings- och besparingsskogar</t>
        </is>
      </c>
      <c r="G573" t="n">
        <v>6.2</v>
      </c>
      <c r="H573" t="n">
        <v>0</v>
      </c>
      <c r="I573" t="n">
        <v>0</v>
      </c>
      <c r="J573" t="n">
        <v>0</v>
      </c>
      <c r="K573" t="n">
        <v>0</v>
      </c>
      <c r="L573" t="n">
        <v>0</v>
      </c>
      <c r="M573" t="n">
        <v>0</v>
      </c>
      <c r="N573" t="n">
        <v>0</v>
      </c>
      <c r="O573" t="n">
        <v>0</v>
      </c>
      <c r="P573" t="n">
        <v>0</v>
      </c>
      <c r="Q573" t="n">
        <v>0</v>
      </c>
      <c r="R573" s="2" t="inlineStr"/>
    </row>
    <row r="574" ht="15" customHeight="1">
      <c r="A574" t="inlineStr">
        <is>
          <t>A 35757-2023</t>
        </is>
      </c>
      <c r="B574" s="1" t="n">
        <v>45147.95444444445</v>
      </c>
      <c r="C574" s="1" t="n">
        <v>45881</v>
      </c>
      <c r="D574" t="inlineStr">
        <is>
          <t>VÄSTERBOTTENS LÄN</t>
        </is>
      </c>
      <c r="E574" t="inlineStr">
        <is>
          <t>VILHELMINA</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31696-2024</t>
        </is>
      </c>
      <c r="B575" s="1" t="n">
        <v>45508</v>
      </c>
      <c r="C575" s="1" t="n">
        <v>45881</v>
      </c>
      <c r="D575" t="inlineStr">
        <is>
          <t>VÄSTERBOTTENS LÄN</t>
        </is>
      </c>
      <c r="E575" t="inlineStr">
        <is>
          <t>VILHELMINA</t>
        </is>
      </c>
      <c r="G575" t="n">
        <v>7.7</v>
      </c>
      <c r="H575" t="n">
        <v>0</v>
      </c>
      <c r="I575" t="n">
        <v>0</v>
      </c>
      <c r="J575" t="n">
        <v>0</v>
      </c>
      <c r="K575" t="n">
        <v>0</v>
      </c>
      <c r="L575" t="n">
        <v>0</v>
      </c>
      <c r="M575" t="n">
        <v>0</v>
      </c>
      <c r="N575" t="n">
        <v>0</v>
      </c>
      <c r="O575" t="n">
        <v>0</v>
      </c>
      <c r="P575" t="n">
        <v>0</v>
      </c>
      <c r="Q575" t="n">
        <v>0</v>
      </c>
      <c r="R575" s="2" t="inlineStr"/>
    </row>
    <row r="576" ht="15" customHeight="1">
      <c r="A576" t="inlineStr">
        <is>
          <t>A 21448-2025</t>
        </is>
      </c>
      <c r="B576" s="1" t="n">
        <v>45782.55241898148</v>
      </c>
      <c r="C576" s="1" t="n">
        <v>45881</v>
      </c>
      <c r="D576" t="inlineStr">
        <is>
          <t>VÄSTERBOTTENS LÄN</t>
        </is>
      </c>
      <c r="E576" t="inlineStr">
        <is>
          <t>VILHELMINA</t>
        </is>
      </c>
      <c r="F576" t="inlineStr">
        <is>
          <t>SCA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72-2025</t>
        </is>
      </c>
      <c r="B577" s="1" t="n">
        <v>45659</v>
      </c>
      <c r="C577" s="1" t="n">
        <v>45881</v>
      </c>
      <c r="D577" t="inlineStr">
        <is>
          <t>VÄSTERBOTTENS LÄN</t>
        </is>
      </c>
      <c r="E577" t="inlineStr">
        <is>
          <t>VILHELMINA</t>
        </is>
      </c>
      <c r="G577" t="n">
        <v>0.9</v>
      </c>
      <c r="H577" t="n">
        <v>0</v>
      </c>
      <c r="I577" t="n">
        <v>0</v>
      </c>
      <c r="J577" t="n">
        <v>0</v>
      </c>
      <c r="K577" t="n">
        <v>0</v>
      </c>
      <c r="L577" t="n">
        <v>0</v>
      </c>
      <c r="M577" t="n">
        <v>0</v>
      </c>
      <c r="N577" t="n">
        <v>0</v>
      </c>
      <c r="O577" t="n">
        <v>0</v>
      </c>
      <c r="P577" t="n">
        <v>0</v>
      </c>
      <c r="Q577" t="n">
        <v>0</v>
      </c>
      <c r="R577" s="2" t="inlineStr"/>
    </row>
    <row r="578" ht="15" customHeight="1">
      <c r="A578" t="inlineStr">
        <is>
          <t>A 9181-2023</t>
        </is>
      </c>
      <c r="B578" s="1" t="n">
        <v>44972</v>
      </c>
      <c r="C578" s="1" t="n">
        <v>45881</v>
      </c>
      <c r="D578" t="inlineStr">
        <is>
          <t>VÄSTERBOTTENS LÄN</t>
        </is>
      </c>
      <c r="E578" t="inlineStr">
        <is>
          <t>VILHELMINA</t>
        </is>
      </c>
      <c r="F578" t="inlineStr">
        <is>
          <t>Allmännings- och besparingsskogar</t>
        </is>
      </c>
      <c r="G578" t="n">
        <v>220.1</v>
      </c>
      <c r="H578" t="n">
        <v>0</v>
      </c>
      <c r="I578" t="n">
        <v>0</v>
      </c>
      <c r="J578" t="n">
        <v>0</v>
      </c>
      <c r="K578" t="n">
        <v>0</v>
      </c>
      <c r="L578" t="n">
        <v>0</v>
      </c>
      <c r="M578" t="n">
        <v>0</v>
      </c>
      <c r="N578" t="n">
        <v>0</v>
      </c>
      <c r="O578" t="n">
        <v>0</v>
      </c>
      <c r="P578" t="n">
        <v>0</v>
      </c>
      <c r="Q578" t="n">
        <v>0</v>
      </c>
      <c r="R578" s="2" t="inlineStr"/>
    </row>
    <row r="579" ht="15" customHeight="1">
      <c r="A579" t="inlineStr">
        <is>
          <t>A 54457-2024</t>
        </is>
      </c>
      <c r="B579" s="1" t="n">
        <v>45617</v>
      </c>
      <c r="C579" s="1" t="n">
        <v>45881</v>
      </c>
      <c r="D579" t="inlineStr">
        <is>
          <t>VÄSTERBOTTENS LÄN</t>
        </is>
      </c>
      <c r="E579" t="inlineStr">
        <is>
          <t>VILHELMINA</t>
        </is>
      </c>
      <c r="F579" t="inlineStr">
        <is>
          <t>SCA</t>
        </is>
      </c>
      <c r="G579" t="n">
        <v>8</v>
      </c>
      <c r="H579" t="n">
        <v>0</v>
      </c>
      <c r="I579" t="n">
        <v>0</v>
      </c>
      <c r="J579" t="n">
        <v>0</v>
      </c>
      <c r="K579" t="n">
        <v>0</v>
      </c>
      <c r="L579" t="n">
        <v>0</v>
      </c>
      <c r="M579" t="n">
        <v>0</v>
      </c>
      <c r="N579" t="n">
        <v>0</v>
      </c>
      <c r="O579" t="n">
        <v>0</v>
      </c>
      <c r="P579" t="n">
        <v>0</v>
      </c>
      <c r="Q579" t="n">
        <v>0</v>
      </c>
      <c r="R579" s="2" t="inlineStr"/>
    </row>
    <row r="580" ht="15" customHeight="1">
      <c r="A580" t="inlineStr">
        <is>
          <t>A 40505-2024</t>
        </is>
      </c>
      <c r="B580" s="1" t="n">
        <v>45555.57373842593</v>
      </c>
      <c r="C580" s="1" t="n">
        <v>45881</v>
      </c>
      <c r="D580" t="inlineStr">
        <is>
          <t>VÄSTERBOTTENS LÄN</t>
        </is>
      </c>
      <c r="E580" t="inlineStr">
        <is>
          <t>VILHELMINA</t>
        </is>
      </c>
      <c r="G580" t="n">
        <v>0.3</v>
      </c>
      <c r="H580" t="n">
        <v>0</v>
      </c>
      <c r="I580" t="n">
        <v>0</v>
      </c>
      <c r="J580" t="n">
        <v>0</v>
      </c>
      <c r="K580" t="n">
        <v>0</v>
      </c>
      <c r="L580" t="n">
        <v>0</v>
      </c>
      <c r="M580" t="n">
        <v>0</v>
      </c>
      <c r="N580" t="n">
        <v>0</v>
      </c>
      <c r="O580" t="n">
        <v>0</v>
      </c>
      <c r="P580" t="n">
        <v>0</v>
      </c>
      <c r="Q580" t="n">
        <v>0</v>
      </c>
      <c r="R580" s="2" t="inlineStr"/>
    </row>
    <row r="581" ht="15" customHeight="1">
      <c r="A581" t="inlineStr">
        <is>
          <t>A 58505-2024</t>
        </is>
      </c>
      <c r="B581" s="1" t="n">
        <v>45635</v>
      </c>
      <c r="C581" s="1" t="n">
        <v>45881</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39677-2024</t>
        </is>
      </c>
      <c r="B582" s="1" t="n">
        <v>45552</v>
      </c>
      <c r="C582" s="1" t="n">
        <v>45881</v>
      </c>
      <c r="D582" t="inlineStr">
        <is>
          <t>VÄSTERBOTTENS LÄN</t>
        </is>
      </c>
      <c r="E582" t="inlineStr">
        <is>
          <t>VILHELMINA</t>
        </is>
      </c>
      <c r="F582" t="inlineStr">
        <is>
          <t>SCA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65133-2021</t>
        </is>
      </c>
      <c r="B583" s="1" t="n">
        <v>44515</v>
      </c>
      <c r="C583" s="1" t="n">
        <v>45881</v>
      </c>
      <c r="D583" t="inlineStr">
        <is>
          <t>VÄSTERBOTTENS LÄN</t>
        </is>
      </c>
      <c r="E583" t="inlineStr">
        <is>
          <t>VILHELMINA</t>
        </is>
      </c>
      <c r="G583" t="n">
        <v>16.4</v>
      </c>
      <c r="H583" t="n">
        <v>0</v>
      </c>
      <c r="I583" t="n">
        <v>0</v>
      </c>
      <c r="J583" t="n">
        <v>0</v>
      </c>
      <c r="K583" t="n">
        <v>0</v>
      </c>
      <c r="L583" t="n">
        <v>0</v>
      </c>
      <c r="M583" t="n">
        <v>0</v>
      </c>
      <c r="N583" t="n">
        <v>0</v>
      </c>
      <c r="O583" t="n">
        <v>0</v>
      </c>
      <c r="P583" t="n">
        <v>0</v>
      </c>
      <c r="Q583" t="n">
        <v>0</v>
      </c>
      <c r="R583" s="2" t="inlineStr"/>
    </row>
    <row r="584" ht="15" customHeight="1">
      <c r="A584" t="inlineStr">
        <is>
          <t>A 21204-2025</t>
        </is>
      </c>
      <c r="B584" s="1" t="n">
        <v>45779</v>
      </c>
      <c r="C584" s="1" t="n">
        <v>45881</v>
      </c>
      <c r="D584" t="inlineStr">
        <is>
          <t>VÄSTERBOTTENS LÄN</t>
        </is>
      </c>
      <c r="E584" t="inlineStr">
        <is>
          <t>VILHELMINA</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13030-2025</t>
        </is>
      </c>
      <c r="B585" s="1" t="n">
        <v>45734</v>
      </c>
      <c r="C585" s="1" t="n">
        <v>45881</v>
      </c>
      <c r="D585" t="inlineStr">
        <is>
          <t>VÄSTERBOTTENS LÄN</t>
        </is>
      </c>
      <c r="E585" t="inlineStr">
        <is>
          <t>VILHELMINA</t>
        </is>
      </c>
      <c r="G585" t="n">
        <v>13.9</v>
      </c>
      <c r="H585" t="n">
        <v>0</v>
      </c>
      <c r="I585" t="n">
        <v>0</v>
      </c>
      <c r="J585" t="n">
        <v>0</v>
      </c>
      <c r="K585" t="n">
        <v>0</v>
      </c>
      <c r="L585" t="n">
        <v>0</v>
      </c>
      <c r="M585" t="n">
        <v>0</v>
      </c>
      <c r="N585" t="n">
        <v>0</v>
      </c>
      <c r="O585" t="n">
        <v>0</v>
      </c>
      <c r="P585" t="n">
        <v>0</v>
      </c>
      <c r="Q585" t="n">
        <v>0</v>
      </c>
      <c r="R585" s="2" t="inlineStr"/>
    </row>
    <row r="586" ht="15" customHeight="1">
      <c r="A586" t="inlineStr">
        <is>
          <t>A 21924-2025</t>
        </is>
      </c>
      <c r="B586" s="1" t="n">
        <v>45784</v>
      </c>
      <c r="C586" s="1" t="n">
        <v>45881</v>
      </c>
      <c r="D586" t="inlineStr">
        <is>
          <t>VÄSTERBOTTENS LÄN</t>
        </is>
      </c>
      <c r="E586" t="inlineStr">
        <is>
          <t>VILHELMINA</t>
        </is>
      </c>
      <c r="G586" t="n">
        <v>10.2</v>
      </c>
      <c r="H586" t="n">
        <v>0</v>
      </c>
      <c r="I586" t="n">
        <v>0</v>
      </c>
      <c r="J586" t="n">
        <v>0</v>
      </c>
      <c r="K586" t="n">
        <v>0</v>
      </c>
      <c r="L586" t="n">
        <v>0</v>
      </c>
      <c r="M586" t="n">
        <v>0</v>
      </c>
      <c r="N586" t="n">
        <v>0</v>
      </c>
      <c r="O586" t="n">
        <v>0</v>
      </c>
      <c r="P586" t="n">
        <v>0</v>
      </c>
      <c r="Q586" t="n">
        <v>0</v>
      </c>
      <c r="R586" s="2" t="inlineStr"/>
    </row>
    <row r="587" ht="15" customHeight="1">
      <c r="A587" t="inlineStr">
        <is>
          <t>A 38364-2023</t>
        </is>
      </c>
      <c r="B587" s="1" t="n">
        <v>45161</v>
      </c>
      <c r="C587" s="1" t="n">
        <v>45881</v>
      </c>
      <c r="D587" t="inlineStr">
        <is>
          <t>VÄSTERBOTTENS LÄN</t>
        </is>
      </c>
      <c r="E587" t="inlineStr">
        <is>
          <t>VILHELMINA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32925-2024</t>
        </is>
      </c>
      <c r="B588" s="1" t="n">
        <v>45516.95302083333</v>
      </c>
      <c r="C588" s="1" t="n">
        <v>45881</v>
      </c>
      <c r="D588" t="inlineStr">
        <is>
          <t>VÄSTERBOTTENS LÄN</t>
        </is>
      </c>
      <c r="E588" t="inlineStr">
        <is>
          <t>VILHELMINA</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32926-2024</t>
        </is>
      </c>
      <c r="B589" s="1" t="n">
        <v>45516.95311342592</v>
      </c>
      <c r="C589" s="1" t="n">
        <v>45881</v>
      </c>
      <c r="D589" t="inlineStr">
        <is>
          <t>VÄSTERBOTTENS LÄN</t>
        </is>
      </c>
      <c r="E589" t="inlineStr">
        <is>
          <t>VILHELMINA</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44505-2024</t>
        </is>
      </c>
      <c r="B590" s="1" t="n">
        <v>45574.40974537037</v>
      </c>
      <c r="C590" s="1" t="n">
        <v>45881</v>
      </c>
      <c r="D590" t="inlineStr">
        <is>
          <t>VÄSTERBOTTENS LÄN</t>
        </is>
      </c>
      <c r="E590" t="inlineStr">
        <is>
          <t>VILHELMINA</t>
        </is>
      </c>
      <c r="G590" t="n">
        <v>15.5</v>
      </c>
      <c r="H590" t="n">
        <v>0</v>
      </c>
      <c r="I590" t="n">
        <v>0</v>
      </c>
      <c r="J590" t="n">
        <v>0</v>
      </c>
      <c r="K590" t="n">
        <v>0</v>
      </c>
      <c r="L590" t="n">
        <v>0</v>
      </c>
      <c r="M590" t="n">
        <v>0</v>
      </c>
      <c r="N590" t="n">
        <v>0</v>
      </c>
      <c r="O590" t="n">
        <v>0</v>
      </c>
      <c r="P590" t="n">
        <v>0</v>
      </c>
      <c r="Q590" t="n">
        <v>0</v>
      </c>
      <c r="R590" s="2" t="inlineStr"/>
    </row>
    <row r="591" ht="15" customHeight="1">
      <c r="A591" t="inlineStr">
        <is>
          <t>A 31851-2024</t>
        </is>
      </c>
      <c r="B591" s="1" t="n">
        <v>45509</v>
      </c>
      <c r="C591" s="1" t="n">
        <v>45881</v>
      </c>
      <c r="D591" t="inlineStr">
        <is>
          <t>VÄSTERBOTTENS LÄN</t>
        </is>
      </c>
      <c r="E591" t="inlineStr">
        <is>
          <t>VILHELMINA</t>
        </is>
      </c>
      <c r="G591" t="n">
        <v>5.1</v>
      </c>
      <c r="H591" t="n">
        <v>0</v>
      </c>
      <c r="I591" t="n">
        <v>0</v>
      </c>
      <c r="J591" t="n">
        <v>0</v>
      </c>
      <c r="K591" t="n">
        <v>0</v>
      </c>
      <c r="L591" t="n">
        <v>0</v>
      </c>
      <c r="M591" t="n">
        <v>0</v>
      </c>
      <c r="N591" t="n">
        <v>0</v>
      </c>
      <c r="O591" t="n">
        <v>0</v>
      </c>
      <c r="P591" t="n">
        <v>0</v>
      </c>
      <c r="Q591" t="n">
        <v>0</v>
      </c>
      <c r="R591" s="2" t="inlineStr"/>
    </row>
    <row r="592" ht="15" customHeight="1">
      <c r="A592" t="inlineStr">
        <is>
          <t>A 55714-2023</t>
        </is>
      </c>
      <c r="B592" s="1" t="n">
        <v>45232</v>
      </c>
      <c r="C592" s="1" t="n">
        <v>45881</v>
      </c>
      <c r="D592" t="inlineStr">
        <is>
          <t>VÄSTERBOTTENS LÄN</t>
        </is>
      </c>
      <c r="E592" t="inlineStr">
        <is>
          <t>VILHELMINA</t>
        </is>
      </c>
      <c r="G592" t="n">
        <v>1.8</v>
      </c>
      <c r="H592" t="n">
        <v>0</v>
      </c>
      <c r="I592" t="n">
        <v>0</v>
      </c>
      <c r="J592" t="n">
        <v>0</v>
      </c>
      <c r="K592" t="n">
        <v>0</v>
      </c>
      <c r="L592" t="n">
        <v>0</v>
      </c>
      <c r="M592" t="n">
        <v>0</v>
      </c>
      <c r="N592" t="n">
        <v>0</v>
      </c>
      <c r="O592" t="n">
        <v>0</v>
      </c>
      <c r="P592" t="n">
        <v>0</v>
      </c>
      <c r="Q592" t="n">
        <v>0</v>
      </c>
      <c r="R592" s="2" t="inlineStr"/>
    </row>
    <row r="593" ht="15" customHeight="1">
      <c r="A593" t="inlineStr">
        <is>
          <t>A 45673-2023</t>
        </is>
      </c>
      <c r="B593" s="1" t="n">
        <v>45194</v>
      </c>
      <c r="C593" s="1" t="n">
        <v>45881</v>
      </c>
      <c r="D593" t="inlineStr">
        <is>
          <t>VÄSTERBOTTENS LÄN</t>
        </is>
      </c>
      <c r="E593" t="inlineStr">
        <is>
          <t>VILHELMINA</t>
        </is>
      </c>
      <c r="G593" t="n">
        <v>13.4</v>
      </c>
      <c r="H593" t="n">
        <v>0</v>
      </c>
      <c r="I593" t="n">
        <v>0</v>
      </c>
      <c r="J593" t="n">
        <v>0</v>
      </c>
      <c r="K593" t="n">
        <v>0</v>
      </c>
      <c r="L593" t="n">
        <v>0</v>
      </c>
      <c r="M593" t="n">
        <v>0</v>
      </c>
      <c r="N593" t="n">
        <v>0</v>
      </c>
      <c r="O593" t="n">
        <v>0</v>
      </c>
      <c r="P593" t="n">
        <v>0</v>
      </c>
      <c r="Q593" t="n">
        <v>0</v>
      </c>
      <c r="R593" s="2" t="inlineStr"/>
    </row>
    <row r="594" ht="15" customHeight="1">
      <c r="A594" t="inlineStr">
        <is>
          <t>A 58934-2024</t>
        </is>
      </c>
      <c r="B594" s="1" t="n">
        <v>45636</v>
      </c>
      <c r="C594" s="1" t="n">
        <v>45881</v>
      </c>
      <c r="D594" t="inlineStr">
        <is>
          <t>VÄSTERBOTTENS LÄN</t>
        </is>
      </c>
      <c r="E594" t="inlineStr">
        <is>
          <t>VILHELMINA</t>
        </is>
      </c>
      <c r="F594" t="inlineStr">
        <is>
          <t>Allmännings- och besparingsskogar</t>
        </is>
      </c>
      <c r="G594" t="n">
        <v>45.6</v>
      </c>
      <c r="H594" t="n">
        <v>0</v>
      </c>
      <c r="I594" t="n">
        <v>0</v>
      </c>
      <c r="J594" t="n">
        <v>0</v>
      </c>
      <c r="K594" t="n">
        <v>0</v>
      </c>
      <c r="L594" t="n">
        <v>0</v>
      </c>
      <c r="M594" t="n">
        <v>0</v>
      </c>
      <c r="N594" t="n">
        <v>0</v>
      </c>
      <c r="O594" t="n">
        <v>0</v>
      </c>
      <c r="P594" t="n">
        <v>0</v>
      </c>
      <c r="Q594" t="n">
        <v>0</v>
      </c>
      <c r="R594" s="2" t="inlineStr"/>
    </row>
    <row r="595" ht="15" customHeight="1">
      <c r="A595" t="inlineStr">
        <is>
          <t>A 58943-2024</t>
        </is>
      </c>
      <c r="B595" s="1" t="n">
        <v>45636.5433449074</v>
      </c>
      <c r="C595" s="1" t="n">
        <v>45881</v>
      </c>
      <c r="D595" t="inlineStr">
        <is>
          <t>VÄSTERBOTTENS LÄN</t>
        </is>
      </c>
      <c r="E595" t="inlineStr">
        <is>
          <t>VILHELMINA</t>
        </is>
      </c>
      <c r="F595" t="inlineStr">
        <is>
          <t>Kommuner</t>
        </is>
      </c>
      <c r="G595" t="n">
        <v>4.1</v>
      </c>
      <c r="H595" t="n">
        <v>0</v>
      </c>
      <c r="I595" t="n">
        <v>0</v>
      </c>
      <c r="J595" t="n">
        <v>0</v>
      </c>
      <c r="K595" t="n">
        <v>0</v>
      </c>
      <c r="L595" t="n">
        <v>0</v>
      </c>
      <c r="M595" t="n">
        <v>0</v>
      </c>
      <c r="N595" t="n">
        <v>0</v>
      </c>
      <c r="O595" t="n">
        <v>0</v>
      </c>
      <c r="P595" t="n">
        <v>0</v>
      </c>
      <c r="Q595" t="n">
        <v>0</v>
      </c>
      <c r="R595" s="2" t="inlineStr"/>
    </row>
    <row r="596" ht="15" customHeight="1">
      <c r="A596" t="inlineStr">
        <is>
          <t>A 74-2025</t>
        </is>
      </c>
      <c r="B596" s="1" t="n">
        <v>45659</v>
      </c>
      <c r="C596" s="1" t="n">
        <v>45881</v>
      </c>
      <c r="D596" t="inlineStr">
        <is>
          <t>VÄSTERBOTTENS LÄN</t>
        </is>
      </c>
      <c r="E596" t="inlineStr">
        <is>
          <t>VILHELMINA</t>
        </is>
      </c>
      <c r="G596" t="n">
        <v>5.9</v>
      </c>
      <c r="H596" t="n">
        <v>0</v>
      </c>
      <c r="I596" t="n">
        <v>0</v>
      </c>
      <c r="J596" t="n">
        <v>0</v>
      </c>
      <c r="K596" t="n">
        <v>0</v>
      </c>
      <c r="L596" t="n">
        <v>0</v>
      </c>
      <c r="M596" t="n">
        <v>0</v>
      </c>
      <c r="N596" t="n">
        <v>0</v>
      </c>
      <c r="O596" t="n">
        <v>0</v>
      </c>
      <c r="P596" t="n">
        <v>0</v>
      </c>
      <c r="Q596" t="n">
        <v>0</v>
      </c>
      <c r="R596" s="2" t="inlineStr"/>
    </row>
    <row r="597" ht="15" customHeight="1">
      <c r="A597" t="inlineStr">
        <is>
          <t>A 78-2025</t>
        </is>
      </c>
      <c r="B597" s="1" t="n">
        <v>45659</v>
      </c>
      <c r="C597" s="1" t="n">
        <v>45881</v>
      </c>
      <c r="D597" t="inlineStr">
        <is>
          <t>VÄSTERBOTTENS LÄN</t>
        </is>
      </c>
      <c r="E597" t="inlineStr">
        <is>
          <t>VILHELMINA</t>
        </is>
      </c>
      <c r="G597" t="n">
        <v>7.3</v>
      </c>
      <c r="H597" t="n">
        <v>0</v>
      </c>
      <c r="I597" t="n">
        <v>0</v>
      </c>
      <c r="J597" t="n">
        <v>0</v>
      </c>
      <c r="K597" t="n">
        <v>0</v>
      </c>
      <c r="L597" t="n">
        <v>0</v>
      </c>
      <c r="M597" t="n">
        <v>0</v>
      </c>
      <c r="N597" t="n">
        <v>0</v>
      </c>
      <c r="O597" t="n">
        <v>0</v>
      </c>
      <c r="P597" t="n">
        <v>0</v>
      </c>
      <c r="Q597" t="n">
        <v>0</v>
      </c>
      <c r="R597" s="2" t="inlineStr"/>
    </row>
    <row r="598" ht="15" customHeight="1">
      <c r="A598" t="inlineStr">
        <is>
          <t>A 23278-2021</t>
        </is>
      </c>
      <c r="B598" s="1" t="n">
        <v>44328</v>
      </c>
      <c r="C598" s="1" t="n">
        <v>45881</v>
      </c>
      <c r="D598" t="inlineStr">
        <is>
          <t>VÄSTERBOTTENS LÄN</t>
        </is>
      </c>
      <c r="E598" t="inlineStr">
        <is>
          <t>VILHELMINA</t>
        </is>
      </c>
      <c r="F598" t="inlineStr">
        <is>
          <t>Allmännings- och besparingsskogar</t>
        </is>
      </c>
      <c r="G598" t="n">
        <v>13.6</v>
      </c>
      <c r="H598" t="n">
        <v>0</v>
      </c>
      <c r="I598" t="n">
        <v>0</v>
      </c>
      <c r="J598" t="n">
        <v>0</v>
      </c>
      <c r="K598" t="n">
        <v>0</v>
      </c>
      <c r="L598" t="n">
        <v>0</v>
      </c>
      <c r="M598" t="n">
        <v>0</v>
      </c>
      <c r="N598" t="n">
        <v>0</v>
      </c>
      <c r="O598" t="n">
        <v>0</v>
      </c>
      <c r="P598" t="n">
        <v>0</v>
      </c>
      <c r="Q598" t="n">
        <v>0</v>
      </c>
      <c r="R598" s="2" t="inlineStr"/>
    </row>
    <row r="599" ht="15" customHeight="1">
      <c r="A599" t="inlineStr">
        <is>
          <t>A 54387-2024</t>
        </is>
      </c>
      <c r="B599" s="1" t="n">
        <v>45617</v>
      </c>
      <c r="C599" s="1" t="n">
        <v>45881</v>
      </c>
      <c r="D599" t="inlineStr">
        <is>
          <t>VÄSTERBOTTENS LÄN</t>
        </is>
      </c>
      <c r="E599" t="inlineStr">
        <is>
          <t>VILHELMINA</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8578-2025</t>
        </is>
      </c>
      <c r="B600" s="1" t="n">
        <v>45709</v>
      </c>
      <c r="C600" s="1" t="n">
        <v>45881</v>
      </c>
      <c r="D600" t="inlineStr">
        <is>
          <t>VÄSTERBOTTENS LÄN</t>
        </is>
      </c>
      <c r="E600" t="inlineStr">
        <is>
          <t>VILHELMINA</t>
        </is>
      </c>
      <c r="G600" t="n">
        <v>3.5</v>
      </c>
      <c r="H600" t="n">
        <v>0</v>
      </c>
      <c r="I600" t="n">
        <v>0</v>
      </c>
      <c r="J600" t="n">
        <v>0</v>
      </c>
      <c r="K600" t="n">
        <v>0</v>
      </c>
      <c r="L600" t="n">
        <v>0</v>
      </c>
      <c r="M600" t="n">
        <v>0</v>
      </c>
      <c r="N600" t="n">
        <v>0</v>
      </c>
      <c r="O600" t="n">
        <v>0</v>
      </c>
      <c r="P600" t="n">
        <v>0</v>
      </c>
      <c r="Q600" t="n">
        <v>0</v>
      </c>
      <c r="R600" s="2" t="inlineStr"/>
    </row>
    <row r="601" ht="15" customHeight="1">
      <c r="A601" t="inlineStr">
        <is>
          <t>A 60090-2020</t>
        </is>
      </c>
      <c r="B601" s="1" t="n">
        <v>44151</v>
      </c>
      <c r="C601" s="1" t="n">
        <v>45881</v>
      </c>
      <c r="D601" t="inlineStr">
        <is>
          <t>VÄSTERBOTTENS LÄN</t>
        </is>
      </c>
      <c r="E601" t="inlineStr">
        <is>
          <t>VILHELMINA</t>
        </is>
      </c>
      <c r="G601" t="n">
        <v>9</v>
      </c>
      <c r="H601" t="n">
        <v>0</v>
      </c>
      <c r="I601" t="n">
        <v>0</v>
      </c>
      <c r="J601" t="n">
        <v>0</v>
      </c>
      <c r="K601" t="n">
        <v>0</v>
      </c>
      <c r="L601" t="n">
        <v>0</v>
      </c>
      <c r="M601" t="n">
        <v>0</v>
      </c>
      <c r="N601" t="n">
        <v>0</v>
      </c>
      <c r="O601" t="n">
        <v>0</v>
      </c>
      <c r="P601" t="n">
        <v>0</v>
      </c>
      <c r="Q601" t="n">
        <v>0</v>
      </c>
      <c r="R601" s="2" t="inlineStr"/>
    </row>
    <row r="602" ht="15" customHeight="1">
      <c r="A602" t="inlineStr">
        <is>
          <t>A 46392-2024</t>
        </is>
      </c>
      <c r="B602" s="1" t="n">
        <v>45582</v>
      </c>
      <c r="C602" s="1" t="n">
        <v>45881</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50482-2023</t>
        </is>
      </c>
      <c r="B603" s="1" t="n">
        <v>45216</v>
      </c>
      <c r="C603" s="1" t="n">
        <v>45881</v>
      </c>
      <c r="D603" t="inlineStr">
        <is>
          <t>VÄSTERBOTTENS LÄN</t>
        </is>
      </c>
      <c r="E603" t="inlineStr">
        <is>
          <t>VILHELMINA</t>
        </is>
      </c>
      <c r="G603" t="n">
        <v>3.5</v>
      </c>
      <c r="H603" t="n">
        <v>0</v>
      </c>
      <c r="I603" t="n">
        <v>0</v>
      </c>
      <c r="J603" t="n">
        <v>0</v>
      </c>
      <c r="K603" t="n">
        <v>0</v>
      </c>
      <c r="L603" t="n">
        <v>0</v>
      </c>
      <c r="M603" t="n">
        <v>0</v>
      </c>
      <c r="N603" t="n">
        <v>0</v>
      </c>
      <c r="O603" t="n">
        <v>0</v>
      </c>
      <c r="P603" t="n">
        <v>0</v>
      </c>
      <c r="Q603" t="n">
        <v>0</v>
      </c>
      <c r="R603" s="2" t="inlineStr"/>
    </row>
    <row r="604" ht="15" customHeight="1">
      <c r="A604" t="inlineStr">
        <is>
          <t>A 21999-2025</t>
        </is>
      </c>
      <c r="B604" s="1" t="n">
        <v>45784</v>
      </c>
      <c r="C604" s="1" t="n">
        <v>45881</v>
      </c>
      <c r="D604" t="inlineStr">
        <is>
          <t>VÄSTERBOTTENS LÄN</t>
        </is>
      </c>
      <c r="E604" t="inlineStr">
        <is>
          <t>VILHELMINA</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21950-2025</t>
        </is>
      </c>
      <c r="B605" s="1" t="n">
        <v>45784.59418981482</v>
      </c>
      <c r="C605" s="1" t="n">
        <v>45881</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21623-2025</t>
        </is>
      </c>
      <c r="B606" s="1" t="n">
        <v>45783</v>
      </c>
      <c r="C606" s="1" t="n">
        <v>45881</v>
      </c>
      <c r="D606" t="inlineStr">
        <is>
          <t>VÄSTERBOTTENS LÄN</t>
        </is>
      </c>
      <c r="E606" t="inlineStr">
        <is>
          <t>VILHELMINA</t>
        </is>
      </c>
      <c r="F606" t="inlineStr">
        <is>
          <t>SCA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21670-2025</t>
        </is>
      </c>
      <c r="B607" s="1" t="n">
        <v>45783.46917824074</v>
      </c>
      <c r="C607" s="1" t="n">
        <v>45881</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21972-2025</t>
        </is>
      </c>
      <c r="B608" s="1" t="n">
        <v>45784.63592592593</v>
      </c>
      <c r="C608" s="1" t="n">
        <v>45881</v>
      </c>
      <c r="D608" t="inlineStr">
        <is>
          <t>VÄSTERBOTTENS LÄN</t>
        </is>
      </c>
      <c r="E608" t="inlineStr">
        <is>
          <t>VILHELMINA</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34809-2023</t>
        </is>
      </c>
      <c r="B609" s="1" t="n">
        <v>45140</v>
      </c>
      <c r="C609" s="1" t="n">
        <v>45881</v>
      </c>
      <c r="D609" t="inlineStr">
        <is>
          <t>VÄSTERBOTTENS LÄN</t>
        </is>
      </c>
      <c r="E609" t="inlineStr">
        <is>
          <t>VILHELMINA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22048-2025</t>
        </is>
      </c>
      <c r="B610" s="1" t="n">
        <v>45785.3443287037</v>
      </c>
      <c r="C610" s="1" t="n">
        <v>45881</v>
      </c>
      <c r="D610" t="inlineStr">
        <is>
          <t>VÄSTERBOTTENS LÄN</t>
        </is>
      </c>
      <c r="E610" t="inlineStr">
        <is>
          <t>VILHELMINA</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37505-2023</t>
        </is>
      </c>
      <c r="B611" s="1" t="n">
        <v>45158.31186342592</v>
      </c>
      <c r="C611" s="1" t="n">
        <v>45881</v>
      </c>
      <c r="D611" t="inlineStr">
        <is>
          <t>VÄSTERBOTTENS LÄN</t>
        </is>
      </c>
      <c r="E611" t="inlineStr">
        <is>
          <t>VILHELMINA</t>
        </is>
      </c>
      <c r="G611" t="n">
        <v>10.5</v>
      </c>
      <c r="H611" t="n">
        <v>0</v>
      </c>
      <c r="I611" t="n">
        <v>0</v>
      </c>
      <c r="J611" t="n">
        <v>0</v>
      </c>
      <c r="K611" t="n">
        <v>0</v>
      </c>
      <c r="L611" t="n">
        <v>0</v>
      </c>
      <c r="M611" t="n">
        <v>0</v>
      </c>
      <c r="N611" t="n">
        <v>0</v>
      </c>
      <c r="O611" t="n">
        <v>0</v>
      </c>
      <c r="P611" t="n">
        <v>0</v>
      </c>
      <c r="Q611" t="n">
        <v>0</v>
      </c>
      <c r="R611" s="2" t="inlineStr"/>
    </row>
    <row r="612" ht="15" customHeight="1">
      <c r="A612" t="inlineStr">
        <is>
          <t>A 12118-2024</t>
        </is>
      </c>
      <c r="B612" s="1" t="n">
        <v>45376</v>
      </c>
      <c r="C612" s="1" t="n">
        <v>45881</v>
      </c>
      <c r="D612" t="inlineStr">
        <is>
          <t>VÄSTERBOTTENS LÄN</t>
        </is>
      </c>
      <c r="E612" t="inlineStr">
        <is>
          <t>VILHELMINA</t>
        </is>
      </c>
      <c r="G612" t="n">
        <v>3.6</v>
      </c>
      <c r="H612" t="n">
        <v>0</v>
      </c>
      <c r="I612" t="n">
        <v>0</v>
      </c>
      <c r="J612" t="n">
        <v>0</v>
      </c>
      <c r="K612" t="n">
        <v>0</v>
      </c>
      <c r="L612" t="n">
        <v>0</v>
      </c>
      <c r="M612" t="n">
        <v>0</v>
      </c>
      <c r="N612" t="n">
        <v>0</v>
      </c>
      <c r="O612" t="n">
        <v>0</v>
      </c>
      <c r="P612" t="n">
        <v>0</v>
      </c>
      <c r="Q612" t="n">
        <v>0</v>
      </c>
      <c r="R612" s="2" t="inlineStr"/>
    </row>
    <row r="613" ht="15" customHeight="1">
      <c r="A613" t="inlineStr">
        <is>
          <t>A 37937-2023</t>
        </is>
      </c>
      <c r="B613" s="1" t="n">
        <v>45159</v>
      </c>
      <c r="C613" s="1" t="n">
        <v>45881</v>
      </c>
      <c r="D613" t="inlineStr">
        <is>
          <t>VÄSTERBOTTENS LÄN</t>
        </is>
      </c>
      <c r="E613" t="inlineStr">
        <is>
          <t>VILHELMINA</t>
        </is>
      </c>
      <c r="G613" t="n">
        <v>2.2</v>
      </c>
      <c r="H613" t="n">
        <v>0</v>
      </c>
      <c r="I613" t="n">
        <v>0</v>
      </c>
      <c r="J613" t="n">
        <v>0</v>
      </c>
      <c r="K613" t="n">
        <v>0</v>
      </c>
      <c r="L613" t="n">
        <v>0</v>
      </c>
      <c r="M613" t="n">
        <v>0</v>
      </c>
      <c r="N613" t="n">
        <v>0</v>
      </c>
      <c r="O613" t="n">
        <v>0</v>
      </c>
      <c r="P613" t="n">
        <v>0</v>
      </c>
      <c r="Q613" t="n">
        <v>0</v>
      </c>
      <c r="R613" s="2" t="inlineStr"/>
    </row>
    <row r="614" ht="15" customHeight="1">
      <c r="A614" t="inlineStr">
        <is>
          <t>A 27881-2022</t>
        </is>
      </c>
      <c r="B614" s="1" t="n">
        <v>44743</v>
      </c>
      <c r="C614" s="1" t="n">
        <v>45881</v>
      </c>
      <c r="D614" t="inlineStr">
        <is>
          <t>VÄSTERBOTTENS LÄN</t>
        </is>
      </c>
      <c r="E614" t="inlineStr">
        <is>
          <t>VILHELMINA</t>
        </is>
      </c>
      <c r="F614" t="inlineStr">
        <is>
          <t>Sveaskog</t>
        </is>
      </c>
      <c r="G614" t="n">
        <v>14.3</v>
      </c>
      <c r="H614" t="n">
        <v>0</v>
      </c>
      <c r="I614" t="n">
        <v>0</v>
      </c>
      <c r="J614" t="n">
        <v>0</v>
      </c>
      <c r="K614" t="n">
        <v>0</v>
      </c>
      <c r="L614" t="n">
        <v>0</v>
      </c>
      <c r="M614" t="n">
        <v>0</v>
      </c>
      <c r="N614" t="n">
        <v>0</v>
      </c>
      <c r="O614" t="n">
        <v>0</v>
      </c>
      <c r="P614" t="n">
        <v>0</v>
      </c>
      <c r="Q614" t="n">
        <v>0</v>
      </c>
      <c r="R614" s="2" t="inlineStr"/>
    </row>
    <row r="615" ht="15" customHeight="1">
      <c r="A615" t="inlineStr">
        <is>
          <t>A 49241-2024</t>
        </is>
      </c>
      <c r="B615" s="1" t="n">
        <v>45595</v>
      </c>
      <c r="C615" s="1" t="n">
        <v>45881</v>
      </c>
      <c r="D615" t="inlineStr">
        <is>
          <t>VÄSTERBOTTENS LÄN</t>
        </is>
      </c>
      <c r="E615" t="inlineStr">
        <is>
          <t>VILHELMINA</t>
        </is>
      </c>
      <c r="G615" t="n">
        <v>1.4</v>
      </c>
      <c r="H615" t="n">
        <v>0</v>
      </c>
      <c r="I615" t="n">
        <v>0</v>
      </c>
      <c r="J615" t="n">
        <v>0</v>
      </c>
      <c r="K615" t="n">
        <v>0</v>
      </c>
      <c r="L615" t="n">
        <v>0</v>
      </c>
      <c r="M615" t="n">
        <v>0</v>
      </c>
      <c r="N615" t="n">
        <v>0</v>
      </c>
      <c r="O615" t="n">
        <v>0</v>
      </c>
      <c r="P615" t="n">
        <v>0</v>
      </c>
      <c r="Q615" t="n">
        <v>0</v>
      </c>
      <c r="R615" s="2" t="inlineStr"/>
    </row>
    <row r="616" ht="15" customHeight="1">
      <c r="A616" t="inlineStr">
        <is>
          <t>A 5575-2025</t>
        </is>
      </c>
      <c r="B616" s="1" t="n">
        <v>45693.53200231482</v>
      </c>
      <c r="C616" s="1" t="n">
        <v>45881</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29722-2024</t>
        </is>
      </c>
      <c r="B617" s="1" t="n">
        <v>45485</v>
      </c>
      <c r="C617" s="1" t="n">
        <v>45881</v>
      </c>
      <c r="D617" t="inlineStr">
        <is>
          <t>VÄSTERBOTTENS LÄN</t>
        </is>
      </c>
      <c r="E617" t="inlineStr">
        <is>
          <t>VILHELMINA</t>
        </is>
      </c>
      <c r="G617" t="n">
        <v>2.5</v>
      </c>
      <c r="H617" t="n">
        <v>0</v>
      </c>
      <c r="I617" t="n">
        <v>0</v>
      </c>
      <c r="J617" t="n">
        <v>0</v>
      </c>
      <c r="K617" t="n">
        <v>0</v>
      </c>
      <c r="L617" t="n">
        <v>0</v>
      </c>
      <c r="M617" t="n">
        <v>0</v>
      </c>
      <c r="N617" t="n">
        <v>0</v>
      </c>
      <c r="O617" t="n">
        <v>0</v>
      </c>
      <c r="P617" t="n">
        <v>0</v>
      </c>
      <c r="Q617" t="n">
        <v>0</v>
      </c>
      <c r="R617" s="2" t="inlineStr"/>
    </row>
    <row r="618" ht="15" customHeight="1">
      <c r="A618" t="inlineStr">
        <is>
          <t>A 19401-2023</t>
        </is>
      </c>
      <c r="B618" s="1" t="n">
        <v>45048</v>
      </c>
      <c r="C618" s="1" t="n">
        <v>45881</v>
      </c>
      <c r="D618" t="inlineStr">
        <is>
          <t>VÄSTERBOTTENS LÄN</t>
        </is>
      </c>
      <c r="E618" t="inlineStr">
        <is>
          <t>VILHELMINA</t>
        </is>
      </c>
      <c r="G618" t="n">
        <v>5.4</v>
      </c>
      <c r="H618" t="n">
        <v>0</v>
      </c>
      <c r="I618" t="n">
        <v>0</v>
      </c>
      <c r="J618" t="n">
        <v>0</v>
      </c>
      <c r="K618" t="n">
        <v>0</v>
      </c>
      <c r="L618" t="n">
        <v>0</v>
      </c>
      <c r="M618" t="n">
        <v>0</v>
      </c>
      <c r="N618" t="n">
        <v>0</v>
      </c>
      <c r="O618" t="n">
        <v>0</v>
      </c>
      <c r="P618" t="n">
        <v>0</v>
      </c>
      <c r="Q618" t="n">
        <v>0</v>
      </c>
      <c r="R618" s="2" t="inlineStr"/>
    </row>
    <row r="619" ht="15" customHeight="1">
      <c r="A619" t="inlineStr">
        <is>
          <t>A 24457-2024</t>
        </is>
      </c>
      <c r="B619" s="1" t="n">
        <v>45457.96708333334</v>
      </c>
      <c r="C619" s="1" t="n">
        <v>45881</v>
      </c>
      <c r="D619" t="inlineStr">
        <is>
          <t>VÄSTERBOTTENS LÄN</t>
        </is>
      </c>
      <c r="E619" t="inlineStr">
        <is>
          <t>VILHELMINA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57470-2024</t>
        </is>
      </c>
      <c r="B620" s="1" t="n">
        <v>45630</v>
      </c>
      <c r="C620" s="1" t="n">
        <v>45881</v>
      </c>
      <c r="D620" t="inlineStr">
        <is>
          <t>VÄSTERBOTTENS LÄN</t>
        </is>
      </c>
      <c r="E620" t="inlineStr">
        <is>
          <t>VILHELMINA</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36214-2023</t>
        </is>
      </c>
      <c r="B621" s="1" t="n">
        <v>45149.95256944445</v>
      </c>
      <c r="C621" s="1" t="n">
        <v>45881</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18781-2021</t>
        </is>
      </c>
      <c r="B622" s="1" t="n">
        <v>44307</v>
      </c>
      <c r="C622" s="1" t="n">
        <v>45881</v>
      </c>
      <c r="D622" t="inlineStr">
        <is>
          <t>VÄSTERBOTTENS LÄN</t>
        </is>
      </c>
      <c r="E622" t="inlineStr">
        <is>
          <t>VILHELMINA</t>
        </is>
      </c>
      <c r="G622" t="n">
        <v>3.5</v>
      </c>
      <c r="H622" t="n">
        <v>0</v>
      </c>
      <c r="I622" t="n">
        <v>0</v>
      </c>
      <c r="J622" t="n">
        <v>0</v>
      </c>
      <c r="K622" t="n">
        <v>0</v>
      </c>
      <c r="L622" t="n">
        <v>0</v>
      </c>
      <c r="M622" t="n">
        <v>0</v>
      </c>
      <c r="N622" t="n">
        <v>0</v>
      </c>
      <c r="O622" t="n">
        <v>0</v>
      </c>
      <c r="P622" t="n">
        <v>0</v>
      </c>
      <c r="Q622" t="n">
        <v>0</v>
      </c>
      <c r="R622" s="2" t="inlineStr"/>
    </row>
    <row r="623" ht="15" customHeight="1">
      <c r="A623" t="inlineStr">
        <is>
          <t>A 31095-2024</t>
        </is>
      </c>
      <c r="B623" s="1" t="n">
        <v>45502</v>
      </c>
      <c r="C623" s="1" t="n">
        <v>45881</v>
      </c>
      <c r="D623" t="inlineStr">
        <is>
          <t>VÄSTERBOTTENS LÄN</t>
        </is>
      </c>
      <c r="E623" t="inlineStr">
        <is>
          <t>VILHELMINA</t>
        </is>
      </c>
      <c r="G623" t="n">
        <v>4.7</v>
      </c>
      <c r="H623" t="n">
        <v>0</v>
      </c>
      <c r="I623" t="n">
        <v>0</v>
      </c>
      <c r="J623" t="n">
        <v>0</v>
      </c>
      <c r="K623" t="n">
        <v>0</v>
      </c>
      <c r="L623" t="n">
        <v>0</v>
      </c>
      <c r="M623" t="n">
        <v>0</v>
      </c>
      <c r="N623" t="n">
        <v>0</v>
      </c>
      <c r="O623" t="n">
        <v>0</v>
      </c>
      <c r="P623" t="n">
        <v>0</v>
      </c>
      <c r="Q623" t="n">
        <v>0</v>
      </c>
      <c r="R623" s="2" t="inlineStr"/>
    </row>
    <row r="624" ht="15" customHeight="1">
      <c r="A624" t="inlineStr">
        <is>
          <t>A 7777-2024</t>
        </is>
      </c>
      <c r="B624" s="1" t="n">
        <v>45349</v>
      </c>
      <c r="C624" s="1" t="n">
        <v>45881</v>
      </c>
      <c r="D624" t="inlineStr">
        <is>
          <t>VÄSTERBOTTENS LÄN</t>
        </is>
      </c>
      <c r="E624" t="inlineStr">
        <is>
          <t>VILHELMINA</t>
        </is>
      </c>
      <c r="G624" t="n">
        <v>7</v>
      </c>
      <c r="H624" t="n">
        <v>0</v>
      </c>
      <c r="I624" t="n">
        <v>0</v>
      </c>
      <c r="J624" t="n">
        <v>0</v>
      </c>
      <c r="K624" t="n">
        <v>0</v>
      </c>
      <c r="L624" t="n">
        <v>0</v>
      </c>
      <c r="M624" t="n">
        <v>0</v>
      </c>
      <c r="N624" t="n">
        <v>0</v>
      </c>
      <c r="O624" t="n">
        <v>0</v>
      </c>
      <c r="P624" t="n">
        <v>0</v>
      </c>
      <c r="Q624" t="n">
        <v>0</v>
      </c>
      <c r="R624" s="2" t="inlineStr"/>
    </row>
    <row r="625" ht="15" customHeight="1">
      <c r="A625" t="inlineStr">
        <is>
          <t>A 48470-2023</t>
        </is>
      </c>
      <c r="B625" s="1" t="n">
        <v>45206.95747685185</v>
      </c>
      <c r="C625" s="1" t="n">
        <v>45881</v>
      </c>
      <c r="D625" t="inlineStr">
        <is>
          <t>VÄSTERBOTTENS LÄN</t>
        </is>
      </c>
      <c r="E625" t="inlineStr">
        <is>
          <t>VILHELMINA</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22617-2025</t>
        </is>
      </c>
      <c r="B626" s="1" t="n">
        <v>45789</v>
      </c>
      <c r="C626" s="1" t="n">
        <v>45881</v>
      </c>
      <c r="D626" t="inlineStr">
        <is>
          <t>VÄSTERBOTTENS LÄN</t>
        </is>
      </c>
      <c r="E626" t="inlineStr">
        <is>
          <t>VILHELMINA</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22945-2025</t>
        </is>
      </c>
      <c r="B627" s="1" t="n">
        <v>45790.47935185185</v>
      </c>
      <c r="C627" s="1" t="n">
        <v>45881</v>
      </c>
      <c r="D627" t="inlineStr">
        <is>
          <t>VÄSTERBOTTENS LÄN</t>
        </is>
      </c>
      <c r="E627" t="inlineStr">
        <is>
          <t>VILHELMINA</t>
        </is>
      </c>
      <c r="G627" t="n">
        <v>22.6</v>
      </c>
      <c r="H627" t="n">
        <v>0</v>
      </c>
      <c r="I627" t="n">
        <v>0</v>
      </c>
      <c r="J627" t="n">
        <v>0</v>
      </c>
      <c r="K627" t="n">
        <v>0</v>
      </c>
      <c r="L627" t="n">
        <v>0</v>
      </c>
      <c r="M627" t="n">
        <v>0</v>
      </c>
      <c r="N627" t="n">
        <v>0</v>
      </c>
      <c r="O627" t="n">
        <v>0</v>
      </c>
      <c r="P627" t="n">
        <v>0</v>
      </c>
      <c r="Q627" t="n">
        <v>0</v>
      </c>
      <c r="R627" s="2" t="inlineStr"/>
    </row>
    <row r="628" ht="15" customHeight="1">
      <c r="A628" t="inlineStr">
        <is>
          <t>A 47440-2024</t>
        </is>
      </c>
      <c r="B628" s="1" t="n">
        <v>45587</v>
      </c>
      <c r="C628" s="1" t="n">
        <v>45881</v>
      </c>
      <c r="D628" t="inlineStr">
        <is>
          <t>VÄSTERBOTTENS LÄN</t>
        </is>
      </c>
      <c r="E628" t="inlineStr">
        <is>
          <t>VILHELMINA</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48088-2024</t>
        </is>
      </c>
      <c r="B629" s="1" t="n">
        <v>45589</v>
      </c>
      <c r="C629" s="1" t="n">
        <v>45881</v>
      </c>
      <c r="D629" t="inlineStr">
        <is>
          <t>VÄSTERBOTTENS LÄN</t>
        </is>
      </c>
      <c r="E629" t="inlineStr">
        <is>
          <t>VILHELMINA</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13829-2025</t>
        </is>
      </c>
      <c r="B630" s="1" t="n">
        <v>45737</v>
      </c>
      <c r="C630" s="1" t="n">
        <v>45881</v>
      </c>
      <c r="D630" t="inlineStr">
        <is>
          <t>VÄSTERBOTTENS LÄN</t>
        </is>
      </c>
      <c r="E630" t="inlineStr">
        <is>
          <t>VILHELMINA</t>
        </is>
      </c>
      <c r="F630" t="inlineStr">
        <is>
          <t>Övriga statliga verk och myndigheter</t>
        </is>
      </c>
      <c r="G630" t="n">
        <v>39.7</v>
      </c>
      <c r="H630" t="n">
        <v>0</v>
      </c>
      <c r="I630" t="n">
        <v>0</v>
      </c>
      <c r="J630" t="n">
        <v>0</v>
      </c>
      <c r="K630" t="n">
        <v>0</v>
      </c>
      <c r="L630" t="n">
        <v>0</v>
      </c>
      <c r="M630" t="n">
        <v>0</v>
      </c>
      <c r="N630" t="n">
        <v>0</v>
      </c>
      <c r="O630" t="n">
        <v>0</v>
      </c>
      <c r="P630" t="n">
        <v>0</v>
      </c>
      <c r="Q630" t="n">
        <v>0</v>
      </c>
      <c r="R630" s="2" t="inlineStr"/>
    </row>
    <row r="631" ht="15" customHeight="1">
      <c r="A631" t="inlineStr">
        <is>
          <t>A 39035-2024</t>
        </is>
      </c>
      <c r="B631" s="1" t="n">
        <v>45548.46918981482</v>
      </c>
      <c r="C631" s="1" t="n">
        <v>45881</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47548-2024</t>
        </is>
      </c>
      <c r="B632" s="1" t="n">
        <v>45587</v>
      </c>
      <c r="C632" s="1" t="n">
        <v>45881</v>
      </c>
      <c r="D632" t="inlineStr">
        <is>
          <t>VÄSTERBOTTENS LÄN</t>
        </is>
      </c>
      <c r="E632" t="inlineStr">
        <is>
          <t>VILHELMINA</t>
        </is>
      </c>
      <c r="F632" t="inlineStr">
        <is>
          <t>SCA</t>
        </is>
      </c>
      <c r="G632" t="n">
        <v>7.7</v>
      </c>
      <c r="H632" t="n">
        <v>0</v>
      </c>
      <c r="I632" t="n">
        <v>0</v>
      </c>
      <c r="J632" t="n">
        <v>0</v>
      </c>
      <c r="K632" t="n">
        <v>0</v>
      </c>
      <c r="L632" t="n">
        <v>0</v>
      </c>
      <c r="M632" t="n">
        <v>0</v>
      </c>
      <c r="N632" t="n">
        <v>0</v>
      </c>
      <c r="O632" t="n">
        <v>0</v>
      </c>
      <c r="P632" t="n">
        <v>0</v>
      </c>
      <c r="Q632" t="n">
        <v>0</v>
      </c>
      <c r="R632" s="2" t="inlineStr"/>
    </row>
    <row r="633" ht="15" customHeight="1">
      <c r="A633" t="inlineStr">
        <is>
          <t>A 23459-2025</t>
        </is>
      </c>
      <c r="B633" s="1" t="n">
        <v>45792</v>
      </c>
      <c r="C633" s="1" t="n">
        <v>45881</v>
      </c>
      <c r="D633" t="inlineStr">
        <is>
          <t>VÄSTERBOTTENS LÄN</t>
        </is>
      </c>
      <c r="E633" t="inlineStr">
        <is>
          <t>VILHELMINA</t>
        </is>
      </c>
      <c r="F633" t="inlineStr">
        <is>
          <t>SCA</t>
        </is>
      </c>
      <c r="G633" t="n">
        <v>7.4</v>
      </c>
      <c r="H633" t="n">
        <v>0</v>
      </c>
      <c r="I633" t="n">
        <v>0</v>
      </c>
      <c r="J633" t="n">
        <v>0</v>
      </c>
      <c r="K633" t="n">
        <v>0</v>
      </c>
      <c r="L633" t="n">
        <v>0</v>
      </c>
      <c r="M633" t="n">
        <v>0</v>
      </c>
      <c r="N633" t="n">
        <v>0</v>
      </c>
      <c r="O633" t="n">
        <v>0</v>
      </c>
      <c r="P633" t="n">
        <v>0</v>
      </c>
      <c r="Q633" t="n">
        <v>0</v>
      </c>
      <c r="R633" s="2" t="inlineStr"/>
    </row>
    <row r="634" ht="15" customHeight="1">
      <c r="A634" t="inlineStr">
        <is>
          <t>A 23461-2025</t>
        </is>
      </c>
      <c r="B634" s="1" t="n">
        <v>45792</v>
      </c>
      <c r="C634" s="1" t="n">
        <v>45881</v>
      </c>
      <c r="D634" t="inlineStr">
        <is>
          <t>VÄSTERBOTTENS LÄN</t>
        </is>
      </c>
      <c r="E634" t="inlineStr">
        <is>
          <t>VILHELMINA</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23281-2025</t>
        </is>
      </c>
      <c r="B635" s="1" t="n">
        <v>45791.57324074074</v>
      </c>
      <c r="C635" s="1" t="n">
        <v>45881</v>
      </c>
      <c r="D635" t="inlineStr">
        <is>
          <t>VÄSTERBOTTENS LÄN</t>
        </is>
      </c>
      <c r="E635" t="inlineStr">
        <is>
          <t>VILHELMINA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5403-2025</t>
        </is>
      </c>
      <c r="B636" s="1" t="n">
        <v>45692.64475694444</v>
      </c>
      <c r="C636" s="1" t="n">
        <v>45881</v>
      </c>
      <c r="D636" t="inlineStr">
        <is>
          <t>VÄSTERBOTTENS LÄN</t>
        </is>
      </c>
      <c r="E636" t="inlineStr">
        <is>
          <t>VILHELMINA</t>
        </is>
      </c>
      <c r="F636" t="inlineStr">
        <is>
          <t>Kommuner</t>
        </is>
      </c>
      <c r="G636" t="n">
        <v>14.9</v>
      </c>
      <c r="H636" t="n">
        <v>0</v>
      </c>
      <c r="I636" t="n">
        <v>0</v>
      </c>
      <c r="J636" t="n">
        <v>0</v>
      </c>
      <c r="K636" t="n">
        <v>0</v>
      </c>
      <c r="L636" t="n">
        <v>0</v>
      </c>
      <c r="M636" t="n">
        <v>0</v>
      </c>
      <c r="N636" t="n">
        <v>0</v>
      </c>
      <c r="O636" t="n">
        <v>0</v>
      </c>
      <c r="P636" t="n">
        <v>0</v>
      </c>
      <c r="Q636" t="n">
        <v>0</v>
      </c>
      <c r="R636" s="2" t="inlineStr"/>
    </row>
    <row r="637" ht="15" customHeight="1">
      <c r="A637" t="inlineStr">
        <is>
          <t>A 47242-2024</t>
        </is>
      </c>
      <c r="B637" s="1" t="n">
        <v>45586</v>
      </c>
      <c r="C637" s="1" t="n">
        <v>45881</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23415-2025</t>
        </is>
      </c>
      <c r="B638" s="1" t="n">
        <v>45792.34643518519</v>
      </c>
      <c r="C638" s="1" t="n">
        <v>45881</v>
      </c>
      <c r="D638" t="inlineStr">
        <is>
          <t>VÄSTERBOTTENS LÄN</t>
        </is>
      </c>
      <c r="E638" t="inlineStr">
        <is>
          <t>VILHELMINA</t>
        </is>
      </c>
      <c r="F638" t="inlineStr">
        <is>
          <t>SCA</t>
        </is>
      </c>
      <c r="G638" t="n">
        <v>36.9</v>
      </c>
      <c r="H638" t="n">
        <v>0</v>
      </c>
      <c r="I638" t="n">
        <v>0</v>
      </c>
      <c r="J638" t="n">
        <v>0</v>
      </c>
      <c r="K638" t="n">
        <v>0</v>
      </c>
      <c r="L638" t="n">
        <v>0</v>
      </c>
      <c r="M638" t="n">
        <v>0</v>
      </c>
      <c r="N638" t="n">
        <v>0</v>
      </c>
      <c r="O638" t="n">
        <v>0</v>
      </c>
      <c r="P638" t="n">
        <v>0</v>
      </c>
      <c r="Q638" t="n">
        <v>0</v>
      </c>
      <c r="R638" s="2" t="inlineStr"/>
    </row>
    <row r="639" ht="15" customHeight="1">
      <c r="A639" t="inlineStr">
        <is>
          <t>A 48062-2024</t>
        </is>
      </c>
      <c r="B639" s="1" t="n">
        <v>45589</v>
      </c>
      <c r="C639" s="1" t="n">
        <v>45881</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23406-2025</t>
        </is>
      </c>
      <c r="B640" s="1" t="n">
        <v>45792.34540509259</v>
      </c>
      <c r="C640" s="1" t="n">
        <v>45881</v>
      </c>
      <c r="D640" t="inlineStr">
        <is>
          <t>VÄSTERBOTTENS LÄN</t>
        </is>
      </c>
      <c r="E640" t="inlineStr">
        <is>
          <t>VILHELMINA</t>
        </is>
      </c>
      <c r="F640" t="inlineStr">
        <is>
          <t>SCA</t>
        </is>
      </c>
      <c r="G640" t="n">
        <v>15.4</v>
      </c>
      <c r="H640" t="n">
        <v>0</v>
      </c>
      <c r="I640" t="n">
        <v>0</v>
      </c>
      <c r="J640" t="n">
        <v>0</v>
      </c>
      <c r="K640" t="n">
        <v>0</v>
      </c>
      <c r="L640" t="n">
        <v>0</v>
      </c>
      <c r="M640" t="n">
        <v>0</v>
      </c>
      <c r="N640" t="n">
        <v>0</v>
      </c>
      <c r="O640" t="n">
        <v>0</v>
      </c>
      <c r="P640" t="n">
        <v>0</v>
      </c>
      <c r="Q640" t="n">
        <v>0</v>
      </c>
      <c r="R640" s="2" t="inlineStr"/>
    </row>
    <row r="641" ht="15" customHeight="1">
      <c r="A641" t="inlineStr">
        <is>
          <t>A 54459-2024</t>
        </is>
      </c>
      <c r="B641" s="1" t="n">
        <v>45617</v>
      </c>
      <c r="C641" s="1" t="n">
        <v>45881</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17467-2025</t>
        </is>
      </c>
      <c r="B642" s="1" t="n">
        <v>45757</v>
      </c>
      <c r="C642" s="1" t="n">
        <v>45881</v>
      </c>
      <c r="D642" t="inlineStr">
        <is>
          <t>VÄSTERBOTTENS LÄN</t>
        </is>
      </c>
      <c r="E642" t="inlineStr">
        <is>
          <t>VILHELMINA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146-2025</t>
        </is>
      </c>
      <c r="B643" s="1" t="n">
        <v>45659</v>
      </c>
      <c r="C643" s="1" t="n">
        <v>45881</v>
      </c>
      <c r="D643" t="inlineStr">
        <is>
          <t>VÄSTERBOTTENS LÄN</t>
        </is>
      </c>
      <c r="E643" t="inlineStr">
        <is>
          <t>VILHELMINA</t>
        </is>
      </c>
      <c r="F643" t="inlineStr">
        <is>
          <t>SCA</t>
        </is>
      </c>
      <c r="G643" t="n">
        <v>9.1</v>
      </c>
      <c r="H643" t="n">
        <v>0</v>
      </c>
      <c r="I643" t="n">
        <v>0</v>
      </c>
      <c r="J643" t="n">
        <v>0</v>
      </c>
      <c r="K643" t="n">
        <v>0</v>
      </c>
      <c r="L643" t="n">
        <v>0</v>
      </c>
      <c r="M643" t="n">
        <v>0</v>
      </c>
      <c r="N643" t="n">
        <v>0</v>
      </c>
      <c r="O643" t="n">
        <v>0</v>
      </c>
      <c r="P643" t="n">
        <v>0</v>
      </c>
      <c r="Q643" t="n">
        <v>0</v>
      </c>
      <c r="R643" s="2" t="inlineStr"/>
    </row>
    <row r="644" ht="15" customHeight="1">
      <c r="A644" t="inlineStr">
        <is>
          <t>A 19873-2024</t>
        </is>
      </c>
      <c r="B644" s="1" t="n">
        <v>45433</v>
      </c>
      <c r="C644" s="1" t="n">
        <v>45881</v>
      </c>
      <c r="D644" t="inlineStr">
        <is>
          <t>VÄSTERBOTTENS LÄN</t>
        </is>
      </c>
      <c r="E644" t="inlineStr">
        <is>
          <t>VILHELMINA</t>
        </is>
      </c>
      <c r="G644" t="n">
        <v>8.6</v>
      </c>
      <c r="H644" t="n">
        <v>0</v>
      </c>
      <c r="I644" t="n">
        <v>0</v>
      </c>
      <c r="J644" t="n">
        <v>0</v>
      </c>
      <c r="K644" t="n">
        <v>0</v>
      </c>
      <c r="L644" t="n">
        <v>0</v>
      </c>
      <c r="M644" t="n">
        <v>0</v>
      </c>
      <c r="N644" t="n">
        <v>0</v>
      </c>
      <c r="O644" t="n">
        <v>0</v>
      </c>
      <c r="P644" t="n">
        <v>0</v>
      </c>
      <c r="Q644" t="n">
        <v>0</v>
      </c>
      <c r="R644" s="2" t="inlineStr"/>
    </row>
    <row r="645" ht="15" customHeight="1">
      <c r="A645" t="inlineStr">
        <is>
          <t>A 25308-2025</t>
        </is>
      </c>
      <c r="B645" s="1" t="n">
        <v>45800</v>
      </c>
      <c r="C645" s="1" t="n">
        <v>45881</v>
      </c>
      <c r="D645" t="inlineStr">
        <is>
          <t>VÄSTERBOTTENS LÄN</t>
        </is>
      </c>
      <c r="E645" t="inlineStr">
        <is>
          <t>VILHELMINA</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23412-2025</t>
        </is>
      </c>
      <c r="B646" s="1" t="n">
        <v>45792.34596064815</v>
      </c>
      <c r="C646" s="1" t="n">
        <v>45881</v>
      </c>
      <c r="D646" t="inlineStr">
        <is>
          <t>VÄSTERBOTTENS LÄN</t>
        </is>
      </c>
      <c r="E646" t="inlineStr">
        <is>
          <t>VILHELMINA</t>
        </is>
      </c>
      <c r="F646" t="inlineStr">
        <is>
          <t>SCA</t>
        </is>
      </c>
      <c r="G646" t="n">
        <v>10.1</v>
      </c>
      <c r="H646" t="n">
        <v>0</v>
      </c>
      <c r="I646" t="n">
        <v>0</v>
      </c>
      <c r="J646" t="n">
        <v>0</v>
      </c>
      <c r="K646" t="n">
        <v>0</v>
      </c>
      <c r="L646" t="n">
        <v>0</v>
      </c>
      <c r="M646" t="n">
        <v>0</v>
      </c>
      <c r="N646" t="n">
        <v>0</v>
      </c>
      <c r="O646" t="n">
        <v>0</v>
      </c>
      <c r="P646" t="n">
        <v>0</v>
      </c>
      <c r="Q646" t="n">
        <v>0</v>
      </c>
      <c r="R646" s="2" t="inlineStr"/>
    </row>
    <row r="647" ht="15" customHeight="1">
      <c r="A647" t="inlineStr">
        <is>
          <t>A 46177-2023</t>
        </is>
      </c>
      <c r="B647" s="1" t="n">
        <v>45190</v>
      </c>
      <c r="C647" s="1" t="n">
        <v>45881</v>
      </c>
      <c r="D647" t="inlineStr">
        <is>
          <t>VÄSTERBOTTENS LÄN</t>
        </is>
      </c>
      <c r="E647" t="inlineStr">
        <is>
          <t>VILHELMINA</t>
        </is>
      </c>
      <c r="F647" t="inlineStr">
        <is>
          <t>Övriga Aktiebolag</t>
        </is>
      </c>
      <c r="G647" t="n">
        <v>7.7</v>
      </c>
      <c r="H647" t="n">
        <v>0</v>
      </c>
      <c r="I647" t="n">
        <v>0</v>
      </c>
      <c r="J647" t="n">
        <v>0</v>
      </c>
      <c r="K647" t="n">
        <v>0</v>
      </c>
      <c r="L647" t="n">
        <v>0</v>
      </c>
      <c r="M647" t="n">
        <v>0</v>
      </c>
      <c r="N647" t="n">
        <v>0</v>
      </c>
      <c r="O647" t="n">
        <v>0</v>
      </c>
      <c r="P647" t="n">
        <v>0</v>
      </c>
      <c r="Q647" t="n">
        <v>0</v>
      </c>
      <c r="R647" s="2" t="inlineStr"/>
    </row>
    <row r="648" ht="15" customHeight="1">
      <c r="A648" t="inlineStr">
        <is>
          <t>A 20846-2025</t>
        </is>
      </c>
      <c r="B648" s="1" t="n">
        <v>45777</v>
      </c>
      <c r="C648" s="1" t="n">
        <v>45881</v>
      </c>
      <c r="D648" t="inlineStr">
        <is>
          <t>VÄSTERBOTTENS LÄN</t>
        </is>
      </c>
      <c r="E648" t="inlineStr">
        <is>
          <t>VILHELMINA</t>
        </is>
      </c>
      <c r="G648" t="n">
        <v>19.1</v>
      </c>
      <c r="H648" t="n">
        <v>0</v>
      </c>
      <c r="I648" t="n">
        <v>0</v>
      </c>
      <c r="J648" t="n">
        <v>0</v>
      </c>
      <c r="K648" t="n">
        <v>0</v>
      </c>
      <c r="L648" t="n">
        <v>0</v>
      </c>
      <c r="M648" t="n">
        <v>0</v>
      </c>
      <c r="N648" t="n">
        <v>0</v>
      </c>
      <c r="O648" t="n">
        <v>0</v>
      </c>
      <c r="P648" t="n">
        <v>0</v>
      </c>
      <c r="Q648" t="n">
        <v>0</v>
      </c>
      <c r="R648" s="2" t="inlineStr"/>
    </row>
    <row r="649" ht="15" customHeight="1">
      <c r="A649" t="inlineStr">
        <is>
          <t>A 10548-2022</t>
        </is>
      </c>
      <c r="B649" s="1" t="n">
        <v>44623</v>
      </c>
      <c r="C649" s="1" t="n">
        <v>45881</v>
      </c>
      <c r="D649" t="inlineStr">
        <is>
          <t>VÄSTERBOTTENS LÄN</t>
        </is>
      </c>
      <c r="E649" t="inlineStr">
        <is>
          <t>VILHELMINA</t>
        </is>
      </c>
      <c r="F649" t="inlineStr">
        <is>
          <t>SCA</t>
        </is>
      </c>
      <c r="G649" t="n">
        <v>11.5</v>
      </c>
      <c r="H649" t="n">
        <v>0</v>
      </c>
      <c r="I649" t="n">
        <v>0</v>
      </c>
      <c r="J649" t="n">
        <v>0</v>
      </c>
      <c r="K649" t="n">
        <v>0</v>
      </c>
      <c r="L649" t="n">
        <v>0</v>
      </c>
      <c r="M649" t="n">
        <v>0</v>
      </c>
      <c r="N649" t="n">
        <v>0</v>
      </c>
      <c r="O649" t="n">
        <v>0</v>
      </c>
      <c r="P649" t="n">
        <v>0</v>
      </c>
      <c r="Q649" t="n">
        <v>0</v>
      </c>
      <c r="R649" s="2" t="inlineStr"/>
    </row>
    <row r="650" ht="15" customHeight="1">
      <c r="A650" t="inlineStr">
        <is>
          <t>A 51826-2023</t>
        </is>
      </c>
      <c r="B650" s="1" t="n">
        <v>45222.9678125</v>
      </c>
      <c r="C650" s="1" t="n">
        <v>45881</v>
      </c>
      <c r="D650" t="inlineStr">
        <is>
          <t>VÄSTERBOTTENS LÄN</t>
        </is>
      </c>
      <c r="E650" t="inlineStr">
        <is>
          <t>VILHELMINA</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18394-2025</t>
        </is>
      </c>
      <c r="B651" s="1" t="n">
        <v>45762</v>
      </c>
      <c r="C651" s="1" t="n">
        <v>45881</v>
      </c>
      <c r="D651" t="inlineStr">
        <is>
          <t>VÄSTERBOTTENS LÄN</t>
        </is>
      </c>
      <c r="E651" t="inlineStr">
        <is>
          <t>VILHELMINA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18396-2025</t>
        </is>
      </c>
      <c r="B652" s="1" t="n">
        <v>45762.59456018519</v>
      </c>
      <c r="C652" s="1" t="n">
        <v>45881</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20524-2024</t>
        </is>
      </c>
      <c r="B653" s="1" t="n">
        <v>45435.94567129629</v>
      </c>
      <c r="C653" s="1" t="n">
        <v>45881</v>
      </c>
      <c r="D653" t="inlineStr">
        <is>
          <t>VÄSTERBOTTENS LÄN</t>
        </is>
      </c>
      <c r="E653" t="inlineStr">
        <is>
          <t>VILHELMINA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23826-2025</t>
        </is>
      </c>
      <c r="B654" s="1" t="n">
        <v>45793.59461805555</v>
      </c>
      <c r="C654" s="1" t="n">
        <v>45881</v>
      </c>
      <c r="D654" t="inlineStr">
        <is>
          <t>VÄSTERBOTTENS LÄN</t>
        </is>
      </c>
      <c r="E654" t="inlineStr">
        <is>
          <t>VILHELMINA</t>
        </is>
      </c>
      <c r="F654" t="inlineStr">
        <is>
          <t>SCA</t>
        </is>
      </c>
      <c r="G654" t="n">
        <v>5.9</v>
      </c>
      <c r="H654" t="n">
        <v>0</v>
      </c>
      <c r="I654" t="n">
        <v>0</v>
      </c>
      <c r="J654" t="n">
        <v>0</v>
      </c>
      <c r="K654" t="n">
        <v>0</v>
      </c>
      <c r="L654" t="n">
        <v>0</v>
      </c>
      <c r="M654" t="n">
        <v>0</v>
      </c>
      <c r="N654" t="n">
        <v>0</v>
      </c>
      <c r="O654" t="n">
        <v>0</v>
      </c>
      <c r="P654" t="n">
        <v>0</v>
      </c>
      <c r="Q654" t="n">
        <v>0</v>
      </c>
      <c r="R654" s="2" t="inlineStr"/>
    </row>
    <row r="655" ht="15" customHeight="1">
      <c r="A655" t="inlineStr">
        <is>
          <t>A 35760-2023</t>
        </is>
      </c>
      <c r="B655" s="1" t="n">
        <v>45147</v>
      </c>
      <c r="C655" s="1" t="n">
        <v>45881</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50494-2023</t>
        </is>
      </c>
      <c r="B656" s="1" t="n">
        <v>45216.95604166666</v>
      </c>
      <c r="C656" s="1" t="n">
        <v>45881</v>
      </c>
      <c r="D656" t="inlineStr">
        <is>
          <t>VÄSTERBOTTENS LÄN</t>
        </is>
      </c>
      <c r="E656" t="inlineStr">
        <is>
          <t>VILHELMINA</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23764-2025</t>
        </is>
      </c>
      <c r="B657" s="1" t="n">
        <v>45793</v>
      </c>
      <c r="C657" s="1" t="n">
        <v>45881</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33319-2024</t>
        </is>
      </c>
      <c r="B658" s="1" t="n">
        <v>45518</v>
      </c>
      <c r="C658" s="1" t="n">
        <v>45881</v>
      </c>
      <c r="D658" t="inlineStr">
        <is>
          <t>VÄSTERBOTTENS LÄN</t>
        </is>
      </c>
      <c r="E658" t="inlineStr">
        <is>
          <t>VILHELMINA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8566-2025</t>
        </is>
      </c>
      <c r="B659" s="1" t="n">
        <v>45709</v>
      </c>
      <c r="C659" s="1" t="n">
        <v>45881</v>
      </c>
      <c r="D659" t="inlineStr">
        <is>
          <t>VÄSTERBOTTENS LÄN</t>
        </is>
      </c>
      <c r="E659" t="inlineStr">
        <is>
          <t>VILHELMINA</t>
        </is>
      </c>
      <c r="G659" t="n">
        <v>10.5</v>
      </c>
      <c r="H659" t="n">
        <v>0</v>
      </c>
      <c r="I659" t="n">
        <v>0</v>
      </c>
      <c r="J659" t="n">
        <v>0</v>
      </c>
      <c r="K659" t="n">
        <v>0</v>
      </c>
      <c r="L659" t="n">
        <v>0</v>
      </c>
      <c r="M659" t="n">
        <v>0</v>
      </c>
      <c r="N659" t="n">
        <v>0</v>
      </c>
      <c r="O659" t="n">
        <v>0</v>
      </c>
      <c r="P659" t="n">
        <v>0</v>
      </c>
      <c r="Q659" t="n">
        <v>0</v>
      </c>
      <c r="R659" s="2" t="inlineStr"/>
    </row>
    <row r="660" ht="15" customHeight="1">
      <c r="A660" t="inlineStr">
        <is>
          <t>A 8585-2025</t>
        </is>
      </c>
      <c r="B660" s="1" t="n">
        <v>45709</v>
      </c>
      <c r="C660" s="1" t="n">
        <v>45881</v>
      </c>
      <c r="D660" t="inlineStr">
        <is>
          <t>VÄSTERBOTTENS LÄN</t>
        </is>
      </c>
      <c r="E660" t="inlineStr">
        <is>
          <t>VILHELMINA</t>
        </is>
      </c>
      <c r="G660" t="n">
        <v>3.4</v>
      </c>
      <c r="H660" t="n">
        <v>0</v>
      </c>
      <c r="I660" t="n">
        <v>0</v>
      </c>
      <c r="J660" t="n">
        <v>0</v>
      </c>
      <c r="K660" t="n">
        <v>0</v>
      </c>
      <c r="L660" t="n">
        <v>0</v>
      </c>
      <c r="M660" t="n">
        <v>0</v>
      </c>
      <c r="N660" t="n">
        <v>0</v>
      </c>
      <c r="O660" t="n">
        <v>0</v>
      </c>
      <c r="P660" t="n">
        <v>0</v>
      </c>
      <c r="Q660" t="n">
        <v>0</v>
      </c>
      <c r="R660" s="2" t="inlineStr"/>
    </row>
    <row r="661" ht="15" customHeight="1">
      <c r="A661" t="inlineStr">
        <is>
          <t>A 19585-2024</t>
        </is>
      </c>
      <c r="B661" s="1" t="n">
        <v>45429</v>
      </c>
      <c r="C661" s="1" t="n">
        <v>45881</v>
      </c>
      <c r="D661" t="inlineStr">
        <is>
          <t>VÄSTERBOTTENS LÄN</t>
        </is>
      </c>
      <c r="E661" t="inlineStr">
        <is>
          <t>VILHELMINA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23686-2025</t>
        </is>
      </c>
      <c r="B662" s="1" t="n">
        <v>45793</v>
      </c>
      <c r="C662" s="1" t="n">
        <v>45881</v>
      </c>
      <c r="D662" t="inlineStr">
        <is>
          <t>VÄSTERBOTTENS LÄN</t>
        </is>
      </c>
      <c r="E662" t="inlineStr">
        <is>
          <t>VILHELMINA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36215-2023</t>
        </is>
      </c>
      <c r="B663" s="1" t="n">
        <v>45149.95266203704</v>
      </c>
      <c r="C663" s="1" t="n">
        <v>45881</v>
      </c>
      <c r="D663" t="inlineStr">
        <is>
          <t>VÄSTERBOTTENS LÄN</t>
        </is>
      </c>
      <c r="E663" t="inlineStr">
        <is>
          <t>VILHELMINA</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34805-2023</t>
        </is>
      </c>
      <c r="B664" s="1" t="n">
        <v>45140</v>
      </c>
      <c r="C664" s="1" t="n">
        <v>45881</v>
      </c>
      <c r="D664" t="inlineStr">
        <is>
          <t>VÄSTERBOTTENS LÄN</t>
        </is>
      </c>
      <c r="E664" t="inlineStr">
        <is>
          <t>VILHELMINA</t>
        </is>
      </c>
      <c r="G664" t="n">
        <v>4.3</v>
      </c>
      <c r="H664" t="n">
        <v>0</v>
      </c>
      <c r="I664" t="n">
        <v>0</v>
      </c>
      <c r="J664" t="n">
        <v>0</v>
      </c>
      <c r="K664" t="n">
        <v>0</v>
      </c>
      <c r="L664" t="n">
        <v>0</v>
      </c>
      <c r="M664" t="n">
        <v>0</v>
      </c>
      <c r="N664" t="n">
        <v>0</v>
      </c>
      <c r="O664" t="n">
        <v>0</v>
      </c>
      <c r="P664" t="n">
        <v>0</v>
      </c>
      <c r="Q664" t="n">
        <v>0</v>
      </c>
      <c r="R664" s="2" t="inlineStr"/>
    </row>
    <row r="665" ht="15" customHeight="1">
      <c r="A665" t="inlineStr">
        <is>
          <t>A 69621-2020</t>
        </is>
      </c>
      <c r="B665" s="1" t="n">
        <v>44195</v>
      </c>
      <c r="C665" s="1" t="n">
        <v>45881</v>
      </c>
      <c r="D665" t="inlineStr">
        <is>
          <t>VÄSTERBOTTENS LÄN</t>
        </is>
      </c>
      <c r="E665" t="inlineStr">
        <is>
          <t>VILHELMINA</t>
        </is>
      </c>
      <c r="G665" t="n">
        <v>2.9</v>
      </c>
      <c r="H665" t="n">
        <v>0</v>
      </c>
      <c r="I665" t="n">
        <v>0</v>
      </c>
      <c r="J665" t="n">
        <v>0</v>
      </c>
      <c r="K665" t="n">
        <v>0</v>
      </c>
      <c r="L665" t="n">
        <v>0</v>
      </c>
      <c r="M665" t="n">
        <v>0</v>
      </c>
      <c r="N665" t="n">
        <v>0</v>
      </c>
      <c r="O665" t="n">
        <v>0</v>
      </c>
      <c r="P665" t="n">
        <v>0</v>
      </c>
      <c r="Q665" t="n">
        <v>0</v>
      </c>
      <c r="R665" s="2" t="inlineStr"/>
    </row>
    <row r="666" ht="15" customHeight="1">
      <c r="A666" t="inlineStr">
        <is>
          <t>A 31449-2024</t>
        </is>
      </c>
      <c r="B666" s="1" t="n">
        <v>45505.9299537037</v>
      </c>
      <c r="C666" s="1" t="n">
        <v>45881</v>
      </c>
      <c r="D666" t="inlineStr">
        <is>
          <t>VÄSTERBOTTENS LÄN</t>
        </is>
      </c>
      <c r="E666" t="inlineStr">
        <is>
          <t>VILHELMINA</t>
        </is>
      </c>
      <c r="G666" t="n">
        <v>3.5</v>
      </c>
      <c r="H666" t="n">
        <v>0</v>
      </c>
      <c r="I666" t="n">
        <v>0</v>
      </c>
      <c r="J666" t="n">
        <v>0</v>
      </c>
      <c r="K666" t="n">
        <v>0</v>
      </c>
      <c r="L666" t="n">
        <v>0</v>
      </c>
      <c r="M666" t="n">
        <v>0</v>
      </c>
      <c r="N666" t="n">
        <v>0</v>
      </c>
      <c r="O666" t="n">
        <v>0</v>
      </c>
      <c r="P666" t="n">
        <v>0</v>
      </c>
      <c r="Q666" t="n">
        <v>0</v>
      </c>
      <c r="R666" s="2" t="inlineStr"/>
    </row>
    <row r="667" ht="15" customHeight="1">
      <c r="A667" t="inlineStr">
        <is>
          <t>A 51825-2023</t>
        </is>
      </c>
      <c r="B667" s="1" t="n">
        <v>45222</v>
      </c>
      <c r="C667" s="1" t="n">
        <v>45881</v>
      </c>
      <c r="D667" t="inlineStr">
        <is>
          <t>VÄSTERBOTTENS LÄN</t>
        </is>
      </c>
      <c r="E667" t="inlineStr">
        <is>
          <t>VILHELMINA</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9162-2022</t>
        </is>
      </c>
      <c r="B668" s="1" t="n">
        <v>44615</v>
      </c>
      <c r="C668" s="1" t="n">
        <v>45881</v>
      </c>
      <c r="D668" t="inlineStr">
        <is>
          <t>VÄSTERBOTTENS LÄN</t>
        </is>
      </c>
      <c r="E668" t="inlineStr">
        <is>
          <t>VILHELMINA</t>
        </is>
      </c>
      <c r="G668" t="n">
        <v>7.2</v>
      </c>
      <c r="H668" t="n">
        <v>0</v>
      </c>
      <c r="I668" t="n">
        <v>0</v>
      </c>
      <c r="J668" t="n">
        <v>0</v>
      </c>
      <c r="K668" t="n">
        <v>0</v>
      </c>
      <c r="L668" t="n">
        <v>0</v>
      </c>
      <c r="M668" t="n">
        <v>0</v>
      </c>
      <c r="N668" t="n">
        <v>0</v>
      </c>
      <c r="O668" t="n">
        <v>0</v>
      </c>
      <c r="P668" t="n">
        <v>0</v>
      </c>
      <c r="Q668" t="n">
        <v>0</v>
      </c>
      <c r="R668" s="2" t="inlineStr"/>
    </row>
    <row r="669" ht="15" customHeight="1">
      <c r="A669" t="inlineStr">
        <is>
          <t>A 24224-2025</t>
        </is>
      </c>
      <c r="B669" s="1" t="n">
        <v>45797</v>
      </c>
      <c r="C669" s="1" t="n">
        <v>45881</v>
      </c>
      <c r="D669" t="inlineStr">
        <is>
          <t>VÄSTERBOTTENS LÄN</t>
        </is>
      </c>
      <c r="E669" t="inlineStr">
        <is>
          <t>VILHELMINA</t>
        </is>
      </c>
      <c r="G669" t="n">
        <v>27.2</v>
      </c>
      <c r="H669" t="n">
        <v>0</v>
      </c>
      <c r="I669" t="n">
        <v>0</v>
      </c>
      <c r="J669" t="n">
        <v>0</v>
      </c>
      <c r="K669" t="n">
        <v>0</v>
      </c>
      <c r="L669" t="n">
        <v>0</v>
      </c>
      <c r="M669" t="n">
        <v>0</v>
      </c>
      <c r="N669" t="n">
        <v>0</v>
      </c>
      <c r="O669" t="n">
        <v>0</v>
      </c>
      <c r="P669" t="n">
        <v>0</v>
      </c>
      <c r="Q669" t="n">
        <v>0</v>
      </c>
      <c r="R669" s="2" t="inlineStr"/>
    </row>
    <row r="670" ht="15" customHeight="1">
      <c r="A670" t="inlineStr">
        <is>
          <t>A 20591-2025</t>
        </is>
      </c>
      <c r="B670" s="1" t="n">
        <v>45775</v>
      </c>
      <c r="C670" s="1" t="n">
        <v>45881</v>
      </c>
      <c r="D670" t="inlineStr">
        <is>
          <t>VÄSTERBOTTENS LÄN</t>
        </is>
      </c>
      <c r="E670" t="inlineStr">
        <is>
          <t>VILHELMINA</t>
        </is>
      </c>
      <c r="F670" t="inlineStr">
        <is>
          <t>SCA</t>
        </is>
      </c>
      <c r="G670" t="n">
        <v>27.4</v>
      </c>
      <c r="H670" t="n">
        <v>0</v>
      </c>
      <c r="I670" t="n">
        <v>0</v>
      </c>
      <c r="J670" t="n">
        <v>0</v>
      </c>
      <c r="K670" t="n">
        <v>0</v>
      </c>
      <c r="L670" t="n">
        <v>0</v>
      </c>
      <c r="M670" t="n">
        <v>0</v>
      </c>
      <c r="N670" t="n">
        <v>0</v>
      </c>
      <c r="O670" t="n">
        <v>0</v>
      </c>
      <c r="P670" t="n">
        <v>0</v>
      </c>
      <c r="Q670" t="n">
        <v>0</v>
      </c>
      <c r="R670" s="2" t="inlineStr"/>
    </row>
    <row r="671" ht="15" customHeight="1">
      <c r="A671" t="inlineStr">
        <is>
          <t>A 33322-2025</t>
        </is>
      </c>
      <c r="B671" s="1" t="n">
        <v>45841.3452662037</v>
      </c>
      <c r="C671" s="1" t="n">
        <v>45881</v>
      </c>
      <c r="D671" t="inlineStr">
        <is>
          <t>VÄSTERBOTTENS LÄN</t>
        </is>
      </c>
      <c r="E671" t="inlineStr">
        <is>
          <t>VILHELMINA</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24988-2025</t>
        </is>
      </c>
      <c r="B672" s="1" t="n">
        <v>45799</v>
      </c>
      <c r="C672" s="1" t="n">
        <v>45881</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25180-2025</t>
        </is>
      </c>
      <c r="B673" s="1" t="n">
        <v>45800.44892361111</v>
      </c>
      <c r="C673" s="1" t="n">
        <v>45881</v>
      </c>
      <c r="D673" t="inlineStr">
        <is>
          <t>VÄSTERBOTTENS LÄN</t>
        </is>
      </c>
      <c r="E673" t="inlineStr">
        <is>
          <t>VILHELMINA</t>
        </is>
      </c>
      <c r="F673" t="inlineStr">
        <is>
          <t>SCA</t>
        </is>
      </c>
      <c r="G673" t="n">
        <v>10.8</v>
      </c>
      <c r="H673" t="n">
        <v>0</v>
      </c>
      <c r="I673" t="n">
        <v>0</v>
      </c>
      <c r="J673" t="n">
        <v>0</v>
      </c>
      <c r="K673" t="n">
        <v>0</v>
      </c>
      <c r="L673" t="n">
        <v>0</v>
      </c>
      <c r="M673" t="n">
        <v>0</v>
      </c>
      <c r="N673" t="n">
        <v>0</v>
      </c>
      <c r="O673" t="n">
        <v>0</v>
      </c>
      <c r="P673" t="n">
        <v>0</v>
      </c>
      <c r="Q673" t="n">
        <v>0</v>
      </c>
      <c r="R673" s="2" t="inlineStr"/>
    </row>
    <row r="674" ht="15" customHeight="1">
      <c r="A674" t="inlineStr">
        <is>
          <t>A 33636-2021</t>
        </is>
      </c>
      <c r="B674" s="1" t="n">
        <v>44378</v>
      </c>
      <c r="C674" s="1" t="n">
        <v>45881</v>
      </c>
      <c r="D674" t="inlineStr">
        <is>
          <t>VÄSTERBOTTENS LÄN</t>
        </is>
      </c>
      <c r="E674" t="inlineStr">
        <is>
          <t>VILHELMINA</t>
        </is>
      </c>
      <c r="G674" t="n">
        <v>1.6</v>
      </c>
      <c r="H674" t="n">
        <v>0</v>
      </c>
      <c r="I674" t="n">
        <v>0</v>
      </c>
      <c r="J674" t="n">
        <v>0</v>
      </c>
      <c r="K674" t="n">
        <v>0</v>
      </c>
      <c r="L674" t="n">
        <v>0</v>
      </c>
      <c r="M674" t="n">
        <v>0</v>
      </c>
      <c r="N674" t="n">
        <v>0</v>
      </c>
      <c r="O674" t="n">
        <v>0</v>
      </c>
      <c r="P674" t="n">
        <v>0</v>
      </c>
      <c r="Q674" t="n">
        <v>0</v>
      </c>
      <c r="R674" s="2" t="inlineStr"/>
    </row>
    <row r="675" ht="15" customHeight="1">
      <c r="A675" t="inlineStr">
        <is>
          <t>A 35984-2023</t>
        </is>
      </c>
      <c r="B675" s="1" t="n">
        <v>45148.96195601852</v>
      </c>
      <c r="C675" s="1" t="n">
        <v>45881</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17587-2024</t>
        </is>
      </c>
      <c r="B676" s="1" t="n">
        <v>45415.94033564815</v>
      </c>
      <c r="C676" s="1" t="n">
        <v>45881</v>
      </c>
      <c r="D676" t="inlineStr">
        <is>
          <t>VÄSTERBOTTENS LÄN</t>
        </is>
      </c>
      <c r="E676" t="inlineStr">
        <is>
          <t>VILHELMINA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35753-2023</t>
        </is>
      </c>
      <c r="B677" s="1" t="n">
        <v>45147.95390046296</v>
      </c>
      <c r="C677" s="1" t="n">
        <v>45881</v>
      </c>
      <c r="D677" t="inlineStr">
        <is>
          <t>VÄSTERBOTTENS LÄN</t>
        </is>
      </c>
      <c r="E677" t="inlineStr">
        <is>
          <t>VILHELMINA</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52746-2023</t>
        </is>
      </c>
      <c r="B678" s="1" t="n">
        <v>45225.96753472222</v>
      </c>
      <c r="C678" s="1" t="n">
        <v>45881</v>
      </c>
      <c r="D678" t="inlineStr">
        <is>
          <t>VÄSTERBOTTENS LÄN</t>
        </is>
      </c>
      <c r="E678" t="inlineStr">
        <is>
          <t>VILHELMINA</t>
        </is>
      </c>
      <c r="F678" t="inlineStr">
        <is>
          <t>SCA</t>
        </is>
      </c>
      <c r="G678" t="n">
        <v>10.4</v>
      </c>
      <c r="H678" t="n">
        <v>0</v>
      </c>
      <c r="I678" t="n">
        <v>0</v>
      </c>
      <c r="J678" t="n">
        <v>0</v>
      </c>
      <c r="K678" t="n">
        <v>0</v>
      </c>
      <c r="L678" t="n">
        <v>0</v>
      </c>
      <c r="M678" t="n">
        <v>0</v>
      </c>
      <c r="N678" t="n">
        <v>0</v>
      </c>
      <c r="O678" t="n">
        <v>0</v>
      </c>
      <c r="P678" t="n">
        <v>0</v>
      </c>
      <c r="Q678" t="n">
        <v>0</v>
      </c>
      <c r="R678" s="2" t="inlineStr"/>
    </row>
    <row r="679" ht="15" customHeight="1">
      <c r="A679" t="inlineStr">
        <is>
          <t>A 55326-2023</t>
        </is>
      </c>
      <c r="B679" s="1" t="n">
        <v>45237.97364583334</v>
      </c>
      <c r="C679" s="1" t="n">
        <v>45881</v>
      </c>
      <c r="D679" t="inlineStr">
        <is>
          <t>VÄSTERBOTTENS LÄN</t>
        </is>
      </c>
      <c r="E679" t="inlineStr">
        <is>
          <t>VILHELMINA</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27918-2022</t>
        </is>
      </c>
      <c r="B680" s="1" t="n">
        <v>44743.94145833333</v>
      </c>
      <c r="C680" s="1" t="n">
        <v>45881</v>
      </c>
      <c r="D680" t="inlineStr">
        <is>
          <t>VÄSTERBOTTENS LÄN</t>
        </is>
      </c>
      <c r="E680" t="inlineStr">
        <is>
          <t>VILHELMINA</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24870-2025</t>
        </is>
      </c>
      <c r="B681" s="1" t="n">
        <v>45799.49025462963</v>
      </c>
      <c r="C681" s="1" t="n">
        <v>45881</v>
      </c>
      <c r="D681" t="inlineStr">
        <is>
          <t>VÄSTERBOTTENS LÄN</t>
        </is>
      </c>
      <c r="E681" t="inlineStr">
        <is>
          <t>VILHELMINA</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18873-2025</t>
        </is>
      </c>
      <c r="B682" s="1" t="n">
        <v>45764</v>
      </c>
      <c r="C682" s="1" t="n">
        <v>45881</v>
      </c>
      <c r="D682" t="inlineStr">
        <is>
          <t>VÄSTERBOTTENS LÄN</t>
        </is>
      </c>
      <c r="E682" t="inlineStr">
        <is>
          <t>VILHELMINA</t>
        </is>
      </c>
      <c r="G682" t="n">
        <v>7.2</v>
      </c>
      <c r="H682" t="n">
        <v>0</v>
      </c>
      <c r="I682" t="n">
        <v>0</v>
      </c>
      <c r="J682" t="n">
        <v>0</v>
      </c>
      <c r="K682" t="n">
        <v>0</v>
      </c>
      <c r="L682" t="n">
        <v>0</v>
      </c>
      <c r="M682" t="n">
        <v>0</v>
      </c>
      <c r="N682" t="n">
        <v>0</v>
      </c>
      <c r="O682" t="n">
        <v>0</v>
      </c>
      <c r="P682" t="n">
        <v>0</v>
      </c>
      <c r="Q682" t="n">
        <v>0</v>
      </c>
      <c r="R682" s="2" t="inlineStr"/>
    </row>
    <row r="683" ht="15" customHeight="1">
      <c r="A683" t="inlineStr">
        <is>
          <t>A 25239-2025</t>
        </is>
      </c>
      <c r="B683" s="1" t="n">
        <v>45800</v>
      </c>
      <c r="C683" s="1" t="n">
        <v>45881</v>
      </c>
      <c r="D683" t="inlineStr">
        <is>
          <t>VÄSTERBOTTENS LÄN</t>
        </is>
      </c>
      <c r="E683" t="inlineStr">
        <is>
          <t>VILHELMINA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25309-2025</t>
        </is>
      </c>
      <c r="B684" s="1" t="n">
        <v>45800.57380787037</v>
      </c>
      <c r="C684" s="1" t="n">
        <v>45881</v>
      </c>
      <c r="D684" t="inlineStr">
        <is>
          <t>VÄSTERBOTTENS LÄN</t>
        </is>
      </c>
      <c r="E684" t="inlineStr">
        <is>
          <t>VILHELMINA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15805-2025</t>
        </is>
      </c>
      <c r="B685" s="1" t="n">
        <v>45748</v>
      </c>
      <c r="C685" s="1" t="n">
        <v>45881</v>
      </c>
      <c r="D685" t="inlineStr">
        <is>
          <t>VÄSTERBOTTENS LÄN</t>
        </is>
      </c>
      <c r="E685" t="inlineStr">
        <is>
          <t>VILHELMINA</t>
        </is>
      </c>
      <c r="G685" t="n">
        <v>1.4</v>
      </c>
      <c r="H685" t="n">
        <v>0</v>
      </c>
      <c r="I685" t="n">
        <v>0</v>
      </c>
      <c r="J685" t="n">
        <v>0</v>
      </c>
      <c r="K685" t="n">
        <v>0</v>
      </c>
      <c r="L685" t="n">
        <v>0</v>
      </c>
      <c r="M685" t="n">
        <v>0</v>
      </c>
      <c r="N685" t="n">
        <v>0</v>
      </c>
      <c r="O685" t="n">
        <v>0</v>
      </c>
      <c r="P685" t="n">
        <v>0</v>
      </c>
      <c r="Q685" t="n">
        <v>0</v>
      </c>
      <c r="R685" s="2" t="inlineStr"/>
    </row>
    <row r="686" ht="15" customHeight="1">
      <c r="A686" t="inlineStr">
        <is>
          <t>A 58833-2023</t>
        </is>
      </c>
      <c r="B686" s="1" t="n">
        <v>45248</v>
      </c>
      <c r="C686" s="1" t="n">
        <v>45881</v>
      </c>
      <c r="D686" t="inlineStr">
        <is>
          <t>VÄSTERBOTTENS LÄN</t>
        </is>
      </c>
      <c r="E686" t="inlineStr">
        <is>
          <t>VILHELMINA</t>
        </is>
      </c>
      <c r="G686" t="n">
        <v>1.5</v>
      </c>
      <c r="H686" t="n">
        <v>0</v>
      </c>
      <c r="I686" t="n">
        <v>0</v>
      </c>
      <c r="J686" t="n">
        <v>0</v>
      </c>
      <c r="K686" t="n">
        <v>0</v>
      </c>
      <c r="L686" t="n">
        <v>0</v>
      </c>
      <c r="M686" t="n">
        <v>0</v>
      </c>
      <c r="N686" t="n">
        <v>0</v>
      </c>
      <c r="O686" t="n">
        <v>0</v>
      </c>
      <c r="P686" t="n">
        <v>0</v>
      </c>
      <c r="Q686" t="n">
        <v>0</v>
      </c>
      <c r="R686" s="2" t="inlineStr"/>
    </row>
    <row r="687" ht="15" customHeight="1">
      <c r="A687" t="inlineStr">
        <is>
          <t>A 32947-2025</t>
        </is>
      </c>
      <c r="B687" s="1" t="n">
        <v>45839</v>
      </c>
      <c r="C687" s="1" t="n">
        <v>45881</v>
      </c>
      <c r="D687" t="inlineStr">
        <is>
          <t>VÄSTERBOTTENS LÄN</t>
        </is>
      </c>
      <c r="E687" t="inlineStr">
        <is>
          <t>VILHELMINA</t>
        </is>
      </c>
      <c r="G687" t="n">
        <v>19.1</v>
      </c>
      <c r="H687" t="n">
        <v>0</v>
      </c>
      <c r="I687" t="n">
        <v>0</v>
      </c>
      <c r="J687" t="n">
        <v>0</v>
      </c>
      <c r="K687" t="n">
        <v>0</v>
      </c>
      <c r="L687" t="n">
        <v>0</v>
      </c>
      <c r="M687" t="n">
        <v>0</v>
      </c>
      <c r="N687" t="n">
        <v>0</v>
      </c>
      <c r="O687" t="n">
        <v>0</v>
      </c>
      <c r="P687" t="n">
        <v>0</v>
      </c>
      <c r="Q687" t="n">
        <v>0</v>
      </c>
      <c r="R687" s="2" t="inlineStr"/>
    </row>
    <row r="688" ht="15" customHeight="1">
      <c r="A688" t="inlineStr">
        <is>
          <t>A 46318-2022</t>
        </is>
      </c>
      <c r="B688" s="1" t="n">
        <v>44847</v>
      </c>
      <c r="C688" s="1" t="n">
        <v>45881</v>
      </c>
      <c r="D688" t="inlineStr">
        <is>
          <t>VÄSTERBOTTENS LÄN</t>
        </is>
      </c>
      <c r="E688" t="inlineStr">
        <is>
          <t>VILHELMINA</t>
        </is>
      </c>
      <c r="G688" t="n">
        <v>11.7</v>
      </c>
      <c r="H688" t="n">
        <v>0</v>
      </c>
      <c r="I688" t="n">
        <v>0</v>
      </c>
      <c r="J688" t="n">
        <v>0</v>
      </c>
      <c r="K688" t="n">
        <v>0</v>
      </c>
      <c r="L688" t="n">
        <v>0</v>
      </c>
      <c r="M688" t="n">
        <v>0</v>
      </c>
      <c r="N688" t="n">
        <v>0</v>
      </c>
      <c r="O688" t="n">
        <v>0</v>
      </c>
      <c r="P688" t="n">
        <v>0</v>
      </c>
      <c r="Q688" t="n">
        <v>0</v>
      </c>
      <c r="R688" s="2" t="inlineStr"/>
    </row>
    <row r="689" ht="15" customHeight="1">
      <c r="A689" t="inlineStr">
        <is>
          <t>A 24871-2025</t>
        </is>
      </c>
      <c r="B689" s="1" t="n">
        <v>45799.49028935185</v>
      </c>
      <c r="C689" s="1" t="n">
        <v>45881</v>
      </c>
      <c r="D689" t="inlineStr">
        <is>
          <t>VÄSTERBOTTENS LÄN</t>
        </is>
      </c>
      <c r="E689" t="inlineStr">
        <is>
          <t>VILHELMINA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60035-2023</t>
        </is>
      </c>
      <c r="B690" s="1" t="n">
        <v>45254</v>
      </c>
      <c r="C690" s="1" t="n">
        <v>45881</v>
      </c>
      <c r="D690" t="inlineStr">
        <is>
          <t>VÄSTERBOTTENS LÄN</t>
        </is>
      </c>
      <c r="E690" t="inlineStr">
        <is>
          <t>VILHELMINA</t>
        </is>
      </c>
      <c r="G690" t="n">
        <v>2</v>
      </c>
      <c r="H690" t="n">
        <v>0</v>
      </c>
      <c r="I690" t="n">
        <v>0</v>
      </c>
      <c r="J690" t="n">
        <v>0</v>
      </c>
      <c r="K690" t="n">
        <v>0</v>
      </c>
      <c r="L690" t="n">
        <v>0</v>
      </c>
      <c r="M690" t="n">
        <v>0</v>
      </c>
      <c r="N690" t="n">
        <v>0</v>
      </c>
      <c r="O690" t="n">
        <v>0</v>
      </c>
      <c r="P690" t="n">
        <v>0</v>
      </c>
      <c r="Q690" t="n">
        <v>0</v>
      </c>
      <c r="R690" s="2" t="inlineStr"/>
    </row>
    <row r="691" ht="15" customHeight="1">
      <c r="A691" t="inlineStr">
        <is>
          <t>A 33320-2025</t>
        </is>
      </c>
      <c r="B691" s="1" t="n">
        <v>45841.34461805555</v>
      </c>
      <c r="C691" s="1" t="n">
        <v>45881</v>
      </c>
      <c r="D691" t="inlineStr">
        <is>
          <t>VÄSTERBOTTENS LÄN</t>
        </is>
      </c>
      <c r="E691" t="inlineStr">
        <is>
          <t>VILHELMINA</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37322-2022</t>
        </is>
      </c>
      <c r="B692" s="1" t="n">
        <v>44806</v>
      </c>
      <c r="C692" s="1" t="n">
        <v>45881</v>
      </c>
      <c r="D692" t="inlineStr">
        <is>
          <t>VÄSTERBOTTENS LÄN</t>
        </is>
      </c>
      <c r="E692" t="inlineStr">
        <is>
          <t>VILHELMINA</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25062-2025</t>
        </is>
      </c>
      <c r="B693" s="1" t="n">
        <v>45799.69844907407</v>
      </c>
      <c r="C693" s="1" t="n">
        <v>45881</v>
      </c>
      <c r="D693" t="inlineStr">
        <is>
          <t>VÄSTERBOTTENS LÄN</t>
        </is>
      </c>
      <c r="E693" t="inlineStr">
        <is>
          <t>VILHELMINA</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25176-2025</t>
        </is>
      </c>
      <c r="B694" s="1" t="n">
        <v>45800.44840277778</v>
      </c>
      <c r="C694" s="1" t="n">
        <v>45881</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33641-2025</t>
        </is>
      </c>
      <c r="B695" s="1" t="n">
        <v>45841.65045138889</v>
      </c>
      <c r="C695" s="1" t="n">
        <v>45881</v>
      </c>
      <c r="D695" t="inlineStr">
        <is>
          <t>VÄSTERBOTTENS LÄN</t>
        </is>
      </c>
      <c r="E695" t="inlineStr">
        <is>
          <t>VILHELMINA</t>
        </is>
      </c>
      <c r="G695" t="n">
        <v>7.3</v>
      </c>
      <c r="H695" t="n">
        <v>0</v>
      </c>
      <c r="I695" t="n">
        <v>0</v>
      </c>
      <c r="J695" t="n">
        <v>0</v>
      </c>
      <c r="K695" t="n">
        <v>0</v>
      </c>
      <c r="L695" t="n">
        <v>0</v>
      </c>
      <c r="M695" t="n">
        <v>0</v>
      </c>
      <c r="N695" t="n">
        <v>0</v>
      </c>
      <c r="O695" t="n">
        <v>0</v>
      </c>
      <c r="P695" t="n">
        <v>0</v>
      </c>
      <c r="Q695" t="n">
        <v>0</v>
      </c>
      <c r="R695" s="2" t="inlineStr"/>
    </row>
    <row r="696" ht="15" customHeight="1">
      <c r="A696" t="inlineStr">
        <is>
          <t>A 25524-2025</t>
        </is>
      </c>
      <c r="B696" s="1" t="n">
        <v>45803.38644675926</v>
      </c>
      <c r="C696" s="1" t="n">
        <v>45881</v>
      </c>
      <c r="D696" t="inlineStr">
        <is>
          <t>VÄSTERBOTTENS LÄN</t>
        </is>
      </c>
      <c r="E696" t="inlineStr">
        <is>
          <t>VILHELMINA</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25770-2025</t>
        </is>
      </c>
      <c r="B697" s="1" t="n">
        <v>45804.3449537037</v>
      </c>
      <c r="C697" s="1" t="n">
        <v>45881</v>
      </c>
      <c r="D697" t="inlineStr">
        <is>
          <t>VÄSTERBOTTENS LÄN</t>
        </is>
      </c>
      <c r="E697" t="inlineStr">
        <is>
          <t>VILHELMINA</t>
        </is>
      </c>
      <c r="F697" t="inlineStr">
        <is>
          <t>SCA</t>
        </is>
      </c>
      <c r="G697" t="n">
        <v>7.9</v>
      </c>
      <c r="H697" t="n">
        <v>0</v>
      </c>
      <c r="I697" t="n">
        <v>0</v>
      </c>
      <c r="J697" t="n">
        <v>0</v>
      </c>
      <c r="K697" t="n">
        <v>0</v>
      </c>
      <c r="L697" t="n">
        <v>0</v>
      </c>
      <c r="M697" t="n">
        <v>0</v>
      </c>
      <c r="N697" t="n">
        <v>0</v>
      </c>
      <c r="O697" t="n">
        <v>0</v>
      </c>
      <c r="P697" t="n">
        <v>0</v>
      </c>
      <c r="Q697" t="n">
        <v>0</v>
      </c>
      <c r="R697" s="2" t="inlineStr"/>
    </row>
    <row r="698" ht="15" customHeight="1">
      <c r="A698" t="inlineStr">
        <is>
          <t>A 45672-2023</t>
        </is>
      </c>
      <c r="B698" s="1" t="n">
        <v>45194</v>
      </c>
      <c r="C698" s="1" t="n">
        <v>45881</v>
      </c>
      <c r="D698" t="inlineStr">
        <is>
          <t>VÄSTERBOTTENS LÄN</t>
        </is>
      </c>
      <c r="E698" t="inlineStr">
        <is>
          <t>VILHELMINA</t>
        </is>
      </c>
      <c r="G698" t="n">
        <v>1.5</v>
      </c>
      <c r="H698" t="n">
        <v>0</v>
      </c>
      <c r="I698" t="n">
        <v>0</v>
      </c>
      <c r="J698" t="n">
        <v>0</v>
      </c>
      <c r="K698" t="n">
        <v>0</v>
      </c>
      <c r="L698" t="n">
        <v>0</v>
      </c>
      <c r="M698" t="n">
        <v>0</v>
      </c>
      <c r="N698" t="n">
        <v>0</v>
      </c>
      <c r="O698" t="n">
        <v>0</v>
      </c>
      <c r="P698" t="n">
        <v>0</v>
      </c>
      <c r="Q698" t="n">
        <v>0</v>
      </c>
      <c r="R698" s="2" t="inlineStr"/>
    </row>
    <row r="699" ht="15" customHeight="1">
      <c r="A699" t="inlineStr">
        <is>
          <t>A 26018-2025</t>
        </is>
      </c>
      <c r="B699" s="1" t="n">
        <v>45804.67799768518</v>
      </c>
      <c r="C699" s="1" t="n">
        <v>45881</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25942-2025</t>
        </is>
      </c>
      <c r="B700" s="1" t="n">
        <v>45804.59461805555</v>
      </c>
      <c r="C700" s="1" t="n">
        <v>45881</v>
      </c>
      <c r="D700" t="inlineStr">
        <is>
          <t>VÄSTERBOTTENS LÄN</t>
        </is>
      </c>
      <c r="E700" t="inlineStr">
        <is>
          <t>VILHELMINA</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55697-2024</t>
        </is>
      </c>
      <c r="B701" s="1" t="n">
        <v>45622</v>
      </c>
      <c r="C701" s="1" t="n">
        <v>45881</v>
      </c>
      <c r="D701" t="inlineStr">
        <is>
          <t>VÄSTERBOTTENS LÄN</t>
        </is>
      </c>
      <c r="E701" t="inlineStr">
        <is>
          <t>VILHELMINA</t>
        </is>
      </c>
      <c r="G701" t="n">
        <v>3.2</v>
      </c>
      <c r="H701" t="n">
        <v>0</v>
      </c>
      <c r="I701" t="n">
        <v>0</v>
      </c>
      <c r="J701" t="n">
        <v>0</v>
      </c>
      <c r="K701" t="n">
        <v>0</v>
      </c>
      <c r="L701" t="n">
        <v>0</v>
      </c>
      <c r="M701" t="n">
        <v>0</v>
      </c>
      <c r="N701" t="n">
        <v>0</v>
      </c>
      <c r="O701" t="n">
        <v>0</v>
      </c>
      <c r="P701" t="n">
        <v>0</v>
      </c>
      <c r="Q701" t="n">
        <v>0</v>
      </c>
      <c r="R701" s="2" t="inlineStr"/>
    </row>
    <row r="702" ht="15" customHeight="1">
      <c r="A702" t="inlineStr">
        <is>
          <t>A 46908-2024</t>
        </is>
      </c>
      <c r="B702" s="1" t="n">
        <v>45583</v>
      </c>
      <c r="C702" s="1" t="n">
        <v>45881</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59003-2024</t>
        </is>
      </c>
      <c r="B703" s="1" t="n">
        <v>45636</v>
      </c>
      <c r="C703" s="1" t="n">
        <v>45881</v>
      </c>
      <c r="D703" t="inlineStr">
        <is>
          <t>VÄSTERBOTTENS LÄN</t>
        </is>
      </c>
      <c r="E703" t="inlineStr">
        <is>
          <t>VILHELMINA</t>
        </is>
      </c>
      <c r="F703" t="inlineStr">
        <is>
          <t>Allmännings- och besparingsskogar</t>
        </is>
      </c>
      <c r="G703" t="n">
        <v>21.8</v>
      </c>
      <c r="H703" t="n">
        <v>0</v>
      </c>
      <c r="I703" t="n">
        <v>0</v>
      </c>
      <c r="J703" t="n">
        <v>0</v>
      </c>
      <c r="K703" t="n">
        <v>0</v>
      </c>
      <c r="L703" t="n">
        <v>0</v>
      </c>
      <c r="M703" t="n">
        <v>0</v>
      </c>
      <c r="N703" t="n">
        <v>0</v>
      </c>
      <c r="O703" t="n">
        <v>0</v>
      </c>
      <c r="P703" t="n">
        <v>0</v>
      </c>
      <c r="Q703" t="n">
        <v>0</v>
      </c>
      <c r="R703" s="2" t="inlineStr"/>
    </row>
    <row r="704" ht="15" customHeight="1">
      <c r="A704" t="inlineStr">
        <is>
          <t>A 34542-2025</t>
        </is>
      </c>
      <c r="B704" s="1" t="n">
        <v>45847.53211805555</v>
      </c>
      <c r="C704" s="1" t="n">
        <v>45881</v>
      </c>
      <c r="D704" t="inlineStr">
        <is>
          <t>VÄSTERBOTTENS LÄN</t>
        </is>
      </c>
      <c r="E704" t="inlineStr">
        <is>
          <t>VILHELMINA</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34569-2025</t>
        </is>
      </c>
      <c r="B705" s="1" t="n">
        <v>45847.58480324074</v>
      </c>
      <c r="C705" s="1" t="n">
        <v>45881</v>
      </c>
      <c r="D705" t="inlineStr">
        <is>
          <t>VÄSTERBOTTENS LÄN</t>
        </is>
      </c>
      <c r="E705" t="inlineStr">
        <is>
          <t>VILHELMINA</t>
        </is>
      </c>
      <c r="G705" t="n">
        <v>5.3</v>
      </c>
      <c r="H705" t="n">
        <v>0</v>
      </c>
      <c r="I705" t="n">
        <v>0</v>
      </c>
      <c r="J705" t="n">
        <v>0</v>
      </c>
      <c r="K705" t="n">
        <v>0</v>
      </c>
      <c r="L705" t="n">
        <v>0</v>
      </c>
      <c r="M705" t="n">
        <v>0</v>
      </c>
      <c r="N705" t="n">
        <v>0</v>
      </c>
      <c r="O705" t="n">
        <v>0</v>
      </c>
      <c r="P705" t="n">
        <v>0</v>
      </c>
      <c r="Q705" t="n">
        <v>0</v>
      </c>
      <c r="R705" s="2" t="inlineStr"/>
    </row>
    <row r="706" ht="15" customHeight="1">
      <c r="A706" t="inlineStr">
        <is>
          <t>A 56627-2024</t>
        </is>
      </c>
      <c r="B706" s="1" t="n">
        <v>45625</v>
      </c>
      <c r="C706" s="1" t="n">
        <v>45881</v>
      </c>
      <c r="D706" t="inlineStr">
        <is>
          <t>VÄSTERBOTTENS LÄN</t>
        </is>
      </c>
      <c r="E706" t="inlineStr">
        <is>
          <t>VILHELMINA</t>
        </is>
      </c>
      <c r="F706" t="inlineStr">
        <is>
          <t>Allmännings- och besparingsskogar</t>
        </is>
      </c>
      <c r="G706" t="n">
        <v>21.5</v>
      </c>
      <c r="H706" t="n">
        <v>0</v>
      </c>
      <c r="I706" t="n">
        <v>0</v>
      </c>
      <c r="J706" t="n">
        <v>0</v>
      </c>
      <c r="K706" t="n">
        <v>0</v>
      </c>
      <c r="L706" t="n">
        <v>0</v>
      </c>
      <c r="M706" t="n">
        <v>0</v>
      </c>
      <c r="N706" t="n">
        <v>0</v>
      </c>
      <c r="O706" t="n">
        <v>0</v>
      </c>
      <c r="P706" t="n">
        <v>0</v>
      </c>
      <c r="Q706" t="n">
        <v>0</v>
      </c>
      <c r="R706" s="2" t="inlineStr"/>
    </row>
    <row r="707" ht="15" customHeight="1">
      <c r="A707" t="inlineStr">
        <is>
          <t>A 28486-2022</t>
        </is>
      </c>
      <c r="B707" s="1" t="n">
        <v>44747</v>
      </c>
      <c r="C707" s="1" t="n">
        <v>45881</v>
      </c>
      <c r="D707" t="inlineStr">
        <is>
          <t>VÄSTERBOTTENS LÄN</t>
        </is>
      </c>
      <c r="E707" t="inlineStr">
        <is>
          <t>VILHELMINA</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26663-2023</t>
        </is>
      </c>
      <c r="B708" s="1" t="n">
        <v>45092.94042824074</v>
      </c>
      <c r="C708" s="1" t="n">
        <v>45881</v>
      </c>
      <c r="D708" t="inlineStr">
        <is>
          <t>VÄSTERBOTTENS LÄN</t>
        </is>
      </c>
      <c r="E708" t="inlineStr">
        <is>
          <t>VILHELMINA</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63877-2023</t>
        </is>
      </c>
      <c r="B709" s="1" t="n">
        <v>45278</v>
      </c>
      <c r="C709" s="1" t="n">
        <v>45881</v>
      </c>
      <c r="D709" t="inlineStr">
        <is>
          <t>VÄSTERBOTTENS LÄN</t>
        </is>
      </c>
      <c r="E709" t="inlineStr">
        <is>
          <t>VILHELMINA</t>
        </is>
      </c>
      <c r="G709" t="n">
        <v>1.2</v>
      </c>
      <c r="H709" t="n">
        <v>0</v>
      </c>
      <c r="I709" t="n">
        <v>0</v>
      </c>
      <c r="J709" t="n">
        <v>0</v>
      </c>
      <c r="K709" t="n">
        <v>0</v>
      </c>
      <c r="L709" t="n">
        <v>0</v>
      </c>
      <c r="M709" t="n">
        <v>0</v>
      </c>
      <c r="N709" t="n">
        <v>0</v>
      </c>
      <c r="O709" t="n">
        <v>0</v>
      </c>
      <c r="P709" t="n">
        <v>0</v>
      </c>
      <c r="Q709" t="n">
        <v>0</v>
      </c>
      <c r="R709" s="2" t="inlineStr"/>
    </row>
    <row r="710" ht="15" customHeight="1">
      <c r="A710" t="inlineStr">
        <is>
          <t>A 26098-2025</t>
        </is>
      </c>
      <c r="B710" s="1" t="n">
        <v>45805</v>
      </c>
      <c r="C710" s="1" t="n">
        <v>45881</v>
      </c>
      <c r="D710" t="inlineStr">
        <is>
          <t>VÄSTERBOTTENS LÄN</t>
        </is>
      </c>
      <c r="E710" t="inlineStr">
        <is>
          <t>VILHELMINA</t>
        </is>
      </c>
      <c r="F710" t="inlineStr">
        <is>
          <t>Övriga statliga verk och myndigheter</t>
        </is>
      </c>
      <c r="G710" t="n">
        <v>5.4</v>
      </c>
      <c r="H710" t="n">
        <v>0</v>
      </c>
      <c r="I710" t="n">
        <v>0</v>
      </c>
      <c r="J710" t="n">
        <v>0</v>
      </c>
      <c r="K710" t="n">
        <v>0</v>
      </c>
      <c r="L710" t="n">
        <v>0</v>
      </c>
      <c r="M710" t="n">
        <v>0</v>
      </c>
      <c r="N710" t="n">
        <v>0</v>
      </c>
      <c r="O710" t="n">
        <v>0</v>
      </c>
      <c r="P710" t="n">
        <v>0</v>
      </c>
      <c r="Q710" t="n">
        <v>0</v>
      </c>
      <c r="R710" s="2" t="inlineStr"/>
    </row>
    <row r="711" ht="15" customHeight="1">
      <c r="A711" t="inlineStr">
        <is>
          <t>A 34563-2025</t>
        </is>
      </c>
      <c r="B711" s="1" t="n">
        <v>45847.57950231482</v>
      </c>
      <c r="C711" s="1" t="n">
        <v>45881</v>
      </c>
      <c r="D711" t="inlineStr">
        <is>
          <t>VÄSTERBOTTENS LÄN</t>
        </is>
      </c>
      <c r="E711" t="inlineStr">
        <is>
          <t>VILHELMINA</t>
        </is>
      </c>
      <c r="G711" t="n">
        <v>20.6</v>
      </c>
      <c r="H711" t="n">
        <v>0</v>
      </c>
      <c r="I711" t="n">
        <v>0</v>
      </c>
      <c r="J711" t="n">
        <v>0</v>
      </c>
      <c r="K711" t="n">
        <v>0</v>
      </c>
      <c r="L711" t="n">
        <v>0</v>
      </c>
      <c r="M711" t="n">
        <v>0</v>
      </c>
      <c r="N711" t="n">
        <v>0</v>
      </c>
      <c r="O711" t="n">
        <v>0</v>
      </c>
      <c r="P711" t="n">
        <v>0</v>
      </c>
      <c r="Q711" t="n">
        <v>0</v>
      </c>
      <c r="R711" s="2" t="inlineStr"/>
    </row>
    <row r="712" ht="15" customHeight="1">
      <c r="A712" t="inlineStr">
        <is>
          <t>A 55695-2024</t>
        </is>
      </c>
      <c r="B712" s="1" t="n">
        <v>45622</v>
      </c>
      <c r="C712" s="1" t="n">
        <v>45881</v>
      </c>
      <c r="D712" t="inlineStr">
        <is>
          <t>VÄSTERBOTTENS LÄN</t>
        </is>
      </c>
      <c r="E712" t="inlineStr">
        <is>
          <t>VILHELMINA</t>
        </is>
      </c>
      <c r="G712" t="n">
        <v>7.2</v>
      </c>
      <c r="H712" t="n">
        <v>0</v>
      </c>
      <c r="I712" t="n">
        <v>0</v>
      </c>
      <c r="J712" t="n">
        <v>0</v>
      </c>
      <c r="K712" t="n">
        <v>0</v>
      </c>
      <c r="L712" t="n">
        <v>0</v>
      </c>
      <c r="M712" t="n">
        <v>0</v>
      </c>
      <c r="N712" t="n">
        <v>0</v>
      </c>
      <c r="O712" t="n">
        <v>0</v>
      </c>
      <c r="P712" t="n">
        <v>0</v>
      </c>
      <c r="Q712" t="n">
        <v>0</v>
      </c>
      <c r="R712" s="2" t="inlineStr"/>
    </row>
    <row r="713" ht="15" customHeight="1">
      <c r="A713" t="inlineStr">
        <is>
          <t>A 26143-2025</t>
        </is>
      </c>
      <c r="B713" s="1" t="n">
        <v>45805.42736111111</v>
      </c>
      <c r="C713" s="1" t="n">
        <v>45881</v>
      </c>
      <c r="D713" t="inlineStr">
        <is>
          <t>VÄSTERBOTTENS LÄN</t>
        </is>
      </c>
      <c r="E713" t="inlineStr">
        <is>
          <t>VILHELMINA</t>
        </is>
      </c>
      <c r="G713" t="n">
        <v>20</v>
      </c>
      <c r="H713" t="n">
        <v>0</v>
      </c>
      <c r="I713" t="n">
        <v>0</v>
      </c>
      <c r="J713" t="n">
        <v>0</v>
      </c>
      <c r="K713" t="n">
        <v>0</v>
      </c>
      <c r="L713" t="n">
        <v>0</v>
      </c>
      <c r="M713" t="n">
        <v>0</v>
      </c>
      <c r="N713" t="n">
        <v>0</v>
      </c>
      <c r="O713" t="n">
        <v>0</v>
      </c>
      <c r="P713" t="n">
        <v>0</v>
      </c>
      <c r="Q713" t="n">
        <v>0</v>
      </c>
      <c r="R713" s="2" t="inlineStr"/>
    </row>
    <row r="714" ht="15" customHeight="1">
      <c r="A714" t="inlineStr">
        <is>
          <t>A 27355-2023</t>
        </is>
      </c>
      <c r="B714" s="1" t="n">
        <v>45096</v>
      </c>
      <c r="C714" s="1" t="n">
        <v>45881</v>
      </c>
      <c r="D714" t="inlineStr">
        <is>
          <t>VÄSTERBOTTENS LÄN</t>
        </is>
      </c>
      <c r="E714" t="inlineStr">
        <is>
          <t>VILHELMINA</t>
        </is>
      </c>
      <c r="G714" t="n">
        <v>2.6</v>
      </c>
      <c r="H714" t="n">
        <v>0</v>
      </c>
      <c r="I714" t="n">
        <v>0</v>
      </c>
      <c r="J714" t="n">
        <v>0</v>
      </c>
      <c r="K714" t="n">
        <v>0</v>
      </c>
      <c r="L714" t="n">
        <v>0</v>
      </c>
      <c r="M714" t="n">
        <v>0</v>
      </c>
      <c r="N714" t="n">
        <v>0</v>
      </c>
      <c r="O714" t="n">
        <v>0</v>
      </c>
      <c r="P714" t="n">
        <v>0</v>
      </c>
      <c r="Q714" t="n">
        <v>0</v>
      </c>
      <c r="R714" s="2" t="inlineStr"/>
    </row>
    <row r="715" ht="15" customHeight="1">
      <c r="A715" t="inlineStr">
        <is>
          <t>A 59018-2024</t>
        </is>
      </c>
      <c r="B715" s="1" t="n">
        <v>45636</v>
      </c>
      <c r="C715" s="1" t="n">
        <v>45881</v>
      </c>
      <c r="D715" t="inlineStr">
        <is>
          <t>VÄSTERBOTTENS LÄN</t>
        </is>
      </c>
      <c r="E715" t="inlineStr">
        <is>
          <t>VILHELMINA</t>
        </is>
      </c>
      <c r="F715" t="inlineStr">
        <is>
          <t>Allmännings- och besparingsskogar</t>
        </is>
      </c>
      <c r="G715" t="n">
        <v>13.9</v>
      </c>
      <c r="H715" t="n">
        <v>0</v>
      </c>
      <c r="I715" t="n">
        <v>0</v>
      </c>
      <c r="J715" t="n">
        <v>0</v>
      </c>
      <c r="K715" t="n">
        <v>0</v>
      </c>
      <c r="L715" t="n">
        <v>0</v>
      </c>
      <c r="M715" t="n">
        <v>0</v>
      </c>
      <c r="N715" t="n">
        <v>0</v>
      </c>
      <c r="O715" t="n">
        <v>0</v>
      </c>
      <c r="P715" t="n">
        <v>0</v>
      </c>
      <c r="Q715" t="n">
        <v>0</v>
      </c>
      <c r="R715" s="2" t="inlineStr"/>
    </row>
    <row r="716" ht="15" customHeight="1">
      <c r="A716" t="inlineStr">
        <is>
          <t>A 48472-2023</t>
        </is>
      </c>
      <c r="B716" s="1" t="n">
        <v>45206.95761574074</v>
      </c>
      <c r="C716" s="1" t="n">
        <v>45881</v>
      </c>
      <c r="D716" t="inlineStr">
        <is>
          <t>VÄSTERBOTTENS LÄN</t>
        </is>
      </c>
      <c r="E716" t="inlineStr">
        <is>
          <t>VILHELMINA</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43637-2023</t>
        </is>
      </c>
      <c r="B717" s="1" t="n">
        <v>45186.51590277778</v>
      </c>
      <c r="C717" s="1" t="n">
        <v>45881</v>
      </c>
      <c r="D717" t="inlineStr">
        <is>
          <t>VÄSTERBOTTENS LÄN</t>
        </is>
      </c>
      <c r="E717" t="inlineStr">
        <is>
          <t>VILHELMINA</t>
        </is>
      </c>
      <c r="G717" t="n">
        <v>3.3</v>
      </c>
      <c r="H717" t="n">
        <v>0</v>
      </c>
      <c r="I717" t="n">
        <v>0</v>
      </c>
      <c r="J717" t="n">
        <v>0</v>
      </c>
      <c r="K717" t="n">
        <v>0</v>
      </c>
      <c r="L717" t="n">
        <v>0</v>
      </c>
      <c r="M717" t="n">
        <v>0</v>
      </c>
      <c r="N717" t="n">
        <v>0</v>
      </c>
      <c r="O717" t="n">
        <v>0</v>
      </c>
      <c r="P717" t="n">
        <v>0</v>
      </c>
      <c r="Q717" t="n">
        <v>0</v>
      </c>
      <c r="R717" s="2" t="inlineStr"/>
    </row>
    <row r="718" ht="15" customHeight="1">
      <c r="A718" t="inlineStr">
        <is>
          <t>A 58946-2024</t>
        </is>
      </c>
      <c r="B718" s="1" t="n">
        <v>45636.55063657407</v>
      </c>
      <c r="C718" s="1" t="n">
        <v>45881</v>
      </c>
      <c r="D718" t="inlineStr">
        <is>
          <t>VÄSTERBOTTENS LÄN</t>
        </is>
      </c>
      <c r="E718" t="inlineStr">
        <is>
          <t>VILHELMINA</t>
        </is>
      </c>
      <c r="F718" t="inlineStr">
        <is>
          <t>Kommuner</t>
        </is>
      </c>
      <c r="G718" t="n">
        <v>4.9</v>
      </c>
      <c r="H718" t="n">
        <v>0</v>
      </c>
      <c r="I718" t="n">
        <v>0</v>
      </c>
      <c r="J718" t="n">
        <v>0</v>
      </c>
      <c r="K718" t="n">
        <v>0</v>
      </c>
      <c r="L718" t="n">
        <v>0</v>
      </c>
      <c r="M718" t="n">
        <v>0</v>
      </c>
      <c r="N718" t="n">
        <v>0</v>
      </c>
      <c r="O718" t="n">
        <v>0</v>
      </c>
      <c r="P718" t="n">
        <v>0</v>
      </c>
      <c r="Q718" t="n">
        <v>0</v>
      </c>
      <c r="R718" s="2" t="inlineStr"/>
    </row>
    <row r="719" ht="15" customHeight="1">
      <c r="A719" t="inlineStr">
        <is>
          <t>A 58999-2024</t>
        </is>
      </c>
      <c r="B719" s="1" t="n">
        <v>45636</v>
      </c>
      <c r="C719" s="1" t="n">
        <v>45881</v>
      </c>
      <c r="D719" t="inlineStr">
        <is>
          <t>VÄSTERBOTTENS LÄN</t>
        </is>
      </c>
      <c r="E719" t="inlineStr">
        <is>
          <t>VILHELMINA</t>
        </is>
      </c>
      <c r="F719" t="inlineStr">
        <is>
          <t>Allmännings- och besparingsskogar</t>
        </is>
      </c>
      <c r="G719" t="n">
        <v>12.3</v>
      </c>
      <c r="H719" t="n">
        <v>0</v>
      </c>
      <c r="I719" t="n">
        <v>0</v>
      </c>
      <c r="J719" t="n">
        <v>0</v>
      </c>
      <c r="K719" t="n">
        <v>0</v>
      </c>
      <c r="L719" t="n">
        <v>0</v>
      </c>
      <c r="M719" t="n">
        <v>0</v>
      </c>
      <c r="N719" t="n">
        <v>0</v>
      </c>
      <c r="O719" t="n">
        <v>0</v>
      </c>
      <c r="P719" t="n">
        <v>0</v>
      </c>
      <c r="Q719" t="n">
        <v>0</v>
      </c>
      <c r="R719" s="2" t="inlineStr"/>
    </row>
    <row r="720" ht="15" customHeight="1">
      <c r="A720" t="inlineStr">
        <is>
          <t>A 16608-2024</t>
        </is>
      </c>
      <c r="B720" s="1" t="n">
        <v>45408</v>
      </c>
      <c r="C720" s="1" t="n">
        <v>45881</v>
      </c>
      <c r="D720" t="inlineStr">
        <is>
          <t>VÄSTERBOTTENS LÄN</t>
        </is>
      </c>
      <c r="E720" t="inlineStr">
        <is>
          <t>VILHELMINA</t>
        </is>
      </c>
      <c r="G720" t="n">
        <v>17.5</v>
      </c>
      <c r="H720" t="n">
        <v>0</v>
      </c>
      <c r="I720" t="n">
        <v>0</v>
      </c>
      <c r="J720" t="n">
        <v>0</v>
      </c>
      <c r="K720" t="n">
        <v>0</v>
      </c>
      <c r="L720" t="n">
        <v>0</v>
      </c>
      <c r="M720" t="n">
        <v>0</v>
      </c>
      <c r="N720" t="n">
        <v>0</v>
      </c>
      <c r="O720" t="n">
        <v>0</v>
      </c>
      <c r="P720" t="n">
        <v>0</v>
      </c>
      <c r="Q720" t="n">
        <v>0</v>
      </c>
      <c r="R720" s="2" t="inlineStr"/>
    </row>
    <row r="721" ht="15" customHeight="1">
      <c r="A721" t="inlineStr">
        <is>
          <t>A 56629-2024</t>
        </is>
      </c>
      <c r="B721" s="1" t="n">
        <v>45625</v>
      </c>
      <c r="C721" s="1" t="n">
        <v>45881</v>
      </c>
      <c r="D721" t="inlineStr">
        <is>
          <t>VÄSTERBOTTENS LÄN</t>
        </is>
      </c>
      <c r="E721" t="inlineStr">
        <is>
          <t>VILHELMINA</t>
        </is>
      </c>
      <c r="F721" t="inlineStr">
        <is>
          <t>Allmännings- och besparingsskogar</t>
        </is>
      </c>
      <c r="G721" t="n">
        <v>19.7</v>
      </c>
      <c r="H721" t="n">
        <v>0</v>
      </c>
      <c r="I721" t="n">
        <v>0</v>
      </c>
      <c r="J721" t="n">
        <v>0</v>
      </c>
      <c r="K721" t="n">
        <v>0</v>
      </c>
      <c r="L721" t="n">
        <v>0</v>
      </c>
      <c r="M721" t="n">
        <v>0</v>
      </c>
      <c r="N721" t="n">
        <v>0</v>
      </c>
      <c r="O721" t="n">
        <v>0</v>
      </c>
      <c r="P721" t="n">
        <v>0</v>
      </c>
      <c r="Q721" t="n">
        <v>0</v>
      </c>
      <c r="R721" s="2" t="inlineStr"/>
    </row>
    <row r="722" ht="15" customHeight="1">
      <c r="A722" t="inlineStr">
        <is>
          <t>A 56624-2024</t>
        </is>
      </c>
      <c r="B722" s="1" t="n">
        <v>45625</v>
      </c>
      <c r="C722" s="1" t="n">
        <v>45881</v>
      </c>
      <c r="D722" t="inlineStr">
        <is>
          <t>VÄSTERBOTTENS LÄN</t>
        </is>
      </c>
      <c r="E722" t="inlineStr">
        <is>
          <t>VILHELMINA</t>
        </is>
      </c>
      <c r="F722" t="inlineStr">
        <is>
          <t>Allmännings- och besparingsskogar</t>
        </is>
      </c>
      <c r="G722" t="n">
        <v>17.8</v>
      </c>
      <c r="H722" t="n">
        <v>0</v>
      </c>
      <c r="I722" t="n">
        <v>0</v>
      </c>
      <c r="J722" t="n">
        <v>0</v>
      </c>
      <c r="K722" t="n">
        <v>0</v>
      </c>
      <c r="L722" t="n">
        <v>0</v>
      </c>
      <c r="M722" t="n">
        <v>0</v>
      </c>
      <c r="N722" t="n">
        <v>0</v>
      </c>
      <c r="O722" t="n">
        <v>0</v>
      </c>
      <c r="P722" t="n">
        <v>0</v>
      </c>
      <c r="Q722" t="n">
        <v>0</v>
      </c>
      <c r="R722" s="2" t="inlineStr"/>
    </row>
    <row r="723" ht="15" customHeight="1">
      <c r="A723" t="inlineStr">
        <is>
          <t>A 59011-2024</t>
        </is>
      </c>
      <c r="B723" s="1" t="n">
        <v>45636</v>
      </c>
      <c r="C723" s="1" t="n">
        <v>45881</v>
      </c>
      <c r="D723" t="inlineStr">
        <is>
          <t>VÄSTERBOTTENS LÄN</t>
        </is>
      </c>
      <c r="E723" t="inlineStr">
        <is>
          <t>VILHELMINA</t>
        </is>
      </c>
      <c r="F723" t="inlineStr">
        <is>
          <t>Allmännings- och besparingsskogar</t>
        </is>
      </c>
      <c r="G723" t="n">
        <v>35.2</v>
      </c>
      <c r="H723" t="n">
        <v>0</v>
      </c>
      <c r="I723" t="n">
        <v>0</v>
      </c>
      <c r="J723" t="n">
        <v>0</v>
      </c>
      <c r="K723" t="n">
        <v>0</v>
      </c>
      <c r="L723" t="n">
        <v>0</v>
      </c>
      <c r="M723" t="n">
        <v>0</v>
      </c>
      <c r="N723" t="n">
        <v>0</v>
      </c>
      <c r="O723" t="n">
        <v>0</v>
      </c>
      <c r="P723" t="n">
        <v>0</v>
      </c>
      <c r="Q723" t="n">
        <v>0</v>
      </c>
      <c r="R723" s="2" t="inlineStr"/>
    </row>
    <row r="724" ht="15" customHeight="1">
      <c r="A724" t="inlineStr">
        <is>
          <t>A 47010-2024</t>
        </is>
      </c>
      <c r="B724" s="1" t="n">
        <v>45586</v>
      </c>
      <c r="C724" s="1" t="n">
        <v>45881</v>
      </c>
      <c r="D724" t="inlineStr">
        <is>
          <t>VÄSTERBOTTENS LÄN</t>
        </is>
      </c>
      <c r="E724" t="inlineStr">
        <is>
          <t>VILHELMINA</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26381-2024</t>
        </is>
      </c>
      <c r="B725" s="1" t="n">
        <v>45469</v>
      </c>
      <c r="C725" s="1" t="n">
        <v>45881</v>
      </c>
      <c r="D725" t="inlineStr">
        <is>
          <t>VÄSTERBOTTENS LÄN</t>
        </is>
      </c>
      <c r="E725" t="inlineStr">
        <is>
          <t>VILHELMINA</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21345-2024</t>
        </is>
      </c>
      <c r="B726" s="1" t="n">
        <v>45440.92866898148</v>
      </c>
      <c r="C726" s="1" t="n">
        <v>45881</v>
      </c>
      <c r="D726" t="inlineStr">
        <is>
          <t>VÄSTERBOTTENS LÄN</t>
        </is>
      </c>
      <c r="E726" t="inlineStr">
        <is>
          <t>VILHELMINA</t>
        </is>
      </c>
      <c r="G726" t="n">
        <v>3</v>
      </c>
      <c r="H726" t="n">
        <v>0</v>
      </c>
      <c r="I726" t="n">
        <v>0</v>
      </c>
      <c r="J726" t="n">
        <v>0</v>
      </c>
      <c r="K726" t="n">
        <v>0</v>
      </c>
      <c r="L726" t="n">
        <v>0</v>
      </c>
      <c r="M726" t="n">
        <v>0</v>
      </c>
      <c r="N726" t="n">
        <v>0</v>
      </c>
      <c r="O726" t="n">
        <v>0</v>
      </c>
      <c r="P726" t="n">
        <v>0</v>
      </c>
      <c r="Q726" t="n">
        <v>0</v>
      </c>
      <c r="R726" s="2" t="inlineStr"/>
    </row>
    <row r="727" ht="15" customHeight="1">
      <c r="A727" t="inlineStr">
        <is>
          <t>A 8859-2023</t>
        </is>
      </c>
      <c r="B727" s="1" t="n">
        <v>44978</v>
      </c>
      <c r="C727" s="1" t="n">
        <v>45881</v>
      </c>
      <c r="D727" t="inlineStr">
        <is>
          <t>VÄSTERBOTTENS LÄN</t>
        </is>
      </c>
      <c r="E727" t="inlineStr">
        <is>
          <t>VILHELMINA</t>
        </is>
      </c>
      <c r="G727" t="n">
        <v>6.3</v>
      </c>
      <c r="H727" t="n">
        <v>0</v>
      </c>
      <c r="I727" t="n">
        <v>0</v>
      </c>
      <c r="J727" t="n">
        <v>0</v>
      </c>
      <c r="K727" t="n">
        <v>0</v>
      </c>
      <c r="L727" t="n">
        <v>0</v>
      </c>
      <c r="M727" t="n">
        <v>0</v>
      </c>
      <c r="N727" t="n">
        <v>0</v>
      </c>
      <c r="O727" t="n">
        <v>0</v>
      </c>
      <c r="P727" t="n">
        <v>0</v>
      </c>
      <c r="Q727" t="n">
        <v>0</v>
      </c>
      <c r="R727" s="2" t="inlineStr"/>
    </row>
    <row r="728" ht="15" customHeight="1">
      <c r="A728" t="inlineStr">
        <is>
          <t>A 26722-2025</t>
        </is>
      </c>
      <c r="B728" s="1" t="n">
        <v>45810</v>
      </c>
      <c r="C728" s="1" t="n">
        <v>45881</v>
      </c>
      <c r="D728" t="inlineStr">
        <is>
          <t>VÄSTERBOTTENS LÄN</t>
        </is>
      </c>
      <c r="E728" t="inlineStr">
        <is>
          <t>VILHELMINA</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47483-2023</t>
        </is>
      </c>
      <c r="B729" s="1" t="n">
        <v>45202.9413425926</v>
      </c>
      <c r="C729" s="1" t="n">
        <v>45881</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12990-2025</t>
        </is>
      </c>
      <c r="B730" s="1" t="n">
        <v>45734</v>
      </c>
      <c r="C730" s="1" t="n">
        <v>45881</v>
      </c>
      <c r="D730" t="inlineStr">
        <is>
          <t>VÄSTERBOTTENS LÄN</t>
        </is>
      </c>
      <c r="E730" t="inlineStr">
        <is>
          <t>VILHELMINA</t>
        </is>
      </c>
      <c r="G730" t="n">
        <v>11.2</v>
      </c>
      <c r="H730" t="n">
        <v>0</v>
      </c>
      <c r="I730" t="n">
        <v>0</v>
      </c>
      <c r="J730" t="n">
        <v>0</v>
      </c>
      <c r="K730" t="n">
        <v>0</v>
      </c>
      <c r="L730" t="n">
        <v>0</v>
      </c>
      <c r="M730" t="n">
        <v>0</v>
      </c>
      <c r="N730" t="n">
        <v>0</v>
      </c>
      <c r="O730" t="n">
        <v>0</v>
      </c>
      <c r="P730" t="n">
        <v>0</v>
      </c>
      <c r="Q730" t="n">
        <v>0</v>
      </c>
      <c r="R730" s="2" t="inlineStr"/>
    </row>
    <row r="731" ht="15" customHeight="1">
      <c r="A731" t="inlineStr">
        <is>
          <t>A 26744-2025</t>
        </is>
      </c>
      <c r="B731" s="1" t="n">
        <v>45810.53185185185</v>
      </c>
      <c r="C731" s="1" t="n">
        <v>45881</v>
      </c>
      <c r="D731" t="inlineStr">
        <is>
          <t>VÄSTERBOTTENS LÄN</t>
        </is>
      </c>
      <c r="E731" t="inlineStr">
        <is>
          <t>VILHELMINA</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26790-2025</t>
        </is>
      </c>
      <c r="B732" s="1" t="n">
        <v>45810.59417824074</v>
      </c>
      <c r="C732" s="1" t="n">
        <v>45881</v>
      </c>
      <c r="D732" t="inlineStr">
        <is>
          <t>VÄSTERBOTTENS LÄN</t>
        </is>
      </c>
      <c r="E732" t="inlineStr">
        <is>
          <t>VILHELMINA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17186-2025</t>
        </is>
      </c>
      <c r="B733" s="1" t="n">
        <v>45756</v>
      </c>
      <c r="C733" s="1" t="n">
        <v>45881</v>
      </c>
      <c r="D733" t="inlineStr">
        <is>
          <t>VÄSTERBOTTENS LÄN</t>
        </is>
      </c>
      <c r="E733" t="inlineStr">
        <is>
          <t>VILHELMINA</t>
        </is>
      </c>
      <c r="F733" t="inlineStr">
        <is>
          <t>SCA</t>
        </is>
      </c>
      <c r="G733" t="n">
        <v>12.3</v>
      </c>
      <c r="H733" t="n">
        <v>0</v>
      </c>
      <c r="I733" t="n">
        <v>0</v>
      </c>
      <c r="J733" t="n">
        <v>0</v>
      </c>
      <c r="K733" t="n">
        <v>0</v>
      </c>
      <c r="L733" t="n">
        <v>0</v>
      </c>
      <c r="M733" t="n">
        <v>0</v>
      </c>
      <c r="N733" t="n">
        <v>0</v>
      </c>
      <c r="O733" t="n">
        <v>0</v>
      </c>
      <c r="P733" t="n">
        <v>0</v>
      </c>
      <c r="Q733" t="n">
        <v>0</v>
      </c>
      <c r="R733" s="2" t="inlineStr"/>
    </row>
    <row r="734" ht="15" customHeight="1">
      <c r="A734" t="inlineStr">
        <is>
          <t>A 17302-2025</t>
        </is>
      </c>
      <c r="B734" s="1" t="n">
        <v>45756</v>
      </c>
      <c r="C734" s="1" t="n">
        <v>45881</v>
      </c>
      <c r="D734" t="inlineStr">
        <is>
          <t>VÄSTERBOTTENS LÄN</t>
        </is>
      </c>
      <c r="E734" t="inlineStr">
        <is>
          <t>VILHELMINA</t>
        </is>
      </c>
      <c r="G734" t="n">
        <v>6.6</v>
      </c>
      <c r="H734" t="n">
        <v>0</v>
      </c>
      <c r="I734" t="n">
        <v>0</v>
      </c>
      <c r="J734" t="n">
        <v>0</v>
      </c>
      <c r="K734" t="n">
        <v>0</v>
      </c>
      <c r="L734" t="n">
        <v>0</v>
      </c>
      <c r="M734" t="n">
        <v>0</v>
      </c>
      <c r="N734" t="n">
        <v>0</v>
      </c>
      <c r="O734" t="n">
        <v>0</v>
      </c>
      <c r="P734" t="n">
        <v>0</v>
      </c>
      <c r="Q734" t="n">
        <v>0</v>
      </c>
      <c r="R734" s="2" t="inlineStr"/>
    </row>
    <row r="735" ht="15" customHeight="1">
      <c r="A735" t="inlineStr">
        <is>
          <t>A 17314-2025</t>
        </is>
      </c>
      <c r="B735" s="1" t="n">
        <v>45756</v>
      </c>
      <c r="C735" s="1" t="n">
        <v>45881</v>
      </c>
      <c r="D735" t="inlineStr">
        <is>
          <t>VÄSTERBOTTENS LÄN</t>
        </is>
      </c>
      <c r="E735" t="inlineStr">
        <is>
          <t>VILHELMINA</t>
        </is>
      </c>
      <c r="G735" t="n">
        <v>3.4</v>
      </c>
      <c r="H735" t="n">
        <v>0</v>
      </c>
      <c r="I735" t="n">
        <v>0</v>
      </c>
      <c r="J735" t="n">
        <v>0</v>
      </c>
      <c r="K735" t="n">
        <v>0</v>
      </c>
      <c r="L735" t="n">
        <v>0</v>
      </c>
      <c r="M735" t="n">
        <v>0</v>
      </c>
      <c r="N735" t="n">
        <v>0</v>
      </c>
      <c r="O735" t="n">
        <v>0</v>
      </c>
      <c r="P735" t="n">
        <v>0</v>
      </c>
      <c r="Q735" t="n">
        <v>0</v>
      </c>
      <c r="R735" s="2" t="inlineStr"/>
    </row>
    <row r="736" ht="15" customHeight="1">
      <c r="A736" t="inlineStr">
        <is>
          <t>A 26745-2025</t>
        </is>
      </c>
      <c r="B736" s="1" t="n">
        <v>45810.53188657408</v>
      </c>
      <c r="C736" s="1" t="n">
        <v>45881</v>
      </c>
      <c r="D736" t="inlineStr">
        <is>
          <t>VÄSTERBOTTENS LÄN</t>
        </is>
      </c>
      <c r="E736" t="inlineStr">
        <is>
          <t>VILHELMINA</t>
        </is>
      </c>
      <c r="F736" t="inlineStr">
        <is>
          <t>SCA</t>
        </is>
      </c>
      <c r="G736" t="n">
        <v>0.3</v>
      </c>
      <c r="H736" t="n">
        <v>0</v>
      </c>
      <c r="I736" t="n">
        <v>0</v>
      </c>
      <c r="J736" t="n">
        <v>0</v>
      </c>
      <c r="K736" t="n">
        <v>0</v>
      </c>
      <c r="L736" t="n">
        <v>0</v>
      </c>
      <c r="M736" t="n">
        <v>0</v>
      </c>
      <c r="N736" t="n">
        <v>0</v>
      </c>
      <c r="O736" t="n">
        <v>0</v>
      </c>
      <c r="P736" t="n">
        <v>0</v>
      </c>
      <c r="Q736" t="n">
        <v>0</v>
      </c>
      <c r="R736" s="2" t="inlineStr"/>
    </row>
    <row r="737" ht="15" customHeight="1">
      <c r="A737" t="inlineStr">
        <is>
          <t>A 7035-2025</t>
        </is>
      </c>
      <c r="B737" s="1" t="n">
        <v>45701.63577546296</v>
      </c>
      <c r="C737" s="1" t="n">
        <v>45881</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35230-2025</t>
        </is>
      </c>
      <c r="B738" s="1" t="n">
        <v>45853.59447916667</v>
      </c>
      <c r="C738" s="1" t="n">
        <v>45881</v>
      </c>
      <c r="D738" t="inlineStr">
        <is>
          <t>VÄSTERBOTTENS LÄN</t>
        </is>
      </c>
      <c r="E738" t="inlineStr">
        <is>
          <t>VILHELMINA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35231-2025</t>
        </is>
      </c>
      <c r="B739" s="1" t="n">
        <v>45853.59453703704</v>
      </c>
      <c r="C739" s="1" t="n">
        <v>45881</v>
      </c>
      <c r="D739" t="inlineStr">
        <is>
          <t>VÄSTERBOTTENS LÄN</t>
        </is>
      </c>
      <c r="E739" t="inlineStr">
        <is>
          <t>VILHELMINA</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35288-2025</t>
        </is>
      </c>
      <c r="B740" s="1" t="n">
        <v>45854.36543981481</v>
      </c>
      <c r="C740" s="1" t="n">
        <v>45881</v>
      </c>
      <c r="D740" t="inlineStr">
        <is>
          <t>VÄSTERBOTTENS LÄN</t>
        </is>
      </c>
      <c r="E740" t="inlineStr">
        <is>
          <t>VILHELMINA</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8215-2023</t>
        </is>
      </c>
      <c r="B741" s="1" t="n">
        <v>44971</v>
      </c>
      <c r="C741" s="1" t="n">
        <v>45881</v>
      </c>
      <c r="D741" t="inlineStr">
        <is>
          <t>VÄSTERBOTTENS LÄN</t>
        </is>
      </c>
      <c r="E741" t="inlineStr">
        <is>
          <t>VILHELMINA</t>
        </is>
      </c>
      <c r="G741" t="n">
        <v>0.8</v>
      </c>
      <c r="H741" t="n">
        <v>0</v>
      </c>
      <c r="I741" t="n">
        <v>0</v>
      </c>
      <c r="J741" t="n">
        <v>0</v>
      </c>
      <c r="K741" t="n">
        <v>0</v>
      </c>
      <c r="L741" t="n">
        <v>0</v>
      </c>
      <c r="M741" t="n">
        <v>0</v>
      </c>
      <c r="N741" t="n">
        <v>0</v>
      </c>
      <c r="O741" t="n">
        <v>0</v>
      </c>
      <c r="P741" t="n">
        <v>0</v>
      </c>
      <c r="Q741" t="n">
        <v>0</v>
      </c>
      <c r="R741" s="2" t="inlineStr"/>
    </row>
    <row r="742" ht="15" customHeight="1">
      <c r="A742" t="inlineStr">
        <is>
          <t>A 48754-2021</t>
        </is>
      </c>
      <c r="B742" s="1" t="n">
        <v>44452</v>
      </c>
      <c r="C742" s="1" t="n">
        <v>45881</v>
      </c>
      <c r="D742" t="inlineStr">
        <is>
          <t>VÄSTERBOTTENS LÄN</t>
        </is>
      </c>
      <c r="E742" t="inlineStr">
        <is>
          <t>VILHELMINA</t>
        </is>
      </c>
      <c r="G742" t="n">
        <v>5.6</v>
      </c>
      <c r="H742" t="n">
        <v>0</v>
      </c>
      <c r="I742" t="n">
        <v>0</v>
      </c>
      <c r="J742" t="n">
        <v>0</v>
      </c>
      <c r="K742" t="n">
        <v>0</v>
      </c>
      <c r="L742" t="n">
        <v>0</v>
      </c>
      <c r="M742" t="n">
        <v>0</v>
      </c>
      <c r="N742" t="n">
        <v>0</v>
      </c>
      <c r="O742" t="n">
        <v>0</v>
      </c>
      <c r="P742" t="n">
        <v>0</v>
      </c>
      <c r="Q742" t="n">
        <v>0</v>
      </c>
      <c r="R742" s="2" t="inlineStr"/>
    </row>
    <row r="743" ht="15" customHeight="1">
      <c r="A743" t="inlineStr">
        <is>
          <t>A 48756-2021</t>
        </is>
      </c>
      <c r="B743" s="1" t="n">
        <v>44452</v>
      </c>
      <c r="C743" s="1" t="n">
        <v>45881</v>
      </c>
      <c r="D743" t="inlineStr">
        <is>
          <t>VÄSTERBOTTENS LÄN</t>
        </is>
      </c>
      <c r="E743" t="inlineStr">
        <is>
          <t>VILHELMINA</t>
        </is>
      </c>
      <c r="G743" t="n">
        <v>13.3</v>
      </c>
      <c r="H743" t="n">
        <v>0</v>
      </c>
      <c r="I743" t="n">
        <v>0</v>
      </c>
      <c r="J743" t="n">
        <v>0</v>
      </c>
      <c r="K743" t="n">
        <v>0</v>
      </c>
      <c r="L743" t="n">
        <v>0</v>
      </c>
      <c r="M743" t="n">
        <v>0</v>
      </c>
      <c r="N743" t="n">
        <v>0</v>
      </c>
      <c r="O743" t="n">
        <v>0</v>
      </c>
      <c r="P743" t="n">
        <v>0</v>
      </c>
      <c r="Q743" t="n">
        <v>0</v>
      </c>
      <c r="R743" s="2" t="inlineStr"/>
    </row>
    <row r="744" ht="15" customHeight="1">
      <c r="A744" t="inlineStr">
        <is>
          <t>A 20510-2024</t>
        </is>
      </c>
      <c r="B744" s="1" t="n">
        <v>45435.94324074074</v>
      </c>
      <c r="C744" s="1" t="n">
        <v>45881</v>
      </c>
      <c r="D744" t="inlineStr">
        <is>
          <t>VÄSTERBOTTENS LÄN</t>
        </is>
      </c>
      <c r="E744" t="inlineStr">
        <is>
          <t>VILHELMINA</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20523-2024</t>
        </is>
      </c>
      <c r="B745" s="1" t="n">
        <v>45435.94553240741</v>
      </c>
      <c r="C745" s="1" t="n">
        <v>45881</v>
      </c>
      <c r="D745" t="inlineStr">
        <is>
          <t>VÄSTERBOTTENS LÄN</t>
        </is>
      </c>
      <c r="E745" t="inlineStr">
        <is>
          <t>VILHELMINA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32455-2024</t>
        </is>
      </c>
      <c r="B746" s="1" t="n">
        <v>45512.95870370371</v>
      </c>
      <c r="C746" s="1" t="n">
        <v>45881</v>
      </c>
      <c r="D746" t="inlineStr">
        <is>
          <t>VÄSTERBOTTENS LÄN</t>
        </is>
      </c>
      <c r="E746" t="inlineStr">
        <is>
          <t>VILHELMINA</t>
        </is>
      </c>
      <c r="F746" t="inlineStr">
        <is>
          <t>SCA</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26553-2023</t>
        </is>
      </c>
      <c r="B747" s="1" t="n">
        <v>45089</v>
      </c>
      <c r="C747" s="1" t="n">
        <v>45881</v>
      </c>
      <c r="D747" t="inlineStr">
        <is>
          <t>VÄSTERBOTTENS LÄN</t>
        </is>
      </c>
      <c r="E747" t="inlineStr">
        <is>
          <t>VILHELMINA</t>
        </is>
      </c>
      <c r="G747" t="n">
        <v>5.5</v>
      </c>
      <c r="H747" t="n">
        <v>0</v>
      </c>
      <c r="I747" t="n">
        <v>0</v>
      </c>
      <c r="J747" t="n">
        <v>0</v>
      </c>
      <c r="K747" t="n">
        <v>0</v>
      </c>
      <c r="L747" t="n">
        <v>0</v>
      </c>
      <c r="M747" t="n">
        <v>0</v>
      </c>
      <c r="N747" t="n">
        <v>0</v>
      </c>
      <c r="O747" t="n">
        <v>0</v>
      </c>
      <c r="P747" t="n">
        <v>0</v>
      </c>
      <c r="Q747" t="n">
        <v>0</v>
      </c>
      <c r="R747" s="2" t="inlineStr"/>
    </row>
    <row r="748" ht="15" customHeight="1">
      <c r="A748" t="inlineStr">
        <is>
          <t>A 41484-2022</t>
        </is>
      </c>
      <c r="B748" s="1" t="n">
        <v>44826</v>
      </c>
      <c r="C748" s="1" t="n">
        <v>45881</v>
      </c>
      <c r="D748" t="inlineStr">
        <is>
          <t>VÄSTERBOTTENS LÄN</t>
        </is>
      </c>
      <c r="E748" t="inlineStr">
        <is>
          <t>VILHELMINA</t>
        </is>
      </c>
      <c r="F748" t="inlineStr">
        <is>
          <t>SCA</t>
        </is>
      </c>
      <c r="G748" t="n">
        <v>18.1</v>
      </c>
      <c r="H748" t="n">
        <v>0</v>
      </c>
      <c r="I748" t="n">
        <v>0</v>
      </c>
      <c r="J748" t="n">
        <v>0</v>
      </c>
      <c r="K748" t="n">
        <v>0</v>
      </c>
      <c r="L748" t="n">
        <v>0</v>
      </c>
      <c r="M748" t="n">
        <v>0</v>
      </c>
      <c r="N748" t="n">
        <v>0</v>
      </c>
      <c r="O748" t="n">
        <v>0</v>
      </c>
      <c r="P748" t="n">
        <v>0</v>
      </c>
      <c r="Q748" t="n">
        <v>0</v>
      </c>
      <c r="R748" s="2" t="inlineStr"/>
    </row>
    <row r="749" ht="15" customHeight="1">
      <c r="A749" t="inlineStr">
        <is>
          <t>A 47253-2022</t>
        </is>
      </c>
      <c r="B749" s="1" t="n">
        <v>44852</v>
      </c>
      <c r="C749" s="1" t="n">
        <v>45881</v>
      </c>
      <c r="D749" t="inlineStr">
        <is>
          <t>VÄSTERBOTTENS LÄN</t>
        </is>
      </c>
      <c r="E749" t="inlineStr">
        <is>
          <t>VILHELMINA</t>
        </is>
      </c>
      <c r="F749" t="inlineStr">
        <is>
          <t>SCA</t>
        </is>
      </c>
      <c r="G749" t="n">
        <v>0.3</v>
      </c>
      <c r="H749" t="n">
        <v>0</v>
      </c>
      <c r="I749" t="n">
        <v>0</v>
      </c>
      <c r="J749" t="n">
        <v>0</v>
      </c>
      <c r="K749" t="n">
        <v>0</v>
      </c>
      <c r="L749" t="n">
        <v>0</v>
      </c>
      <c r="M749" t="n">
        <v>0</v>
      </c>
      <c r="N749" t="n">
        <v>0</v>
      </c>
      <c r="O749" t="n">
        <v>0</v>
      </c>
      <c r="P749" t="n">
        <v>0</v>
      </c>
      <c r="Q749" t="n">
        <v>0</v>
      </c>
      <c r="R749" s="2" t="inlineStr"/>
    </row>
    <row r="750" ht="15" customHeight="1">
      <c r="A750" t="inlineStr">
        <is>
          <t>A 35287-2025</t>
        </is>
      </c>
      <c r="B750" s="1" t="n">
        <v>45854.3653587963</v>
      </c>
      <c r="C750" s="1" t="n">
        <v>45881</v>
      </c>
      <c r="D750" t="inlineStr">
        <is>
          <t>VÄSTERBOTTENS LÄN</t>
        </is>
      </c>
      <c r="E750" t="inlineStr">
        <is>
          <t>VILHELMINA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47011-2024</t>
        </is>
      </c>
      <c r="B751" s="1" t="n">
        <v>45586.38592592593</v>
      </c>
      <c r="C751" s="1" t="n">
        <v>45881</v>
      </c>
      <c r="D751" t="inlineStr">
        <is>
          <t>VÄSTERBOTTENS LÄN</t>
        </is>
      </c>
      <c r="E751" t="inlineStr">
        <is>
          <t>VILHELMINA</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35412-2024</t>
        </is>
      </c>
      <c r="B752" s="1" t="n">
        <v>45531.4075</v>
      </c>
      <c r="C752" s="1" t="n">
        <v>45881</v>
      </c>
      <c r="D752" t="inlineStr">
        <is>
          <t>VÄSTERBOTTENS LÄN</t>
        </is>
      </c>
      <c r="E752" t="inlineStr">
        <is>
          <t>VILHELMINA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27601-2025</t>
        </is>
      </c>
      <c r="B753" s="1" t="n">
        <v>45813.52791666667</v>
      </c>
      <c r="C753" s="1" t="n">
        <v>45881</v>
      </c>
      <c r="D753" t="inlineStr">
        <is>
          <t>VÄSTERBOTTENS LÄN</t>
        </is>
      </c>
      <c r="E753" t="inlineStr">
        <is>
          <t>VILHELMINA</t>
        </is>
      </c>
      <c r="F753" t="inlineStr">
        <is>
          <t>Övriga statliga verk och myndigheter</t>
        </is>
      </c>
      <c r="G753" t="n">
        <v>36.5</v>
      </c>
      <c r="H753" t="n">
        <v>0</v>
      </c>
      <c r="I753" t="n">
        <v>0</v>
      </c>
      <c r="J753" t="n">
        <v>0</v>
      </c>
      <c r="K753" t="n">
        <v>0</v>
      </c>
      <c r="L753" t="n">
        <v>0</v>
      </c>
      <c r="M753" t="n">
        <v>0</v>
      </c>
      <c r="N753" t="n">
        <v>0</v>
      </c>
      <c r="O753" t="n">
        <v>0</v>
      </c>
      <c r="P753" t="n">
        <v>0</v>
      </c>
      <c r="Q753" t="n">
        <v>0</v>
      </c>
      <c r="R753" s="2" t="inlineStr"/>
    </row>
    <row r="754" ht="15" customHeight="1">
      <c r="A754" t="inlineStr">
        <is>
          <t>A 14961-2022</t>
        </is>
      </c>
      <c r="B754" s="1" t="n">
        <v>44657</v>
      </c>
      <c r="C754" s="1" t="n">
        <v>45881</v>
      </c>
      <c r="D754" t="inlineStr">
        <is>
          <t>VÄSTERBOTTENS LÄN</t>
        </is>
      </c>
      <c r="E754" t="inlineStr">
        <is>
          <t>VILHELMINA</t>
        </is>
      </c>
      <c r="G754" t="n">
        <v>19.9</v>
      </c>
      <c r="H754" t="n">
        <v>0</v>
      </c>
      <c r="I754" t="n">
        <v>0</v>
      </c>
      <c r="J754" t="n">
        <v>0</v>
      </c>
      <c r="K754" t="n">
        <v>0</v>
      </c>
      <c r="L754" t="n">
        <v>0</v>
      </c>
      <c r="M754" t="n">
        <v>0</v>
      </c>
      <c r="N754" t="n">
        <v>0</v>
      </c>
      <c r="O754" t="n">
        <v>0</v>
      </c>
      <c r="P754" t="n">
        <v>0</v>
      </c>
      <c r="Q754" t="n">
        <v>0</v>
      </c>
      <c r="R754" s="2" t="inlineStr"/>
    </row>
    <row r="755" ht="15" customHeight="1">
      <c r="A755" t="inlineStr">
        <is>
          <t>A 44634-2024</t>
        </is>
      </c>
      <c r="B755" s="1" t="n">
        <v>45574</v>
      </c>
      <c r="C755" s="1" t="n">
        <v>45881</v>
      </c>
      <c r="D755" t="inlineStr">
        <is>
          <t>VÄSTERBOTTENS LÄN</t>
        </is>
      </c>
      <c r="E755" t="inlineStr">
        <is>
          <t>VILHELMINA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27945-2025</t>
        </is>
      </c>
      <c r="B756" s="1" t="n">
        <v>45817</v>
      </c>
      <c r="C756" s="1" t="n">
        <v>45881</v>
      </c>
      <c r="D756" t="inlineStr">
        <is>
          <t>VÄSTERBOTTENS LÄN</t>
        </is>
      </c>
      <c r="E756" t="inlineStr">
        <is>
          <t>VILHELMINA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66952-2021</t>
        </is>
      </c>
      <c r="B757" s="1" t="n">
        <v>44522</v>
      </c>
      <c r="C757" s="1" t="n">
        <v>45881</v>
      </c>
      <c r="D757" t="inlineStr">
        <is>
          <t>VÄSTERBOTTENS LÄN</t>
        </is>
      </c>
      <c r="E757" t="inlineStr">
        <is>
          <t>VILHELMINA</t>
        </is>
      </c>
      <c r="F757" t="inlineStr">
        <is>
          <t>Allmännings- och besparingsskogar</t>
        </is>
      </c>
      <c r="G757" t="n">
        <v>70</v>
      </c>
      <c r="H757" t="n">
        <v>0</v>
      </c>
      <c r="I757" t="n">
        <v>0</v>
      </c>
      <c r="J757" t="n">
        <v>0</v>
      </c>
      <c r="K757" t="n">
        <v>0</v>
      </c>
      <c r="L757" t="n">
        <v>0</v>
      </c>
      <c r="M757" t="n">
        <v>0</v>
      </c>
      <c r="N757" t="n">
        <v>0</v>
      </c>
      <c r="O757" t="n">
        <v>0</v>
      </c>
      <c r="P757" t="n">
        <v>0</v>
      </c>
      <c r="Q757" t="n">
        <v>0</v>
      </c>
      <c r="R757" s="2" t="inlineStr"/>
    </row>
    <row r="758" ht="15" customHeight="1">
      <c r="A758" t="inlineStr">
        <is>
          <t>A 3096-2021</t>
        </is>
      </c>
      <c r="B758" s="1" t="n">
        <v>44216.93865740741</v>
      </c>
      <c r="C758" s="1" t="n">
        <v>45881</v>
      </c>
      <c r="D758" t="inlineStr">
        <is>
          <t>VÄSTERBOTTENS LÄN</t>
        </is>
      </c>
      <c r="E758" t="inlineStr">
        <is>
          <t>VILHELMINA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26000-2023</t>
        </is>
      </c>
      <c r="B759" s="1" t="n">
        <v>45090</v>
      </c>
      <c r="C759" s="1" t="n">
        <v>45881</v>
      </c>
      <c r="D759" t="inlineStr">
        <is>
          <t>VÄSTERBOTTENS LÄN</t>
        </is>
      </c>
      <c r="E759" t="inlineStr">
        <is>
          <t>VILHELMINA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21965-2025</t>
        </is>
      </c>
      <c r="B760" s="1" t="n">
        <v>45784</v>
      </c>
      <c r="C760" s="1" t="n">
        <v>45881</v>
      </c>
      <c r="D760" t="inlineStr">
        <is>
          <t>VÄSTERBOTTENS LÄN</t>
        </is>
      </c>
      <c r="E760" t="inlineStr">
        <is>
          <t>VILHELMINA</t>
        </is>
      </c>
      <c r="G760" t="n">
        <v>7.4</v>
      </c>
      <c r="H760" t="n">
        <v>0</v>
      </c>
      <c r="I760" t="n">
        <v>0</v>
      </c>
      <c r="J760" t="n">
        <v>0</v>
      </c>
      <c r="K760" t="n">
        <v>0</v>
      </c>
      <c r="L760" t="n">
        <v>0</v>
      </c>
      <c r="M760" t="n">
        <v>0</v>
      </c>
      <c r="N760" t="n">
        <v>0</v>
      </c>
      <c r="O760" t="n">
        <v>0</v>
      </c>
      <c r="P760" t="n">
        <v>0</v>
      </c>
      <c r="Q760" t="n">
        <v>0</v>
      </c>
      <c r="R760" s="2" t="inlineStr"/>
    </row>
    <row r="761" ht="15" customHeight="1">
      <c r="A761" t="inlineStr">
        <is>
          <t>A 28019-2025</t>
        </is>
      </c>
      <c r="B761" s="1" t="n">
        <v>45817.61545138889</v>
      </c>
      <c r="C761" s="1" t="n">
        <v>45881</v>
      </c>
      <c r="D761" t="inlineStr">
        <is>
          <t>VÄSTERBOTTENS LÄN</t>
        </is>
      </c>
      <c r="E761" t="inlineStr">
        <is>
          <t>VILHELMINA</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21726-2021</t>
        </is>
      </c>
      <c r="B762" s="1" t="n">
        <v>44322</v>
      </c>
      <c r="C762" s="1" t="n">
        <v>45881</v>
      </c>
      <c r="D762" t="inlineStr">
        <is>
          <t>VÄSTERBOTTENS LÄN</t>
        </is>
      </c>
      <c r="E762" t="inlineStr">
        <is>
          <t>VILHELMINA</t>
        </is>
      </c>
      <c r="G762" t="n">
        <v>19.6</v>
      </c>
      <c r="H762" t="n">
        <v>0</v>
      </c>
      <c r="I762" t="n">
        <v>0</v>
      </c>
      <c r="J762" t="n">
        <v>0</v>
      </c>
      <c r="K762" t="n">
        <v>0</v>
      </c>
      <c r="L762" t="n">
        <v>0</v>
      </c>
      <c r="M762" t="n">
        <v>0</v>
      </c>
      <c r="N762" t="n">
        <v>0</v>
      </c>
      <c r="O762" t="n">
        <v>0</v>
      </c>
      <c r="P762" t="n">
        <v>0</v>
      </c>
      <c r="Q762" t="n">
        <v>0</v>
      </c>
      <c r="R762" s="2" t="inlineStr"/>
    </row>
    <row r="763" ht="15" customHeight="1">
      <c r="A763" t="inlineStr">
        <is>
          <t>A 27943-2025</t>
        </is>
      </c>
      <c r="B763" s="1" t="n">
        <v>45817.51078703703</v>
      </c>
      <c r="C763" s="1" t="n">
        <v>45881</v>
      </c>
      <c r="D763" t="inlineStr">
        <is>
          <t>VÄSTERBOTTENS LÄN</t>
        </is>
      </c>
      <c r="E763" t="inlineStr">
        <is>
          <t>VILHELMINA</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27952-2025</t>
        </is>
      </c>
      <c r="B764" s="1" t="n">
        <v>45817.53157407408</v>
      </c>
      <c r="C764" s="1" t="n">
        <v>45881</v>
      </c>
      <c r="D764" t="inlineStr">
        <is>
          <t>VÄSTERBOTTENS LÄN</t>
        </is>
      </c>
      <c r="E764" t="inlineStr">
        <is>
          <t>VILHELMINA</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15639-2024</t>
        </is>
      </c>
      <c r="B765" s="1" t="n">
        <v>45403</v>
      </c>
      <c r="C765" s="1" t="n">
        <v>45881</v>
      </c>
      <c r="D765" t="inlineStr">
        <is>
          <t>VÄSTERBOTTENS LÄN</t>
        </is>
      </c>
      <c r="E765" t="inlineStr">
        <is>
          <t>VILHELMINA</t>
        </is>
      </c>
      <c r="G765" t="n">
        <v>81.90000000000001</v>
      </c>
      <c r="H765" t="n">
        <v>0</v>
      </c>
      <c r="I765" t="n">
        <v>0</v>
      </c>
      <c r="J765" t="n">
        <v>0</v>
      </c>
      <c r="K765" t="n">
        <v>0</v>
      </c>
      <c r="L765" t="n">
        <v>0</v>
      </c>
      <c r="M765" t="n">
        <v>0</v>
      </c>
      <c r="N765" t="n">
        <v>0</v>
      </c>
      <c r="O765" t="n">
        <v>0</v>
      </c>
      <c r="P765" t="n">
        <v>0</v>
      </c>
      <c r="Q765" t="n">
        <v>0</v>
      </c>
      <c r="R765" s="2" t="inlineStr"/>
    </row>
    <row r="766" ht="15" customHeight="1">
      <c r="A766" t="inlineStr">
        <is>
          <t>A 28016-2025</t>
        </is>
      </c>
      <c r="B766" s="1" t="n">
        <v>45817.61506944444</v>
      </c>
      <c r="C766" s="1" t="n">
        <v>45881</v>
      </c>
      <c r="D766" t="inlineStr">
        <is>
          <t>VÄSTERBOTTENS LÄN</t>
        </is>
      </c>
      <c r="E766" t="inlineStr">
        <is>
          <t>VILHELMINA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28050-2025</t>
        </is>
      </c>
      <c r="B767" s="1" t="n">
        <v>45817.65658564815</v>
      </c>
      <c r="C767" s="1" t="n">
        <v>45881</v>
      </c>
      <c r="D767" t="inlineStr">
        <is>
          <t>VÄSTERBOTTENS LÄN</t>
        </is>
      </c>
      <c r="E767" t="inlineStr">
        <is>
          <t>VILHELMINA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72057-2021</t>
        </is>
      </c>
      <c r="B768" s="1" t="n">
        <v>44540</v>
      </c>
      <c r="C768" s="1" t="n">
        <v>45881</v>
      </c>
      <c r="D768" t="inlineStr">
        <is>
          <t>VÄSTERBOTTENS LÄN</t>
        </is>
      </c>
      <c r="E768" t="inlineStr">
        <is>
          <t>VILHELMINA</t>
        </is>
      </c>
      <c r="G768" t="n">
        <v>7</v>
      </c>
      <c r="H768" t="n">
        <v>0</v>
      </c>
      <c r="I768" t="n">
        <v>0</v>
      </c>
      <c r="J768" t="n">
        <v>0</v>
      </c>
      <c r="K768" t="n">
        <v>0</v>
      </c>
      <c r="L768" t="n">
        <v>0</v>
      </c>
      <c r="M768" t="n">
        <v>0</v>
      </c>
      <c r="N768" t="n">
        <v>0</v>
      </c>
      <c r="O768" t="n">
        <v>0</v>
      </c>
      <c r="P768" t="n">
        <v>0</v>
      </c>
      <c r="Q768" t="n">
        <v>0</v>
      </c>
      <c r="R768" s="2" t="inlineStr"/>
    </row>
    <row r="769" ht="15" customHeight="1">
      <c r="A769" t="inlineStr">
        <is>
          <t>A 28144-2025</t>
        </is>
      </c>
      <c r="B769" s="1" t="n">
        <v>45818</v>
      </c>
      <c r="C769" s="1" t="n">
        <v>45881</v>
      </c>
      <c r="D769" t="inlineStr">
        <is>
          <t>VÄSTERBOTTENS LÄN</t>
        </is>
      </c>
      <c r="E769" t="inlineStr">
        <is>
          <t>VILHELMINA</t>
        </is>
      </c>
      <c r="F769" t="inlineStr">
        <is>
          <t>SCA</t>
        </is>
      </c>
      <c r="G769" t="n">
        <v>10.8</v>
      </c>
      <c r="H769" t="n">
        <v>0</v>
      </c>
      <c r="I769" t="n">
        <v>0</v>
      </c>
      <c r="J769" t="n">
        <v>0</v>
      </c>
      <c r="K769" t="n">
        <v>0</v>
      </c>
      <c r="L769" t="n">
        <v>0</v>
      </c>
      <c r="M769" t="n">
        <v>0</v>
      </c>
      <c r="N769" t="n">
        <v>0</v>
      </c>
      <c r="O769" t="n">
        <v>0</v>
      </c>
      <c r="P769" t="n">
        <v>0</v>
      </c>
      <c r="Q769" t="n">
        <v>0</v>
      </c>
      <c r="R769" s="2" t="inlineStr"/>
    </row>
    <row r="770" ht="15" customHeight="1">
      <c r="A770" t="inlineStr">
        <is>
          <t>A 18564-2022</t>
        </is>
      </c>
      <c r="B770" s="1" t="n">
        <v>44686</v>
      </c>
      <c r="C770" s="1" t="n">
        <v>45881</v>
      </c>
      <c r="D770" t="inlineStr">
        <is>
          <t>VÄSTERBOTTENS LÄN</t>
        </is>
      </c>
      <c r="E770" t="inlineStr">
        <is>
          <t>VILHELMINA</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28071-2025</t>
        </is>
      </c>
      <c r="B771" s="1" t="n">
        <v>45817.67755787037</v>
      </c>
      <c r="C771" s="1" t="n">
        <v>45881</v>
      </c>
      <c r="D771" t="inlineStr">
        <is>
          <t>VÄSTERBOTTENS LÄN</t>
        </is>
      </c>
      <c r="E771" t="inlineStr">
        <is>
          <t>VILHELMINA</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28897-2025</t>
        </is>
      </c>
      <c r="B772" s="1" t="n">
        <v>45820.6360300926</v>
      </c>
      <c r="C772" s="1" t="n">
        <v>45881</v>
      </c>
      <c r="D772" t="inlineStr">
        <is>
          <t>VÄSTERBOTTENS LÄN</t>
        </is>
      </c>
      <c r="E772" t="inlineStr">
        <is>
          <t>VILHELMINA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61777-2023</t>
        </is>
      </c>
      <c r="B773" s="1" t="n">
        <v>45265</v>
      </c>
      <c r="C773" s="1" t="n">
        <v>45881</v>
      </c>
      <c r="D773" t="inlineStr">
        <is>
          <t>VÄSTERBOTTENS LÄN</t>
        </is>
      </c>
      <c r="E773" t="inlineStr">
        <is>
          <t>VILHELMINA</t>
        </is>
      </c>
      <c r="F773" t="inlineStr">
        <is>
          <t>SCA</t>
        </is>
      </c>
      <c r="G773" t="n">
        <v>20.6</v>
      </c>
      <c r="H773" t="n">
        <v>0</v>
      </c>
      <c r="I773" t="n">
        <v>0</v>
      </c>
      <c r="J773" t="n">
        <v>0</v>
      </c>
      <c r="K773" t="n">
        <v>0</v>
      </c>
      <c r="L773" t="n">
        <v>0</v>
      </c>
      <c r="M773" t="n">
        <v>0</v>
      </c>
      <c r="N773" t="n">
        <v>0</v>
      </c>
      <c r="O773" t="n">
        <v>0</v>
      </c>
      <c r="P773" t="n">
        <v>0</v>
      </c>
      <c r="Q773" t="n">
        <v>0</v>
      </c>
      <c r="R773" s="2" t="inlineStr"/>
    </row>
    <row r="774" ht="15" customHeight="1">
      <c r="A774" t="inlineStr">
        <is>
          <t>A 60311-2024</t>
        </is>
      </c>
      <c r="B774" s="1" t="n">
        <v>45643.34430555555</v>
      </c>
      <c r="C774" s="1" t="n">
        <v>45881</v>
      </c>
      <c r="D774" t="inlineStr">
        <is>
          <t>VÄSTERBOTTENS LÄN</t>
        </is>
      </c>
      <c r="E774" t="inlineStr">
        <is>
          <t>VILHELMINA</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35888-2025</t>
        </is>
      </c>
      <c r="B775" s="1" t="n">
        <v>45862.44034722223</v>
      </c>
      <c r="C775" s="1" t="n">
        <v>45881</v>
      </c>
      <c r="D775" t="inlineStr">
        <is>
          <t>VÄSTERBOTTENS LÄN</t>
        </is>
      </c>
      <c r="E775" t="inlineStr">
        <is>
          <t>VILHELMINA</t>
        </is>
      </c>
      <c r="G775" t="n">
        <v>2.4</v>
      </c>
      <c r="H775" t="n">
        <v>0</v>
      </c>
      <c r="I775" t="n">
        <v>0</v>
      </c>
      <c r="J775" t="n">
        <v>0</v>
      </c>
      <c r="K775" t="n">
        <v>0</v>
      </c>
      <c r="L775" t="n">
        <v>0</v>
      </c>
      <c r="M775" t="n">
        <v>0</v>
      </c>
      <c r="N775" t="n">
        <v>0</v>
      </c>
      <c r="O775" t="n">
        <v>0</v>
      </c>
      <c r="P775" t="n">
        <v>0</v>
      </c>
      <c r="Q775" t="n">
        <v>0</v>
      </c>
      <c r="R775" s="2" t="inlineStr"/>
    </row>
    <row r="776" ht="15" customHeight="1">
      <c r="A776" t="inlineStr">
        <is>
          <t>A 29922-2024</t>
        </is>
      </c>
      <c r="B776" s="1" t="n">
        <v>45487.9563425926</v>
      </c>
      <c r="C776" s="1" t="n">
        <v>45881</v>
      </c>
      <c r="D776" t="inlineStr">
        <is>
          <t>VÄSTERBOTTENS LÄN</t>
        </is>
      </c>
      <c r="E776" t="inlineStr">
        <is>
          <t>VILHELMINA</t>
        </is>
      </c>
      <c r="F776" t="inlineStr">
        <is>
          <t>SCA</t>
        </is>
      </c>
      <c r="G776" t="n">
        <v>5.2</v>
      </c>
      <c r="H776" t="n">
        <v>0</v>
      </c>
      <c r="I776" t="n">
        <v>0</v>
      </c>
      <c r="J776" t="n">
        <v>0</v>
      </c>
      <c r="K776" t="n">
        <v>0</v>
      </c>
      <c r="L776" t="n">
        <v>0</v>
      </c>
      <c r="M776" t="n">
        <v>0</v>
      </c>
      <c r="N776" t="n">
        <v>0</v>
      </c>
      <c r="O776" t="n">
        <v>0</v>
      </c>
      <c r="P776" t="n">
        <v>0</v>
      </c>
      <c r="Q776" t="n">
        <v>0</v>
      </c>
      <c r="R776" s="2" t="inlineStr"/>
    </row>
    <row r="777" ht="15" customHeight="1">
      <c r="A777" t="inlineStr">
        <is>
          <t>A 12365-2025</t>
        </is>
      </c>
      <c r="B777" s="1" t="n">
        <v>45730.37549768519</v>
      </c>
      <c r="C777" s="1" t="n">
        <v>45881</v>
      </c>
      <c r="D777" t="inlineStr">
        <is>
          <t>VÄSTERBOTTENS LÄN</t>
        </is>
      </c>
      <c r="E777" t="inlineStr">
        <is>
          <t>VILHELMINA</t>
        </is>
      </c>
      <c r="F777" t="inlineStr">
        <is>
          <t>Övriga statliga verk och myndigheter</t>
        </is>
      </c>
      <c r="G777" t="n">
        <v>11.5</v>
      </c>
      <c r="H777" t="n">
        <v>0</v>
      </c>
      <c r="I777" t="n">
        <v>0</v>
      </c>
      <c r="J777" t="n">
        <v>0</v>
      </c>
      <c r="K777" t="n">
        <v>0</v>
      </c>
      <c r="L777" t="n">
        <v>0</v>
      </c>
      <c r="M777" t="n">
        <v>0</v>
      </c>
      <c r="N777" t="n">
        <v>0</v>
      </c>
      <c r="O777" t="n">
        <v>0</v>
      </c>
      <c r="P777" t="n">
        <v>0</v>
      </c>
      <c r="Q777" t="n">
        <v>0</v>
      </c>
      <c r="R777" s="2" t="inlineStr"/>
    </row>
    <row r="778" ht="15" customHeight="1">
      <c r="A778" t="inlineStr">
        <is>
          <t>A 12370-2025</t>
        </is>
      </c>
      <c r="B778" s="1" t="n">
        <v>45730.37681712963</v>
      </c>
      <c r="C778" s="1" t="n">
        <v>45881</v>
      </c>
      <c r="D778" t="inlineStr">
        <is>
          <t>VÄSTERBOTTENS LÄN</t>
        </is>
      </c>
      <c r="E778" t="inlineStr">
        <is>
          <t>VILHELMINA</t>
        </is>
      </c>
      <c r="F778" t="inlineStr">
        <is>
          <t>Övriga statliga verk och myndigheter</t>
        </is>
      </c>
      <c r="G778" t="n">
        <v>8.9</v>
      </c>
      <c r="H778" t="n">
        <v>0</v>
      </c>
      <c r="I778" t="n">
        <v>0</v>
      </c>
      <c r="J778" t="n">
        <v>0</v>
      </c>
      <c r="K778" t="n">
        <v>0</v>
      </c>
      <c r="L778" t="n">
        <v>0</v>
      </c>
      <c r="M778" t="n">
        <v>0</v>
      </c>
      <c r="N778" t="n">
        <v>0</v>
      </c>
      <c r="O778" t="n">
        <v>0</v>
      </c>
      <c r="P778" t="n">
        <v>0</v>
      </c>
      <c r="Q778" t="n">
        <v>0</v>
      </c>
      <c r="R778" s="2" t="inlineStr"/>
    </row>
    <row r="779" ht="15" customHeight="1">
      <c r="A779" t="inlineStr">
        <is>
          <t>A 29203-2025</t>
        </is>
      </c>
      <c r="B779" s="1" t="n">
        <v>45823</v>
      </c>
      <c r="C779" s="1" t="n">
        <v>45881</v>
      </c>
      <c r="D779" t="inlineStr">
        <is>
          <t>VÄSTERBOTTENS LÄN</t>
        </is>
      </c>
      <c r="E779" t="inlineStr">
        <is>
          <t>VILHELMINA</t>
        </is>
      </c>
      <c r="G779" t="n">
        <v>2.3</v>
      </c>
      <c r="H779" t="n">
        <v>0</v>
      </c>
      <c r="I779" t="n">
        <v>0</v>
      </c>
      <c r="J779" t="n">
        <v>0</v>
      </c>
      <c r="K779" t="n">
        <v>0</v>
      </c>
      <c r="L779" t="n">
        <v>0</v>
      </c>
      <c r="M779" t="n">
        <v>0</v>
      </c>
      <c r="N779" t="n">
        <v>0</v>
      </c>
      <c r="O779" t="n">
        <v>0</v>
      </c>
      <c r="P779" t="n">
        <v>0</v>
      </c>
      <c r="Q779" t="n">
        <v>0</v>
      </c>
      <c r="R779" s="2" t="inlineStr"/>
    </row>
    <row r="780" ht="15" customHeight="1">
      <c r="A780" t="inlineStr">
        <is>
          <t>A 29120-2025</t>
        </is>
      </c>
      <c r="B780" s="1" t="n">
        <v>45821</v>
      </c>
      <c r="C780" s="1" t="n">
        <v>45881</v>
      </c>
      <c r="D780" t="inlineStr">
        <is>
          <t>VÄSTERBOTTENS LÄN</t>
        </is>
      </c>
      <c r="E780" t="inlineStr">
        <is>
          <t>VILHELMINA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2022-2024</t>
        </is>
      </c>
      <c r="B781" s="1" t="n">
        <v>45308</v>
      </c>
      <c r="C781" s="1" t="n">
        <v>45881</v>
      </c>
      <c r="D781" t="inlineStr">
        <is>
          <t>VÄSTERBOTTENS LÄN</t>
        </is>
      </c>
      <c r="E781" t="inlineStr">
        <is>
          <t>VILHELMINA</t>
        </is>
      </c>
      <c r="G781" t="n">
        <v>8.5</v>
      </c>
      <c r="H781" t="n">
        <v>0</v>
      </c>
      <c r="I781" t="n">
        <v>0</v>
      </c>
      <c r="J781" t="n">
        <v>0</v>
      </c>
      <c r="K781" t="n">
        <v>0</v>
      </c>
      <c r="L781" t="n">
        <v>0</v>
      </c>
      <c r="M781" t="n">
        <v>0</v>
      </c>
      <c r="N781" t="n">
        <v>0</v>
      </c>
      <c r="O781" t="n">
        <v>0</v>
      </c>
      <c r="P781" t="n">
        <v>0</v>
      </c>
      <c r="Q781" t="n">
        <v>0</v>
      </c>
      <c r="R781" s="2" t="inlineStr"/>
    </row>
    <row r="782" ht="15" customHeight="1">
      <c r="A782" t="inlineStr">
        <is>
          <t>A 17732-2024</t>
        </is>
      </c>
      <c r="B782" s="1" t="n">
        <v>45415</v>
      </c>
      <c r="C782" s="1" t="n">
        <v>45881</v>
      </c>
      <c r="D782" t="inlineStr">
        <is>
          <t>VÄSTERBOTTENS LÄN</t>
        </is>
      </c>
      <c r="E782" t="inlineStr">
        <is>
          <t>VILHELMINA</t>
        </is>
      </c>
      <c r="G782" t="n">
        <v>0.6</v>
      </c>
      <c r="H782" t="n">
        <v>0</v>
      </c>
      <c r="I782" t="n">
        <v>0</v>
      </c>
      <c r="J782" t="n">
        <v>0</v>
      </c>
      <c r="K782" t="n">
        <v>0</v>
      </c>
      <c r="L782" t="n">
        <v>0</v>
      </c>
      <c r="M782" t="n">
        <v>0</v>
      </c>
      <c r="N782" t="n">
        <v>0</v>
      </c>
      <c r="O782" t="n">
        <v>0</v>
      </c>
      <c r="P782" t="n">
        <v>0</v>
      </c>
      <c r="Q782" t="n">
        <v>0</v>
      </c>
      <c r="R782" s="2" t="inlineStr"/>
    </row>
    <row r="783" ht="15" customHeight="1">
      <c r="A783" t="inlineStr">
        <is>
          <t>A 29234-2025</t>
        </is>
      </c>
      <c r="B783" s="1" t="n">
        <v>45824.34478009259</v>
      </c>
      <c r="C783" s="1" t="n">
        <v>45881</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34130-2024</t>
        </is>
      </c>
      <c r="B784" s="1" t="n">
        <v>45524.34668981482</v>
      </c>
      <c r="C784" s="1" t="n">
        <v>45881</v>
      </c>
      <c r="D784" t="inlineStr">
        <is>
          <t>VÄSTERBOTTENS LÄN</t>
        </is>
      </c>
      <c r="E784" t="inlineStr">
        <is>
          <t>VILHELMINA</t>
        </is>
      </c>
      <c r="F784" t="inlineStr">
        <is>
          <t>Sveaskog</t>
        </is>
      </c>
      <c r="G784" t="n">
        <v>3.7</v>
      </c>
      <c r="H784" t="n">
        <v>0</v>
      </c>
      <c r="I784" t="n">
        <v>0</v>
      </c>
      <c r="J784" t="n">
        <v>0</v>
      </c>
      <c r="K784" t="n">
        <v>0</v>
      </c>
      <c r="L784" t="n">
        <v>0</v>
      </c>
      <c r="M784" t="n">
        <v>0</v>
      </c>
      <c r="N784" t="n">
        <v>0</v>
      </c>
      <c r="O784" t="n">
        <v>0</v>
      </c>
      <c r="P784" t="n">
        <v>0</v>
      </c>
      <c r="Q784" t="n">
        <v>0</v>
      </c>
      <c r="R784" s="2" t="inlineStr"/>
    </row>
    <row r="785" ht="15" customHeight="1">
      <c r="A785" t="inlineStr">
        <is>
          <t>A 29468-2025</t>
        </is>
      </c>
      <c r="B785" s="1" t="n">
        <v>45824.69888888889</v>
      </c>
      <c r="C785" s="1" t="n">
        <v>45881</v>
      </c>
      <c r="D785" t="inlineStr">
        <is>
          <t>VÄSTERBOTTENS LÄN</t>
        </is>
      </c>
      <c r="E785" t="inlineStr">
        <is>
          <t>VILHELMINA</t>
        </is>
      </c>
      <c r="F785" t="inlineStr">
        <is>
          <t>SCA</t>
        </is>
      </c>
      <c r="G785" t="n">
        <v>4.5</v>
      </c>
      <c r="H785" t="n">
        <v>0</v>
      </c>
      <c r="I785" t="n">
        <v>0</v>
      </c>
      <c r="J785" t="n">
        <v>0</v>
      </c>
      <c r="K785" t="n">
        <v>0</v>
      </c>
      <c r="L785" t="n">
        <v>0</v>
      </c>
      <c r="M785" t="n">
        <v>0</v>
      </c>
      <c r="N785" t="n">
        <v>0</v>
      </c>
      <c r="O785" t="n">
        <v>0</v>
      </c>
      <c r="P785" t="n">
        <v>0</v>
      </c>
      <c r="Q785" t="n">
        <v>0</v>
      </c>
      <c r="R785" s="2" t="inlineStr"/>
    </row>
    <row r="786" ht="15" customHeight="1">
      <c r="A786" t="inlineStr">
        <is>
          <t>A 29466-2025</t>
        </is>
      </c>
      <c r="B786" s="1" t="n">
        <v>45824.69865740741</v>
      </c>
      <c r="C786" s="1" t="n">
        <v>45881</v>
      </c>
      <c r="D786" t="inlineStr">
        <is>
          <t>VÄSTERBOTTENS LÄN</t>
        </is>
      </c>
      <c r="E786" t="inlineStr">
        <is>
          <t>VILHELMINA</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29940-2025</t>
        </is>
      </c>
      <c r="B787" s="1" t="n">
        <v>45826.45104166667</v>
      </c>
      <c r="C787" s="1" t="n">
        <v>45881</v>
      </c>
      <c r="D787" t="inlineStr">
        <is>
          <t>VÄSTERBOTTENS LÄN</t>
        </is>
      </c>
      <c r="E787" t="inlineStr">
        <is>
          <t>VILHELMINA</t>
        </is>
      </c>
      <c r="F787" t="inlineStr">
        <is>
          <t>Sveaskog</t>
        </is>
      </c>
      <c r="G787" t="n">
        <v>11.6</v>
      </c>
      <c r="H787" t="n">
        <v>0</v>
      </c>
      <c r="I787" t="n">
        <v>0</v>
      </c>
      <c r="J787" t="n">
        <v>0</v>
      </c>
      <c r="K787" t="n">
        <v>0</v>
      </c>
      <c r="L787" t="n">
        <v>0</v>
      </c>
      <c r="M787" t="n">
        <v>0</v>
      </c>
      <c r="N787" t="n">
        <v>0</v>
      </c>
      <c r="O787" t="n">
        <v>0</v>
      </c>
      <c r="P787" t="n">
        <v>0</v>
      </c>
      <c r="Q787" t="n">
        <v>0</v>
      </c>
      <c r="R787" s="2" t="inlineStr"/>
    </row>
    <row r="788" ht="15" customHeight="1">
      <c r="A788" t="inlineStr">
        <is>
          <t>A 29942-2025</t>
        </is>
      </c>
      <c r="B788" s="1" t="n">
        <v>45826.45702546297</v>
      </c>
      <c r="C788" s="1" t="n">
        <v>45881</v>
      </c>
      <c r="D788" t="inlineStr">
        <is>
          <t>VÄSTERBOTTENS LÄN</t>
        </is>
      </c>
      <c r="E788" t="inlineStr">
        <is>
          <t>VILHELMINA</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23176-2024</t>
        </is>
      </c>
      <c r="B789" s="1" t="n">
        <v>45450.94366898148</v>
      </c>
      <c r="C789" s="1" t="n">
        <v>45881</v>
      </c>
      <c r="D789" t="inlineStr">
        <is>
          <t>VÄSTERBOTTENS LÄN</t>
        </is>
      </c>
      <c r="E789" t="inlineStr">
        <is>
          <t>VILHELMINA</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49888-2024</t>
        </is>
      </c>
      <c r="B790" s="1" t="n">
        <v>45597.5109837963</v>
      </c>
      <c r="C790" s="1" t="n">
        <v>45881</v>
      </c>
      <c r="D790" t="inlineStr">
        <is>
          <t>VÄSTERBOTTENS LÄN</t>
        </is>
      </c>
      <c r="E790" t="inlineStr">
        <is>
          <t>VILHELMINA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44516-2024</t>
        </is>
      </c>
      <c r="B791" s="1" t="n">
        <v>45574</v>
      </c>
      <c r="C791" s="1" t="n">
        <v>45881</v>
      </c>
      <c r="D791" t="inlineStr">
        <is>
          <t>VÄSTERBOTTENS LÄN</t>
        </is>
      </c>
      <c r="E791" t="inlineStr">
        <is>
          <t>VILHELMINA</t>
        </is>
      </c>
      <c r="G791" t="n">
        <v>2.9</v>
      </c>
      <c r="H791" t="n">
        <v>0</v>
      </c>
      <c r="I791" t="n">
        <v>0</v>
      </c>
      <c r="J791" t="n">
        <v>0</v>
      </c>
      <c r="K791" t="n">
        <v>0</v>
      </c>
      <c r="L791" t="n">
        <v>0</v>
      </c>
      <c r="M791" t="n">
        <v>0</v>
      </c>
      <c r="N791" t="n">
        <v>0</v>
      </c>
      <c r="O791" t="n">
        <v>0</v>
      </c>
      <c r="P791" t="n">
        <v>0</v>
      </c>
      <c r="Q791" t="n">
        <v>0</v>
      </c>
      <c r="R791" s="2" t="inlineStr"/>
    </row>
    <row r="792" ht="15" customHeight="1">
      <c r="A792" t="inlineStr">
        <is>
          <t>A 36320-2024</t>
        </is>
      </c>
      <c r="B792" s="1" t="n">
        <v>45534.63586805556</v>
      </c>
      <c r="C792" s="1" t="n">
        <v>45881</v>
      </c>
      <c r="D792" t="inlineStr">
        <is>
          <t>VÄSTERBOTTENS LÄN</t>
        </is>
      </c>
      <c r="E792" t="inlineStr">
        <is>
          <t>VILHELMINA</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13768-2024</t>
        </is>
      </c>
      <c r="B793" s="1" t="n">
        <v>45390.95230324074</v>
      </c>
      <c r="C793" s="1" t="n">
        <v>45881</v>
      </c>
      <c r="D793" t="inlineStr">
        <is>
          <t>VÄSTERBOTTENS LÄN</t>
        </is>
      </c>
      <c r="E793" t="inlineStr">
        <is>
          <t>VILHELMINA</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69502-2020</t>
        </is>
      </c>
      <c r="B794" s="1" t="n">
        <v>44193</v>
      </c>
      <c r="C794" s="1" t="n">
        <v>45881</v>
      </c>
      <c r="D794" t="inlineStr">
        <is>
          <t>VÄSTERBOTTENS LÄN</t>
        </is>
      </c>
      <c r="E794" t="inlineStr">
        <is>
          <t>VILHELMINA</t>
        </is>
      </c>
      <c r="G794" t="n">
        <v>19</v>
      </c>
      <c r="H794" t="n">
        <v>0</v>
      </c>
      <c r="I794" t="n">
        <v>0</v>
      </c>
      <c r="J794" t="n">
        <v>0</v>
      </c>
      <c r="K794" t="n">
        <v>0</v>
      </c>
      <c r="L794" t="n">
        <v>0</v>
      </c>
      <c r="M794" t="n">
        <v>0</v>
      </c>
      <c r="N794" t="n">
        <v>0</v>
      </c>
      <c r="O794" t="n">
        <v>0</v>
      </c>
      <c r="P794" t="n">
        <v>0</v>
      </c>
      <c r="Q794" t="n">
        <v>0</v>
      </c>
      <c r="R794" s="2" t="inlineStr"/>
    </row>
    <row r="795" ht="15" customHeight="1">
      <c r="A795" t="inlineStr">
        <is>
          <t>A 30553-2025</t>
        </is>
      </c>
      <c r="B795" s="1" t="n">
        <v>45831.38579861111</v>
      </c>
      <c r="C795" s="1" t="n">
        <v>45881</v>
      </c>
      <c r="D795" t="inlineStr">
        <is>
          <t>VÄSTERBOTTENS LÄN</t>
        </is>
      </c>
      <c r="E795" t="inlineStr">
        <is>
          <t>VILHELMINA</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36944-2025</t>
        </is>
      </c>
      <c r="B796" s="1" t="n">
        <v>45874.59450231482</v>
      </c>
      <c r="C796" s="1" t="n">
        <v>45881</v>
      </c>
      <c r="D796" t="inlineStr">
        <is>
          <t>VÄSTERBOTTENS LÄN</t>
        </is>
      </c>
      <c r="E796" t="inlineStr">
        <is>
          <t>VILHELMINA</t>
        </is>
      </c>
      <c r="F796" t="inlineStr">
        <is>
          <t>SCA</t>
        </is>
      </c>
      <c r="G796" t="n">
        <v>17.4</v>
      </c>
      <c r="H796" t="n">
        <v>0</v>
      </c>
      <c r="I796" t="n">
        <v>0</v>
      </c>
      <c r="J796" t="n">
        <v>0</v>
      </c>
      <c r="K796" t="n">
        <v>0</v>
      </c>
      <c r="L796" t="n">
        <v>0</v>
      </c>
      <c r="M796" t="n">
        <v>0</v>
      </c>
      <c r="N796" t="n">
        <v>0</v>
      </c>
      <c r="O796" t="n">
        <v>0</v>
      </c>
      <c r="P796" t="n">
        <v>0</v>
      </c>
      <c r="Q796" t="n">
        <v>0</v>
      </c>
      <c r="R796" s="2" t="inlineStr"/>
    </row>
    <row r="797" ht="15" customHeight="1">
      <c r="A797" t="inlineStr">
        <is>
          <t>A 53987-2021</t>
        </is>
      </c>
      <c r="B797" s="1" t="n">
        <v>44470.31884259259</v>
      </c>
      <c r="C797" s="1" t="n">
        <v>45881</v>
      </c>
      <c r="D797" t="inlineStr">
        <is>
          <t>VÄSTERBOTTENS LÄN</t>
        </is>
      </c>
      <c r="E797" t="inlineStr">
        <is>
          <t>VILHELMINA</t>
        </is>
      </c>
      <c r="F797" t="inlineStr">
        <is>
          <t>Kommuner</t>
        </is>
      </c>
      <c r="G797" t="n">
        <v>10</v>
      </c>
      <c r="H797" t="n">
        <v>0</v>
      </c>
      <c r="I797" t="n">
        <v>0</v>
      </c>
      <c r="J797" t="n">
        <v>0</v>
      </c>
      <c r="K797" t="n">
        <v>0</v>
      </c>
      <c r="L797" t="n">
        <v>0</v>
      </c>
      <c r="M797" t="n">
        <v>0</v>
      </c>
      <c r="N797" t="n">
        <v>0</v>
      </c>
      <c r="O797" t="n">
        <v>0</v>
      </c>
      <c r="P797" t="n">
        <v>0</v>
      </c>
      <c r="Q797" t="n">
        <v>0</v>
      </c>
      <c r="R797" s="2" t="inlineStr"/>
    </row>
    <row r="798" ht="15" customHeight="1">
      <c r="A798" t="inlineStr">
        <is>
          <t>A 36569-2025</t>
        </is>
      </c>
      <c r="B798" s="1" t="n">
        <v>45870</v>
      </c>
      <c r="C798" s="1" t="n">
        <v>45881</v>
      </c>
      <c r="D798" t="inlineStr">
        <is>
          <t>VÄSTERBOTTENS LÄN</t>
        </is>
      </c>
      <c r="E798" t="inlineStr">
        <is>
          <t>VILHELMINA</t>
        </is>
      </c>
      <c r="F798" t="inlineStr">
        <is>
          <t>SCA</t>
        </is>
      </c>
      <c r="G798" t="n">
        <v>5.1</v>
      </c>
      <c r="H798" t="n">
        <v>0</v>
      </c>
      <c r="I798" t="n">
        <v>0</v>
      </c>
      <c r="J798" t="n">
        <v>0</v>
      </c>
      <c r="K798" t="n">
        <v>0</v>
      </c>
      <c r="L798" t="n">
        <v>0</v>
      </c>
      <c r="M798" t="n">
        <v>0</v>
      </c>
      <c r="N798" t="n">
        <v>0</v>
      </c>
      <c r="O798" t="n">
        <v>0</v>
      </c>
      <c r="P798" t="n">
        <v>0</v>
      </c>
      <c r="Q798" t="n">
        <v>0</v>
      </c>
      <c r="R798" s="2" t="inlineStr"/>
    </row>
    <row r="799" ht="15" customHeight="1">
      <c r="A799" t="inlineStr">
        <is>
          <t>A 11825-2023</t>
        </is>
      </c>
      <c r="B799" s="1" t="n">
        <v>44994</v>
      </c>
      <c r="C799" s="1" t="n">
        <v>45881</v>
      </c>
      <c r="D799" t="inlineStr">
        <is>
          <t>VÄSTERBOTTENS LÄN</t>
        </is>
      </c>
      <c r="E799" t="inlineStr">
        <is>
          <t>VILHELMINA</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35285-2025</t>
        </is>
      </c>
      <c r="B800" s="1" t="n">
        <v>45854</v>
      </c>
      <c r="C800" s="1" t="n">
        <v>45881</v>
      </c>
      <c r="D800" t="inlineStr">
        <is>
          <t>VÄSTERBOTTENS LÄN</t>
        </is>
      </c>
      <c r="E800" t="inlineStr">
        <is>
          <t>VILHELMINA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36973-2025</t>
        </is>
      </c>
      <c r="B801" s="1" t="n">
        <v>45874.63747685185</v>
      </c>
      <c r="C801" s="1" t="n">
        <v>45881</v>
      </c>
      <c r="D801" t="inlineStr">
        <is>
          <t>VÄSTERBOTTENS LÄN</t>
        </is>
      </c>
      <c r="E801" t="inlineStr">
        <is>
          <t>VILHELMINA</t>
        </is>
      </c>
      <c r="F801" t="inlineStr">
        <is>
          <t>SCA</t>
        </is>
      </c>
      <c r="G801" t="n">
        <v>6.1</v>
      </c>
      <c r="H801" t="n">
        <v>0</v>
      </c>
      <c r="I801" t="n">
        <v>0</v>
      </c>
      <c r="J801" t="n">
        <v>0</v>
      </c>
      <c r="K801" t="n">
        <v>0</v>
      </c>
      <c r="L801" t="n">
        <v>0</v>
      </c>
      <c r="M801" t="n">
        <v>0</v>
      </c>
      <c r="N801" t="n">
        <v>0</v>
      </c>
      <c r="O801" t="n">
        <v>0</v>
      </c>
      <c r="P801" t="n">
        <v>0</v>
      </c>
      <c r="Q801" t="n">
        <v>0</v>
      </c>
      <c r="R801" s="2" t="inlineStr"/>
    </row>
    <row r="802" ht="15" customHeight="1">
      <c r="A802" t="inlineStr">
        <is>
          <t>A 32658-2021</t>
        </is>
      </c>
      <c r="B802" s="1" t="n">
        <v>44371</v>
      </c>
      <c r="C802" s="1" t="n">
        <v>45881</v>
      </c>
      <c r="D802" t="inlineStr">
        <is>
          <t>VÄSTERBOTTENS LÄN</t>
        </is>
      </c>
      <c r="E802" t="inlineStr">
        <is>
          <t>VILHELMINA</t>
        </is>
      </c>
      <c r="G802" t="n">
        <v>2.2</v>
      </c>
      <c r="H802" t="n">
        <v>0</v>
      </c>
      <c r="I802" t="n">
        <v>0</v>
      </c>
      <c r="J802" t="n">
        <v>0</v>
      </c>
      <c r="K802" t="n">
        <v>0</v>
      </c>
      <c r="L802" t="n">
        <v>0</v>
      </c>
      <c r="M802" t="n">
        <v>0</v>
      </c>
      <c r="N802" t="n">
        <v>0</v>
      </c>
      <c r="O802" t="n">
        <v>0</v>
      </c>
      <c r="P802" t="n">
        <v>0</v>
      </c>
      <c r="Q802" t="n">
        <v>0</v>
      </c>
      <c r="R802" s="2" t="inlineStr"/>
    </row>
    <row r="803" ht="15" customHeight="1">
      <c r="A803" t="inlineStr">
        <is>
          <t>A 46373-2020</t>
        </is>
      </c>
      <c r="B803" s="1" t="n">
        <v>44092</v>
      </c>
      <c r="C803" s="1" t="n">
        <v>45881</v>
      </c>
      <c r="D803" t="inlineStr">
        <is>
          <t>VÄSTERBOTTENS LÄN</t>
        </is>
      </c>
      <c r="E803" t="inlineStr">
        <is>
          <t>VILHELMINA</t>
        </is>
      </c>
      <c r="F803" t="inlineStr">
        <is>
          <t>SCA</t>
        </is>
      </c>
      <c r="G803" t="n">
        <v>6.8</v>
      </c>
      <c r="H803" t="n">
        <v>0</v>
      </c>
      <c r="I803" t="n">
        <v>0</v>
      </c>
      <c r="J803" t="n">
        <v>0</v>
      </c>
      <c r="K803" t="n">
        <v>0</v>
      </c>
      <c r="L803" t="n">
        <v>0</v>
      </c>
      <c r="M803" t="n">
        <v>0</v>
      </c>
      <c r="N803" t="n">
        <v>0</v>
      </c>
      <c r="O803" t="n">
        <v>0</v>
      </c>
      <c r="P803" t="n">
        <v>0</v>
      </c>
      <c r="Q803" t="n">
        <v>0</v>
      </c>
      <c r="R803" s="2" t="inlineStr"/>
    </row>
    <row r="804" ht="15" customHeight="1">
      <c r="A804" t="inlineStr">
        <is>
          <t>A 33319-2025</t>
        </is>
      </c>
      <c r="B804" s="1" t="n">
        <v>45841</v>
      </c>
      <c r="C804" s="1" t="n">
        <v>45881</v>
      </c>
      <c r="D804" t="inlineStr">
        <is>
          <t>VÄSTERBOTTENS LÄN</t>
        </is>
      </c>
      <c r="E804" t="inlineStr">
        <is>
          <t>VILHELMINA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34413-2025</t>
        </is>
      </c>
      <c r="B805" s="1" t="n">
        <v>45845</v>
      </c>
      <c r="C805" s="1" t="n">
        <v>45881</v>
      </c>
      <c r="D805" t="inlineStr">
        <is>
          <t>VÄSTERBOTTENS LÄN</t>
        </is>
      </c>
      <c r="E805" t="inlineStr">
        <is>
          <t>VILHELMINA</t>
        </is>
      </c>
      <c r="G805" t="n">
        <v>6.8</v>
      </c>
      <c r="H805" t="n">
        <v>0</v>
      </c>
      <c r="I805" t="n">
        <v>0</v>
      </c>
      <c r="J805" t="n">
        <v>0</v>
      </c>
      <c r="K805" t="n">
        <v>0</v>
      </c>
      <c r="L805" t="n">
        <v>0</v>
      </c>
      <c r="M805" t="n">
        <v>0</v>
      </c>
      <c r="N805" t="n">
        <v>0</v>
      </c>
      <c r="O805" t="n">
        <v>0</v>
      </c>
      <c r="P805" t="n">
        <v>0</v>
      </c>
      <c r="Q805" t="n">
        <v>0</v>
      </c>
      <c r="R805" s="2" t="inlineStr"/>
    </row>
    <row r="806" ht="15" customHeight="1">
      <c r="A806" t="inlineStr">
        <is>
          <t>A 29347-2021</t>
        </is>
      </c>
      <c r="B806" s="1" t="n">
        <v>44361</v>
      </c>
      <c r="C806" s="1" t="n">
        <v>45881</v>
      </c>
      <c r="D806" t="inlineStr">
        <is>
          <t>VÄSTERBOTTENS LÄN</t>
        </is>
      </c>
      <c r="E806" t="inlineStr">
        <is>
          <t>VILHELMINA</t>
        </is>
      </c>
      <c r="F806" t="inlineStr">
        <is>
          <t>Allmännings- och besparingsskogar</t>
        </is>
      </c>
      <c r="G806" t="n">
        <v>52</v>
      </c>
      <c r="H806" t="n">
        <v>0</v>
      </c>
      <c r="I806" t="n">
        <v>0</v>
      </c>
      <c r="J806" t="n">
        <v>0</v>
      </c>
      <c r="K806" t="n">
        <v>0</v>
      </c>
      <c r="L806" t="n">
        <v>0</v>
      </c>
      <c r="M806" t="n">
        <v>0</v>
      </c>
      <c r="N806" t="n">
        <v>0</v>
      </c>
      <c r="O806" t="n">
        <v>0</v>
      </c>
      <c r="P806" t="n">
        <v>0</v>
      </c>
      <c r="Q806" t="n">
        <v>0</v>
      </c>
      <c r="R806" s="2" t="inlineStr"/>
    </row>
    <row r="807" ht="15" customHeight="1">
      <c r="A807" t="inlineStr">
        <is>
          <t>A 30574-2024</t>
        </is>
      </c>
      <c r="B807" s="1" t="n">
        <v>45492.9580324074</v>
      </c>
      <c r="C807" s="1" t="n">
        <v>45881</v>
      </c>
      <c r="D807" t="inlineStr">
        <is>
          <t>VÄSTERBOTTENS LÄN</t>
        </is>
      </c>
      <c r="E807" t="inlineStr">
        <is>
          <t>VILHELMINA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30746-2025</t>
        </is>
      </c>
      <c r="B808" s="1" t="n">
        <v>45831.58256944444</v>
      </c>
      <c r="C808" s="1" t="n">
        <v>45881</v>
      </c>
      <c r="D808" t="inlineStr">
        <is>
          <t>VÄSTERBOTTENS LÄN</t>
        </is>
      </c>
      <c r="E808" t="inlineStr">
        <is>
          <t>VILHELMINA</t>
        </is>
      </c>
      <c r="G808" t="n">
        <v>5.7</v>
      </c>
      <c r="H808" t="n">
        <v>0</v>
      </c>
      <c r="I808" t="n">
        <v>0</v>
      </c>
      <c r="J808" t="n">
        <v>0</v>
      </c>
      <c r="K808" t="n">
        <v>0</v>
      </c>
      <c r="L808" t="n">
        <v>0</v>
      </c>
      <c r="M808" t="n">
        <v>0</v>
      </c>
      <c r="N808" t="n">
        <v>0</v>
      </c>
      <c r="O808" t="n">
        <v>0</v>
      </c>
      <c r="P808" t="n">
        <v>0</v>
      </c>
      <c r="Q808" t="n">
        <v>0</v>
      </c>
      <c r="R808" s="2" t="inlineStr"/>
    </row>
    <row r="809" ht="15" customHeight="1">
      <c r="A809" t="inlineStr">
        <is>
          <t>A 30681-2024</t>
        </is>
      </c>
      <c r="B809" s="1" t="n">
        <v>45495.9509837963</v>
      </c>
      <c r="C809" s="1" t="n">
        <v>45881</v>
      </c>
      <c r="D809" t="inlineStr">
        <is>
          <t>VÄSTERBOTTENS LÄN</t>
        </is>
      </c>
      <c r="E809" t="inlineStr">
        <is>
          <t>VILHELMINA</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40462-2024</t>
        </is>
      </c>
      <c r="B810" s="1" t="n">
        <v>45555.51084490741</v>
      </c>
      <c r="C810" s="1" t="n">
        <v>45881</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10833-2022</t>
        </is>
      </c>
      <c r="B811" s="1" t="n">
        <v>44627</v>
      </c>
      <c r="C811" s="1" t="n">
        <v>45881</v>
      </c>
      <c r="D811" t="inlineStr">
        <is>
          <t>VÄSTERBOTTENS LÄN</t>
        </is>
      </c>
      <c r="E811" t="inlineStr">
        <is>
          <t>VILHELMINA</t>
        </is>
      </c>
      <c r="G811" t="n">
        <v>5.4</v>
      </c>
      <c r="H811" t="n">
        <v>0</v>
      </c>
      <c r="I811" t="n">
        <v>0</v>
      </c>
      <c r="J811" t="n">
        <v>0</v>
      </c>
      <c r="K811" t="n">
        <v>0</v>
      </c>
      <c r="L811" t="n">
        <v>0</v>
      </c>
      <c r="M811" t="n">
        <v>0</v>
      </c>
      <c r="N811" t="n">
        <v>0</v>
      </c>
      <c r="O811" t="n">
        <v>0</v>
      </c>
      <c r="P811" t="n">
        <v>0</v>
      </c>
      <c r="Q811" t="n">
        <v>0</v>
      </c>
      <c r="R811" s="2" t="inlineStr"/>
    </row>
    <row r="812" ht="15" customHeight="1">
      <c r="A812" t="inlineStr">
        <is>
          <t>A 37015-2025</t>
        </is>
      </c>
      <c r="B812" s="1" t="n">
        <v>45874.71912037037</v>
      </c>
      <c r="C812" s="1" t="n">
        <v>45881</v>
      </c>
      <c r="D812" t="inlineStr">
        <is>
          <t>VÄSTERBOTTENS LÄN</t>
        </is>
      </c>
      <c r="E812" t="inlineStr">
        <is>
          <t>VILHELMINA</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46372-2021</t>
        </is>
      </c>
      <c r="B813" s="1" t="n">
        <v>44442.94226851852</v>
      </c>
      <c r="C813" s="1" t="n">
        <v>45881</v>
      </c>
      <c r="D813" t="inlineStr">
        <is>
          <t>VÄSTERBOTTENS LÄN</t>
        </is>
      </c>
      <c r="E813" t="inlineStr">
        <is>
          <t>VILHELMINA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28722-2022</t>
        </is>
      </c>
      <c r="B814" s="1" t="n">
        <v>44748</v>
      </c>
      <c r="C814" s="1" t="n">
        <v>45881</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31724-2025</t>
        </is>
      </c>
      <c r="B815" s="1" t="n">
        <v>45834</v>
      </c>
      <c r="C815" s="1" t="n">
        <v>45881</v>
      </c>
      <c r="D815" t="inlineStr">
        <is>
          <t>VÄSTERBOTTENS LÄN</t>
        </is>
      </c>
      <c r="E815" t="inlineStr">
        <is>
          <t>VILHELMINA</t>
        </is>
      </c>
      <c r="G815" t="n">
        <v>19.7</v>
      </c>
      <c r="H815" t="n">
        <v>0</v>
      </c>
      <c r="I815" t="n">
        <v>0</v>
      </c>
      <c r="J815" t="n">
        <v>0</v>
      </c>
      <c r="K815" t="n">
        <v>0</v>
      </c>
      <c r="L815" t="n">
        <v>0</v>
      </c>
      <c r="M815" t="n">
        <v>0</v>
      </c>
      <c r="N815" t="n">
        <v>0</v>
      </c>
      <c r="O815" t="n">
        <v>0</v>
      </c>
      <c r="P815" t="n">
        <v>0</v>
      </c>
      <c r="Q815" t="n">
        <v>0</v>
      </c>
      <c r="R815" s="2" t="inlineStr"/>
    </row>
    <row r="816" ht="15" customHeight="1">
      <c r="A816" t="inlineStr">
        <is>
          <t>A 31730-2025</t>
        </is>
      </c>
      <c r="B816" s="1" t="n">
        <v>45834</v>
      </c>
      <c r="C816" s="1" t="n">
        <v>45881</v>
      </c>
      <c r="D816" t="inlineStr">
        <is>
          <t>VÄSTERBOTTENS LÄN</t>
        </is>
      </c>
      <c r="E816" t="inlineStr">
        <is>
          <t>VILHELMINA</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43251-2024</t>
        </is>
      </c>
      <c r="B817" s="1" t="n">
        <v>45568.34429398148</v>
      </c>
      <c r="C817" s="1" t="n">
        <v>45881</v>
      </c>
      <c r="D817" t="inlineStr">
        <is>
          <t>VÄSTERBOTTENS LÄN</t>
        </is>
      </c>
      <c r="E817" t="inlineStr">
        <is>
          <t>VILHELMINA</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31307-2025</t>
        </is>
      </c>
      <c r="B818" s="1" t="n">
        <v>45833</v>
      </c>
      <c r="C818" s="1" t="n">
        <v>45881</v>
      </c>
      <c r="D818" t="inlineStr">
        <is>
          <t>VÄSTERBOTTENS LÄN</t>
        </is>
      </c>
      <c r="E818" t="inlineStr">
        <is>
          <t>VILHELMINA</t>
        </is>
      </c>
      <c r="G818" t="n">
        <v>9.9</v>
      </c>
      <c r="H818" t="n">
        <v>0</v>
      </c>
      <c r="I818" t="n">
        <v>0</v>
      </c>
      <c r="J818" t="n">
        <v>0</v>
      </c>
      <c r="K818" t="n">
        <v>0</v>
      </c>
      <c r="L818" t="n">
        <v>0</v>
      </c>
      <c r="M818" t="n">
        <v>0</v>
      </c>
      <c r="N818" t="n">
        <v>0</v>
      </c>
      <c r="O818" t="n">
        <v>0</v>
      </c>
      <c r="P818" t="n">
        <v>0</v>
      </c>
      <c r="Q818" t="n">
        <v>0</v>
      </c>
      <c r="R818" s="2" t="inlineStr"/>
    </row>
    <row r="819" ht="15" customHeight="1">
      <c r="A819" t="inlineStr">
        <is>
          <t>A 12373-2024</t>
        </is>
      </c>
      <c r="B819" s="1" t="n">
        <v>45378</v>
      </c>
      <c r="C819" s="1" t="n">
        <v>45881</v>
      </c>
      <c r="D819" t="inlineStr">
        <is>
          <t>VÄSTERBOTTENS LÄN</t>
        </is>
      </c>
      <c r="E819" t="inlineStr">
        <is>
          <t>VILHELMINA</t>
        </is>
      </c>
      <c r="G819" t="n">
        <v>0.7</v>
      </c>
      <c r="H819" t="n">
        <v>0</v>
      </c>
      <c r="I819" t="n">
        <v>0</v>
      </c>
      <c r="J819" t="n">
        <v>0</v>
      </c>
      <c r="K819" t="n">
        <v>0</v>
      </c>
      <c r="L819" t="n">
        <v>0</v>
      </c>
      <c r="M819" t="n">
        <v>0</v>
      </c>
      <c r="N819" t="n">
        <v>0</v>
      </c>
      <c r="O819" t="n">
        <v>0</v>
      </c>
      <c r="P819" t="n">
        <v>0</v>
      </c>
      <c r="Q819" t="n">
        <v>0</v>
      </c>
      <c r="R819" s="2" t="inlineStr"/>
    </row>
    <row r="820" ht="15" customHeight="1">
      <c r="A820" t="inlineStr">
        <is>
          <t>A 31485-2025</t>
        </is>
      </c>
      <c r="B820" s="1" t="n">
        <v>45833</v>
      </c>
      <c r="C820" s="1" t="n">
        <v>45881</v>
      </c>
      <c r="D820" t="inlineStr">
        <is>
          <t>VÄSTERBOTTENS LÄN</t>
        </is>
      </c>
      <c r="E820" t="inlineStr">
        <is>
          <t>VILHELMINA</t>
        </is>
      </c>
      <c r="G820" t="n">
        <v>2.8</v>
      </c>
      <c r="H820" t="n">
        <v>0</v>
      </c>
      <c r="I820" t="n">
        <v>0</v>
      </c>
      <c r="J820" t="n">
        <v>0</v>
      </c>
      <c r="K820" t="n">
        <v>0</v>
      </c>
      <c r="L820" t="n">
        <v>0</v>
      </c>
      <c r="M820" t="n">
        <v>0</v>
      </c>
      <c r="N820" t="n">
        <v>0</v>
      </c>
      <c r="O820" t="n">
        <v>0</v>
      </c>
      <c r="P820" t="n">
        <v>0</v>
      </c>
      <c r="Q820" t="n">
        <v>0</v>
      </c>
      <c r="R820" s="2" t="inlineStr"/>
    </row>
    <row r="821" ht="15" customHeight="1">
      <c r="A821" t="inlineStr">
        <is>
          <t>A 31733-2025</t>
        </is>
      </c>
      <c r="B821" s="1" t="n">
        <v>45834.47035879629</v>
      </c>
      <c r="C821" s="1" t="n">
        <v>45881</v>
      </c>
      <c r="D821" t="inlineStr">
        <is>
          <t>VÄSTERBOTTENS LÄN</t>
        </is>
      </c>
      <c r="E821" t="inlineStr">
        <is>
          <t>VILHELMINA</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31308-2025</t>
        </is>
      </c>
      <c r="B822" s="1" t="n">
        <v>45833</v>
      </c>
      <c r="C822" s="1" t="n">
        <v>45881</v>
      </c>
      <c r="D822" t="inlineStr">
        <is>
          <t>VÄSTERBOTTENS LÄN</t>
        </is>
      </c>
      <c r="E822" t="inlineStr">
        <is>
          <t>VILHELMINA</t>
        </is>
      </c>
      <c r="G822" t="n">
        <v>3.2</v>
      </c>
      <c r="H822" t="n">
        <v>0</v>
      </c>
      <c r="I822" t="n">
        <v>0</v>
      </c>
      <c r="J822" t="n">
        <v>0</v>
      </c>
      <c r="K822" t="n">
        <v>0</v>
      </c>
      <c r="L822" t="n">
        <v>0</v>
      </c>
      <c r="M822" t="n">
        <v>0</v>
      </c>
      <c r="N822" t="n">
        <v>0</v>
      </c>
      <c r="O822" t="n">
        <v>0</v>
      </c>
      <c r="P822" t="n">
        <v>0</v>
      </c>
      <c r="Q822" t="n">
        <v>0</v>
      </c>
      <c r="R822" s="2" t="inlineStr"/>
    </row>
    <row r="823" ht="15" customHeight="1">
      <c r="A823" t="inlineStr">
        <is>
          <t>A 37369-2025</t>
        </is>
      </c>
      <c r="B823" s="1" t="n">
        <v>45877.34444444445</v>
      </c>
      <c r="C823" s="1" t="n">
        <v>45881</v>
      </c>
      <c r="D823" t="inlineStr">
        <is>
          <t>VÄSTERBOTTENS LÄN</t>
        </is>
      </c>
      <c r="E823" t="inlineStr">
        <is>
          <t>VILHELMINA</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59022-2024</t>
        </is>
      </c>
      <c r="B824" s="1" t="n">
        <v>45636</v>
      </c>
      <c r="C824" s="1" t="n">
        <v>45881</v>
      </c>
      <c r="D824" t="inlineStr">
        <is>
          <t>VÄSTERBOTTENS LÄN</t>
        </is>
      </c>
      <c r="E824" t="inlineStr">
        <is>
          <t>VILHELMINA</t>
        </is>
      </c>
      <c r="F824" t="inlineStr">
        <is>
          <t>Allmännings- och besparingsskogar</t>
        </is>
      </c>
      <c r="G824" t="n">
        <v>35.1</v>
      </c>
      <c r="H824" t="n">
        <v>0</v>
      </c>
      <c r="I824" t="n">
        <v>0</v>
      </c>
      <c r="J824" t="n">
        <v>0</v>
      </c>
      <c r="K824" t="n">
        <v>0</v>
      </c>
      <c r="L824" t="n">
        <v>0</v>
      </c>
      <c r="M824" t="n">
        <v>0</v>
      </c>
      <c r="N824" t="n">
        <v>0</v>
      </c>
      <c r="O824" t="n">
        <v>0</v>
      </c>
      <c r="P824" t="n">
        <v>0</v>
      </c>
      <c r="Q824" t="n">
        <v>0</v>
      </c>
      <c r="R824" s="2" t="inlineStr"/>
    </row>
    <row r="825" ht="15" customHeight="1">
      <c r="A825" t="inlineStr">
        <is>
          <t>A 35886-2025</t>
        </is>
      </c>
      <c r="B825" s="1" t="n">
        <v>45862</v>
      </c>
      <c r="C825" s="1" t="n">
        <v>45881</v>
      </c>
      <c r="D825" t="inlineStr">
        <is>
          <t>VÄSTERBOTTENS LÄN</t>
        </is>
      </c>
      <c r="E825" t="inlineStr">
        <is>
          <t>VILHELMINA</t>
        </is>
      </c>
      <c r="G825" t="n">
        <v>7</v>
      </c>
      <c r="H825" t="n">
        <v>0</v>
      </c>
      <c r="I825" t="n">
        <v>0</v>
      </c>
      <c r="J825" t="n">
        <v>0</v>
      </c>
      <c r="K825" t="n">
        <v>0</v>
      </c>
      <c r="L825" t="n">
        <v>0</v>
      </c>
      <c r="M825" t="n">
        <v>0</v>
      </c>
      <c r="N825" t="n">
        <v>0</v>
      </c>
      <c r="O825" t="n">
        <v>0</v>
      </c>
      <c r="P825" t="n">
        <v>0</v>
      </c>
      <c r="Q825" t="n">
        <v>0</v>
      </c>
      <c r="R825" s="2" t="inlineStr"/>
    </row>
    <row r="826" ht="15" customHeight="1">
      <c r="A826" t="inlineStr">
        <is>
          <t>A 59031-2024</t>
        </is>
      </c>
      <c r="B826" s="1" t="n">
        <v>45636</v>
      </c>
      <c r="C826" s="1" t="n">
        <v>45881</v>
      </c>
      <c r="D826" t="inlineStr">
        <is>
          <t>VÄSTERBOTTENS LÄN</t>
        </is>
      </c>
      <c r="E826" t="inlineStr">
        <is>
          <t>VILHELMINA</t>
        </is>
      </c>
      <c r="G826" t="n">
        <v>38.9</v>
      </c>
      <c r="H826" t="n">
        <v>0</v>
      </c>
      <c r="I826" t="n">
        <v>0</v>
      </c>
      <c r="J826" t="n">
        <v>0</v>
      </c>
      <c r="K826" t="n">
        <v>0</v>
      </c>
      <c r="L826" t="n">
        <v>0</v>
      </c>
      <c r="M826" t="n">
        <v>0</v>
      </c>
      <c r="N826" t="n">
        <v>0</v>
      </c>
      <c r="O826" t="n">
        <v>0</v>
      </c>
      <c r="P826" t="n">
        <v>0</v>
      </c>
      <c r="Q826" t="n">
        <v>0</v>
      </c>
      <c r="R826" s="2" t="inlineStr"/>
    </row>
    <row r="827" ht="15" customHeight="1">
      <c r="A827" t="inlineStr">
        <is>
          <t>A 21843-2024</t>
        </is>
      </c>
      <c r="B827" s="1" t="n">
        <v>45442.96064814815</v>
      </c>
      <c r="C827" s="1" t="n">
        <v>45881</v>
      </c>
      <c r="D827" t="inlineStr">
        <is>
          <t>VÄSTERBOTTENS LÄN</t>
        </is>
      </c>
      <c r="E827" t="inlineStr">
        <is>
          <t>VILHELMINA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34819-2024</t>
        </is>
      </c>
      <c r="B828" s="1" t="n">
        <v>45526.71134259259</v>
      </c>
      <c r="C828" s="1" t="n">
        <v>45881</v>
      </c>
      <c r="D828" t="inlineStr">
        <is>
          <t>VÄSTERBOTTENS LÄN</t>
        </is>
      </c>
      <c r="E828" t="inlineStr">
        <is>
          <t>VILHELMINA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23360-2025</t>
        </is>
      </c>
      <c r="B829" s="1" t="n">
        <v>45791</v>
      </c>
      <c r="C829" s="1" t="n">
        <v>45881</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12043-2023</t>
        </is>
      </c>
      <c r="B830" s="1" t="n">
        <v>44995</v>
      </c>
      <c r="C830" s="1" t="n">
        <v>45881</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33142-2025</t>
        </is>
      </c>
      <c r="B831" s="1" t="n">
        <v>45840</v>
      </c>
      <c r="C831" s="1" t="n">
        <v>45881</v>
      </c>
      <c r="D831" t="inlineStr">
        <is>
          <t>VÄSTERBOTTENS LÄN</t>
        </is>
      </c>
      <c r="E831" t="inlineStr">
        <is>
          <t>VILHELMINA</t>
        </is>
      </c>
      <c r="G831" t="n">
        <v>15.2</v>
      </c>
      <c r="H831" t="n">
        <v>0</v>
      </c>
      <c r="I831" t="n">
        <v>0</v>
      </c>
      <c r="J831" t="n">
        <v>0</v>
      </c>
      <c r="K831" t="n">
        <v>0</v>
      </c>
      <c r="L831" t="n">
        <v>0</v>
      </c>
      <c r="M831" t="n">
        <v>0</v>
      </c>
      <c r="N831" t="n">
        <v>0</v>
      </c>
      <c r="O831" t="n">
        <v>0</v>
      </c>
      <c r="P831" t="n">
        <v>0</v>
      </c>
      <c r="Q831" t="n">
        <v>0</v>
      </c>
      <c r="R831" s="2" t="inlineStr"/>
    </row>
    <row r="832" ht="15" customHeight="1">
      <c r="A832" t="inlineStr">
        <is>
          <t>A 38297-2024</t>
        </is>
      </c>
      <c r="B832" s="1" t="n">
        <v>45545</v>
      </c>
      <c r="C832" s="1" t="n">
        <v>45881</v>
      </c>
      <c r="D832" t="inlineStr">
        <is>
          <t>VÄSTERBOTTENS LÄN</t>
        </is>
      </c>
      <c r="E832" t="inlineStr">
        <is>
          <t>VILHELMINA</t>
        </is>
      </c>
      <c r="G832" t="n">
        <v>139.8</v>
      </c>
      <c r="H832" t="n">
        <v>0</v>
      </c>
      <c r="I832" t="n">
        <v>0</v>
      </c>
      <c r="J832" t="n">
        <v>0</v>
      </c>
      <c r="K832" t="n">
        <v>0</v>
      </c>
      <c r="L832" t="n">
        <v>0</v>
      </c>
      <c r="M832" t="n">
        <v>0</v>
      </c>
      <c r="N832" t="n">
        <v>0</v>
      </c>
      <c r="O832" t="n">
        <v>0</v>
      </c>
      <c r="P832" t="n">
        <v>0</v>
      </c>
      <c r="Q832" t="n">
        <v>0</v>
      </c>
      <c r="R832" s="2" t="inlineStr"/>
    </row>
    <row r="833" ht="15" customHeight="1">
      <c r="A833" t="inlineStr">
        <is>
          <t>A 37346-2024</t>
        </is>
      </c>
      <c r="B833" s="1" t="n">
        <v>45540</v>
      </c>
      <c r="C833" s="1" t="n">
        <v>45881</v>
      </c>
      <c r="D833" t="inlineStr">
        <is>
          <t>VÄSTERBOTTENS LÄN</t>
        </is>
      </c>
      <c r="E833" t="inlineStr">
        <is>
          <t>VILHELMINA</t>
        </is>
      </c>
      <c r="G833" t="n">
        <v>100.3</v>
      </c>
      <c r="H833" t="n">
        <v>0</v>
      </c>
      <c r="I833" t="n">
        <v>0</v>
      </c>
      <c r="J833" t="n">
        <v>0</v>
      </c>
      <c r="K833" t="n">
        <v>0</v>
      </c>
      <c r="L833" t="n">
        <v>0</v>
      </c>
      <c r="M833" t="n">
        <v>0</v>
      </c>
      <c r="N833" t="n">
        <v>0</v>
      </c>
      <c r="O833" t="n">
        <v>0</v>
      </c>
      <c r="P833" t="n">
        <v>0</v>
      </c>
      <c r="Q833" t="n">
        <v>0</v>
      </c>
      <c r="R833" s="2" t="inlineStr"/>
    </row>
    <row r="834" ht="15" customHeight="1">
      <c r="A834" t="inlineStr">
        <is>
          <t>A 40732-2024</t>
        </is>
      </c>
      <c r="B834" s="1" t="n">
        <v>45558</v>
      </c>
      <c r="C834" s="1" t="n">
        <v>45881</v>
      </c>
      <c r="D834" t="inlineStr">
        <is>
          <t>VÄSTERBOTTENS LÄN</t>
        </is>
      </c>
      <c r="E834" t="inlineStr">
        <is>
          <t>VILHELMINA</t>
        </is>
      </c>
      <c r="F834" t="inlineStr">
        <is>
          <t>Allmännings- och besparingsskogar</t>
        </is>
      </c>
      <c r="G834" t="n">
        <v>89.59999999999999</v>
      </c>
      <c r="H834" t="n">
        <v>0</v>
      </c>
      <c r="I834" t="n">
        <v>0</v>
      </c>
      <c r="J834" t="n">
        <v>0</v>
      </c>
      <c r="K834" t="n">
        <v>0</v>
      </c>
      <c r="L834" t="n">
        <v>0</v>
      </c>
      <c r="M834" t="n">
        <v>0</v>
      </c>
      <c r="N834" t="n">
        <v>0</v>
      </c>
      <c r="O834" t="n">
        <v>0</v>
      </c>
      <c r="P834" t="n">
        <v>0</v>
      </c>
      <c r="Q834" t="n">
        <v>0</v>
      </c>
      <c r="R834" s="2" t="inlineStr"/>
    </row>
    <row r="835" ht="15" customHeight="1">
      <c r="A835" t="inlineStr">
        <is>
          <t>A 37269-2025</t>
        </is>
      </c>
      <c r="B835" s="1" t="n">
        <v>45876</v>
      </c>
      <c r="C835" s="1" t="n">
        <v>45881</v>
      </c>
      <c r="D835" t="inlineStr">
        <is>
          <t>VÄSTERBOTTENS LÄN</t>
        </is>
      </c>
      <c r="E835" t="inlineStr">
        <is>
          <t>VILHELMINA</t>
        </is>
      </c>
      <c r="G835" t="n">
        <v>2.5</v>
      </c>
      <c r="H835" t="n">
        <v>0</v>
      </c>
      <c r="I835" t="n">
        <v>0</v>
      </c>
      <c r="J835" t="n">
        <v>0</v>
      </c>
      <c r="K835" t="n">
        <v>0</v>
      </c>
      <c r="L835" t="n">
        <v>0</v>
      </c>
      <c r="M835" t="n">
        <v>0</v>
      </c>
      <c r="N835" t="n">
        <v>0</v>
      </c>
      <c r="O835" t="n">
        <v>0</v>
      </c>
      <c r="P835" t="n">
        <v>0</v>
      </c>
      <c r="Q835" t="n">
        <v>0</v>
      </c>
      <c r="R835" s="2" t="inlineStr"/>
    </row>
    <row r="836" ht="15" customHeight="1">
      <c r="A836" t="inlineStr">
        <is>
          <t>A 36669-2025</t>
        </is>
      </c>
      <c r="B836" s="1" t="n">
        <v>45873</v>
      </c>
      <c r="C836" s="1" t="n">
        <v>45881</v>
      </c>
      <c r="D836" t="inlineStr">
        <is>
          <t>VÄSTERBOTTENS LÄN</t>
        </is>
      </c>
      <c r="E836" t="inlineStr">
        <is>
          <t>VILHELMINA</t>
        </is>
      </c>
      <c r="G836" t="n">
        <v>12.5</v>
      </c>
      <c r="H836" t="n">
        <v>0</v>
      </c>
      <c r="I836" t="n">
        <v>0</v>
      </c>
      <c r="J836" t="n">
        <v>0</v>
      </c>
      <c r="K836" t="n">
        <v>0</v>
      </c>
      <c r="L836" t="n">
        <v>0</v>
      </c>
      <c r="M836" t="n">
        <v>0</v>
      </c>
      <c r="N836" t="n">
        <v>0</v>
      </c>
      <c r="O836" t="n">
        <v>0</v>
      </c>
      <c r="P836" t="n">
        <v>0</v>
      </c>
      <c r="Q836" t="n">
        <v>0</v>
      </c>
      <c r="R836" s="2" t="inlineStr"/>
    </row>
    <row r="837" ht="15" customHeight="1">
      <c r="A837" t="inlineStr">
        <is>
          <t>A 40726-2024</t>
        </is>
      </c>
      <c r="B837" s="1" t="n">
        <v>45558</v>
      </c>
      <c r="C837" s="1" t="n">
        <v>45881</v>
      </c>
      <c r="D837" t="inlineStr">
        <is>
          <t>VÄSTERBOTTENS LÄN</t>
        </is>
      </c>
      <c r="E837" t="inlineStr">
        <is>
          <t>VILHELMINA</t>
        </is>
      </c>
      <c r="F837" t="inlineStr">
        <is>
          <t>Allmännings- och besparingsskogar</t>
        </is>
      </c>
      <c r="G837" t="n">
        <v>73.59999999999999</v>
      </c>
      <c r="H837" t="n">
        <v>0</v>
      </c>
      <c r="I837" t="n">
        <v>0</v>
      </c>
      <c r="J837" t="n">
        <v>0</v>
      </c>
      <c r="K837" t="n">
        <v>0</v>
      </c>
      <c r="L837" t="n">
        <v>0</v>
      </c>
      <c r="M837" t="n">
        <v>0</v>
      </c>
      <c r="N837" t="n">
        <v>0</v>
      </c>
      <c r="O837" t="n">
        <v>0</v>
      </c>
      <c r="P837" t="n">
        <v>0</v>
      </c>
      <c r="Q837" t="n">
        <v>0</v>
      </c>
      <c r="R837" s="2" t="inlineStr"/>
    </row>
    <row r="838" ht="15" customHeight="1">
      <c r="A838" t="inlineStr">
        <is>
          <t>A 48117-2022</t>
        </is>
      </c>
      <c r="B838" s="1" t="n">
        <v>44857</v>
      </c>
      <c r="C838" s="1" t="n">
        <v>45881</v>
      </c>
      <c r="D838" t="inlineStr">
        <is>
          <t>VÄSTERBOTTENS LÄN</t>
        </is>
      </c>
      <c r="E838" t="inlineStr">
        <is>
          <t>VILHELMINA</t>
        </is>
      </c>
      <c r="G838" t="n">
        <v>5.6</v>
      </c>
      <c r="H838" t="n">
        <v>0</v>
      </c>
      <c r="I838" t="n">
        <v>0</v>
      </c>
      <c r="J838" t="n">
        <v>0</v>
      </c>
      <c r="K838" t="n">
        <v>0</v>
      </c>
      <c r="L838" t="n">
        <v>0</v>
      </c>
      <c r="M838" t="n">
        <v>0</v>
      </c>
      <c r="N838" t="n">
        <v>0</v>
      </c>
      <c r="O838" t="n">
        <v>0</v>
      </c>
      <c r="P838" t="n">
        <v>0</v>
      </c>
      <c r="Q838" t="n">
        <v>0</v>
      </c>
      <c r="R838" s="2" t="inlineStr"/>
    </row>
    <row r="839" ht="15" customHeight="1">
      <c r="A839" t="inlineStr">
        <is>
          <t>A 34253-2025</t>
        </is>
      </c>
      <c r="B839" s="1" t="n">
        <v>45845</v>
      </c>
      <c r="C839" s="1" t="n">
        <v>45881</v>
      </c>
      <c r="D839" t="inlineStr">
        <is>
          <t>VÄSTERBOTTENS LÄN</t>
        </is>
      </c>
      <c r="E839" t="inlineStr">
        <is>
          <t>VILHELMINA</t>
        </is>
      </c>
      <c r="G839" t="n">
        <v>14.3</v>
      </c>
      <c r="H839" t="n">
        <v>0</v>
      </c>
      <c r="I839" t="n">
        <v>0</v>
      </c>
      <c r="J839" t="n">
        <v>0</v>
      </c>
      <c r="K839" t="n">
        <v>0</v>
      </c>
      <c r="L839" t="n">
        <v>0</v>
      </c>
      <c r="M839" t="n">
        <v>0</v>
      </c>
      <c r="N839" t="n">
        <v>0</v>
      </c>
      <c r="O839" t="n">
        <v>0</v>
      </c>
      <c r="P839" t="n">
        <v>0</v>
      </c>
      <c r="Q839" t="n">
        <v>0</v>
      </c>
      <c r="R839" s="2" t="inlineStr"/>
    </row>
    <row r="840" ht="15" customHeight="1">
      <c r="A840" t="inlineStr">
        <is>
          <t>A 37368-2025</t>
        </is>
      </c>
      <c r="B840" s="1" t="n">
        <v>45877.34436342592</v>
      </c>
      <c r="C840" s="1" t="n">
        <v>45881</v>
      </c>
      <c r="D840" t="inlineStr">
        <is>
          <t>VÄSTERBOTTENS LÄN</t>
        </is>
      </c>
      <c r="E840" t="inlineStr">
        <is>
          <t>VILHELMINA</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37376-2025</t>
        </is>
      </c>
      <c r="B841" s="1" t="n">
        <v>45877.36513888889</v>
      </c>
      <c r="C841" s="1" t="n">
        <v>45881</v>
      </c>
      <c r="D841" t="inlineStr">
        <is>
          <t>VÄSTERBOTTENS LÄN</t>
        </is>
      </c>
      <c r="E841" t="inlineStr">
        <is>
          <t>VILHELMINA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37302-2025</t>
        </is>
      </c>
      <c r="B842" s="1" t="n">
        <v>45876</v>
      </c>
      <c r="C842" s="1" t="n">
        <v>45881</v>
      </c>
      <c r="D842" t="inlineStr">
        <is>
          <t>VÄSTERBOTTENS LÄN</t>
        </is>
      </c>
      <c r="E842" t="inlineStr">
        <is>
          <t>VILHELMINA</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4869-2023</t>
        </is>
      </c>
      <c r="B843" s="1" t="n">
        <v>44957</v>
      </c>
      <c r="C843" s="1" t="n">
        <v>45881</v>
      </c>
      <c r="D843" t="inlineStr">
        <is>
          <t>VÄSTERBOTTENS LÄN</t>
        </is>
      </c>
      <c r="E843" t="inlineStr">
        <is>
          <t>VILHELMINA</t>
        </is>
      </c>
      <c r="G843" t="n">
        <v>5.7</v>
      </c>
      <c r="H843" t="n">
        <v>0</v>
      </c>
      <c r="I843" t="n">
        <v>0</v>
      </c>
      <c r="J843" t="n">
        <v>0</v>
      </c>
      <c r="K843" t="n">
        <v>0</v>
      </c>
      <c r="L843" t="n">
        <v>0</v>
      </c>
      <c r="M843" t="n">
        <v>0</v>
      </c>
      <c r="N843" t="n">
        <v>0</v>
      </c>
      <c r="O843" t="n">
        <v>0</v>
      </c>
      <c r="P843" t="n">
        <v>0</v>
      </c>
      <c r="Q843" t="n">
        <v>0</v>
      </c>
      <c r="R843" s="2" t="inlineStr"/>
    </row>
    <row r="844" ht="15" customHeight="1">
      <c r="A844" t="inlineStr">
        <is>
          <t>A 34799-2023</t>
        </is>
      </c>
      <c r="B844" s="1" t="n">
        <v>45140</v>
      </c>
      <c r="C844" s="1" t="n">
        <v>45881</v>
      </c>
      <c r="D844" t="inlineStr">
        <is>
          <t>VÄSTERBOTTENS LÄN</t>
        </is>
      </c>
      <c r="E844" t="inlineStr">
        <is>
          <t>VILHELMINA</t>
        </is>
      </c>
      <c r="G844" t="n">
        <v>17.4</v>
      </c>
      <c r="H844" t="n">
        <v>0</v>
      </c>
      <c r="I844" t="n">
        <v>0</v>
      </c>
      <c r="J844" t="n">
        <v>0</v>
      </c>
      <c r="K844" t="n">
        <v>0</v>
      </c>
      <c r="L844" t="n">
        <v>0</v>
      </c>
      <c r="M844" t="n">
        <v>0</v>
      </c>
      <c r="N844" t="n">
        <v>0</v>
      </c>
      <c r="O844" t="n">
        <v>0</v>
      </c>
      <c r="P844" t="n">
        <v>0</v>
      </c>
      <c r="Q844" t="n">
        <v>0</v>
      </c>
      <c r="R844" s="2" t="inlineStr"/>
    </row>
    <row r="845" ht="15" customHeight="1">
      <c r="A845" t="inlineStr">
        <is>
          <t>A 30572-2024</t>
        </is>
      </c>
      <c r="B845" s="1" t="n">
        <v>45492.95777777778</v>
      </c>
      <c r="C845" s="1" t="n">
        <v>45881</v>
      </c>
      <c r="D845" t="inlineStr">
        <is>
          <t>VÄSTERBOTTENS LÄN</t>
        </is>
      </c>
      <c r="E845" t="inlineStr">
        <is>
          <t>VILHELMINA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30582-2024</t>
        </is>
      </c>
      <c r="B846" s="1" t="n">
        <v>45492</v>
      </c>
      <c r="C846" s="1" t="n">
        <v>45881</v>
      </c>
      <c r="D846" t="inlineStr">
        <is>
          <t>VÄSTERBOTTENS LÄN</t>
        </is>
      </c>
      <c r="E846" t="inlineStr">
        <is>
          <t>VILHELMINA</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55620-2024</t>
        </is>
      </c>
      <c r="B847" s="1" t="n">
        <v>45622</v>
      </c>
      <c r="C847" s="1" t="n">
        <v>45881</v>
      </c>
      <c r="D847" t="inlineStr">
        <is>
          <t>VÄSTERBOTTENS LÄN</t>
        </is>
      </c>
      <c r="E847" t="inlineStr">
        <is>
          <t>VILHELMINA</t>
        </is>
      </c>
      <c r="F847" t="inlineStr">
        <is>
          <t>SCA</t>
        </is>
      </c>
      <c r="G847" t="n">
        <v>21.4</v>
      </c>
      <c r="H847" t="n">
        <v>0</v>
      </c>
      <c r="I847" t="n">
        <v>0</v>
      </c>
      <c r="J847" t="n">
        <v>0</v>
      </c>
      <c r="K847" t="n">
        <v>0</v>
      </c>
      <c r="L847" t="n">
        <v>0</v>
      </c>
      <c r="M847" t="n">
        <v>0</v>
      </c>
      <c r="N847" t="n">
        <v>0</v>
      </c>
      <c r="O847" t="n">
        <v>0</v>
      </c>
      <c r="P847" t="n">
        <v>0</v>
      </c>
      <c r="Q847" t="n">
        <v>0</v>
      </c>
      <c r="R847" s="2" t="inlineStr"/>
    </row>
    <row r="848" ht="15" customHeight="1">
      <c r="A848" t="inlineStr">
        <is>
          <t>A 37320-2021</t>
        </is>
      </c>
      <c r="B848" s="1" t="n">
        <v>44397</v>
      </c>
      <c r="C848" s="1" t="n">
        <v>45881</v>
      </c>
      <c r="D848" t="inlineStr">
        <is>
          <t>VÄSTERBOTTENS LÄN</t>
        </is>
      </c>
      <c r="E848" t="inlineStr">
        <is>
          <t>VILHELMINA</t>
        </is>
      </c>
      <c r="F848" t="inlineStr">
        <is>
          <t>Kommuner</t>
        </is>
      </c>
      <c r="G848" t="n">
        <v>1.2</v>
      </c>
      <c r="H848" t="n">
        <v>0</v>
      </c>
      <c r="I848" t="n">
        <v>0</v>
      </c>
      <c r="J848" t="n">
        <v>0</v>
      </c>
      <c r="K848" t="n">
        <v>0</v>
      </c>
      <c r="L848" t="n">
        <v>0</v>
      </c>
      <c r="M848" t="n">
        <v>0</v>
      </c>
      <c r="N848" t="n">
        <v>0</v>
      </c>
      <c r="O848" t="n">
        <v>0</v>
      </c>
      <c r="P848" t="n">
        <v>0</v>
      </c>
      <c r="Q848" t="n">
        <v>0</v>
      </c>
      <c r="R848" s="2" t="inlineStr"/>
    </row>
    <row r="849" ht="15" customHeight="1">
      <c r="A849" t="inlineStr">
        <is>
          <t>A 12362-2025</t>
        </is>
      </c>
      <c r="B849" s="1" t="n">
        <v>45730</v>
      </c>
      <c r="C849" s="1" t="n">
        <v>45881</v>
      </c>
      <c r="D849" t="inlineStr">
        <is>
          <t>VÄSTERBOTTENS LÄN</t>
        </is>
      </c>
      <c r="E849" t="inlineStr">
        <is>
          <t>VILHELMINA</t>
        </is>
      </c>
      <c r="F849" t="inlineStr">
        <is>
          <t>Övriga statliga verk och myndigheter</t>
        </is>
      </c>
      <c r="G849" t="n">
        <v>6.1</v>
      </c>
      <c r="H849" t="n">
        <v>0</v>
      </c>
      <c r="I849" t="n">
        <v>0</v>
      </c>
      <c r="J849" t="n">
        <v>0</v>
      </c>
      <c r="K849" t="n">
        <v>0</v>
      </c>
      <c r="L849" t="n">
        <v>0</v>
      </c>
      <c r="M849" t="n">
        <v>0</v>
      </c>
      <c r="N849" t="n">
        <v>0</v>
      </c>
      <c r="O849" t="n">
        <v>0</v>
      </c>
      <c r="P849" t="n">
        <v>0</v>
      </c>
      <c r="Q849" t="n">
        <v>0</v>
      </c>
      <c r="R849" s="2" t="inlineStr"/>
    </row>
    <row r="850" ht="15" customHeight="1">
      <c r="A850" t="inlineStr">
        <is>
          <t>A 52740-2023</t>
        </is>
      </c>
      <c r="B850" s="1" t="n">
        <v>45225</v>
      </c>
      <c r="C850" s="1" t="n">
        <v>45881</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12763-2025</t>
        </is>
      </c>
      <c r="B851" s="1" t="n">
        <v>45733</v>
      </c>
      <c r="C851" s="1" t="n">
        <v>45881</v>
      </c>
      <c r="D851" t="inlineStr">
        <is>
          <t>VÄSTERBOTTENS LÄN</t>
        </is>
      </c>
      <c r="E851" t="inlineStr">
        <is>
          <t>VILHELMINA</t>
        </is>
      </c>
      <c r="F851" t="inlineStr">
        <is>
          <t>SCA</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46547-2023</t>
        </is>
      </c>
      <c r="B852" s="1" t="n">
        <v>45197.94158564815</v>
      </c>
      <c r="C852" s="1" t="n">
        <v>45881</v>
      </c>
      <c r="D852" t="inlineStr">
        <is>
          <t>VÄSTERBOTTENS LÄN</t>
        </is>
      </c>
      <c r="E852" t="inlineStr">
        <is>
          <t>VILHELMINA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14959-2022</t>
        </is>
      </c>
      <c r="B853" s="1" t="n">
        <v>44657</v>
      </c>
      <c r="C853" s="1" t="n">
        <v>45881</v>
      </c>
      <c r="D853" t="inlineStr">
        <is>
          <t>VÄSTERBOTTENS LÄN</t>
        </is>
      </c>
      <c r="E853" t="inlineStr">
        <is>
          <t>VILHELMINA</t>
        </is>
      </c>
      <c r="G853" t="n">
        <v>71.8</v>
      </c>
      <c r="H853" t="n">
        <v>0</v>
      </c>
      <c r="I853" t="n">
        <v>0</v>
      </c>
      <c r="J853" t="n">
        <v>0</v>
      </c>
      <c r="K853" t="n">
        <v>0</v>
      </c>
      <c r="L853" t="n">
        <v>0</v>
      </c>
      <c r="M853" t="n">
        <v>0</v>
      </c>
      <c r="N853" t="n">
        <v>0</v>
      </c>
      <c r="O853" t="n">
        <v>0</v>
      </c>
      <c r="P853" t="n">
        <v>0</v>
      </c>
      <c r="Q853" t="n">
        <v>0</v>
      </c>
      <c r="R853" s="2" t="inlineStr"/>
    </row>
    <row r="854" ht="15" customHeight="1">
      <c r="A854" t="inlineStr">
        <is>
          <t>A 14963-2022</t>
        </is>
      </c>
      <c r="B854" s="1" t="n">
        <v>44657</v>
      </c>
      <c r="C854" s="1" t="n">
        <v>45881</v>
      </c>
      <c r="D854" t="inlineStr">
        <is>
          <t>VÄSTERBOTTENS LÄN</t>
        </is>
      </c>
      <c r="E854" t="inlineStr">
        <is>
          <t>VILHELMINA</t>
        </is>
      </c>
      <c r="G854" t="n">
        <v>11.5</v>
      </c>
      <c r="H854" t="n">
        <v>0</v>
      </c>
      <c r="I854" t="n">
        <v>0</v>
      </c>
      <c r="J854" t="n">
        <v>0</v>
      </c>
      <c r="K854" t="n">
        <v>0</v>
      </c>
      <c r="L854" t="n">
        <v>0</v>
      </c>
      <c r="M854" t="n">
        <v>0</v>
      </c>
      <c r="N854" t="n">
        <v>0</v>
      </c>
      <c r="O854" t="n">
        <v>0</v>
      </c>
      <c r="P854" t="n">
        <v>0</v>
      </c>
      <c r="Q854" t="n">
        <v>0</v>
      </c>
      <c r="R854" s="2" t="inlineStr"/>
    </row>
    <row r="855" ht="15" customHeight="1">
      <c r="A855" t="inlineStr">
        <is>
          <t>A 2187-2021</t>
        </is>
      </c>
      <c r="B855" s="1" t="n">
        <v>44211</v>
      </c>
      <c r="C855" s="1" t="n">
        <v>45881</v>
      </c>
      <c r="D855" t="inlineStr">
        <is>
          <t>VÄSTERBOTTENS LÄN</t>
        </is>
      </c>
      <c r="E855" t="inlineStr">
        <is>
          <t>VILHELMINA</t>
        </is>
      </c>
      <c r="F855" t="inlineStr">
        <is>
          <t>Allmännings- och besparingsskogar</t>
        </is>
      </c>
      <c r="G855" t="n">
        <v>21.3</v>
      </c>
      <c r="H855" t="n">
        <v>0</v>
      </c>
      <c r="I855" t="n">
        <v>0</v>
      </c>
      <c r="J855" t="n">
        <v>0</v>
      </c>
      <c r="K855" t="n">
        <v>0</v>
      </c>
      <c r="L855" t="n">
        <v>0</v>
      </c>
      <c r="M855" t="n">
        <v>0</v>
      </c>
      <c r="N855" t="n">
        <v>0</v>
      </c>
      <c r="O855" t="n">
        <v>0</v>
      </c>
      <c r="P855" t="n">
        <v>0</v>
      </c>
      <c r="Q855" t="n">
        <v>0</v>
      </c>
      <c r="R855" s="2" t="inlineStr"/>
    </row>
    <row r="856" ht="15" customHeight="1">
      <c r="A856" t="inlineStr">
        <is>
          <t>A 12825-2023</t>
        </is>
      </c>
      <c r="B856" s="1" t="n">
        <v>45000</v>
      </c>
      <c r="C856" s="1" t="n">
        <v>45881</v>
      </c>
      <c r="D856" t="inlineStr">
        <is>
          <t>VÄSTERBOTTENS LÄN</t>
        </is>
      </c>
      <c r="E856" t="inlineStr">
        <is>
          <t>VILHELMINA</t>
        </is>
      </c>
      <c r="G856" t="n">
        <v>22.4</v>
      </c>
      <c r="H856" t="n">
        <v>0</v>
      </c>
      <c r="I856" t="n">
        <v>0</v>
      </c>
      <c r="J856" t="n">
        <v>0</v>
      </c>
      <c r="K856" t="n">
        <v>0</v>
      </c>
      <c r="L856" t="n">
        <v>0</v>
      </c>
      <c r="M856" t="n">
        <v>0</v>
      </c>
      <c r="N856" t="n">
        <v>0</v>
      </c>
      <c r="O856" t="n">
        <v>0</v>
      </c>
      <c r="P856" t="n">
        <v>0</v>
      </c>
      <c r="Q856" t="n">
        <v>0</v>
      </c>
      <c r="R856" s="2" t="inlineStr"/>
    </row>
    <row r="857" ht="15" customHeight="1">
      <c r="A857" t="inlineStr">
        <is>
          <t>A 19349-2024</t>
        </is>
      </c>
      <c r="B857" s="1" t="n">
        <v>45428.97231481481</v>
      </c>
      <c r="C857" s="1" t="n">
        <v>45881</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18692-2023</t>
        </is>
      </c>
      <c r="B858" s="1" t="n">
        <v>45042</v>
      </c>
      <c r="C858" s="1" t="n">
        <v>45881</v>
      </c>
      <c r="D858" t="inlineStr">
        <is>
          <t>VÄSTERBOTTENS LÄN</t>
        </is>
      </c>
      <c r="E858" t="inlineStr">
        <is>
          <t>VILHELMINA</t>
        </is>
      </c>
      <c r="F858" t="inlineStr">
        <is>
          <t>Allmännings- och besparingsskogar</t>
        </is>
      </c>
      <c r="G858" t="n">
        <v>0.6</v>
      </c>
      <c r="H858" t="n">
        <v>0</v>
      </c>
      <c r="I858" t="n">
        <v>0</v>
      </c>
      <c r="J858" t="n">
        <v>0</v>
      </c>
      <c r="K858" t="n">
        <v>0</v>
      </c>
      <c r="L858" t="n">
        <v>0</v>
      </c>
      <c r="M858" t="n">
        <v>0</v>
      </c>
      <c r="N858" t="n">
        <v>0</v>
      </c>
      <c r="O858" t="n">
        <v>0</v>
      </c>
      <c r="P858" t="n">
        <v>0</v>
      </c>
      <c r="Q858" t="n">
        <v>0</v>
      </c>
      <c r="R858" s="2" t="inlineStr"/>
    </row>
    <row r="859" ht="15" customHeight="1">
      <c r="A859" t="inlineStr">
        <is>
          <t>A 58363-2021</t>
        </is>
      </c>
      <c r="B859" s="1" t="n">
        <v>44488</v>
      </c>
      <c r="C859" s="1" t="n">
        <v>45881</v>
      </c>
      <c r="D859" t="inlineStr">
        <is>
          <t>VÄSTERBOTTENS LÄN</t>
        </is>
      </c>
      <c r="E859" t="inlineStr">
        <is>
          <t>VILHELMINA</t>
        </is>
      </c>
      <c r="G859" t="n">
        <v>7.3</v>
      </c>
      <c r="H859" t="n">
        <v>0</v>
      </c>
      <c r="I859" t="n">
        <v>0</v>
      </c>
      <c r="J859" t="n">
        <v>0</v>
      </c>
      <c r="K859" t="n">
        <v>0</v>
      </c>
      <c r="L859" t="n">
        <v>0</v>
      </c>
      <c r="M859" t="n">
        <v>0</v>
      </c>
      <c r="N859" t="n">
        <v>0</v>
      </c>
      <c r="O859" t="n">
        <v>0</v>
      </c>
      <c r="P859" t="n">
        <v>0</v>
      </c>
      <c r="Q859" t="n">
        <v>0</v>
      </c>
      <c r="R859" s="2" t="inlineStr"/>
    </row>
    <row r="860">
      <c r="A860" t="inlineStr">
        <is>
          <t>A 8750-2021</t>
        </is>
      </c>
      <c r="B860" s="1" t="n">
        <v>44246</v>
      </c>
      <c r="C860" s="1" t="n">
        <v>45881</v>
      </c>
      <c r="D860" t="inlineStr">
        <is>
          <t>VÄSTERBOTTENS LÄN</t>
        </is>
      </c>
      <c r="E860" t="inlineStr">
        <is>
          <t>VILHELMINA</t>
        </is>
      </c>
      <c r="G860" t="n">
        <v>5.2</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2025-08-12T08:25:03Z</dcterms:created>
  <dcterms:modified xmlns:dcterms="http://purl.org/dc/terms/" xmlns:xsi="http://www.w3.org/2001/XMLSchema-instance" xsi:type="dcterms:W3CDTF">2025-08-12T08:25:04Z</dcterms:modified>
</cp:coreProperties>
</file>