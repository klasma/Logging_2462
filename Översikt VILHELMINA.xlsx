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45911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45911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45911</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27113-2021</t>
        </is>
      </c>
      <c r="B15" s="1" t="n">
        <v>44350</v>
      </c>
      <c r="C15" s="1" t="n">
        <v>45911</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60375-2021</t>
        </is>
      </c>
      <c r="B16" s="1" t="n">
        <v>44494</v>
      </c>
      <c r="C16" s="1" t="n">
        <v>45911</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45911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45911</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45911</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45911</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54734-2022</t>
        </is>
      </c>
      <c r="B21" s="1" t="n">
        <v>44881</v>
      </c>
      <c r="C21" s="1" t="n">
        <v>45911</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45911</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45911</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45911</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45911</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45911</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45911</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45911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45911</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45911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45911</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45911</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45911</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45911</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45911</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45911</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45911</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45911</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45911</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45911</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45911</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6658-2021</t>
        </is>
      </c>
      <c r="B46" s="1" t="n">
        <v>44235</v>
      </c>
      <c r="C46" s="1" t="n">
        <v>45911</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45911</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45911</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45911</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45911</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6963-2023</t>
        </is>
      </c>
      <c r="B51" s="1" t="n">
        <v>44964</v>
      </c>
      <c r="C51" s="1" t="n">
        <v>45911</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45911</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15047-2024</t>
        </is>
      </c>
      <c r="B53" s="1" t="n">
        <v>45399</v>
      </c>
      <c r="C53" s="1" t="n">
        <v>45911</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59038-2024</t>
        </is>
      </c>
      <c r="B54" s="1" t="n">
        <v>45636</v>
      </c>
      <c r="C54" s="1" t="n">
        <v>45911</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45911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45911</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45911</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45911</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45911</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45911</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30810-2024</t>
        </is>
      </c>
      <c r="B61" s="1" t="n">
        <v>45497</v>
      </c>
      <c r="C61" s="1" t="n">
        <v>45911</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28799-2024</t>
        </is>
      </c>
      <c r="B62" s="1" t="n">
        <v>45478</v>
      </c>
      <c r="C62" s="1" t="n">
        <v>45911</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30345-2024</t>
        </is>
      </c>
      <c r="B63" s="1" t="n">
        <v>45490</v>
      </c>
      <c r="C63" s="1" t="n">
        <v>45911</v>
      </c>
      <c r="D63" t="inlineStr">
        <is>
          <t>VÄSTERBOTTENS LÄN</t>
        </is>
      </c>
      <c r="E63" t="inlineStr">
        <is>
          <t>VILHELMINA</t>
        </is>
      </c>
      <c r="F63" t="inlineStr">
        <is>
          <t>SCA</t>
        </is>
      </c>
      <c r="G63" t="n">
        <v>4.1</v>
      </c>
      <c r="H63" t="n">
        <v>4</v>
      </c>
      <c r="I63" t="n">
        <v>1</v>
      </c>
      <c r="J63" t="n">
        <v>5</v>
      </c>
      <c r="K63" t="n">
        <v>0</v>
      </c>
      <c r="L63" t="n">
        <v>0</v>
      </c>
      <c r="M63" t="n">
        <v>0</v>
      </c>
      <c r="N63" t="n">
        <v>0</v>
      </c>
      <c r="O63" t="n">
        <v>5</v>
      </c>
      <c r="P63" t="n">
        <v>0</v>
      </c>
      <c r="Q63" t="n">
        <v>8</v>
      </c>
      <c r="R63" s="2" t="inlineStr">
        <is>
          <t>Gammelgransskål
Garnlav
Granticka
Talltita
Tretåig hackspett
Stuplav
Lavskrika
Orre</t>
        </is>
      </c>
      <c r="S63">
        <f>HYPERLINK("https://klasma.github.io/Logging_2462/artfynd/A 30345-2024 artfynd.xlsx", "A 30345-2024")</f>
        <v/>
      </c>
      <c r="T63">
        <f>HYPERLINK("https://klasma.github.io/Logging_2462/kartor/A 30345-2024 karta.png", "A 30345-2024")</f>
        <v/>
      </c>
      <c r="V63">
        <f>HYPERLINK("https://klasma.github.io/Logging_2462/klagomål/A 30345-2024 FSC-klagomål.docx", "A 30345-2024")</f>
        <v/>
      </c>
      <c r="W63">
        <f>HYPERLINK("https://klasma.github.io/Logging_2462/klagomålsmail/A 30345-2024 FSC-klagomål mail.docx", "A 30345-2024")</f>
        <v/>
      </c>
      <c r="X63">
        <f>HYPERLINK("https://klasma.github.io/Logging_2462/tillsyn/A 30345-2024 tillsynsbegäran.docx", "A 30345-2024")</f>
        <v/>
      </c>
      <c r="Y63">
        <f>HYPERLINK("https://klasma.github.io/Logging_2462/tillsynsmail/A 30345-2024 tillsynsbegäran mail.docx", "A 30345-2024")</f>
        <v/>
      </c>
      <c r="Z63">
        <f>HYPERLINK("https://klasma.github.io/Logging_2462/fåglar/A 30345-2024 prioriterade fågelarter.docx", "A 30345-2024")</f>
        <v/>
      </c>
    </row>
    <row r="64" ht="15" customHeight="1">
      <c r="A64" t="inlineStr">
        <is>
          <t>A 33322-2025</t>
        </is>
      </c>
      <c r="B64" s="1" t="n">
        <v>45841.3452662037</v>
      </c>
      <c r="C64" s="1" t="n">
        <v>45911</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45911</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26191-2022</t>
        </is>
      </c>
      <c r="B66" s="1" t="n">
        <v>44735</v>
      </c>
      <c r="C66" s="1" t="n">
        <v>45911</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36220-2023</t>
        </is>
      </c>
      <c r="B67" s="1" t="n">
        <v>45149</v>
      </c>
      <c r="C67" s="1" t="n">
        <v>45911</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49977-2023</t>
        </is>
      </c>
      <c r="B68" s="1" t="n">
        <v>45208</v>
      </c>
      <c r="C68" s="1" t="n">
        <v>45911</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45911</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45911</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45911</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45911</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45911</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45911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45911</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45911</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45911</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57099-2024</t>
        </is>
      </c>
      <c r="B78" s="1" t="n">
        <v>45629</v>
      </c>
      <c r="C78" s="1" t="n">
        <v>45911</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44874-2024</t>
        </is>
      </c>
      <c r="B79" s="1" t="n">
        <v>45575</v>
      </c>
      <c r="C79" s="1" t="n">
        <v>45911</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45911</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45911</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45911</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45911</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45911</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45911</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38124-2024</t>
        </is>
      </c>
      <c r="B86" s="1" t="n">
        <v>45545</v>
      </c>
      <c r="C86" s="1" t="n">
        <v>45911</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28867-2024</t>
        </is>
      </c>
      <c r="B87" s="1" t="n">
        <v>45478</v>
      </c>
      <c r="C87" s="1" t="n">
        <v>45911</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40736-2024</t>
        </is>
      </c>
      <c r="B88" s="1" t="n">
        <v>45558</v>
      </c>
      <c r="C88" s="1" t="n">
        <v>45911</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45911</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45911</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45911</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45911</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45911</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45911</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45911</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45911</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45911</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38534-2024</t>
        </is>
      </c>
      <c r="B98" s="1" t="n">
        <v>45546</v>
      </c>
      <c r="C98" s="1" t="n">
        <v>45911</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42063-2024</t>
        </is>
      </c>
      <c r="B99" s="1" t="n">
        <v>45561</v>
      </c>
      <c r="C99" s="1" t="n">
        <v>45911</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56618-2024</t>
        </is>
      </c>
      <c r="B100" s="1" t="n">
        <v>45625</v>
      </c>
      <c r="C100" s="1" t="n">
        <v>45911</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65382-2021</t>
        </is>
      </c>
      <c r="B101" s="1" t="n">
        <v>44515</v>
      </c>
      <c r="C101" s="1" t="n">
        <v>45911</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45911</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45911</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11980-2021</t>
        </is>
      </c>
      <c r="B104" s="1" t="n">
        <v>44266</v>
      </c>
      <c r="C104" s="1" t="n">
        <v>45911</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45911</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19234-2021</t>
        </is>
      </c>
      <c r="B106" s="1" t="n">
        <v>44309</v>
      </c>
      <c r="C106" s="1" t="n">
        <v>45911</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64030-2023</t>
        </is>
      </c>
      <c r="B107" s="1" t="n">
        <v>45278</v>
      </c>
      <c r="C107" s="1" t="n">
        <v>45911</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64030-2023 artfynd.xlsx", "A 64030-2023")</f>
        <v/>
      </c>
      <c r="T107">
        <f>HYPERLINK("https://klasma.github.io/Logging_2462/kartor/A 64030-2023 karta.png", "A 64030-2023")</f>
        <v/>
      </c>
      <c r="V107">
        <f>HYPERLINK("https://klasma.github.io/Logging_2462/klagomål/A 64030-2023 FSC-klagomål.docx", "A 64030-2023")</f>
        <v/>
      </c>
      <c r="W107">
        <f>HYPERLINK("https://klasma.github.io/Logging_2462/klagomålsmail/A 64030-2023 FSC-klagomål mail.docx", "A 64030-2023")</f>
        <v/>
      </c>
      <c r="X107">
        <f>HYPERLINK("https://klasma.github.io/Logging_2462/tillsyn/A 64030-2023 tillsynsbegäran.docx", "A 64030-2023")</f>
        <v/>
      </c>
      <c r="Y107">
        <f>HYPERLINK("https://klasma.github.io/Logging_2462/tillsynsmail/A 64030-2023 tillsynsbegäran mail.docx", "A 64030-2023")</f>
        <v/>
      </c>
      <c r="Z107">
        <f>HYPERLINK("https://klasma.github.io/Logging_2462/fåglar/A 64030-2023 prioriterade fågelarter.docx", "A 64030-2023")</f>
        <v/>
      </c>
    </row>
    <row r="108" ht="15" customHeight="1">
      <c r="A108" t="inlineStr">
        <is>
          <t>A 69023-2021</t>
        </is>
      </c>
      <c r="B108" s="1" t="n">
        <v>44529</v>
      </c>
      <c r="C108" s="1" t="n">
        <v>45911</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54779-2024</t>
        </is>
      </c>
      <c r="B109" s="1" t="n">
        <v>45618</v>
      </c>
      <c r="C109" s="1" t="n">
        <v>45911</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30717-2023</t>
        </is>
      </c>
      <c r="B110" s="1" t="n">
        <v>45112</v>
      </c>
      <c r="C110" s="1" t="n">
        <v>45911</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46391-2024</t>
        </is>
      </c>
      <c r="B111" s="1" t="n">
        <v>45582</v>
      </c>
      <c r="C111" s="1" t="n">
        <v>45911</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28012-2023</t>
        </is>
      </c>
      <c r="B112" s="1" t="n">
        <v>45098</v>
      </c>
      <c r="C112" s="1" t="n">
        <v>45911</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69626-2020</t>
        </is>
      </c>
      <c r="B113" s="1" t="n">
        <v>44195</v>
      </c>
      <c r="C113" s="1" t="n">
        <v>45911</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37513-2024</t>
        </is>
      </c>
      <c r="B114" s="1" t="n">
        <v>45541.38572916666</v>
      </c>
      <c r="C114" s="1" t="n">
        <v>45911</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29140-2025</t>
        </is>
      </c>
      <c r="B115" s="1" t="n">
        <v>45821</v>
      </c>
      <c r="C115" s="1" t="n">
        <v>45911</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25037-2024</t>
        </is>
      </c>
      <c r="B116" s="1" t="n">
        <v>45461</v>
      </c>
      <c r="C116" s="1" t="n">
        <v>45911</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31735-2025</t>
        </is>
      </c>
      <c r="B117" s="1" t="n">
        <v>45834.47067129629</v>
      </c>
      <c r="C117" s="1" t="n">
        <v>45911</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37785-2021</t>
        </is>
      </c>
      <c r="B118" s="1" t="n">
        <v>44401</v>
      </c>
      <c r="C118" s="1" t="n">
        <v>45911</v>
      </c>
      <c r="D118" t="inlineStr">
        <is>
          <t>VÄSTERBOTTENS LÄN</t>
        </is>
      </c>
      <c r="E118" t="inlineStr">
        <is>
          <t>VILHELMINA</t>
        </is>
      </c>
      <c r="G118" t="n">
        <v>51.5</v>
      </c>
      <c r="H118" t="n">
        <v>1</v>
      </c>
      <c r="I118" t="n">
        <v>0</v>
      </c>
      <c r="J118" t="n">
        <v>1</v>
      </c>
      <c r="K118" t="n">
        <v>0</v>
      </c>
      <c r="L118" t="n">
        <v>0</v>
      </c>
      <c r="M118" t="n">
        <v>0</v>
      </c>
      <c r="N118" t="n">
        <v>0</v>
      </c>
      <c r="O118" t="n">
        <v>1</v>
      </c>
      <c r="P118" t="n">
        <v>0</v>
      </c>
      <c r="Q118" t="n">
        <v>2</v>
      </c>
      <c r="R118" s="2" t="inlineStr">
        <is>
          <t>Ullticka
Fläcknycklar</t>
        </is>
      </c>
      <c r="S118">
        <f>HYPERLINK("https://klasma.github.io/Logging_2462/artfynd/A 37785-2021 artfynd.xlsx", "A 37785-2021")</f>
        <v/>
      </c>
      <c r="T118">
        <f>HYPERLINK("https://klasma.github.io/Logging_2462/kartor/A 37785-2021 karta.png", "A 37785-2021")</f>
        <v/>
      </c>
      <c r="V118">
        <f>HYPERLINK("https://klasma.github.io/Logging_2462/klagomål/A 37785-2021 FSC-klagomål.docx", "A 37785-2021")</f>
        <v/>
      </c>
      <c r="W118">
        <f>HYPERLINK("https://klasma.github.io/Logging_2462/klagomålsmail/A 37785-2021 FSC-klagomål mail.docx", "A 37785-2021")</f>
        <v/>
      </c>
      <c r="X118">
        <f>HYPERLINK("https://klasma.github.io/Logging_2462/tillsyn/A 37785-2021 tillsynsbegäran.docx", "A 37785-2021")</f>
        <v/>
      </c>
      <c r="Y118">
        <f>HYPERLINK("https://klasma.github.io/Logging_2462/tillsynsmail/A 37785-2021 tillsynsbegäran mail.docx", "A 37785-2021")</f>
        <v/>
      </c>
    </row>
    <row r="119" ht="15" customHeight="1">
      <c r="A119" t="inlineStr">
        <is>
          <t>A 41645-2024</t>
        </is>
      </c>
      <c r="B119" s="1" t="n">
        <v>45560</v>
      </c>
      <c r="C119" s="1" t="n">
        <v>45911</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65586-2021</t>
        </is>
      </c>
      <c r="B120" s="1" t="n">
        <v>44518</v>
      </c>
      <c r="C120" s="1" t="n">
        <v>45911</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60379-2024</t>
        </is>
      </c>
      <c r="B121" s="1" t="n">
        <v>45643</v>
      </c>
      <c r="C121" s="1" t="n">
        <v>45911</v>
      </c>
      <c r="D121" t="inlineStr">
        <is>
          <t>VÄSTERBOTTENS LÄN</t>
        </is>
      </c>
      <c r="E121" t="inlineStr">
        <is>
          <t>VILHELMINA</t>
        </is>
      </c>
      <c r="F121" t="inlineStr">
        <is>
          <t>SCA</t>
        </is>
      </c>
      <c r="G121" t="n">
        <v>12.4</v>
      </c>
      <c r="H121" t="n">
        <v>0</v>
      </c>
      <c r="I121" t="n">
        <v>0</v>
      </c>
      <c r="J121" t="n">
        <v>2</v>
      </c>
      <c r="K121" t="n">
        <v>0</v>
      </c>
      <c r="L121" t="n">
        <v>0</v>
      </c>
      <c r="M121" t="n">
        <v>0</v>
      </c>
      <c r="N121" t="n">
        <v>0</v>
      </c>
      <c r="O121" t="n">
        <v>2</v>
      </c>
      <c r="P121" t="n">
        <v>0</v>
      </c>
      <c r="Q121" t="n">
        <v>2</v>
      </c>
      <c r="R121" s="2" t="inlineStr">
        <is>
          <t>Skrovellav
Ullticka</t>
        </is>
      </c>
      <c r="S121">
        <f>HYPERLINK("https://klasma.github.io/Logging_2462/artfynd/A 60379-2024 artfynd.xlsx", "A 60379-2024")</f>
        <v/>
      </c>
      <c r="T121">
        <f>HYPERLINK("https://klasma.github.io/Logging_2462/kartor/A 60379-2024 karta.png", "A 60379-2024")</f>
        <v/>
      </c>
      <c r="V121">
        <f>HYPERLINK("https://klasma.github.io/Logging_2462/klagomål/A 60379-2024 FSC-klagomål.docx", "A 60379-2024")</f>
        <v/>
      </c>
      <c r="W121">
        <f>HYPERLINK("https://klasma.github.io/Logging_2462/klagomålsmail/A 60379-2024 FSC-klagomål mail.docx", "A 60379-2024")</f>
        <v/>
      </c>
      <c r="X121">
        <f>HYPERLINK("https://klasma.github.io/Logging_2462/tillsyn/A 60379-2024 tillsynsbegäran.docx", "A 60379-2024")</f>
        <v/>
      </c>
      <c r="Y121">
        <f>HYPERLINK("https://klasma.github.io/Logging_2462/tillsynsmail/A 60379-2024 tillsynsbegäran mail.docx", "A 60379-2024")</f>
        <v/>
      </c>
    </row>
    <row r="122" ht="15" customHeight="1">
      <c r="A122" t="inlineStr">
        <is>
          <t>A 6704-2021</t>
        </is>
      </c>
      <c r="B122" s="1" t="n">
        <v>44235</v>
      </c>
      <c r="C122" s="1" t="n">
        <v>45911</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42274-2025</t>
        </is>
      </c>
      <c r="B123" s="1" t="n">
        <v>45903</v>
      </c>
      <c r="C123" s="1" t="n">
        <v>45911</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45911</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20983-2025</t>
        </is>
      </c>
      <c r="B125" s="1" t="n">
        <v>45777.46910879629</v>
      </c>
      <c r="C125" s="1" t="n">
        <v>45911</v>
      </c>
      <c r="D125" t="inlineStr">
        <is>
          <t>VÄSTERBOTTENS LÄN</t>
        </is>
      </c>
      <c r="E125" t="inlineStr">
        <is>
          <t>VILHELMINA</t>
        </is>
      </c>
      <c r="F125" t="inlineStr">
        <is>
          <t>SCA</t>
        </is>
      </c>
      <c r="G125" t="n">
        <v>1.2</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20983-2025 artfynd.xlsx", "A 20983-2025")</f>
        <v/>
      </c>
      <c r="T125">
        <f>HYPERLINK("https://klasma.github.io/Logging_2462/kartor/A 20983-2025 karta.png", "A 20983-2025")</f>
        <v/>
      </c>
      <c r="V125">
        <f>HYPERLINK("https://klasma.github.io/Logging_2462/klagomål/A 20983-2025 FSC-klagomål.docx", "A 20983-2025")</f>
        <v/>
      </c>
      <c r="W125">
        <f>HYPERLINK("https://klasma.github.io/Logging_2462/klagomålsmail/A 20983-2025 FSC-klagomål mail.docx", "A 20983-2025")</f>
        <v/>
      </c>
      <c r="X125">
        <f>HYPERLINK("https://klasma.github.io/Logging_2462/tillsyn/A 20983-2025 tillsynsbegäran.docx", "A 20983-2025")</f>
        <v/>
      </c>
      <c r="Y125">
        <f>HYPERLINK("https://klasma.github.io/Logging_2462/tillsynsmail/A 20983-2025 tillsynsbegäran mail.docx", "A 20983-2025")</f>
        <v/>
      </c>
      <c r="Z125">
        <f>HYPERLINK("https://klasma.github.io/Logging_2462/fåglar/A 20983-2025 prioriterade fågelarter.docx", "A 20983-2025")</f>
        <v/>
      </c>
    </row>
    <row r="126" ht="15" customHeight="1">
      <c r="A126" t="inlineStr">
        <is>
          <t>A 69915-2021</t>
        </is>
      </c>
      <c r="B126" s="1" t="n">
        <v>44532</v>
      </c>
      <c r="C126" s="1" t="n">
        <v>45911</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45911</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47248-2024</t>
        </is>
      </c>
      <c r="B128" s="1" t="n">
        <v>45586</v>
      </c>
      <c r="C128" s="1" t="n">
        <v>45911</v>
      </c>
      <c r="D128" t="inlineStr">
        <is>
          <t>VÄSTERBOTTENS LÄN</t>
        </is>
      </c>
      <c r="E128" t="inlineStr">
        <is>
          <t>VILHELMINA</t>
        </is>
      </c>
      <c r="F128" t="inlineStr">
        <is>
          <t>SCA</t>
        </is>
      </c>
      <c r="G128" t="n">
        <v>4</v>
      </c>
      <c r="H128" t="n">
        <v>0</v>
      </c>
      <c r="I128" t="n">
        <v>0</v>
      </c>
      <c r="J128" t="n">
        <v>1</v>
      </c>
      <c r="K128" t="n">
        <v>0</v>
      </c>
      <c r="L128" t="n">
        <v>0</v>
      </c>
      <c r="M128" t="n">
        <v>0</v>
      </c>
      <c r="N128" t="n">
        <v>0</v>
      </c>
      <c r="O128" t="n">
        <v>1</v>
      </c>
      <c r="P128" t="n">
        <v>0</v>
      </c>
      <c r="Q128" t="n">
        <v>1</v>
      </c>
      <c r="R128" s="2" t="inlineStr">
        <is>
          <t>Granticka</t>
        </is>
      </c>
      <c r="S128">
        <f>HYPERLINK("https://klasma.github.io/Logging_2462/artfynd/A 47248-2024 artfynd.xlsx", "A 47248-2024")</f>
        <v/>
      </c>
      <c r="T128">
        <f>HYPERLINK("https://klasma.github.io/Logging_2462/kartor/A 47248-2024 karta.png", "A 47248-2024")</f>
        <v/>
      </c>
      <c r="V128">
        <f>HYPERLINK("https://klasma.github.io/Logging_2462/klagomål/A 47248-2024 FSC-klagomål.docx", "A 47248-2024")</f>
        <v/>
      </c>
      <c r="W128">
        <f>HYPERLINK("https://klasma.github.io/Logging_2462/klagomålsmail/A 47248-2024 FSC-klagomål mail.docx", "A 47248-2024")</f>
        <v/>
      </c>
      <c r="X128">
        <f>HYPERLINK("https://klasma.github.io/Logging_2462/tillsyn/A 47248-2024 tillsynsbegäran.docx", "A 47248-2024")</f>
        <v/>
      </c>
      <c r="Y128">
        <f>HYPERLINK("https://klasma.github.io/Logging_2462/tillsynsmail/A 47248-2024 tillsynsbegäran mail.docx", "A 47248-2024")</f>
        <v/>
      </c>
    </row>
    <row r="129" ht="15" customHeight="1">
      <c r="A129" t="inlineStr">
        <is>
          <t>A 74395-2021</t>
        </is>
      </c>
      <c r="B129" s="1" t="n">
        <v>44560</v>
      </c>
      <c r="C129" s="1" t="n">
        <v>45911</v>
      </c>
      <c r="D129" t="inlineStr">
        <is>
          <t>VÄSTERBOTTENS LÄN</t>
        </is>
      </c>
      <c r="E129" t="inlineStr">
        <is>
          <t>VILHELMINA</t>
        </is>
      </c>
      <c r="G129" t="n">
        <v>37.6</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74395-2021 artfynd.xlsx", "A 74395-2021")</f>
        <v/>
      </c>
      <c r="T129">
        <f>HYPERLINK("https://klasma.github.io/Logging_2462/kartor/A 74395-2021 karta.png", "A 74395-2021")</f>
        <v/>
      </c>
      <c r="V129">
        <f>HYPERLINK("https://klasma.github.io/Logging_2462/klagomål/A 74395-2021 FSC-klagomål.docx", "A 74395-2021")</f>
        <v/>
      </c>
      <c r="W129">
        <f>HYPERLINK("https://klasma.github.io/Logging_2462/klagomålsmail/A 74395-2021 FSC-klagomål mail.docx", "A 74395-2021")</f>
        <v/>
      </c>
      <c r="X129">
        <f>HYPERLINK("https://klasma.github.io/Logging_2462/tillsyn/A 74395-2021 tillsynsbegäran.docx", "A 74395-2021")</f>
        <v/>
      </c>
      <c r="Y129">
        <f>HYPERLINK("https://klasma.github.io/Logging_2462/tillsynsmail/A 74395-2021 tillsynsbegäran mail.docx", "A 74395-2021")</f>
        <v/>
      </c>
      <c r="Z129">
        <f>HYPERLINK("https://klasma.github.io/Logging_2462/fåglar/A 74395-2021 prioriterade fågelarter.docx", "A 74395-2021")</f>
        <v/>
      </c>
    </row>
    <row r="130" ht="15" customHeight="1">
      <c r="A130" t="inlineStr">
        <is>
          <t>A 25368-2024</t>
        </is>
      </c>
      <c r="B130" s="1" t="n">
        <v>45462</v>
      </c>
      <c r="C130" s="1" t="n">
        <v>45911</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45911</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25977-2025</t>
        </is>
      </c>
      <c r="B132" s="1" t="n">
        <v>45804</v>
      </c>
      <c r="C132" s="1" t="n">
        <v>45911</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34730-2024</t>
        </is>
      </c>
      <c r="B133" s="1" t="n">
        <v>45526</v>
      </c>
      <c r="C133" s="1" t="n">
        <v>45911</v>
      </c>
      <c r="D133" t="inlineStr">
        <is>
          <t>VÄSTERBOTTENS LÄN</t>
        </is>
      </c>
      <c r="E133" t="inlineStr">
        <is>
          <t>VILHELMINA</t>
        </is>
      </c>
      <c r="G133" t="n">
        <v>19.2</v>
      </c>
      <c r="H133" t="n">
        <v>0</v>
      </c>
      <c r="I133" t="n">
        <v>0</v>
      </c>
      <c r="J133" t="n">
        <v>1</v>
      </c>
      <c r="K133" t="n">
        <v>0</v>
      </c>
      <c r="L133" t="n">
        <v>0</v>
      </c>
      <c r="M133" t="n">
        <v>0</v>
      </c>
      <c r="N133" t="n">
        <v>0</v>
      </c>
      <c r="O133" t="n">
        <v>1</v>
      </c>
      <c r="P133" t="n">
        <v>0</v>
      </c>
      <c r="Q133" t="n">
        <v>1</v>
      </c>
      <c r="R133" s="2" t="inlineStr">
        <is>
          <t>Ullticka</t>
        </is>
      </c>
      <c r="S133">
        <f>HYPERLINK("https://klasma.github.io/Logging_2462/artfynd/A 34730-2024 artfynd.xlsx", "A 34730-2024")</f>
        <v/>
      </c>
      <c r="T133">
        <f>HYPERLINK("https://klasma.github.io/Logging_2462/kartor/A 34730-2024 karta.png", "A 34730-2024")</f>
        <v/>
      </c>
      <c r="V133">
        <f>HYPERLINK("https://klasma.github.io/Logging_2462/klagomål/A 34730-2024 FSC-klagomål.docx", "A 34730-2024")</f>
        <v/>
      </c>
      <c r="W133">
        <f>HYPERLINK("https://klasma.github.io/Logging_2462/klagomålsmail/A 34730-2024 FSC-klagomål mail.docx", "A 34730-2024")</f>
        <v/>
      </c>
      <c r="X133">
        <f>HYPERLINK("https://klasma.github.io/Logging_2462/tillsyn/A 34730-2024 tillsynsbegäran.docx", "A 34730-2024")</f>
        <v/>
      </c>
      <c r="Y133">
        <f>HYPERLINK("https://klasma.github.io/Logging_2462/tillsynsmail/A 34730-2024 tillsynsbegäran mail.docx", "A 34730-2024")</f>
        <v/>
      </c>
    </row>
    <row r="134" ht="15" customHeight="1">
      <c r="A134" t="inlineStr">
        <is>
          <t>A 59001-2024</t>
        </is>
      </c>
      <c r="B134" s="1" t="n">
        <v>45636</v>
      </c>
      <c r="C134" s="1" t="n">
        <v>45911</v>
      </c>
      <c r="D134" t="inlineStr">
        <is>
          <t>VÄSTERBOTTENS LÄN</t>
        </is>
      </c>
      <c r="E134" t="inlineStr">
        <is>
          <t>VILHELMINA</t>
        </is>
      </c>
      <c r="F134" t="inlineStr">
        <is>
          <t>Allmännings- och besparingsskogar</t>
        </is>
      </c>
      <c r="G134" t="n">
        <v>32.5</v>
      </c>
      <c r="H134" t="n">
        <v>0</v>
      </c>
      <c r="I134" t="n">
        <v>0</v>
      </c>
      <c r="J134" t="n">
        <v>1</v>
      </c>
      <c r="K134" t="n">
        <v>0</v>
      </c>
      <c r="L134" t="n">
        <v>0</v>
      </c>
      <c r="M134" t="n">
        <v>0</v>
      </c>
      <c r="N134" t="n">
        <v>0</v>
      </c>
      <c r="O134" t="n">
        <v>1</v>
      </c>
      <c r="P134" t="n">
        <v>0</v>
      </c>
      <c r="Q134" t="n">
        <v>1</v>
      </c>
      <c r="R134" s="2" t="inlineStr">
        <is>
          <t>Gammelgransskål</t>
        </is>
      </c>
      <c r="S134">
        <f>HYPERLINK("https://klasma.github.io/Logging_2462/artfynd/A 59001-2024 artfynd.xlsx", "A 59001-2024")</f>
        <v/>
      </c>
      <c r="T134">
        <f>HYPERLINK("https://klasma.github.io/Logging_2462/kartor/A 59001-2024 karta.png", "A 59001-2024")</f>
        <v/>
      </c>
      <c r="V134">
        <f>HYPERLINK("https://klasma.github.io/Logging_2462/klagomål/A 59001-2024 FSC-klagomål.docx", "A 59001-2024")</f>
        <v/>
      </c>
      <c r="W134">
        <f>HYPERLINK("https://klasma.github.io/Logging_2462/klagomålsmail/A 59001-2024 FSC-klagomål mail.docx", "A 59001-2024")</f>
        <v/>
      </c>
      <c r="X134">
        <f>HYPERLINK("https://klasma.github.io/Logging_2462/tillsyn/A 59001-2024 tillsynsbegäran.docx", "A 59001-2024")</f>
        <v/>
      </c>
      <c r="Y134">
        <f>HYPERLINK("https://klasma.github.io/Logging_2462/tillsynsmail/A 59001-2024 tillsynsbegäran mail.docx", "A 59001-2024")</f>
        <v/>
      </c>
    </row>
    <row r="135" ht="15" customHeight="1">
      <c r="A135" t="inlineStr">
        <is>
          <t>A 38282-2024</t>
        </is>
      </c>
      <c r="B135" s="1" t="n">
        <v>45545</v>
      </c>
      <c r="C135" s="1" t="n">
        <v>45911</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34769-2024</t>
        </is>
      </c>
      <c r="B136" s="1" t="n">
        <v>45526.62043981482</v>
      </c>
      <c r="C136" s="1" t="n">
        <v>45911</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29376-2021</t>
        </is>
      </c>
      <c r="B137" s="1" t="n">
        <v>44361</v>
      </c>
      <c r="C137" s="1" t="n">
        <v>45911</v>
      </c>
      <c r="D137" t="inlineStr">
        <is>
          <t>VÄSTERBOTTENS LÄN</t>
        </is>
      </c>
      <c r="E137" t="inlineStr">
        <is>
          <t>VILHELMINA</t>
        </is>
      </c>
      <c r="F137" t="inlineStr">
        <is>
          <t>Allmännings- och besparingsskogar</t>
        </is>
      </c>
      <c r="G137" t="n">
        <v>110.8</v>
      </c>
      <c r="H137" t="n">
        <v>1</v>
      </c>
      <c r="I137" t="n">
        <v>0</v>
      </c>
      <c r="J137" t="n">
        <v>0</v>
      </c>
      <c r="K137" t="n">
        <v>0</v>
      </c>
      <c r="L137" t="n">
        <v>0</v>
      </c>
      <c r="M137" t="n">
        <v>0</v>
      </c>
      <c r="N137" t="n">
        <v>0</v>
      </c>
      <c r="O137" t="n">
        <v>0</v>
      </c>
      <c r="P137" t="n">
        <v>0</v>
      </c>
      <c r="Q137" t="n">
        <v>1</v>
      </c>
      <c r="R137" s="2" t="inlineStr">
        <is>
          <t>Lavskrika</t>
        </is>
      </c>
      <c r="S137">
        <f>HYPERLINK("https://klasma.github.io/Logging_2462/artfynd/A 29376-2021 artfynd.xlsx", "A 29376-2021")</f>
        <v/>
      </c>
      <c r="T137">
        <f>HYPERLINK("https://klasma.github.io/Logging_2462/kartor/A 29376-2021 karta.png", "A 29376-2021")</f>
        <v/>
      </c>
      <c r="V137">
        <f>HYPERLINK("https://klasma.github.io/Logging_2462/klagomål/A 29376-2021 FSC-klagomål.docx", "A 29376-2021")</f>
        <v/>
      </c>
      <c r="W137">
        <f>HYPERLINK("https://klasma.github.io/Logging_2462/klagomålsmail/A 29376-2021 FSC-klagomål mail.docx", "A 29376-2021")</f>
        <v/>
      </c>
      <c r="X137">
        <f>HYPERLINK("https://klasma.github.io/Logging_2462/tillsyn/A 29376-2021 tillsynsbegäran.docx", "A 29376-2021")</f>
        <v/>
      </c>
      <c r="Y137">
        <f>HYPERLINK("https://klasma.github.io/Logging_2462/tillsynsmail/A 29376-2021 tillsynsbegäran mail.docx", "A 29376-2021")</f>
        <v/>
      </c>
      <c r="Z137">
        <f>HYPERLINK("https://klasma.github.io/Logging_2462/fåglar/A 29376-2021 prioriterade fågelarter.docx", "A 29376-2021")</f>
        <v/>
      </c>
    </row>
    <row r="138" ht="15" customHeight="1">
      <c r="A138" t="inlineStr">
        <is>
          <t>A 29121-2025</t>
        </is>
      </c>
      <c r="B138" s="1" t="n">
        <v>45821</v>
      </c>
      <c r="C138" s="1" t="n">
        <v>45911</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29317-2023</t>
        </is>
      </c>
      <c r="B139" s="1" t="n">
        <v>45105</v>
      </c>
      <c r="C139" s="1" t="n">
        <v>45911</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11832-2023</t>
        </is>
      </c>
      <c r="B140" s="1" t="n">
        <v>44994</v>
      </c>
      <c r="C140" s="1" t="n">
        <v>45911</v>
      </c>
      <c r="D140" t="inlineStr">
        <is>
          <t>VÄSTERBOTTENS LÄN</t>
        </is>
      </c>
      <c r="E140" t="inlineStr">
        <is>
          <t>VILHELMINA</t>
        </is>
      </c>
      <c r="F140" t="inlineStr">
        <is>
          <t>SCA</t>
        </is>
      </c>
      <c r="G140" t="n">
        <v>6.7</v>
      </c>
      <c r="H140" t="n">
        <v>0</v>
      </c>
      <c r="I140" t="n">
        <v>0</v>
      </c>
      <c r="J140" t="n">
        <v>1</v>
      </c>
      <c r="K140" t="n">
        <v>0</v>
      </c>
      <c r="L140" t="n">
        <v>0</v>
      </c>
      <c r="M140" t="n">
        <v>0</v>
      </c>
      <c r="N140" t="n">
        <v>0</v>
      </c>
      <c r="O140" t="n">
        <v>1</v>
      </c>
      <c r="P140" t="n">
        <v>0</v>
      </c>
      <c r="Q140" t="n">
        <v>1</v>
      </c>
      <c r="R140" s="2" t="inlineStr">
        <is>
          <t>Granticka</t>
        </is>
      </c>
      <c r="S140">
        <f>HYPERLINK("https://klasma.github.io/Logging_2462/artfynd/A 11832-2023 artfynd.xlsx", "A 11832-2023")</f>
        <v/>
      </c>
      <c r="T140">
        <f>HYPERLINK("https://klasma.github.io/Logging_2462/kartor/A 11832-2023 karta.png", "A 11832-2023")</f>
        <v/>
      </c>
      <c r="V140">
        <f>HYPERLINK("https://klasma.github.io/Logging_2462/klagomål/A 11832-2023 FSC-klagomål.docx", "A 11832-2023")</f>
        <v/>
      </c>
      <c r="W140">
        <f>HYPERLINK("https://klasma.github.io/Logging_2462/klagomålsmail/A 11832-2023 FSC-klagomål mail.docx", "A 11832-2023")</f>
        <v/>
      </c>
      <c r="X140">
        <f>HYPERLINK("https://klasma.github.io/Logging_2462/tillsyn/A 11832-2023 tillsynsbegäran.docx", "A 11832-2023")</f>
        <v/>
      </c>
      <c r="Y140">
        <f>HYPERLINK("https://klasma.github.io/Logging_2462/tillsynsmail/A 11832-2023 tillsynsbegäran mail.docx", "A 11832-2023")</f>
        <v/>
      </c>
    </row>
    <row r="141" ht="15" customHeight="1">
      <c r="A141" t="inlineStr">
        <is>
          <t>A 38131-2024</t>
        </is>
      </c>
      <c r="B141" s="1" t="n">
        <v>45545</v>
      </c>
      <c r="C141" s="1" t="n">
        <v>45911</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59664-2023</t>
        </is>
      </c>
      <c r="B142" s="1" t="n">
        <v>45254</v>
      </c>
      <c r="C142" s="1" t="n">
        <v>45911</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29434-2025</t>
        </is>
      </c>
      <c r="B143" s="1" t="n">
        <v>45824</v>
      </c>
      <c r="C143" s="1" t="n">
        <v>45911</v>
      </c>
      <c r="D143" t="inlineStr">
        <is>
          <t>VÄSTERBOTTENS LÄN</t>
        </is>
      </c>
      <c r="E143" t="inlineStr">
        <is>
          <t>VILHELMINA</t>
        </is>
      </c>
      <c r="F143" t="inlineStr">
        <is>
          <t>SCA</t>
        </is>
      </c>
      <c r="G143" t="n">
        <v>5.9</v>
      </c>
      <c r="H143" t="n">
        <v>0</v>
      </c>
      <c r="I143" t="n">
        <v>1</v>
      </c>
      <c r="J143" t="n">
        <v>0</v>
      </c>
      <c r="K143" t="n">
        <v>0</v>
      </c>
      <c r="L143" t="n">
        <v>0</v>
      </c>
      <c r="M143" t="n">
        <v>0</v>
      </c>
      <c r="N143" t="n">
        <v>0</v>
      </c>
      <c r="O143" t="n">
        <v>0</v>
      </c>
      <c r="P143" t="n">
        <v>0</v>
      </c>
      <c r="Q143" t="n">
        <v>1</v>
      </c>
      <c r="R143" s="2" t="inlineStr">
        <is>
          <t>Tibast</t>
        </is>
      </c>
      <c r="S143">
        <f>HYPERLINK("https://klasma.github.io/Logging_2462/artfynd/A 29434-2025 artfynd.xlsx", "A 29434-2025")</f>
        <v/>
      </c>
      <c r="T143">
        <f>HYPERLINK("https://klasma.github.io/Logging_2462/kartor/A 29434-2025 karta.png", "A 29434-2025")</f>
        <v/>
      </c>
      <c r="V143">
        <f>HYPERLINK("https://klasma.github.io/Logging_2462/klagomål/A 29434-2025 FSC-klagomål.docx", "A 29434-2025")</f>
        <v/>
      </c>
      <c r="W143">
        <f>HYPERLINK("https://klasma.github.io/Logging_2462/klagomålsmail/A 29434-2025 FSC-klagomål mail.docx", "A 29434-2025")</f>
        <v/>
      </c>
      <c r="X143">
        <f>HYPERLINK("https://klasma.github.io/Logging_2462/tillsyn/A 29434-2025 tillsynsbegäran.docx", "A 29434-2025")</f>
        <v/>
      </c>
      <c r="Y143">
        <f>HYPERLINK("https://klasma.github.io/Logging_2462/tillsynsmail/A 29434-2025 tillsynsbegäran mail.docx", "A 29434-2025")</f>
        <v/>
      </c>
    </row>
    <row r="144" ht="15" customHeight="1">
      <c r="A144" t="inlineStr">
        <is>
          <t>A 13523-2025</t>
        </is>
      </c>
      <c r="B144" s="1" t="n">
        <v>45736</v>
      </c>
      <c r="C144" s="1" t="n">
        <v>45911</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44286-2024</t>
        </is>
      </c>
      <c r="B145" s="1" t="n">
        <v>45573</v>
      </c>
      <c r="C145" s="1" t="n">
        <v>45911</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32677-2021</t>
        </is>
      </c>
      <c r="B146" s="1" t="n">
        <v>44371</v>
      </c>
      <c r="C146" s="1" t="n">
        <v>45911</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38929-2025</t>
        </is>
      </c>
      <c r="B147" s="1" t="n">
        <v>45887</v>
      </c>
      <c r="C147" s="1" t="n">
        <v>45911</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66924-2021</t>
        </is>
      </c>
      <c r="B148" s="1" t="n">
        <v>44522</v>
      </c>
      <c r="C148" s="1" t="n">
        <v>45911</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60369-2021</t>
        </is>
      </c>
      <c r="B149" s="1" t="n">
        <v>44494</v>
      </c>
      <c r="C149" s="1" t="n">
        <v>45911</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45911</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56247-2023</t>
        </is>
      </c>
      <c r="B151" s="1" t="n">
        <v>45240</v>
      </c>
      <c r="C151" s="1" t="n">
        <v>45911</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45911</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42489-2024</t>
        </is>
      </c>
      <c r="B153" s="1" t="n">
        <v>45565</v>
      </c>
      <c r="C153" s="1" t="n">
        <v>45911</v>
      </c>
      <c r="D153" t="inlineStr">
        <is>
          <t>VÄSTERBOTTENS LÄN</t>
        </is>
      </c>
      <c r="E153" t="inlineStr">
        <is>
          <t>VILHELMINA</t>
        </is>
      </c>
      <c r="F153" t="inlineStr">
        <is>
          <t>SCA</t>
        </is>
      </c>
      <c r="G153" t="n">
        <v>1.9</v>
      </c>
      <c r="H153" t="n">
        <v>0</v>
      </c>
      <c r="I153" t="n">
        <v>0</v>
      </c>
      <c r="J153" t="n">
        <v>1</v>
      </c>
      <c r="K153" t="n">
        <v>0</v>
      </c>
      <c r="L153" t="n">
        <v>0</v>
      </c>
      <c r="M153" t="n">
        <v>0</v>
      </c>
      <c r="N153" t="n">
        <v>0</v>
      </c>
      <c r="O153" t="n">
        <v>1</v>
      </c>
      <c r="P153" t="n">
        <v>0</v>
      </c>
      <c r="Q153" t="n">
        <v>1</v>
      </c>
      <c r="R153" s="2" t="inlineStr">
        <is>
          <t>Granticka</t>
        </is>
      </c>
      <c r="S153">
        <f>HYPERLINK("https://klasma.github.io/Logging_2462/artfynd/A 42489-2024 artfynd.xlsx", "A 42489-2024")</f>
        <v/>
      </c>
      <c r="T153">
        <f>HYPERLINK("https://klasma.github.io/Logging_2462/kartor/A 42489-2024 karta.png", "A 42489-2024")</f>
        <v/>
      </c>
      <c r="V153">
        <f>HYPERLINK("https://klasma.github.io/Logging_2462/klagomål/A 42489-2024 FSC-klagomål.docx", "A 42489-2024")</f>
        <v/>
      </c>
      <c r="W153">
        <f>HYPERLINK("https://klasma.github.io/Logging_2462/klagomålsmail/A 42489-2024 FSC-klagomål mail.docx", "A 42489-2024")</f>
        <v/>
      </c>
      <c r="X153">
        <f>HYPERLINK("https://klasma.github.io/Logging_2462/tillsyn/A 42489-2024 tillsynsbegäran.docx", "A 42489-2024")</f>
        <v/>
      </c>
      <c r="Y153">
        <f>HYPERLINK("https://klasma.github.io/Logging_2462/tillsynsmail/A 42489-2024 tillsynsbegäran mail.docx", "A 42489-2024")</f>
        <v/>
      </c>
    </row>
    <row r="154" ht="15" customHeight="1">
      <c r="A154" t="inlineStr">
        <is>
          <t>A 38416-2022</t>
        </is>
      </c>
      <c r="B154" s="1" t="n">
        <v>44812</v>
      </c>
      <c r="C154" s="1" t="n">
        <v>45911</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45911</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45911</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45911</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45911</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45911</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45911</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45911</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66259-2021</t>
        </is>
      </c>
      <c r="B162" s="1" t="n">
        <v>44518</v>
      </c>
      <c r="C162" s="1" t="n">
        <v>45911</v>
      </c>
      <c r="D162" t="inlineStr">
        <is>
          <t>VÄSTERBOTTENS LÄN</t>
        </is>
      </c>
      <c r="E162" t="inlineStr">
        <is>
          <t>VILHELMINA</t>
        </is>
      </c>
      <c r="G162" t="n">
        <v>14.6</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45911</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45911</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45911</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45911</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45911</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45911</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45911</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45911</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45911</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45911</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45911</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45911</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45911</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45911</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45911</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45911</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45911</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45911</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45911</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45911</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45911</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45911</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45911</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45911</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45911</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45911</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45911</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45911</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45911</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45911</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45911</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45911</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45911</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45911</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45911</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45911</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45911</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45911</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72487-2021</t>
        </is>
      </c>
      <c r="B201" s="1" t="n">
        <v>44545.92033564814</v>
      </c>
      <c r="C201" s="1" t="n">
        <v>45911</v>
      </c>
      <c r="D201" t="inlineStr">
        <is>
          <t>VÄSTERBOTTENS LÄN</t>
        </is>
      </c>
      <c r="E201" t="inlineStr">
        <is>
          <t>VILHELMINA</t>
        </is>
      </c>
      <c r="G201" t="n">
        <v>1.2</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45911</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45911</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45911</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31722-2021</t>
        </is>
      </c>
      <c r="B205" s="1" t="n">
        <v>44369.91984953704</v>
      </c>
      <c r="C205" s="1" t="n">
        <v>45911</v>
      </c>
      <c r="D205" t="inlineStr">
        <is>
          <t>VÄSTERBOTTENS LÄN</t>
        </is>
      </c>
      <c r="E205" t="inlineStr">
        <is>
          <t>VILHELMINA</t>
        </is>
      </c>
      <c r="G205" t="n">
        <v>2.8</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45911</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45911</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45911</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31656-2021</t>
        </is>
      </c>
      <c r="B209" s="1" t="n">
        <v>44377</v>
      </c>
      <c r="C209" s="1" t="n">
        <v>45911</v>
      </c>
      <c r="D209" t="inlineStr">
        <is>
          <t>VÄSTERBOTTENS LÄN</t>
        </is>
      </c>
      <c r="E209" t="inlineStr">
        <is>
          <t>VILHELMINA</t>
        </is>
      </c>
      <c r="G209" t="n">
        <v>0.9</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45911</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69850-2021</t>
        </is>
      </c>
      <c r="B211" s="1" t="n">
        <v>44532</v>
      </c>
      <c r="C211" s="1" t="n">
        <v>45911</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45911</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45911</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45911</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45911</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45911</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45911</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45911</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45911</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45911</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45911</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45911</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45911</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24983-2021</t>
        </is>
      </c>
      <c r="B224" s="1" t="n">
        <v>44341</v>
      </c>
      <c r="C224" s="1" t="n">
        <v>45911</v>
      </c>
      <c r="D224" t="inlineStr">
        <is>
          <t>VÄSTERBOTTENS LÄN</t>
        </is>
      </c>
      <c r="E224" t="inlineStr">
        <is>
          <t>VILHELMINA</t>
        </is>
      </c>
      <c r="G224" t="n">
        <v>12.9</v>
      </c>
      <c r="H224" t="n">
        <v>0</v>
      </c>
      <c r="I224" t="n">
        <v>0</v>
      </c>
      <c r="J224" t="n">
        <v>0</v>
      </c>
      <c r="K224" t="n">
        <v>0</v>
      </c>
      <c r="L224" t="n">
        <v>0</v>
      </c>
      <c r="M224" t="n">
        <v>0</v>
      </c>
      <c r="N224" t="n">
        <v>0</v>
      </c>
      <c r="O224" t="n">
        <v>0</v>
      </c>
      <c r="P224" t="n">
        <v>0</v>
      </c>
      <c r="Q224" t="n">
        <v>0</v>
      </c>
      <c r="R224" s="2" t="inlineStr"/>
    </row>
    <row r="225" ht="15" customHeight="1">
      <c r="A225" t="inlineStr">
        <is>
          <t>A 64759-2020</t>
        </is>
      </c>
      <c r="B225" s="1" t="n">
        <v>44169</v>
      </c>
      <c r="C225" s="1" t="n">
        <v>45911</v>
      </c>
      <c r="D225" t="inlineStr">
        <is>
          <t>VÄSTERBOTTENS LÄN</t>
        </is>
      </c>
      <c r="E225" t="inlineStr">
        <is>
          <t>VILHELMINA</t>
        </is>
      </c>
      <c r="G225" t="n">
        <v>24.6</v>
      </c>
      <c r="H225" t="n">
        <v>0</v>
      </c>
      <c r="I225" t="n">
        <v>0</v>
      </c>
      <c r="J225" t="n">
        <v>0</v>
      </c>
      <c r="K225" t="n">
        <v>0</v>
      </c>
      <c r="L225" t="n">
        <v>0</v>
      </c>
      <c r="M225" t="n">
        <v>0</v>
      </c>
      <c r="N225" t="n">
        <v>0</v>
      </c>
      <c r="O225" t="n">
        <v>0</v>
      </c>
      <c r="P225" t="n">
        <v>0</v>
      </c>
      <c r="Q225" t="n">
        <v>0</v>
      </c>
      <c r="R225" s="2" t="inlineStr"/>
    </row>
    <row r="226" ht="15" customHeight="1">
      <c r="A226" t="inlineStr">
        <is>
          <t>A 57086-2021</t>
        </is>
      </c>
      <c r="B226" s="1" t="n">
        <v>44482</v>
      </c>
      <c r="C226" s="1" t="n">
        <v>45911</v>
      </c>
      <c r="D226" t="inlineStr">
        <is>
          <t>VÄSTERBOTTENS LÄN</t>
        </is>
      </c>
      <c r="E226" t="inlineStr">
        <is>
          <t>VILHELMINA</t>
        </is>
      </c>
      <c r="G226" t="n">
        <v>1.5</v>
      </c>
      <c r="H226" t="n">
        <v>0</v>
      </c>
      <c r="I226" t="n">
        <v>0</v>
      </c>
      <c r="J226" t="n">
        <v>0</v>
      </c>
      <c r="K226" t="n">
        <v>0</v>
      </c>
      <c r="L226" t="n">
        <v>0</v>
      </c>
      <c r="M226" t="n">
        <v>0</v>
      </c>
      <c r="N226" t="n">
        <v>0</v>
      </c>
      <c r="O226" t="n">
        <v>0</v>
      </c>
      <c r="P226" t="n">
        <v>0</v>
      </c>
      <c r="Q226" t="n">
        <v>0</v>
      </c>
      <c r="R226" s="2" t="inlineStr"/>
    </row>
    <row r="227" ht="15" customHeight="1">
      <c r="A227" t="inlineStr">
        <is>
          <t>A 29773-2022</t>
        </is>
      </c>
      <c r="B227" s="1" t="n">
        <v>44755.62866898148</v>
      </c>
      <c r="C227" s="1" t="n">
        <v>45911</v>
      </c>
      <c r="D227" t="inlineStr">
        <is>
          <t>VÄSTERBOTTENS LÄN</t>
        </is>
      </c>
      <c r="E227" t="inlineStr">
        <is>
          <t>VILHELMINA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45911</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45911</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45911</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45911</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45911</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43741-2022</t>
        </is>
      </c>
      <c r="B233" s="1" t="n">
        <v>44837</v>
      </c>
      <c r="C233" s="1" t="n">
        <v>45911</v>
      </c>
      <c r="D233" t="inlineStr">
        <is>
          <t>VÄSTERBOTTENS LÄN</t>
        </is>
      </c>
      <c r="E233" t="inlineStr">
        <is>
          <t>VILHELMINA</t>
        </is>
      </c>
      <c r="G233" t="n">
        <v>54.2</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45911</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33603-2022</t>
        </is>
      </c>
      <c r="B235" s="1" t="n">
        <v>44789.49009259259</v>
      </c>
      <c r="C235" s="1" t="n">
        <v>45911</v>
      </c>
      <c r="D235" t="inlineStr">
        <is>
          <t>VÄSTERBOTTENS LÄN</t>
        </is>
      </c>
      <c r="E235" t="inlineStr">
        <is>
          <t>VILHELMINA</t>
        </is>
      </c>
      <c r="F235" t="inlineStr">
        <is>
          <t>Sveaskog</t>
        </is>
      </c>
      <c r="G235" t="n">
        <v>15.1</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45911</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27874-2022</t>
        </is>
      </c>
      <c r="B237" s="1" t="n">
        <v>44743</v>
      </c>
      <c r="C237" s="1" t="n">
        <v>45911</v>
      </c>
      <c r="D237" t="inlineStr">
        <is>
          <t>VÄSTERBOTTENS LÄN</t>
        </is>
      </c>
      <c r="E237" t="inlineStr">
        <is>
          <t>VILHELMINA</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27880-2022</t>
        </is>
      </c>
      <c r="B238" s="1" t="n">
        <v>44743</v>
      </c>
      <c r="C238" s="1" t="n">
        <v>45911</v>
      </c>
      <c r="D238" t="inlineStr">
        <is>
          <t>VÄSTERBOTTENS LÄN</t>
        </is>
      </c>
      <c r="E238" t="inlineStr">
        <is>
          <t>VILHELMINA</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47287-2022</t>
        </is>
      </c>
      <c r="B239" s="1" t="n">
        <v>44852.95145833334</v>
      </c>
      <c r="C239" s="1" t="n">
        <v>45911</v>
      </c>
      <c r="D239" t="inlineStr">
        <is>
          <t>VÄSTERBOTTENS LÄN</t>
        </is>
      </c>
      <c r="E239" t="inlineStr">
        <is>
          <t>VILHELMINA</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47288-2022</t>
        </is>
      </c>
      <c r="B240" s="1" t="n">
        <v>44852</v>
      </c>
      <c r="C240" s="1" t="n">
        <v>45911</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45911</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48574-2021</t>
        </is>
      </c>
      <c r="B242" s="1" t="n">
        <v>44452</v>
      </c>
      <c r="C242" s="1" t="n">
        <v>45911</v>
      </c>
      <c r="D242" t="inlineStr">
        <is>
          <t>VÄSTERBOTTENS LÄN</t>
        </is>
      </c>
      <c r="E242" t="inlineStr">
        <is>
          <t>VILHELMINA</t>
        </is>
      </c>
      <c r="F242" t="inlineStr">
        <is>
          <t>Allmännings- och besparingsskogar</t>
        </is>
      </c>
      <c r="G242" t="n">
        <v>85.09999999999999</v>
      </c>
      <c r="H242" t="n">
        <v>0</v>
      </c>
      <c r="I242" t="n">
        <v>0</v>
      </c>
      <c r="J242" t="n">
        <v>0</v>
      </c>
      <c r="K242" t="n">
        <v>0</v>
      </c>
      <c r="L242" t="n">
        <v>0</v>
      </c>
      <c r="M242" t="n">
        <v>0</v>
      </c>
      <c r="N242" t="n">
        <v>0</v>
      </c>
      <c r="O242" t="n">
        <v>0</v>
      </c>
      <c r="P242" t="n">
        <v>0</v>
      </c>
      <c r="Q242" t="n">
        <v>0</v>
      </c>
      <c r="R242" s="2" t="inlineStr"/>
    </row>
    <row r="243" ht="15" customHeight="1">
      <c r="A243" t="inlineStr">
        <is>
          <t>A 2193-2021</t>
        </is>
      </c>
      <c r="B243" s="1" t="n">
        <v>44211</v>
      </c>
      <c r="C243" s="1" t="n">
        <v>45911</v>
      </c>
      <c r="D243" t="inlineStr">
        <is>
          <t>VÄSTERBOTTENS LÄN</t>
        </is>
      </c>
      <c r="E243" t="inlineStr">
        <is>
          <t>VILHELMINA</t>
        </is>
      </c>
      <c r="F243" t="inlineStr">
        <is>
          <t>Allmännings- och besparingsskogar</t>
        </is>
      </c>
      <c r="G243" t="n">
        <v>157.8</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45911</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45911</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48068-2022</t>
        </is>
      </c>
      <c r="B246" s="1" t="n">
        <v>44855</v>
      </c>
      <c r="C246" s="1" t="n">
        <v>45911</v>
      </c>
      <c r="D246" t="inlineStr">
        <is>
          <t>VÄSTERBOTTENS LÄN</t>
        </is>
      </c>
      <c r="E246" t="inlineStr">
        <is>
          <t>VILHELMINA</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36288-2021</t>
        </is>
      </c>
      <c r="B247" s="1" t="n">
        <v>44389</v>
      </c>
      <c r="C247" s="1" t="n">
        <v>45911</v>
      </c>
      <c r="D247" t="inlineStr">
        <is>
          <t>VÄSTERBOTTENS LÄN</t>
        </is>
      </c>
      <c r="E247" t="inlineStr">
        <is>
          <t>VILHELMINA</t>
        </is>
      </c>
      <c r="G247" t="n">
        <v>20.5</v>
      </c>
      <c r="H247" t="n">
        <v>0</v>
      </c>
      <c r="I247" t="n">
        <v>0</v>
      </c>
      <c r="J247" t="n">
        <v>0</v>
      </c>
      <c r="K247" t="n">
        <v>0</v>
      </c>
      <c r="L247" t="n">
        <v>0</v>
      </c>
      <c r="M247" t="n">
        <v>0</v>
      </c>
      <c r="N247" t="n">
        <v>0</v>
      </c>
      <c r="O247" t="n">
        <v>0</v>
      </c>
      <c r="P247" t="n">
        <v>0</v>
      </c>
      <c r="Q247" t="n">
        <v>0</v>
      </c>
      <c r="R247" s="2" t="inlineStr"/>
    </row>
    <row r="248" ht="15" customHeight="1">
      <c r="A248" t="inlineStr">
        <is>
          <t>A 43791-2024</t>
        </is>
      </c>
      <c r="B248" s="1" t="n">
        <v>45571</v>
      </c>
      <c r="C248" s="1" t="n">
        <v>45911</v>
      </c>
      <c r="D248" t="inlineStr">
        <is>
          <t>VÄSTERBOTTENS LÄN</t>
        </is>
      </c>
      <c r="E248" t="inlineStr">
        <is>
          <t>VILHELMINA</t>
        </is>
      </c>
      <c r="G248" t="n">
        <v>30.3</v>
      </c>
      <c r="H248" t="n">
        <v>0</v>
      </c>
      <c r="I248" t="n">
        <v>0</v>
      </c>
      <c r="J248" t="n">
        <v>0</v>
      </c>
      <c r="K248" t="n">
        <v>0</v>
      </c>
      <c r="L248" t="n">
        <v>0</v>
      </c>
      <c r="M248" t="n">
        <v>0</v>
      </c>
      <c r="N248" t="n">
        <v>0</v>
      </c>
      <c r="O248" t="n">
        <v>0</v>
      </c>
      <c r="P248" t="n">
        <v>0</v>
      </c>
      <c r="Q248" t="n">
        <v>0</v>
      </c>
      <c r="R248" s="2" t="inlineStr"/>
    </row>
    <row r="249" ht="15" customHeight="1">
      <c r="A249" t="inlineStr">
        <is>
          <t>A 43792-2024</t>
        </is>
      </c>
      <c r="B249" s="1" t="n">
        <v>45571</v>
      </c>
      <c r="C249" s="1" t="n">
        <v>45911</v>
      </c>
      <c r="D249" t="inlineStr">
        <is>
          <t>VÄSTERBOTTENS LÄN</t>
        </is>
      </c>
      <c r="E249" t="inlineStr">
        <is>
          <t>VILHELMINA</t>
        </is>
      </c>
      <c r="G249" t="n">
        <v>25.3</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45911</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55722-2023</t>
        </is>
      </c>
      <c r="B251" s="1" t="n">
        <v>45232</v>
      </c>
      <c r="C251" s="1" t="n">
        <v>45911</v>
      </c>
      <c r="D251" t="inlineStr">
        <is>
          <t>VÄSTERBOTTENS LÄN</t>
        </is>
      </c>
      <c r="E251" t="inlineStr">
        <is>
          <t>VILHELMINA</t>
        </is>
      </c>
      <c r="G251" t="n">
        <v>5.8</v>
      </c>
      <c r="H251" t="n">
        <v>0</v>
      </c>
      <c r="I251" t="n">
        <v>0</v>
      </c>
      <c r="J251" t="n">
        <v>0</v>
      </c>
      <c r="K251" t="n">
        <v>0</v>
      </c>
      <c r="L251" t="n">
        <v>0</v>
      </c>
      <c r="M251" t="n">
        <v>0</v>
      </c>
      <c r="N251" t="n">
        <v>0</v>
      </c>
      <c r="O251" t="n">
        <v>0</v>
      </c>
      <c r="P251" t="n">
        <v>0</v>
      </c>
      <c r="Q251" t="n">
        <v>0</v>
      </c>
      <c r="R251" s="2" t="inlineStr"/>
    </row>
    <row r="252" ht="15" customHeight="1">
      <c r="A252" t="inlineStr">
        <is>
          <t>A 12189-2024</t>
        </is>
      </c>
      <c r="B252" s="1" t="n">
        <v>45377.94945601852</v>
      </c>
      <c r="C252" s="1" t="n">
        <v>45911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22107-2024</t>
        </is>
      </c>
      <c r="B253" s="1" t="n">
        <v>45443</v>
      </c>
      <c r="C253" s="1" t="n">
        <v>45911</v>
      </c>
      <c r="D253" t="inlineStr">
        <is>
          <t>VÄSTERBOTTENS LÄN</t>
        </is>
      </c>
      <c r="E253" t="inlineStr">
        <is>
          <t>VILHELMINA</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8718-2025</t>
        </is>
      </c>
      <c r="B254" s="1" t="n">
        <v>45712</v>
      </c>
      <c r="C254" s="1" t="n">
        <v>45911</v>
      </c>
      <c r="D254" t="inlineStr">
        <is>
          <t>VÄSTERBOTTENS LÄN</t>
        </is>
      </c>
      <c r="E254" t="inlineStr">
        <is>
          <t>VILHELMINA</t>
        </is>
      </c>
      <c r="G254" t="n">
        <v>21.3</v>
      </c>
      <c r="H254" t="n">
        <v>0</v>
      </c>
      <c r="I254" t="n">
        <v>0</v>
      </c>
      <c r="J254" t="n">
        <v>0</v>
      </c>
      <c r="K254" t="n">
        <v>0</v>
      </c>
      <c r="L254" t="n">
        <v>0</v>
      </c>
      <c r="M254" t="n">
        <v>0</v>
      </c>
      <c r="N254" t="n">
        <v>0</v>
      </c>
      <c r="O254" t="n">
        <v>0</v>
      </c>
      <c r="P254" t="n">
        <v>0</v>
      </c>
      <c r="Q254" t="n">
        <v>0</v>
      </c>
      <c r="R254" s="2" t="inlineStr"/>
    </row>
    <row r="255" ht="15" customHeight="1">
      <c r="A255" t="inlineStr">
        <is>
          <t>A 36376-2023</t>
        </is>
      </c>
      <c r="B255" s="1" t="n">
        <v>45152</v>
      </c>
      <c r="C255" s="1" t="n">
        <v>45911</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30575-2024</t>
        </is>
      </c>
      <c r="B256" s="1" t="n">
        <v>45492.95818287037</v>
      </c>
      <c r="C256" s="1" t="n">
        <v>45911</v>
      </c>
      <c r="D256" t="inlineStr">
        <is>
          <t>VÄSTERBOTTENS LÄN</t>
        </is>
      </c>
      <c r="E256" t="inlineStr">
        <is>
          <t>VILHELMINA</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30578-2024</t>
        </is>
      </c>
      <c r="B257" s="1" t="n">
        <v>45492.95939814814</v>
      </c>
      <c r="C257" s="1" t="n">
        <v>45911</v>
      </c>
      <c r="D257" t="inlineStr">
        <is>
          <t>VÄSTERBOTTENS LÄN</t>
        </is>
      </c>
      <c r="E257" t="inlineStr">
        <is>
          <t>VILHELMINA</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30580-2024</t>
        </is>
      </c>
      <c r="B258" s="1" t="n">
        <v>45492.95981481481</v>
      </c>
      <c r="C258" s="1" t="n">
        <v>45911</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72153-2021</t>
        </is>
      </c>
      <c r="B259" s="1" t="n">
        <v>44543</v>
      </c>
      <c r="C259" s="1" t="n">
        <v>45911</v>
      </c>
      <c r="D259" t="inlineStr">
        <is>
          <t>VÄSTERBOTTENS LÄN</t>
        </is>
      </c>
      <c r="E259" t="inlineStr">
        <is>
          <t>VILHELMINA</t>
        </is>
      </c>
      <c r="G259" t="n">
        <v>6.7</v>
      </c>
      <c r="H259" t="n">
        <v>0</v>
      </c>
      <c r="I259" t="n">
        <v>0</v>
      </c>
      <c r="J259" t="n">
        <v>0</v>
      </c>
      <c r="K259" t="n">
        <v>0</v>
      </c>
      <c r="L259" t="n">
        <v>0</v>
      </c>
      <c r="M259" t="n">
        <v>0</v>
      </c>
      <c r="N259" t="n">
        <v>0</v>
      </c>
      <c r="O259" t="n">
        <v>0</v>
      </c>
      <c r="P259" t="n">
        <v>0</v>
      </c>
      <c r="Q259" t="n">
        <v>0</v>
      </c>
      <c r="R259" s="2" t="inlineStr"/>
    </row>
    <row r="260" ht="15" customHeight="1">
      <c r="A260" t="inlineStr">
        <is>
          <t>A 35983-2023</t>
        </is>
      </c>
      <c r="B260" s="1" t="n">
        <v>45148.96185185185</v>
      </c>
      <c r="C260" s="1" t="n">
        <v>45911</v>
      </c>
      <c r="D260" t="inlineStr">
        <is>
          <t>VÄSTERBOTTENS LÄN</t>
        </is>
      </c>
      <c r="E260" t="inlineStr">
        <is>
          <t>VILHELMINA</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23536-2024</t>
        </is>
      </c>
      <c r="B261" s="1" t="n">
        <v>45453.95199074074</v>
      </c>
      <c r="C261" s="1" t="n">
        <v>45911</v>
      </c>
      <c r="D261" t="inlineStr">
        <is>
          <t>VÄSTERBOTTENS LÄN</t>
        </is>
      </c>
      <c r="E261" t="inlineStr">
        <is>
          <t>VILHELMINA</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45911</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45965-2023</t>
        </is>
      </c>
      <c r="B263" s="1" t="n">
        <v>45195.94755787037</v>
      </c>
      <c r="C263" s="1" t="n">
        <v>45911</v>
      </c>
      <c r="D263" t="inlineStr">
        <is>
          <t>VÄSTERBOTTENS LÄN</t>
        </is>
      </c>
      <c r="E263" t="inlineStr">
        <is>
          <t>VILHELMINA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8003-2021</t>
        </is>
      </c>
      <c r="B264" s="1" t="n">
        <v>44243</v>
      </c>
      <c r="C264" s="1" t="n">
        <v>45911</v>
      </c>
      <c r="D264" t="inlineStr">
        <is>
          <t>VÄSTERBOTTENS LÄN</t>
        </is>
      </c>
      <c r="E264" t="inlineStr">
        <is>
          <t>VILHELMINA</t>
        </is>
      </c>
      <c r="G264" t="n">
        <v>5.1</v>
      </c>
      <c r="H264" t="n">
        <v>0</v>
      </c>
      <c r="I264" t="n">
        <v>0</v>
      </c>
      <c r="J264" t="n">
        <v>0</v>
      </c>
      <c r="K264" t="n">
        <v>0</v>
      </c>
      <c r="L264" t="n">
        <v>0</v>
      </c>
      <c r="M264" t="n">
        <v>0</v>
      </c>
      <c r="N264" t="n">
        <v>0</v>
      </c>
      <c r="O264" t="n">
        <v>0</v>
      </c>
      <c r="P264" t="n">
        <v>0</v>
      </c>
      <c r="Q264" t="n">
        <v>0</v>
      </c>
      <c r="R264" s="2" t="inlineStr"/>
    </row>
    <row r="265" ht="15" customHeight="1">
      <c r="A265" t="inlineStr">
        <is>
          <t>A 66917-2021</t>
        </is>
      </c>
      <c r="B265" s="1" t="n">
        <v>44522</v>
      </c>
      <c r="C265" s="1" t="n">
        <v>45911</v>
      </c>
      <c r="D265" t="inlineStr">
        <is>
          <t>VÄSTERBOTTENS LÄN</t>
        </is>
      </c>
      <c r="E265" t="inlineStr">
        <is>
          <t>VILHELMINA</t>
        </is>
      </c>
      <c r="F265" t="inlineStr">
        <is>
          <t>Allmännings- och besparingsskogar</t>
        </is>
      </c>
      <c r="G265" t="n">
        <v>11.7</v>
      </c>
      <c r="H265" t="n">
        <v>0</v>
      </c>
      <c r="I265" t="n">
        <v>0</v>
      </c>
      <c r="J265" t="n">
        <v>0</v>
      </c>
      <c r="K265" t="n">
        <v>0</v>
      </c>
      <c r="L265" t="n">
        <v>0</v>
      </c>
      <c r="M265" t="n">
        <v>0</v>
      </c>
      <c r="N265" t="n">
        <v>0</v>
      </c>
      <c r="O265" t="n">
        <v>0</v>
      </c>
      <c r="P265" t="n">
        <v>0</v>
      </c>
      <c r="Q265" t="n">
        <v>0</v>
      </c>
      <c r="R265" s="2" t="inlineStr"/>
    </row>
    <row r="266" ht="15" customHeight="1">
      <c r="A266" t="inlineStr">
        <is>
          <t>A 23544-2024</t>
        </is>
      </c>
      <c r="B266" s="1" t="n">
        <v>45453.95314814815</v>
      </c>
      <c r="C266" s="1" t="n">
        <v>45911</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23545-2024</t>
        </is>
      </c>
      <c r="B267" s="1" t="n">
        <v>45453.95326388889</v>
      </c>
      <c r="C267" s="1" t="n">
        <v>45911</v>
      </c>
      <c r="D267" t="inlineStr">
        <is>
          <t>VÄSTERBOTTENS LÄN</t>
        </is>
      </c>
      <c r="E267" t="inlineStr">
        <is>
          <t>VILHELMINA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8652-2023</t>
        </is>
      </c>
      <c r="B268" s="1" t="n">
        <v>44977.98401620371</v>
      </c>
      <c r="C268" s="1" t="n">
        <v>45911</v>
      </c>
      <c r="D268" t="inlineStr">
        <is>
          <t>VÄSTERBOTTENS LÄN</t>
        </is>
      </c>
      <c r="E268" t="inlineStr">
        <is>
          <t>VILHELMINA</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8653-2023</t>
        </is>
      </c>
      <c r="B269" s="1" t="n">
        <v>44977</v>
      </c>
      <c r="C269" s="1" t="n">
        <v>45911</v>
      </c>
      <c r="D269" t="inlineStr">
        <is>
          <t>VÄSTERBOTTENS LÄN</t>
        </is>
      </c>
      <c r="E269" t="inlineStr">
        <is>
          <t>VILHELMINA</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5955-2023</t>
        </is>
      </c>
      <c r="B270" s="1" t="n">
        <v>44963.93989583333</v>
      </c>
      <c r="C270" s="1" t="n">
        <v>45911</v>
      </c>
      <c r="D270" t="inlineStr">
        <is>
          <t>VÄSTERBOTTENS LÄN</t>
        </is>
      </c>
      <c r="E270" t="inlineStr">
        <is>
          <t>VILHELMINA</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34135-2024</t>
        </is>
      </c>
      <c r="B271" s="1" t="n">
        <v>45524.35605324074</v>
      </c>
      <c r="C271" s="1" t="n">
        <v>45911</v>
      </c>
      <c r="D271" t="inlineStr">
        <is>
          <t>VÄSTERBOTTENS LÄN</t>
        </is>
      </c>
      <c r="E271" t="inlineStr">
        <is>
          <t>VILHELMINA</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42478-2024</t>
        </is>
      </c>
      <c r="B272" s="1" t="n">
        <v>45565.4912962963</v>
      </c>
      <c r="C272" s="1" t="n">
        <v>45911</v>
      </c>
      <c r="D272" t="inlineStr">
        <is>
          <t>VÄSTERBOTTENS LÄN</t>
        </is>
      </c>
      <c r="E272" t="inlineStr">
        <is>
          <t>VILHELMINA</t>
        </is>
      </c>
      <c r="F272" t="inlineStr">
        <is>
          <t>SCA</t>
        </is>
      </c>
      <c r="G272" t="n">
        <v>6.6</v>
      </c>
      <c r="H272" t="n">
        <v>0</v>
      </c>
      <c r="I272" t="n">
        <v>0</v>
      </c>
      <c r="J272" t="n">
        <v>0</v>
      </c>
      <c r="K272" t="n">
        <v>0</v>
      </c>
      <c r="L272" t="n">
        <v>0</v>
      </c>
      <c r="M272" t="n">
        <v>0</v>
      </c>
      <c r="N272" t="n">
        <v>0</v>
      </c>
      <c r="O272" t="n">
        <v>0</v>
      </c>
      <c r="P272" t="n">
        <v>0</v>
      </c>
      <c r="Q272" t="n">
        <v>0</v>
      </c>
      <c r="R272" s="2" t="inlineStr"/>
    </row>
    <row r="273" ht="15" customHeight="1">
      <c r="A273" t="inlineStr">
        <is>
          <t>A 31896-2024</t>
        </is>
      </c>
      <c r="B273" s="1" t="n">
        <v>45509</v>
      </c>
      <c r="C273" s="1" t="n">
        <v>45911</v>
      </c>
      <c r="D273" t="inlineStr">
        <is>
          <t>VÄSTERBOTTENS LÄN</t>
        </is>
      </c>
      <c r="E273" t="inlineStr">
        <is>
          <t>VILHELMINA</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39914-2023</t>
        </is>
      </c>
      <c r="B274" s="1" t="n">
        <v>45166</v>
      </c>
      <c r="C274" s="1" t="n">
        <v>45911</v>
      </c>
      <c r="D274" t="inlineStr">
        <is>
          <t>VÄSTERBOTTENS LÄN</t>
        </is>
      </c>
      <c r="E274" t="inlineStr">
        <is>
          <t>VILHELMINA</t>
        </is>
      </c>
      <c r="G274" t="n">
        <v>27.5</v>
      </c>
      <c r="H274" t="n">
        <v>0</v>
      </c>
      <c r="I274" t="n">
        <v>0</v>
      </c>
      <c r="J274" t="n">
        <v>0</v>
      </c>
      <c r="K274" t="n">
        <v>0</v>
      </c>
      <c r="L274" t="n">
        <v>0</v>
      </c>
      <c r="M274" t="n">
        <v>0</v>
      </c>
      <c r="N274" t="n">
        <v>0</v>
      </c>
      <c r="O274" t="n">
        <v>0</v>
      </c>
      <c r="P274" t="n">
        <v>0</v>
      </c>
      <c r="Q274" t="n">
        <v>0</v>
      </c>
      <c r="R274" s="2" t="inlineStr"/>
    </row>
    <row r="275" ht="15" customHeight="1">
      <c r="A275" t="inlineStr">
        <is>
          <t>A 58749-2023</t>
        </is>
      </c>
      <c r="B275" s="1" t="n">
        <v>45251.92947916667</v>
      </c>
      <c r="C275" s="1" t="n">
        <v>45911</v>
      </c>
      <c r="D275" t="inlineStr">
        <is>
          <t>VÄSTERBOTTENS LÄN</t>
        </is>
      </c>
      <c r="E275" t="inlineStr">
        <is>
          <t>VILHELMINA</t>
        </is>
      </c>
      <c r="G275" t="n">
        <v>2.8</v>
      </c>
      <c r="H275" t="n">
        <v>0</v>
      </c>
      <c r="I275" t="n">
        <v>0</v>
      </c>
      <c r="J275" t="n">
        <v>0</v>
      </c>
      <c r="K275" t="n">
        <v>0</v>
      </c>
      <c r="L275" t="n">
        <v>0</v>
      </c>
      <c r="M275" t="n">
        <v>0</v>
      </c>
      <c r="N275" t="n">
        <v>0</v>
      </c>
      <c r="O275" t="n">
        <v>0</v>
      </c>
      <c r="P275" t="n">
        <v>0</v>
      </c>
      <c r="Q275" t="n">
        <v>0</v>
      </c>
      <c r="R275" s="2" t="inlineStr"/>
    </row>
    <row r="276" ht="15" customHeight="1">
      <c r="A276" t="inlineStr">
        <is>
          <t>A 38361-2023</t>
        </is>
      </c>
      <c r="B276" s="1" t="n">
        <v>45161.94315972222</v>
      </c>
      <c r="C276" s="1" t="n">
        <v>45911</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58824-2024</t>
        </is>
      </c>
      <c r="B277" s="1" t="n">
        <v>45636.36488425926</v>
      </c>
      <c r="C277" s="1" t="n">
        <v>45911</v>
      </c>
      <c r="D277" t="inlineStr">
        <is>
          <t>VÄSTERBOTTENS LÄN</t>
        </is>
      </c>
      <c r="E277" t="inlineStr">
        <is>
          <t>VILHELMINA</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60377-2024</t>
        </is>
      </c>
      <c r="B278" s="1" t="n">
        <v>45643</v>
      </c>
      <c r="C278" s="1" t="n">
        <v>45911</v>
      </c>
      <c r="D278" t="inlineStr">
        <is>
          <t>VÄSTERBOTTENS LÄN</t>
        </is>
      </c>
      <c r="E278" t="inlineStr">
        <is>
          <t>VILHELMINA</t>
        </is>
      </c>
      <c r="F278" t="inlineStr">
        <is>
          <t>SCA</t>
        </is>
      </c>
      <c r="G278" t="n">
        <v>16.2</v>
      </c>
      <c r="H278" t="n">
        <v>0</v>
      </c>
      <c r="I278" t="n">
        <v>0</v>
      </c>
      <c r="J278" t="n">
        <v>0</v>
      </c>
      <c r="K278" t="n">
        <v>0</v>
      </c>
      <c r="L278" t="n">
        <v>0</v>
      </c>
      <c r="M278" t="n">
        <v>0</v>
      </c>
      <c r="N278" t="n">
        <v>0</v>
      </c>
      <c r="O278" t="n">
        <v>0</v>
      </c>
      <c r="P278" t="n">
        <v>0</v>
      </c>
      <c r="Q278" t="n">
        <v>0</v>
      </c>
      <c r="R278" s="2" t="inlineStr"/>
    </row>
    <row r="279" ht="15" customHeight="1">
      <c r="A279" t="inlineStr">
        <is>
          <t>A 61953-2024</t>
        </is>
      </c>
      <c r="B279" s="1" t="n">
        <v>45653.5150462963</v>
      </c>
      <c r="C279" s="1" t="n">
        <v>45911</v>
      </c>
      <c r="D279" t="inlineStr">
        <is>
          <t>VÄSTERBOTTENS LÄN</t>
        </is>
      </c>
      <c r="E279" t="inlineStr">
        <is>
          <t>VILHELMINA</t>
        </is>
      </c>
      <c r="F279" t="inlineStr">
        <is>
          <t>Kommuner</t>
        </is>
      </c>
      <c r="G279" t="n">
        <v>10.2</v>
      </c>
      <c r="H279" t="n">
        <v>0</v>
      </c>
      <c r="I279" t="n">
        <v>0</v>
      </c>
      <c r="J279" t="n">
        <v>0</v>
      </c>
      <c r="K279" t="n">
        <v>0</v>
      </c>
      <c r="L279" t="n">
        <v>0</v>
      </c>
      <c r="M279" t="n">
        <v>0</v>
      </c>
      <c r="N279" t="n">
        <v>0</v>
      </c>
      <c r="O279" t="n">
        <v>0</v>
      </c>
      <c r="P279" t="n">
        <v>0</v>
      </c>
      <c r="Q279" t="n">
        <v>0</v>
      </c>
      <c r="R279" s="2" t="inlineStr"/>
    </row>
    <row r="280" ht="15" customHeight="1">
      <c r="A280" t="inlineStr">
        <is>
          <t>A 62100-2024</t>
        </is>
      </c>
      <c r="B280" s="1" t="n">
        <v>45656</v>
      </c>
      <c r="C280" s="1" t="n">
        <v>45911</v>
      </c>
      <c r="D280" t="inlineStr">
        <is>
          <t>VÄSTERBOTTENS LÄN</t>
        </is>
      </c>
      <c r="E280" t="inlineStr">
        <is>
          <t>VILHELMINA</t>
        </is>
      </c>
      <c r="F280" t="inlineStr">
        <is>
          <t>SCA</t>
        </is>
      </c>
      <c r="G280" t="n">
        <v>4</v>
      </c>
      <c r="H280" t="n">
        <v>0</v>
      </c>
      <c r="I280" t="n">
        <v>0</v>
      </c>
      <c r="J280" t="n">
        <v>0</v>
      </c>
      <c r="K280" t="n">
        <v>0</v>
      </c>
      <c r="L280" t="n">
        <v>0</v>
      </c>
      <c r="M280" t="n">
        <v>0</v>
      </c>
      <c r="N280" t="n">
        <v>0</v>
      </c>
      <c r="O280" t="n">
        <v>0</v>
      </c>
      <c r="P280" t="n">
        <v>0</v>
      </c>
      <c r="Q280" t="n">
        <v>0</v>
      </c>
      <c r="R280" s="2" t="inlineStr"/>
    </row>
    <row r="281" ht="15" customHeight="1">
      <c r="A281" t="inlineStr">
        <is>
          <t>A 32655-2021</t>
        </is>
      </c>
      <c r="B281" s="1" t="n">
        <v>44371</v>
      </c>
      <c r="C281" s="1" t="n">
        <v>45911</v>
      </c>
      <c r="D281" t="inlineStr">
        <is>
          <t>VÄSTERBOTTENS LÄN</t>
        </is>
      </c>
      <c r="E281" t="inlineStr">
        <is>
          <t>VILHELMINA</t>
        </is>
      </c>
      <c r="G281" t="n">
        <v>0.2</v>
      </c>
      <c r="H281" t="n">
        <v>0</v>
      </c>
      <c r="I281" t="n">
        <v>0</v>
      </c>
      <c r="J281" t="n">
        <v>0</v>
      </c>
      <c r="K281" t="n">
        <v>0</v>
      </c>
      <c r="L281" t="n">
        <v>0</v>
      </c>
      <c r="M281" t="n">
        <v>0</v>
      </c>
      <c r="N281" t="n">
        <v>0</v>
      </c>
      <c r="O281" t="n">
        <v>0</v>
      </c>
      <c r="P281" t="n">
        <v>0</v>
      </c>
      <c r="Q281" t="n">
        <v>0</v>
      </c>
      <c r="R281" s="2" t="inlineStr"/>
    </row>
    <row r="282" ht="15" customHeight="1">
      <c r="A282" t="inlineStr">
        <is>
          <t>A 20324-2025</t>
        </is>
      </c>
      <c r="B282" s="1" t="n">
        <v>45775</v>
      </c>
      <c r="C282" s="1" t="n">
        <v>45911</v>
      </c>
      <c r="D282" t="inlineStr">
        <is>
          <t>VÄSTERBOTTENS LÄN</t>
        </is>
      </c>
      <c r="E282" t="inlineStr">
        <is>
          <t>VILHELMINA</t>
        </is>
      </c>
      <c r="G282" t="n">
        <v>3.5</v>
      </c>
      <c r="H282" t="n">
        <v>0</v>
      </c>
      <c r="I282" t="n">
        <v>0</v>
      </c>
      <c r="J282" t="n">
        <v>0</v>
      </c>
      <c r="K282" t="n">
        <v>0</v>
      </c>
      <c r="L282" t="n">
        <v>0</v>
      </c>
      <c r="M282" t="n">
        <v>0</v>
      </c>
      <c r="N282" t="n">
        <v>0</v>
      </c>
      <c r="O282" t="n">
        <v>0</v>
      </c>
      <c r="P282" t="n">
        <v>0</v>
      </c>
      <c r="Q282" t="n">
        <v>0</v>
      </c>
      <c r="R282" s="2" t="inlineStr"/>
    </row>
    <row r="283" ht="15" customHeight="1">
      <c r="A283" t="inlineStr">
        <is>
          <t>A 26137-2024</t>
        </is>
      </c>
      <c r="B283" s="1" t="n">
        <v>45468</v>
      </c>
      <c r="C283" s="1" t="n">
        <v>45911</v>
      </c>
      <c r="D283" t="inlineStr">
        <is>
          <t>VÄSTERBOTTENS LÄN</t>
        </is>
      </c>
      <c r="E283" t="inlineStr">
        <is>
          <t>VILHELMINA</t>
        </is>
      </c>
      <c r="G283" t="n">
        <v>3.5</v>
      </c>
      <c r="H283" t="n">
        <v>0</v>
      </c>
      <c r="I283" t="n">
        <v>0</v>
      </c>
      <c r="J283" t="n">
        <v>0</v>
      </c>
      <c r="K283" t="n">
        <v>0</v>
      </c>
      <c r="L283" t="n">
        <v>0</v>
      </c>
      <c r="M283" t="n">
        <v>0</v>
      </c>
      <c r="N283" t="n">
        <v>0</v>
      </c>
      <c r="O283" t="n">
        <v>0</v>
      </c>
      <c r="P283" t="n">
        <v>0</v>
      </c>
      <c r="Q283" t="n">
        <v>0</v>
      </c>
      <c r="R283" s="2" t="inlineStr"/>
    </row>
    <row r="284" ht="15" customHeight="1">
      <c r="A284" t="inlineStr">
        <is>
          <t>A 15062-2024</t>
        </is>
      </c>
      <c r="B284" s="1" t="n">
        <v>45399</v>
      </c>
      <c r="C284" s="1" t="n">
        <v>45911</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15066-2024</t>
        </is>
      </c>
      <c r="B285" s="1" t="n">
        <v>45399</v>
      </c>
      <c r="C285" s="1" t="n">
        <v>45911</v>
      </c>
      <c r="D285" t="inlineStr">
        <is>
          <t>VÄSTERBOTTENS LÄN</t>
        </is>
      </c>
      <c r="E285" t="inlineStr">
        <is>
          <t>VILHELMINA</t>
        </is>
      </c>
      <c r="G285" t="n">
        <v>4.6</v>
      </c>
      <c r="H285" t="n">
        <v>0</v>
      </c>
      <c r="I285" t="n">
        <v>0</v>
      </c>
      <c r="J285" t="n">
        <v>0</v>
      </c>
      <c r="K285" t="n">
        <v>0</v>
      </c>
      <c r="L285" t="n">
        <v>0</v>
      </c>
      <c r="M285" t="n">
        <v>0</v>
      </c>
      <c r="N285" t="n">
        <v>0</v>
      </c>
      <c r="O285" t="n">
        <v>0</v>
      </c>
      <c r="P285" t="n">
        <v>0</v>
      </c>
      <c r="Q285" t="n">
        <v>0</v>
      </c>
      <c r="R285" s="2" t="inlineStr"/>
    </row>
    <row r="286" ht="15" customHeight="1">
      <c r="A286" t="inlineStr">
        <is>
          <t>A 54727-2022</t>
        </is>
      </c>
      <c r="B286" s="1" t="n">
        <v>44881</v>
      </c>
      <c r="C286" s="1" t="n">
        <v>45911</v>
      </c>
      <c r="D286" t="inlineStr">
        <is>
          <t>VÄSTERBOTTENS LÄN</t>
        </is>
      </c>
      <c r="E286" t="inlineStr">
        <is>
          <t>VILHELMINA</t>
        </is>
      </c>
      <c r="G286" t="n">
        <v>4.3</v>
      </c>
      <c r="H286" t="n">
        <v>0</v>
      </c>
      <c r="I286" t="n">
        <v>0</v>
      </c>
      <c r="J286" t="n">
        <v>0</v>
      </c>
      <c r="K286" t="n">
        <v>0</v>
      </c>
      <c r="L286" t="n">
        <v>0</v>
      </c>
      <c r="M286" t="n">
        <v>0</v>
      </c>
      <c r="N286" t="n">
        <v>0</v>
      </c>
      <c r="O286" t="n">
        <v>0</v>
      </c>
      <c r="P286" t="n">
        <v>0</v>
      </c>
      <c r="Q286" t="n">
        <v>0</v>
      </c>
      <c r="R286" s="2" t="inlineStr"/>
    </row>
    <row r="287" ht="15" customHeight="1">
      <c r="A287" t="inlineStr">
        <is>
          <t>A 8229-2022</t>
        </is>
      </c>
      <c r="B287" s="1" t="n">
        <v>44609</v>
      </c>
      <c r="C287" s="1" t="n">
        <v>45911</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19506-2025</t>
        </is>
      </c>
      <c r="B288" s="1" t="n">
        <v>45770</v>
      </c>
      <c r="C288" s="1" t="n">
        <v>45911</v>
      </c>
      <c r="D288" t="inlineStr">
        <is>
          <t>VÄSTERBOTTENS LÄN</t>
        </is>
      </c>
      <c r="E288" t="inlineStr">
        <is>
          <t>VILHELMINA</t>
        </is>
      </c>
      <c r="G288" t="n">
        <v>22.4</v>
      </c>
      <c r="H288" t="n">
        <v>0</v>
      </c>
      <c r="I288" t="n">
        <v>0</v>
      </c>
      <c r="J288" t="n">
        <v>0</v>
      </c>
      <c r="K288" t="n">
        <v>0</v>
      </c>
      <c r="L288" t="n">
        <v>0</v>
      </c>
      <c r="M288" t="n">
        <v>0</v>
      </c>
      <c r="N288" t="n">
        <v>0</v>
      </c>
      <c r="O288" t="n">
        <v>0</v>
      </c>
      <c r="P288" t="n">
        <v>0</v>
      </c>
      <c r="Q288" t="n">
        <v>0</v>
      </c>
      <c r="R288" s="2" t="inlineStr"/>
    </row>
    <row r="289" ht="15" customHeight="1">
      <c r="A289" t="inlineStr">
        <is>
          <t>A 31496-2023</t>
        </is>
      </c>
      <c r="B289" s="1" t="n">
        <v>45114.94138888889</v>
      </c>
      <c r="C289" s="1" t="n">
        <v>45911</v>
      </c>
      <c r="D289" t="inlineStr">
        <is>
          <t>VÄSTERBOTTENS LÄN</t>
        </is>
      </c>
      <c r="E289" t="inlineStr">
        <is>
          <t>VILHELMINA</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12190-2024</t>
        </is>
      </c>
      <c r="B290" s="1" t="n">
        <v>45377.94954861111</v>
      </c>
      <c r="C290" s="1" t="n">
        <v>45911</v>
      </c>
      <c r="D290" t="inlineStr">
        <is>
          <t>VÄSTERBOTTENS LÄN</t>
        </is>
      </c>
      <c r="E290" t="inlineStr">
        <is>
          <t>VILHELMINA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44368-2024</t>
        </is>
      </c>
      <c r="B291" s="1" t="n">
        <v>45573</v>
      </c>
      <c r="C291" s="1" t="n">
        <v>45911</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32921-2024</t>
        </is>
      </c>
      <c r="B292" s="1" t="n">
        <v>45516.9525462963</v>
      </c>
      <c r="C292" s="1" t="n">
        <v>45911</v>
      </c>
      <c r="D292" t="inlineStr">
        <is>
          <t>VÄSTERBOTTENS LÄN</t>
        </is>
      </c>
      <c r="E292" t="inlineStr">
        <is>
          <t>VILHELMINA</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25701-2024</t>
        </is>
      </c>
      <c r="B293" s="1" t="n">
        <v>45463.94247685185</v>
      </c>
      <c r="C293" s="1" t="n">
        <v>45911</v>
      </c>
      <c r="D293" t="inlineStr">
        <is>
          <t>VÄSTERBOTTENS LÄN</t>
        </is>
      </c>
      <c r="E293" t="inlineStr">
        <is>
          <t>VILHELMINA</t>
        </is>
      </c>
      <c r="F293" t="inlineStr">
        <is>
          <t>SCA</t>
        </is>
      </c>
      <c r="G293" t="n">
        <v>8.6</v>
      </c>
      <c r="H293" t="n">
        <v>0</v>
      </c>
      <c r="I293" t="n">
        <v>0</v>
      </c>
      <c r="J293" t="n">
        <v>0</v>
      </c>
      <c r="K293" t="n">
        <v>0</v>
      </c>
      <c r="L293" t="n">
        <v>0</v>
      </c>
      <c r="M293" t="n">
        <v>0</v>
      </c>
      <c r="N293" t="n">
        <v>0</v>
      </c>
      <c r="O293" t="n">
        <v>0</v>
      </c>
      <c r="P293" t="n">
        <v>0</v>
      </c>
      <c r="Q293" t="n">
        <v>0</v>
      </c>
      <c r="R293" s="2" t="inlineStr"/>
    </row>
    <row r="294" ht="15" customHeight="1">
      <c r="A294" t="inlineStr">
        <is>
          <t>A 15617-2024</t>
        </is>
      </c>
      <c r="B294" s="1" t="n">
        <v>45401.94358796296</v>
      </c>
      <c r="C294" s="1" t="n">
        <v>45911</v>
      </c>
      <c r="D294" t="inlineStr">
        <is>
          <t>VÄSTERBOTTENS LÄN</t>
        </is>
      </c>
      <c r="E294" t="inlineStr">
        <is>
          <t>VILHELMINA</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6653-2021</t>
        </is>
      </c>
      <c r="B295" s="1" t="n">
        <v>44235</v>
      </c>
      <c r="C295" s="1" t="n">
        <v>45911</v>
      </c>
      <c r="D295" t="inlineStr">
        <is>
          <t>VÄSTERBOTTENS LÄN</t>
        </is>
      </c>
      <c r="E295" t="inlineStr">
        <is>
          <t>VILHELMINA</t>
        </is>
      </c>
      <c r="G295" t="n">
        <v>18</v>
      </c>
      <c r="H295" t="n">
        <v>0</v>
      </c>
      <c r="I295" t="n">
        <v>0</v>
      </c>
      <c r="J295" t="n">
        <v>0</v>
      </c>
      <c r="K295" t="n">
        <v>0</v>
      </c>
      <c r="L295" t="n">
        <v>0</v>
      </c>
      <c r="M295" t="n">
        <v>0</v>
      </c>
      <c r="N295" t="n">
        <v>0</v>
      </c>
      <c r="O295" t="n">
        <v>0</v>
      </c>
      <c r="P295" t="n">
        <v>0</v>
      </c>
      <c r="Q295" t="n">
        <v>0</v>
      </c>
      <c r="R295" s="2" t="inlineStr"/>
    </row>
    <row r="296" ht="15" customHeight="1">
      <c r="A296" t="inlineStr">
        <is>
          <t>A 6669-2021</t>
        </is>
      </c>
      <c r="B296" s="1" t="n">
        <v>44235</v>
      </c>
      <c r="C296" s="1" t="n">
        <v>45911</v>
      </c>
      <c r="D296" t="inlineStr">
        <is>
          <t>VÄSTERBOTTENS LÄN</t>
        </is>
      </c>
      <c r="E296" t="inlineStr">
        <is>
          <t>VILHELMINA</t>
        </is>
      </c>
      <c r="G296" t="n">
        <v>19.8</v>
      </c>
      <c r="H296" t="n">
        <v>0</v>
      </c>
      <c r="I296" t="n">
        <v>0</v>
      </c>
      <c r="J296" t="n">
        <v>0</v>
      </c>
      <c r="K296" t="n">
        <v>0</v>
      </c>
      <c r="L296" t="n">
        <v>0</v>
      </c>
      <c r="M296" t="n">
        <v>0</v>
      </c>
      <c r="N296" t="n">
        <v>0</v>
      </c>
      <c r="O296" t="n">
        <v>0</v>
      </c>
      <c r="P296" t="n">
        <v>0</v>
      </c>
      <c r="Q296" t="n">
        <v>0</v>
      </c>
      <c r="R296" s="2" t="inlineStr"/>
    </row>
    <row r="297" ht="15" customHeight="1">
      <c r="A297" t="inlineStr">
        <is>
          <t>A 34762-2024</t>
        </is>
      </c>
      <c r="B297" s="1" t="n">
        <v>45526.61637731481</v>
      </c>
      <c r="C297" s="1" t="n">
        <v>45911</v>
      </c>
      <c r="D297" t="inlineStr">
        <is>
          <t>VÄSTERBOTTENS LÄN</t>
        </is>
      </c>
      <c r="E297" t="inlineStr">
        <is>
          <t>VILHELMINA</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17432-2025</t>
        </is>
      </c>
      <c r="B298" s="1" t="n">
        <v>45757</v>
      </c>
      <c r="C298" s="1" t="n">
        <v>45911</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22617-2025</t>
        </is>
      </c>
      <c r="B299" s="1" t="n">
        <v>45789</v>
      </c>
      <c r="C299" s="1" t="n">
        <v>45911</v>
      </c>
      <c r="D299" t="inlineStr">
        <is>
          <t>VÄSTERBOTTENS LÄN</t>
        </is>
      </c>
      <c r="E299" t="inlineStr">
        <is>
          <t>VILHELMINA</t>
        </is>
      </c>
      <c r="F299" t="inlineStr">
        <is>
          <t>SCA</t>
        </is>
      </c>
      <c r="G299" t="n">
        <v>7.3</v>
      </c>
      <c r="H299" t="n">
        <v>0</v>
      </c>
      <c r="I299" t="n">
        <v>0</v>
      </c>
      <c r="J299" t="n">
        <v>0</v>
      </c>
      <c r="K299" t="n">
        <v>0</v>
      </c>
      <c r="L299" t="n">
        <v>0</v>
      </c>
      <c r="M299" t="n">
        <v>0</v>
      </c>
      <c r="N299" t="n">
        <v>0</v>
      </c>
      <c r="O299" t="n">
        <v>0</v>
      </c>
      <c r="P299" t="n">
        <v>0</v>
      </c>
      <c r="Q299" t="n">
        <v>0</v>
      </c>
      <c r="R299" s="2" t="inlineStr"/>
    </row>
    <row r="300" ht="15" customHeight="1">
      <c r="A300" t="inlineStr">
        <is>
          <t>A 15786-2025</t>
        </is>
      </c>
      <c r="B300" s="1" t="n">
        <v>45748.62240740741</v>
      </c>
      <c r="C300" s="1" t="n">
        <v>45911</v>
      </c>
      <c r="D300" t="inlineStr">
        <is>
          <t>VÄSTERBOTTENS LÄN</t>
        </is>
      </c>
      <c r="E300" t="inlineStr">
        <is>
          <t>VILHELMINA</t>
        </is>
      </c>
      <c r="G300" t="n">
        <v>1.1</v>
      </c>
      <c r="H300" t="n">
        <v>0</v>
      </c>
      <c r="I300" t="n">
        <v>0</v>
      </c>
      <c r="J300" t="n">
        <v>0</v>
      </c>
      <c r="K300" t="n">
        <v>0</v>
      </c>
      <c r="L300" t="n">
        <v>0</v>
      </c>
      <c r="M300" t="n">
        <v>0</v>
      </c>
      <c r="N300" t="n">
        <v>0</v>
      </c>
      <c r="O300" t="n">
        <v>0</v>
      </c>
      <c r="P300" t="n">
        <v>0</v>
      </c>
      <c r="Q300" t="n">
        <v>0</v>
      </c>
      <c r="R300" s="2" t="inlineStr"/>
    </row>
    <row r="301" ht="15" customHeight="1">
      <c r="A301" t="inlineStr">
        <is>
          <t>A 45593-2024</t>
        </is>
      </c>
      <c r="B301" s="1" t="n">
        <v>45579</v>
      </c>
      <c r="C301" s="1" t="n">
        <v>45911</v>
      </c>
      <c r="D301" t="inlineStr">
        <is>
          <t>VÄSTERBOTTENS LÄN</t>
        </is>
      </c>
      <c r="E301" t="inlineStr">
        <is>
          <t>VILHELMINA</t>
        </is>
      </c>
      <c r="G301" t="n">
        <v>0.9</v>
      </c>
      <c r="H301" t="n">
        <v>0</v>
      </c>
      <c r="I301" t="n">
        <v>0</v>
      </c>
      <c r="J301" t="n">
        <v>0</v>
      </c>
      <c r="K301" t="n">
        <v>0</v>
      </c>
      <c r="L301" t="n">
        <v>0</v>
      </c>
      <c r="M301" t="n">
        <v>0</v>
      </c>
      <c r="N301" t="n">
        <v>0</v>
      </c>
      <c r="O301" t="n">
        <v>0</v>
      </c>
      <c r="P301" t="n">
        <v>0</v>
      </c>
      <c r="Q301" t="n">
        <v>0</v>
      </c>
      <c r="R301" s="2" t="inlineStr"/>
    </row>
    <row r="302" ht="15" customHeight="1">
      <c r="A302" t="inlineStr">
        <is>
          <t>A 8916-2023</t>
        </is>
      </c>
      <c r="B302" s="1" t="n">
        <v>44972</v>
      </c>
      <c r="C302" s="1" t="n">
        <v>45911</v>
      </c>
      <c r="D302" t="inlineStr">
        <is>
          <t>VÄSTERBOTTENS LÄN</t>
        </is>
      </c>
      <c r="E302" t="inlineStr">
        <is>
          <t>VILHELMINA</t>
        </is>
      </c>
      <c r="F302" t="inlineStr">
        <is>
          <t>Allmännings- och besparingsskogar</t>
        </is>
      </c>
      <c r="G302" t="n">
        <v>22.1</v>
      </c>
      <c r="H302" t="n">
        <v>0</v>
      </c>
      <c r="I302" t="n">
        <v>0</v>
      </c>
      <c r="J302" t="n">
        <v>0</v>
      </c>
      <c r="K302" t="n">
        <v>0</v>
      </c>
      <c r="L302" t="n">
        <v>0</v>
      </c>
      <c r="M302" t="n">
        <v>0</v>
      </c>
      <c r="N302" t="n">
        <v>0</v>
      </c>
      <c r="O302" t="n">
        <v>0</v>
      </c>
      <c r="P302" t="n">
        <v>0</v>
      </c>
      <c r="Q302" t="n">
        <v>0</v>
      </c>
      <c r="R302" s="2" t="inlineStr"/>
    </row>
    <row r="303" ht="15" customHeight="1">
      <c r="A303" t="inlineStr">
        <is>
          <t>A 49221-2024</t>
        </is>
      </c>
      <c r="B303" s="1" t="n">
        <v>45595.41166666667</v>
      </c>
      <c r="C303" s="1" t="n">
        <v>45911</v>
      </c>
      <c r="D303" t="inlineStr">
        <is>
          <t>VÄSTERBOTTENS LÄN</t>
        </is>
      </c>
      <c r="E303" t="inlineStr">
        <is>
          <t>VILHELMINA</t>
        </is>
      </c>
      <c r="G303" t="n">
        <v>11.4</v>
      </c>
      <c r="H303" t="n">
        <v>0</v>
      </c>
      <c r="I303" t="n">
        <v>0</v>
      </c>
      <c r="J303" t="n">
        <v>0</v>
      </c>
      <c r="K303" t="n">
        <v>0</v>
      </c>
      <c r="L303" t="n">
        <v>0</v>
      </c>
      <c r="M303" t="n">
        <v>0</v>
      </c>
      <c r="N303" t="n">
        <v>0</v>
      </c>
      <c r="O303" t="n">
        <v>0</v>
      </c>
      <c r="P303" t="n">
        <v>0</v>
      </c>
      <c r="Q303" t="n">
        <v>0</v>
      </c>
      <c r="R303" s="2" t="inlineStr"/>
    </row>
    <row r="304" ht="15" customHeight="1">
      <c r="A304" t="inlineStr">
        <is>
          <t>A 49246-2024</t>
        </is>
      </c>
      <c r="B304" s="1" t="n">
        <v>45595.4618287037</v>
      </c>
      <c r="C304" s="1" t="n">
        <v>45911</v>
      </c>
      <c r="D304" t="inlineStr">
        <is>
          <t>VÄSTERBOTTENS LÄN</t>
        </is>
      </c>
      <c r="E304" t="inlineStr">
        <is>
          <t>VILHELMINA</t>
        </is>
      </c>
      <c r="G304" t="n">
        <v>0.9</v>
      </c>
      <c r="H304" t="n">
        <v>0</v>
      </c>
      <c r="I304" t="n">
        <v>0</v>
      </c>
      <c r="J304" t="n">
        <v>0</v>
      </c>
      <c r="K304" t="n">
        <v>0</v>
      </c>
      <c r="L304" t="n">
        <v>0</v>
      </c>
      <c r="M304" t="n">
        <v>0</v>
      </c>
      <c r="N304" t="n">
        <v>0</v>
      </c>
      <c r="O304" t="n">
        <v>0</v>
      </c>
      <c r="P304" t="n">
        <v>0</v>
      </c>
      <c r="Q304" t="n">
        <v>0</v>
      </c>
      <c r="R304" s="2" t="inlineStr"/>
    </row>
    <row r="305" ht="15" customHeight="1">
      <c r="A305" t="inlineStr">
        <is>
          <t>A 54729-2022</t>
        </is>
      </c>
      <c r="B305" s="1" t="n">
        <v>44881</v>
      </c>
      <c r="C305" s="1" t="n">
        <v>45911</v>
      </c>
      <c r="D305" t="inlineStr">
        <is>
          <t>VÄSTERBOTTENS LÄN</t>
        </is>
      </c>
      <c r="E305" t="inlineStr">
        <is>
          <t>VILHELMINA</t>
        </is>
      </c>
      <c r="G305" t="n">
        <v>19.2</v>
      </c>
      <c r="H305" t="n">
        <v>0</v>
      </c>
      <c r="I305" t="n">
        <v>0</v>
      </c>
      <c r="J305" t="n">
        <v>0</v>
      </c>
      <c r="K305" t="n">
        <v>0</v>
      </c>
      <c r="L305" t="n">
        <v>0</v>
      </c>
      <c r="M305" t="n">
        <v>0</v>
      </c>
      <c r="N305" t="n">
        <v>0</v>
      </c>
      <c r="O305" t="n">
        <v>0</v>
      </c>
      <c r="P305" t="n">
        <v>0</v>
      </c>
      <c r="Q305" t="n">
        <v>0</v>
      </c>
      <c r="R305" s="2" t="inlineStr"/>
    </row>
    <row r="306" ht="15" customHeight="1">
      <c r="A306" t="inlineStr">
        <is>
          <t>A 34807-2023</t>
        </is>
      </c>
      <c r="B306" s="1" t="n">
        <v>45140</v>
      </c>
      <c r="C306" s="1" t="n">
        <v>45911</v>
      </c>
      <c r="D306" t="inlineStr">
        <is>
          <t>VÄSTERBOTTENS LÄN</t>
        </is>
      </c>
      <c r="E306" t="inlineStr">
        <is>
          <t>VILHELMINA</t>
        </is>
      </c>
      <c r="G306" t="n">
        <v>8.1</v>
      </c>
      <c r="H306" t="n">
        <v>0</v>
      </c>
      <c r="I306" t="n">
        <v>0</v>
      </c>
      <c r="J306" t="n">
        <v>0</v>
      </c>
      <c r="K306" t="n">
        <v>0</v>
      </c>
      <c r="L306" t="n">
        <v>0</v>
      </c>
      <c r="M306" t="n">
        <v>0</v>
      </c>
      <c r="N306" t="n">
        <v>0</v>
      </c>
      <c r="O306" t="n">
        <v>0</v>
      </c>
      <c r="P306" t="n">
        <v>0</v>
      </c>
      <c r="Q306" t="n">
        <v>0</v>
      </c>
      <c r="R306" s="2" t="inlineStr"/>
    </row>
    <row r="307" ht="15" customHeight="1">
      <c r="A307" t="inlineStr">
        <is>
          <t>A 64028-2023</t>
        </is>
      </c>
      <c r="B307" s="1" t="n">
        <v>45278.94263888889</v>
      </c>
      <c r="C307" s="1" t="n">
        <v>45911</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28656-2024</t>
        </is>
      </c>
      <c r="B308" s="1" t="n">
        <v>45478</v>
      </c>
      <c r="C308" s="1" t="n">
        <v>45911</v>
      </c>
      <c r="D308" t="inlineStr">
        <is>
          <t>VÄSTERBOTTENS LÄN</t>
        </is>
      </c>
      <c r="E308" t="inlineStr">
        <is>
          <t>VILHELMINA</t>
        </is>
      </c>
      <c r="F308" t="inlineStr">
        <is>
          <t>Allmännings- och besparingsskogar</t>
        </is>
      </c>
      <c r="G308" t="n">
        <v>1.6</v>
      </c>
      <c r="H308" t="n">
        <v>0</v>
      </c>
      <c r="I308" t="n">
        <v>0</v>
      </c>
      <c r="J308" t="n">
        <v>0</v>
      </c>
      <c r="K308" t="n">
        <v>0</v>
      </c>
      <c r="L308" t="n">
        <v>0</v>
      </c>
      <c r="M308" t="n">
        <v>0</v>
      </c>
      <c r="N308" t="n">
        <v>0</v>
      </c>
      <c r="O308" t="n">
        <v>0</v>
      </c>
      <c r="P308" t="n">
        <v>0</v>
      </c>
      <c r="Q308" t="n">
        <v>0</v>
      </c>
      <c r="R308" s="2" t="inlineStr"/>
    </row>
    <row r="309" ht="15" customHeight="1">
      <c r="A309" t="inlineStr">
        <is>
          <t>A 54985-2023</t>
        </is>
      </c>
      <c r="B309" s="1" t="n">
        <v>45236</v>
      </c>
      <c r="C309" s="1" t="n">
        <v>45911</v>
      </c>
      <c r="D309" t="inlineStr">
        <is>
          <t>VÄSTERBOTTENS LÄN</t>
        </is>
      </c>
      <c r="E309" t="inlineStr">
        <is>
          <t>VILHELMINA</t>
        </is>
      </c>
      <c r="F309" t="inlineStr">
        <is>
          <t>SCA</t>
        </is>
      </c>
      <c r="G309" t="n">
        <v>7.5</v>
      </c>
      <c r="H309" t="n">
        <v>0</v>
      </c>
      <c r="I309" t="n">
        <v>0</v>
      </c>
      <c r="J309" t="n">
        <v>0</v>
      </c>
      <c r="K309" t="n">
        <v>0</v>
      </c>
      <c r="L309" t="n">
        <v>0</v>
      </c>
      <c r="M309" t="n">
        <v>0</v>
      </c>
      <c r="N309" t="n">
        <v>0</v>
      </c>
      <c r="O309" t="n">
        <v>0</v>
      </c>
      <c r="P309" t="n">
        <v>0</v>
      </c>
      <c r="Q309" t="n">
        <v>0</v>
      </c>
      <c r="R309" s="2" t="inlineStr"/>
    </row>
    <row r="310" ht="15" customHeight="1">
      <c r="A310" t="inlineStr">
        <is>
          <t>A 46119-2022</t>
        </is>
      </c>
      <c r="B310" s="1" t="n">
        <v>44847</v>
      </c>
      <c r="C310" s="1" t="n">
        <v>45911</v>
      </c>
      <c r="D310" t="inlineStr">
        <is>
          <t>VÄSTERBOTTENS LÄN</t>
        </is>
      </c>
      <c r="E310" t="inlineStr">
        <is>
          <t>VILHELMINA</t>
        </is>
      </c>
      <c r="G310" t="n">
        <v>12.1</v>
      </c>
      <c r="H310" t="n">
        <v>0</v>
      </c>
      <c r="I310" t="n">
        <v>0</v>
      </c>
      <c r="J310" t="n">
        <v>0</v>
      </c>
      <c r="K310" t="n">
        <v>0</v>
      </c>
      <c r="L310" t="n">
        <v>0</v>
      </c>
      <c r="M310" t="n">
        <v>0</v>
      </c>
      <c r="N310" t="n">
        <v>0</v>
      </c>
      <c r="O310" t="n">
        <v>0</v>
      </c>
      <c r="P310" t="n">
        <v>0</v>
      </c>
      <c r="Q310" t="n">
        <v>0</v>
      </c>
      <c r="R310" s="2" t="inlineStr"/>
    </row>
    <row r="311" ht="15" customHeight="1">
      <c r="A311" t="inlineStr">
        <is>
          <t>A 46121-2022</t>
        </is>
      </c>
      <c r="B311" s="1" t="n">
        <v>44847</v>
      </c>
      <c r="C311" s="1" t="n">
        <v>45911</v>
      </c>
      <c r="D311" t="inlineStr">
        <is>
          <t>VÄSTERBOTTENS LÄN</t>
        </is>
      </c>
      <c r="E311" t="inlineStr">
        <is>
          <t>VILHELMINA</t>
        </is>
      </c>
      <c r="G311" t="n">
        <v>2.6</v>
      </c>
      <c r="H311" t="n">
        <v>0</v>
      </c>
      <c r="I311" t="n">
        <v>0</v>
      </c>
      <c r="J311" t="n">
        <v>0</v>
      </c>
      <c r="K311" t="n">
        <v>0</v>
      </c>
      <c r="L311" t="n">
        <v>0</v>
      </c>
      <c r="M311" t="n">
        <v>0</v>
      </c>
      <c r="N311" t="n">
        <v>0</v>
      </c>
      <c r="O311" t="n">
        <v>0</v>
      </c>
      <c r="P311" t="n">
        <v>0</v>
      </c>
      <c r="Q311" t="n">
        <v>0</v>
      </c>
      <c r="R311" s="2" t="inlineStr"/>
    </row>
    <row r="312" ht="15" customHeight="1">
      <c r="A312" t="inlineStr">
        <is>
          <t>A 20769-2024</t>
        </is>
      </c>
      <c r="B312" s="1" t="n">
        <v>45436.94604166667</v>
      </c>
      <c r="C312" s="1" t="n">
        <v>45911</v>
      </c>
      <c r="D312" t="inlineStr">
        <is>
          <t>VÄSTERBOTTENS LÄN</t>
        </is>
      </c>
      <c r="E312" t="inlineStr">
        <is>
          <t>VILHELMINA</t>
        </is>
      </c>
      <c r="F312" t="inlineStr">
        <is>
          <t>SCA</t>
        </is>
      </c>
      <c r="G312" t="n">
        <v>7</v>
      </c>
      <c r="H312" t="n">
        <v>0</v>
      </c>
      <c r="I312" t="n">
        <v>0</v>
      </c>
      <c r="J312" t="n">
        <v>0</v>
      </c>
      <c r="K312" t="n">
        <v>0</v>
      </c>
      <c r="L312" t="n">
        <v>0</v>
      </c>
      <c r="M312" t="n">
        <v>0</v>
      </c>
      <c r="N312" t="n">
        <v>0</v>
      </c>
      <c r="O312" t="n">
        <v>0</v>
      </c>
      <c r="P312" t="n">
        <v>0</v>
      </c>
      <c r="Q312" t="n">
        <v>0</v>
      </c>
      <c r="R312" s="2" t="inlineStr"/>
    </row>
    <row r="313" ht="15" customHeight="1">
      <c r="A313" t="inlineStr">
        <is>
          <t>A 47254-2022</t>
        </is>
      </c>
      <c r="B313" s="1" t="n">
        <v>44852.94685185186</v>
      </c>
      <c r="C313" s="1" t="n">
        <v>45911</v>
      </c>
      <c r="D313" t="inlineStr">
        <is>
          <t>VÄSTERBOTTENS LÄN</t>
        </is>
      </c>
      <c r="E313" t="inlineStr">
        <is>
          <t>VILHELMINA</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49599-2022</t>
        </is>
      </c>
      <c r="B314" s="1" t="n">
        <v>44859</v>
      </c>
      <c r="C314" s="1" t="n">
        <v>45911</v>
      </c>
      <c r="D314" t="inlineStr">
        <is>
          <t>VÄSTERBOTTENS LÄN</t>
        </is>
      </c>
      <c r="E314" t="inlineStr">
        <is>
          <t>VILHELMINA</t>
        </is>
      </c>
      <c r="G314" t="n">
        <v>3.6</v>
      </c>
      <c r="H314" t="n">
        <v>0</v>
      </c>
      <c r="I314" t="n">
        <v>0</v>
      </c>
      <c r="J314" t="n">
        <v>0</v>
      </c>
      <c r="K314" t="n">
        <v>0</v>
      </c>
      <c r="L314" t="n">
        <v>0</v>
      </c>
      <c r="M314" t="n">
        <v>0</v>
      </c>
      <c r="N314" t="n">
        <v>0</v>
      </c>
      <c r="O314" t="n">
        <v>0</v>
      </c>
      <c r="P314" t="n">
        <v>0</v>
      </c>
      <c r="Q314" t="n">
        <v>0</v>
      </c>
      <c r="R314" s="2" t="inlineStr"/>
    </row>
    <row r="315" ht="15" customHeight="1">
      <c r="A315" t="inlineStr">
        <is>
          <t>A 23261-2021</t>
        </is>
      </c>
      <c r="B315" s="1" t="n">
        <v>44330</v>
      </c>
      <c r="C315" s="1" t="n">
        <v>45911</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22109-2024</t>
        </is>
      </c>
      <c r="B316" s="1" t="n">
        <v>45443</v>
      </c>
      <c r="C316" s="1" t="n">
        <v>45911</v>
      </c>
      <c r="D316" t="inlineStr">
        <is>
          <t>VÄSTERBOTTENS LÄN</t>
        </is>
      </c>
      <c r="E316" t="inlineStr">
        <is>
          <t>VILHELMINA</t>
        </is>
      </c>
      <c r="F316" t="inlineStr">
        <is>
          <t>SCA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47440-2024</t>
        </is>
      </c>
      <c r="B317" s="1" t="n">
        <v>45587</v>
      </c>
      <c r="C317" s="1" t="n">
        <v>45911</v>
      </c>
      <c r="D317" t="inlineStr">
        <is>
          <t>VÄSTERBOTTENS LÄN</t>
        </is>
      </c>
      <c r="E317" t="inlineStr">
        <is>
          <t>VILHELMINA</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48088-2024</t>
        </is>
      </c>
      <c r="B318" s="1" t="n">
        <v>45589</v>
      </c>
      <c r="C318" s="1" t="n">
        <v>45911</v>
      </c>
      <c r="D318" t="inlineStr">
        <is>
          <t>VÄSTERBOTTENS LÄN</t>
        </is>
      </c>
      <c r="E318" t="inlineStr">
        <is>
          <t>VILHELMINA</t>
        </is>
      </c>
      <c r="F318" t="inlineStr">
        <is>
          <t>SCA</t>
        </is>
      </c>
      <c r="G318" t="n">
        <v>6.9</v>
      </c>
      <c r="H318" t="n">
        <v>0</v>
      </c>
      <c r="I318" t="n">
        <v>0</v>
      </c>
      <c r="J318" t="n">
        <v>0</v>
      </c>
      <c r="K318" t="n">
        <v>0</v>
      </c>
      <c r="L318" t="n">
        <v>0</v>
      </c>
      <c r="M318" t="n">
        <v>0</v>
      </c>
      <c r="N318" t="n">
        <v>0</v>
      </c>
      <c r="O318" t="n">
        <v>0</v>
      </c>
      <c r="P318" t="n">
        <v>0</v>
      </c>
      <c r="Q318" t="n">
        <v>0</v>
      </c>
      <c r="R318" s="2" t="inlineStr"/>
    </row>
    <row r="319" ht="15" customHeight="1">
      <c r="A319" t="inlineStr">
        <is>
          <t>A 39035-2024</t>
        </is>
      </c>
      <c r="B319" s="1" t="n">
        <v>45548.46918981482</v>
      </c>
      <c r="C319" s="1" t="n">
        <v>45911</v>
      </c>
      <c r="D319" t="inlineStr">
        <is>
          <t>VÄSTERBOTTENS LÄN</t>
        </is>
      </c>
      <c r="E319" t="inlineStr">
        <is>
          <t>VILHELMINA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47548-2024</t>
        </is>
      </c>
      <c r="B320" s="1" t="n">
        <v>45587</v>
      </c>
      <c r="C320" s="1" t="n">
        <v>45911</v>
      </c>
      <c r="D320" t="inlineStr">
        <is>
          <t>VÄSTERBOTTENS LÄN</t>
        </is>
      </c>
      <c r="E320" t="inlineStr">
        <is>
          <t>VILHELMINA</t>
        </is>
      </c>
      <c r="F320" t="inlineStr">
        <is>
          <t>SCA</t>
        </is>
      </c>
      <c r="G320" t="n">
        <v>7.7</v>
      </c>
      <c r="H320" t="n">
        <v>0</v>
      </c>
      <c r="I320" t="n">
        <v>0</v>
      </c>
      <c r="J320" t="n">
        <v>0</v>
      </c>
      <c r="K320" t="n">
        <v>0</v>
      </c>
      <c r="L320" t="n">
        <v>0</v>
      </c>
      <c r="M320" t="n">
        <v>0</v>
      </c>
      <c r="N320" t="n">
        <v>0</v>
      </c>
      <c r="O320" t="n">
        <v>0</v>
      </c>
      <c r="P320" t="n">
        <v>0</v>
      </c>
      <c r="Q320" t="n">
        <v>0</v>
      </c>
      <c r="R320" s="2" t="inlineStr"/>
    </row>
    <row r="321" ht="15" customHeight="1">
      <c r="A321" t="inlineStr">
        <is>
          <t>A 15050-2024</t>
        </is>
      </c>
      <c r="B321" s="1" t="n">
        <v>45399</v>
      </c>
      <c r="C321" s="1" t="n">
        <v>45911</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15059-2024</t>
        </is>
      </c>
      <c r="B322" s="1" t="n">
        <v>45399</v>
      </c>
      <c r="C322" s="1" t="n">
        <v>45911</v>
      </c>
      <c r="D322" t="inlineStr">
        <is>
          <t>VÄSTERBOTTENS LÄN</t>
        </is>
      </c>
      <c r="E322" t="inlineStr">
        <is>
          <t>VILHELMINA</t>
        </is>
      </c>
      <c r="G322" t="n">
        <v>0.8</v>
      </c>
      <c r="H322" t="n">
        <v>0</v>
      </c>
      <c r="I322" t="n">
        <v>0</v>
      </c>
      <c r="J322" t="n">
        <v>0</v>
      </c>
      <c r="K322" t="n">
        <v>0</v>
      </c>
      <c r="L322" t="n">
        <v>0</v>
      </c>
      <c r="M322" t="n">
        <v>0</v>
      </c>
      <c r="N322" t="n">
        <v>0</v>
      </c>
      <c r="O322" t="n">
        <v>0</v>
      </c>
      <c r="P322" t="n">
        <v>0</v>
      </c>
      <c r="Q322" t="n">
        <v>0</v>
      </c>
      <c r="R322" s="2" t="inlineStr"/>
    </row>
    <row r="323" ht="15" customHeight="1">
      <c r="A323" t="inlineStr">
        <is>
          <t>A 23459-2025</t>
        </is>
      </c>
      <c r="B323" s="1" t="n">
        <v>45792</v>
      </c>
      <c r="C323" s="1" t="n">
        <v>45911</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23461-2025</t>
        </is>
      </c>
      <c r="B324" s="1" t="n">
        <v>45792</v>
      </c>
      <c r="C324" s="1" t="n">
        <v>45911</v>
      </c>
      <c r="D324" t="inlineStr">
        <is>
          <t>VÄSTERBOTTENS LÄN</t>
        </is>
      </c>
      <c r="E324" t="inlineStr">
        <is>
          <t>VILHELMINA</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23281-2025</t>
        </is>
      </c>
      <c r="B325" s="1" t="n">
        <v>45791.57324074074</v>
      </c>
      <c r="C325" s="1" t="n">
        <v>45911</v>
      </c>
      <c r="D325" t="inlineStr">
        <is>
          <t>VÄSTERBOTTENS LÄN</t>
        </is>
      </c>
      <c r="E325" t="inlineStr">
        <is>
          <t>VILHELMINA</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18790-2021</t>
        </is>
      </c>
      <c r="B326" s="1" t="n">
        <v>44307</v>
      </c>
      <c r="C326" s="1" t="n">
        <v>45911</v>
      </c>
      <c r="D326" t="inlineStr">
        <is>
          <t>VÄSTERBOTTENS LÄN</t>
        </is>
      </c>
      <c r="E326" t="inlineStr">
        <is>
          <t>VILHELMINA</t>
        </is>
      </c>
      <c r="G326" t="n">
        <v>1.1</v>
      </c>
      <c r="H326" t="n">
        <v>0</v>
      </c>
      <c r="I326" t="n">
        <v>0</v>
      </c>
      <c r="J326" t="n">
        <v>0</v>
      </c>
      <c r="K326" t="n">
        <v>0</v>
      </c>
      <c r="L326" t="n">
        <v>0</v>
      </c>
      <c r="M326" t="n">
        <v>0</v>
      </c>
      <c r="N326" t="n">
        <v>0</v>
      </c>
      <c r="O326" t="n">
        <v>0</v>
      </c>
      <c r="P326" t="n">
        <v>0</v>
      </c>
      <c r="Q326" t="n">
        <v>0</v>
      </c>
      <c r="R326" s="2" t="inlineStr"/>
    </row>
    <row r="327" ht="15" customHeight="1">
      <c r="A327" t="inlineStr">
        <is>
          <t>A 40505-2024</t>
        </is>
      </c>
      <c r="B327" s="1" t="n">
        <v>45555.57373842593</v>
      </c>
      <c r="C327" s="1" t="n">
        <v>45911</v>
      </c>
      <c r="D327" t="inlineStr">
        <is>
          <t>VÄSTERBOTTENS LÄN</t>
        </is>
      </c>
      <c r="E327" t="inlineStr">
        <is>
          <t>VILHELMINA</t>
        </is>
      </c>
      <c r="G327" t="n">
        <v>0.3</v>
      </c>
      <c r="H327" t="n">
        <v>0</v>
      </c>
      <c r="I327" t="n">
        <v>0</v>
      </c>
      <c r="J327" t="n">
        <v>0</v>
      </c>
      <c r="K327" t="n">
        <v>0</v>
      </c>
      <c r="L327" t="n">
        <v>0</v>
      </c>
      <c r="M327" t="n">
        <v>0</v>
      </c>
      <c r="N327" t="n">
        <v>0</v>
      </c>
      <c r="O327" t="n">
        <v>0</v>
      </c>
      <c r="P327" t="n">
        <v>0</v>
      </c>
      <c r="Q327" t="n">
        <v>0</v>
      </c>
      <c r="R327" s="2" t="inlineStr"/>
    </row>
    <row r="328" ht="15" customHeight="1">
      <c r="A328" t="inlineStr">
        <is>
          <t>A 47242-2024</t>
        </is>
      </c>
      <c r="B328" s="1" t="n">
        <v>45586</v>
      </c>
      <c r="C328" s="1" t="n">
        <v>45911</v>
      </c>
      <c r="D328" t="inlineStr">
        <is>
          <t>VÄSTERBOTTENS LÄN</t>
        </is>
      </c>
      <c r="E328" t="inlineStr">
        <is>
          <t>VILHELMINA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58505-2024</t>
        </is>
      </c>
      <c r="B329" s="1" t="n">
        <v>45635</v>
      </c>
      <c r="C329" s="1" t="n">
        <v>45911</v>
      </c>
      <c r="D329" t="inlineStr">
        <is>
          <t>VÄSTERBOTTENS LÄN</t>
        </is>
      </c>
      <c r="E329" t="inlineStr">
        <is>
          <t>VILHELMINA</t>
        </is>
      </c>
      <c r="G329" t="n">
        <v>2.9</v>
      </c>
      <c r="H329" t="n">
        <v>0</v>
      </c>
      <c r="I329" t="n">
        <v>0</v>
      </c>
      <c r="J329" t="n">
        <v>0</v>
      </c>
      <c r="K329" t="n">
        <v>0</v>
      </c>
      <c r="L329" t="n">
        <v>0</v>
      </c>
      <c r="M329" t="n">
        <v>0</v>
      </c>
      <c r="N329" t="n">
        <v>0</v>
      </c>
      <c r="O329" t="n">
        <v>0</v>
      </c>
      <c r="P329" t="n">
        <v>0</v>
      </c>
      <c r="Q329" t="n">
        <v>0</v>
      </c>
      <c r="R329" s="2" t="inlineStr"/>
    </row>
    <row r="330" ht="15" customHeight="1">
      <c r="A330" t="inlineStr">
        <is>
          <t>A 39677-2024</t>
        </is>
      </c>
      <c r="B330" s="1" t="n">
        <v>45552</v>
      </c>
      <c r="C330" s="1" t="n">
        <v>45911</v>
      </c>
      <c r="D330" t="inlineStr">
        <is>
          <t>VÄSTERBOTTENS LÄN</t>
        </is>
      </c>
      <c r="E330" t="inlineStr">
        <is>
          <t>VILHELMINA</t>
        </is>
      </c>
      <c r="F330" t="inlineStr">
        <is>
          <t>SCA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36082-2022</t>
        </is>
      </c>
      <c r="B331" s="1" t="n">
        <v>44802</v>
      </c>
      <c r="C331" s="1" t="n">
        <v>45911</v>
      </c>
      <c r="D331" t="inlineStr">
        <is>
          <t>VÄSTERBOTTENS LÄN</t>
        </is>
      </c>
      <c r="E331" t="inlineStr">
        <is>
          <t>VILHELMINA</t>
        </is>
      </c>
      <c r="F331" t="inlineStr">
        <is>
          <t>SCA</t>
        </is>
      </c>
      <c r="G331" t="n">
        <v>6.2</v>
      </c>
      <c r="H331" t="n">
        <v>0</v>
      </c>
      <c r="I331" t="n">
        <v>0</v>
      </c>
      <c r="J331" t="n">
        <v>0</v>
      </c>
      <c r="K331" t="n">
        <v>0</v>
      </c>
      <c r="L331" t="n">
        <v>0</v>
      </c>
      <c r="M331" t="n">
        <v>0</v>
      </c>
      <c r="N331" t="n">
        <v>0</v>
      </c>
      <c r="O331" t="n">
        <v>0</v>
      </c>
      <c r="P331" t="n">
        <v>0</v>
      </c>
      <c r="Q331" t="n">
        <v>0</v>
      </c>
      <c r="R331" s="2" t="inlineStr"/>
    </row>
    <row r="332" ht="15" customHeight="1">
      <c r="A332" t="inlineStr">
        <is>
          <t>A 23415-2025</t>
        </is>
      </c>
      <c r="B332" s="1" t="n">
        <v>45792.34643518519</v>
      </c>
      <c r="C332" s="1" t="n">
        <v>45911</v>
      </c>
      <c r="D332" t="inlineStr">
        <is>
          <t>VÄSTERBOTTENS LÄN</t>
        </is>
      </c>
      <c r="E332" t="inlineStr">
        <is>
          <t>VILHELMINA</t>
        </is>
      </c>
      <c r="F332" t="inlineStr">
        <is>
          <t>SCA</t>
        </is>
      </c>
      <c r="G332" t="n">
        <v>36.9</v>
      </c>
      <c r="H332" t="n">
        <v>0</v>
      </c>
      <c r="I332" t="n">
        <v>0</v>
      </c>
      <c r="J332" t="n">
        <v>0</v>
      </c>
      <c r="K332" t="n">
        <v>0</v>
      </c>
      <c r="L332" t="n">
        <v>0</v>
      </c>
      <c r="M332" t="n">
        <v>0</v>
      </c>
      <c r="N332" t="n">
        <v>0</v>
      </c>
      <c r="O332" t="n">
        <v>0</v>
      </c>
      <c r="P332" t="n">
        <v>0</v>
      </c>
      <c r="Q332" t="n">
        <v>0</v>
      </c>
      <c r="R332" s="2" t="inlineStr"/>
    </row>
    <row r="333" ht="15" customHeight="1">
      <c r="A333" t="inlineStr">
        <is>
          <t>A 48062-2024</t>
        </is>
      </c>
      <c r="B333" s="1" t="n">
        <v>45589</v>
      </c>
      <c r="C333" s="1" t="n">
        <v>45911</v>
      </c>
      <c r="D333" t="inlineStr">
        <is>
          <t>VÄSTERBOTTENS LÄN</t>
        </is>
      </c>
      <c r="E333" t="inlineStr">
        <is>
          <t>VILHELMINA</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23406-2025</t>
        </is>
      </c>
      <c r="B334" s="1" t="n">
        <v>45792.34540509259</v>
      </c>
      <c r="C334" s="1" t="n">
        <v>45911</v>
      </c>
      <c r="D334" t="inlineStr">
        <is>
          <t>VÄSTERBOTTENS LÄN</t>
        </is>
      </c>
      <c r="E334" t="inlineStr">
        <is>
          <t>VILHELMINA</t>
        </is>
      </c>
      <c r="F334" t="inlineStr">
        <is>
          <t>SCA</t>
        </is>
      </c>
      <c r="G334" t="n">
        <v>15.4</v>
      </c>
      <c r="H334" t="n">
        <v>0</v>
      </c>
      <c r="I334" t="n">
        <v>0</v>
      </c>
      <c r="J334" t="n">
        <v>0</v>
      </c>
      <c r="K334" t="n">
        <v>0</v>
      </c>
      <c r="L334" t="n">
        <v>0</v>
      </c>
      <c r="M334" t="n">
        <v>0</v>
      </c>
      <c r="N334" t="n">
        <v>0</v>
      </c>
      <c r="O334" t="n">
        <v>0</v>
      </c>
      <c r="P334" t="n">
        <v>0</v>
      </c>
      <c r="Q334" t="n">
        <v>0</v>
      </c>
      <c r="R334" s="2" t="inlineStr"/>
    </row>
    <row r="335" ht="15" customHeight="1">
      <c r="A335" t="inlineStr">
        <is>
          <t>A 17467-2025</t>
        </is>
      </c>
      <c r="B335" s="1" t="n">
        <v>45757</v>
      </c>
      <c r="C335" s="1" t="n">
        <v>45911</v>
      </c>
      <c r="D335" t="inlineStr">
        <is>
          <t>VÄSTERBOTTENS LÄN</t>
        </is>
      </c>
      <c r="E335" t="inlineStr">
        <is>
          <t>VILHELMINA</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146-2025</t>
        </is>
      </c>
      <c r="B336" s="1" t="n">
        <v>45659</v>
      </c>
      <c r="C336" s="1" t="n">
        <v>45911</v>
      </c>
      <c r="D336" t="inlineStr">
        <is>
          <t>VÄSTERBOTTENS LÄN</t>
        </is>
      </c>
      <c r="E336" t="inlineStr">
        <is>
          <t>VILHELMINA</t>
        </is>
      </c>
      <c r="F336" t="inlineStr">
        <is>
          <t>SCA</t>
        </is>
      </c>
      <c r="G336" t="n">
        <v>9.1</v>
      </c>
      <c r="H336" t="n">
        <v>0</v>
      </c>
      <c r="I336" t="n">
        <v>0</v>
      </c>
      <c r="J336" t="n">
        <v>0</v>
      </c>
      <c r="K336" t="n">
        <v>0</v>
      </c>
      <c r="L336" t="n">
        <v>0</v>
      </c>
      <c r="M336" t="n">
        <v>0</v>
      </c>
      <c r="N336" t="n">
        <v>0</v>
      </c>
      <c r="O336" t="n">
        <v>0</v>
      </c>
      <c r="P336" t="n">
        <v>0</v>
      </c>
      <c r="Q336" t="n">
        <v>0</v>
      </c>
      <c r="R336" s="2" t="inlineStr"/>
    </row>
    <row r="337" ht="15" customHeight="1">
      <c r="A337" t="inlineStr">
        <is>
          <t>A 46071-2022</t>
        </is>
      </c>
      <c r="B337" s="1" t="n">
        <v>44847</v>
      </c>
      <c r="C337" s="1" t="n">
        <v>45911</v>
      </c>
      <c r="D337" t="inlineStr">
        <is>
          <t>VÄSTERBOTTENS LÄN</t>
        </is>
      </c>
      <c r="E337" t="inlineStr">
        <is>
          <t>VILHELMINA</t>
        </is>
      </c>
      <c r="G337" t="n">
        <v>10.6</v>
      </c>
      <c r="H337" t="n">
        <v>0</v>
      </c>
      <c r="I337" t="n">
        <v>0</v>
      </c>
      <c r="J337" t="n">
        <v>0</v>
      </c>
      <c r="K337" t="n">
        <v>0</v>
      </c>
      <c r="L337" t="n">
        <v>0</v>
      </c>
      <c r="M337" t="n">
        <v>0</v>
      </c>
      <c r="N337" t="n">
        <v>0</v>
      </c>
      <c r="O337" t="n">
        <v>0</v>
      </c>
      <c r="P337" t="n">
        <v>0</v>
      </c>
      <c r="Q337" t="n">
        <v>0</v>
      </c>
      <c r="R337" s="2" t="inlineStr"/>
    </row>
    <row r="338" ht="15" customHeight="1">
      <c r="A338" t="inlineStr">
        <is>
          <t>A 19873-2024</t>
        </is>
      </c>
      <c r="B338" s="1" t="n">
        <v>45433</v>
      </c>
      <c r="C338" s="1" t="n">
        <v>45911</v>
      </c>
      <c r="D338" t="inlineStr">
        <is>
          <t>VÄSTERBOTTENS LÄN</t>
        </is>
      </c>
      <c r="E338" t="inlineStr">
        <is>
          <t>VILHELMINA</t>
        </is>
      </c>
      <c r="G338" t="n">
        <v>8.6</v>
      </c>
      <c r="H338" t="n">
        <v>0</v>
      </c>
      <c r="I338" t="n">
        <v>0</v>
      </c>
      <c r="J338" t="n">
        <v>0</v>
      </c>
      <c r="K338" t="n">
        <v>0</v>
      </c>
      <c r="L338" t="n">
        <v>0</v>
      </c>
      <c r="M338" t="n">
        <v>0</v>
      </c>
      <c r="N338" t="n">
        <v>0</v>
      </c>
      <c r="O338" t="n">
        <v>0</v>
      </c>
      <c r="P338" t="n">
        <v>0</v>
      </c>
      <c r="Q338" t="n">
        <v>0</v>
      </c>
      <c r="R338" s="2" t="inlineStr"/>
    </row>
    <row r="339" ht="15" customHeight="1">
      <c r="A339" t="inlineStr">
        <is>
          <t>A 25308-2025</t>
        </is>
      </c>
      <c r="B339" s="1" t="n">
        <v>45800</v>
      </c>
      <c r="C339" s="1" t="n">
        <v>45911</v>
      </c>
      <c r="D339" t="inlineStr">
        <is>
          <t>VÄSTERBOTTENS LÄN</t>
        </is>
      </c>
      <c r="E339" t="inlineStr">
        <is>
          <t>VILHELMINA</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23412-2025</t>
        </is>
      </c>
      <c r="B340" s="1" t="n">
        <v>45792.34596064815</v>
      </c>
      <c r="C340" s="1" t="n">
        <v>45911</v>
      </c>
      <c r="D340" t="inlineStr">
        <is>
          <t>VÄSTERBOTTENS LÄN</t>
        </is>
      </c>
      <c r="E340" t="inlineStr">
        <is>
          <t>VILHELMINA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65133-2021</t>
        </is>
      </c>
      <c r="B341" s="1" t="n">
        <v>44515</v>
      </c>
      <c r="C341" s="1" t="n">
        <v>45911</v>
      </c>
      <c r="D341" t="inlineStr">
        <is>
          <t>VÄSTERBOTTENS LÄN</t>
        </is>
      </c>
      <c r="E341" t="inlineStr">
        <is>
          <t>VILHELMINA</t>
        </is>
      </c>
      <c r="G341" t="n">
        <v>16.4</v>
      </c>
      <c r="H341" t="n">
        <v>0</v>
      </c>
      <c r="I341" t="n">
        <v>0</v>
      </c>
      <c r="J341" t="n">
        <v>0</v>
      </c>
      <c r="K341" t="n">
        <v>0</v>
      </c>
      <c r="L341" t="n">
        <v>0</v>
      </c>
      <c r="M341" t="n">
        <v>0</v>
      </c>
      <c r="N341" t="n">
        <v>0</v>
      </c>
      <c r="O341" t="n">
        <v>0</v>
      </c>
      <c r="P341" t="n">
        <v>0</v>
      </c>
      <c r="Q341" t="n">
        <v>0</v>
      </c>
      <c r="R341" s="2" t="inlineStr"/>
    </row>
    <row r="342" ht="15" customHeight="1">
      <c r="A342" t="inlineStr">
        <is>
          <t>A 13030-2025</t>
        </is>
      </c>
      <c r="B342" s="1" t="n">
        <v>45734</v>
      </c>
      <c r="C342" s="1" t="n">
        <v>45911</v>
      </c>
      <c r="D342" t="inlineStr">
        <is>
          <t>VÄSTERBOTTENS LÄN</t>
        </is>
      </c>
      <c r="E342" t="inlineStr">
        <is>
          <t>VILHELMINA</t>
        </is>
      </c>
      <c r="G342" t="n">
        <v>13.9</v>
      </c>
      <c r="H342" t="n">
        <v>0</v>
      </c>
      <c r="I342" t="n">
        <v>0</v>
      </c>
      <c r="J342" t="n">
        <v>0</v>
      </c>
      <c r="K342" t="n">
        <v>0</v>
      </c>
      <c r="L342" t="n">
        <v>0</v>
      </c>
      <c r="M342" t="n">
        <v>0</v>
      </c>
      <c r="N342" t="n">
        <v>0</v>
      </c>
      <c r="O342" t="n">
        <v>0</v>
      </c>
      <c r="P342" t="n">
        <v>0</v>
      </c>
      <c r="Q342" t="n">
        <v>0</v>
      </c>
      <c r="R342" s="2" t="inlineStr"/>
    </row>
    <row r="343" ht="15" customHeight="1">
      <c r="A343" t="inlineStr">
        <is>
          <t>A 10548-2022</t>
        </is>
      </c>
      <c r="B343" s="1" t="n">
        <v>44623</v>
      </c>
      <c r="C343" s="1" t="n">
        <v>45911</v>
      </c>
      <c r="D343" t="inlineStr">
        <is>
          <t>VÄSTERBOTTENS LÄN</t>
        </is>
      </c>
      <c r="E343" t="inlineStr">
        <is>
          <t>VILHELMINA</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38364-2023</t>
        </is>
      </c>
      <c r="B344" s="1" t="n">
        <v>45161</v>
      </c>
      <c r="C344" s="1" t="n">
        <v>45911</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38187-2024</t>
        </is>
      </c>
      <c r="B345" s="1" t="n">
        <v>45545.49028935185</v>
      </c>
      <c r="C345" s="1" t="n">
        <v>45911</v>
      </c>
      <c r="D345" t="inlineStr">
        <is>
          <t>VÄSTERBOTTENS LÄN</t>
        </is>
      </c>
      <c r="E345" t="inlineStr">
        <is>
          <t>VILHELMINA</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17996-2024</t>
        </is>
      </c>
      <c r="B346" s="1" t="n">
        <v>45419</v>
      </c>
      <c r="C346" s="1" t="n">
        <v>45911</v>
      </c>
      <c r="D346" t="inlineStr">
        <is>
          <t>VÄSTERBOTTENS LÄN</t>
        </is>
      </c>
      <c r="E346" t="inlineStr">
        <is>
          <t>VILHELMINA</t>
        </is>
      </c>
      <c r="G346" t="n">
        <v>5.3</v>
      </c>
      <c r="H346" t="n">
        <v>0</v>
      </c>
      <c r="I346" t="n">
        <v>0</v>
      </c>
      <c r="J346" t="n">
        <v>0</v>
      </c>
      <c r="K346" t="n">
        <v>0</v>
      </c>
      <c r="L346" t="n">
        <v>0</v>
      </c>
      <c r="M346" t="n">
        <v>0</v>
      </c>
      <c r="N346" t="n">
        <v>0</v>
      </c>
      <c r="O346" t="n">
        <v>0</v>
      </c>
      <c r="P346" t="n">
        <v>0</v>
      </c>
      <c r="Q346" t="n">
        <v>0</v>
      </c>
      <c r="R346" s="2" t="inlineStr"/>
    </row>
    <row r="347" ht="15" customHeight="1">
      <c r="A347" t="inlineStr">
        <is>
          <t>A 23826-2025</t>
        </is>
      </c>
      <c r="B347" s="1" t="n">
        <v>45793.59461805555</v>
      </c>
      <c r="C347" s="1" t="n">
        <v>45911</v>
      </c>
      <c r="D347" t="inlineStr">
        <is>
          <t>VÄSTERBOTTENS LÄN</t>
        </is>
      </c>
      <c r="E347" t="inlineStr">
        <is>
          <t>VILHELMINA</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35760-2023</t>
        </is>
      </c>
      <c r="B348" s="1" t="n">
        <v>45147</v>
      </c>
      <c r="C348" s="1" t="n">
        <v>45911</v>
      </c>
      <c r="D348" t="inlineStr">
        <is>
          <t>VÄSTERBOTTENS LÄN</t>
        </is>
      </c>
      <c r="E348" t="inlineStr">
        <is>
          <t>VILHELMINA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23180-2024</t>
        </is>
      </c>
      <c r="B349" s="1" t="n">
        <v>45450.9444212963</v>
      </c>
      <c r="C349" s="1" t="n">
        <v>45911</v>
      </c>
      <c r="D349" t="inlineStr">
        <is>
          <t>VÄSTERBOTTENS LÄN</t>
        </is>
      </c>
      <c r="E349" t="inlineStr">
        <is>
          <t>VILHELMINA</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23764-2025</t>
        </is>
      </c>
      <c r="B350" s="1" t="n">
        <v>45793</v>
      </c>
      <c r="C350" s="1" t="n">
        <v>45911</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706-2024</t>
        </is>
      </c>
      <c r="B351" s="1" t="n">
        <v>45300</v>
      </c>
      <c r="C351" s="1" t="n">
        <v>45911</v>
      </c>
      <c r="D351" t="inlineStr">
        <is>
          <t>VÄSTERBOTTENS LÄN</t>
        </is>
      </c>
      <c r="E351" t="inlineStr">
        <is>
          <t>VILHELMINA</t>
        </is>
      </c>
      <c r="G351" t="n">
        <v>2.8</v>
      </c>
      <c r="H351" t="n">
        <v>0</v>
      </c>
      <c r="I351" t="n">
        <v>0</v>
      </c>
      <c r="J351" t="n">
        <v>0</v>
      </c>
      <c r="K351" t="n">
        <v>0</v>
      </c>
      <c r="L351" t="n">
        <v>0</v>
      </c>
      <c r="M351" t="n">
        <v>0</v>
      </c>
      <c r="N351" t="n">
        <v>0</v>
      </c>
      <c r="O351" t="n">
        <v>0</v>
      </c>
      <c r="P351" t="n">
        <v>0</v>
      </c>
      <c r="Q351" t="n">
        <v>0</v>
      </c>
      <c r="R351" s="2" t="inlineStr"/>
    </row>
    <row r="352" ht="15" customHeight="1">
      <c r="A352" t="inlineStr">
        <is>
          <t>A 32925-2024</t>
        </is>
      </c>
      <c r="B352" s="1" t="n">
        <v>45516.95302083333</v>
      </c>
      <c r="C352" s="1" t="n">
        <v>45911</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32926-2024</t>
        </is>
      </c>
      <c r="B353" s="1" t="n">
        <v>45516.95311342592</v>
      </c>
      <c r="C353" s="1" t="n">
        <v>45911</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33319-2024</t>
        </is>
      </c>
      <c r="B354" s="1" t="n">
        <v>45518</v>
      </c>
      <c r="C354" s="1" t="n">
        <v>45911</v>
      </c>
      <c r="D354" t="inlineStr">
        <is>
          <t>VÄSTERBOTTENS LÄN</t>
        </is>
      </c>
      <c r="E354" t="inlineStr">
        <is>
          <t>VILHELMINA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44505-2024</t>
        </is>
      </c>
      <c r="B355" s="1" t="n">
        <v>45574.40974537037</v>
      </c>
      <c r="C355" s="1" t="n">
        <v>45911</v>
      </c>
      <c r="D355" t="inlineStr">
        <is>
          <t>VÄSTERBOTTENS LÄN</t>
        </is>
      </c>
      <c r="E355" t="inlineStr">
        <is>
          <t>VILHELMINA</t>
        </is>
      </c>
      <c r="G355" t="n">
        <v>15.5</v>
      </c>
      <c r="H355" t="n">
        <v>0</v>
      </c>
      <c r="I355" t="n">
        <v>0</v>
      </c>
      <c r="J355" t="n">
        <v>0</v>
      </c>
      <c r="K355" t="n">
        <v>0</v>
      </c>
      <c r="L355" t="n">
        <v>0</v>
      </c>
      <c r="M355" t="n">
        <v>0</v>
      </c>
      <c r="N355" t="n">
        <v>0</v>
      </c>
      <c r="O355" t="n">
        <v>0</v>
      </c>
      <c r="P355" t="n">
        <v>0</v>
      </c>
      <c r="Q355" t="n">
        <v>0</v>
      </c>
      <c r="R355" s="2" t="inlineStr"/>
    </row>
    <row r="356" ht="15" customHeight="1">
      <c r="A356" t="inlineStr">
        <is>
          <t>A 55714-2023</t>
        </is>
      </c>
      <c r="B356" s="1" t="n">
        <v>45232</v>
      </c>
      <c r="C356" s="1" t="n">
        <v>45911</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45673-2023</t>
        </is>
      </c>
      <c r="B357" s="1" t="n">
        <v>45194</v>
      </c>
      <c r="C357" s="1" t="n">
        <v>45911</v>
      </c>
      <c r="D357" t="inlineStr">
        <is>
          <t>VÄSTERBOTTENS LÄN</t>
        </is>
      </c>
      <c r="E357" t="inlineStr">
        <is>
          <t>VILHELMINA</t>
        </is>
      </c>
      <c r="G357" t="n">
        <v>13.4</v>
      </c>
      <c r="H357" t="n">
        <v>0</v>
      </c>
      <c r="I357" t="n">
        <v>0</v>
      </c>
      <c r="J357" t="n">
        <v>0</v>
      </c>
      <c r="K357" t="n">
        <v>0</v>
      </c>
      <c r="L357" t="n">
        <v>0</v>
      </c>
      <c r="M357" t="n">
        <v>0</v>
      </c>
      <c r="N357" t="n">
        <v>0</v>
      </c>
      <c r="O357" t="n">
        <v>0</v>
      </c>
      <c r="P357" t="n">
        <v>0</v>
      </c>
      <c r="Q357" t="n">
        <v>0</v>
      </c>
      <c r="R357" s="2" t="inlineStr"/>
    </row>
    <row r="358" ht="15" customHeight="1">
      <c r="A358" t="inlineStr">
        <is>
          <t>A 56754-2023</t>
        </is>
      </c>
      <c r="B358" s="1" t="n">
        <v>45238</v>
      </c>
      <c r="C358" s="1" t="n">
        <v>45911</v>
      </c>
      <c r="D358" t="inlineStr">
        <is>
          <t>VÄSTERBOTTENS LÄN</t>
        </is>
      </c>
      <c r="E358" t="inlineStr">
        <is>
          <t>VILHELMINA</t>
        </is>
      </c>
      <c r="F358" t="inlineStr">
        <is>
          <t>Allmännings- och besparingsskogar</t>
        </is>
      </c>
      <c r="G358" t="n">
        <v>18</v>
      </c>
      <c r="H358" t="n">
        <v>0</v>
      </c>
      <c r="I358" t="n">
        <v>0</v>
      </c>
      <c r="J358" t="n">
        <v>0</v>
      </c>
      <c r="K358" t="n">
        <v>0</v>
      </c>
      <c r="L358" t="n">
        <v>0</v>
      </c>
      <c r="M358" t="n">
        <v>0</v>
      </c>
      <c r="N358" t="n">
        <v>0</v>
      </c>
      <c r="O358" t="n">
        <v>0</v>
      </c>
      <c r="P358" t="n">
        <v>0</v>
      </c>
      <c r="Q358" t="n">
        <v>0</v>
      </c>
      <c r="R358" s="2" t="inlineStr"/>
    </row>
    <row r="359" ht="15" customHeight="1">
      <c r="A359" t="inlineStr">
        <is>
          <t>A 23686-2025</t>
        </is>
      </c>
      <c r="B359" s="1" t="n">
        <v>45793</v>
      </c>
      <c r="C359" s="1" t="n">
        <v>45911</v>
      </c>
      <c r="D359" t="inlineStr">
        <is>
          <t>VÄSTERBOTTENS LÄN</t>
        </is>
      </c>
      <c r="E359" t="inlineStr">
        <is>
          <t>VILHELMINA</t>
        </is>
      </c>
      <c r="F359" t="inlineStr">
        <is>
          <t>SCA</t>
        </is>
      </c>
      <c r="G359" t="n">
        <v>5.3</v>
      </c>
      <c r="H359" t="n">
        <v>0</v>
      </c>
      <c r="I359" t="n">
        <v>0</v>
      </c>
      <c r="J359" t="n">
        <v>0</v>
      </c>
      <c r="K359" t="n">
        <v>0</v>
      </c>
      <c r="L359" t="n">
        <v>0</v>
      </c>
      <c r="M359" t="n">
        <v>0</v>
      </c>
      <c r="N359" t="n">
        <v>0</v>
      </c>
      <c r="O359" t="n">
        <v>0</v>
      </c>
      <c r="P359" t="n">
        <v>0</v>
      </c>
      <c r="Q359" t="n">
        <v>0</v>
      </c>
      <c r="R359" s="2" t="inlineStr"/>
    </row>
    <row r="360" ht="15" customHeight="1">
      <c r="A360" t="inlineStr">
        <is>
          <t>A 36215-2023</t>
        </is>
      </c>
      <c r="B360" s="1" t="n">
        <v>45149.95266203704</v>
      </c>
      <c r="C360" s="1" t="n">
        <v>45911</v>
      </c>
      <c r="D360" t="inlineStr">
        <is>
          <t>VÄSTERBOTTENS LÄN</t>
        </is>
      </c>
      <c r="E360" t="inlineStr">
        <is>
          <t>VILHELMINA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24224-2025</t>
        </is>
      </c>
      <c r="B361" s="1" t="n">
        <v>45797</v>
      </c>
      <c r="C361" s="1" t="n">
        <v>45911</v>
      </c>
      <c r="D361" t="inlineStr">
        <is>
          <t>VÄSTERBOTTENS LÄN</t>
        </is>
      </c>
      <c r="E361" t="inlineStr">
        <is>
          <t>VILHELMINA</t>
        </is>
      </c>
      <c r="G361" t="n">
        <v>27.2</v>
      </c>
      <c r="H361" t="n">
        <v>0</v>
      </c>
      <c r="I361" t="n">
        <v>0</v>
      </c>
      <c r="J361" t="n">
        <v>0</v>
      </c>
      <c r="K361" t="n">
        <v>0</v>
      </c>
      <c r="L361" t="n">
        <v>0</v>
      </c>
      <c r="M361" t="n">
        <v>0</v>
      </c>
      <c r="N361" t="n">
        <v>0</v>
      </c>
      <c r="O361" t="n">
        <v>0</v>
      </c>
      <c r="P361" t="n">
        <v>0</v>
      </c>
      <c r="Q361" t="n">
        <v>0</v>
      </c>
      <c r="R361" s="2" t="inlineStr"/>
    </row>
    <row r="362" ht="15" customHeight="1">
      <c r="A362" t="inlineStr">
        <is>
          <t>A 32683-2024</t>
        </is>
      </c>
      <c r="B362" s="1" t="n">
        <v>45515</v>
      </c>
      <c r="C362" s="1" t="n">
        <v>45911</v>
      </c>
      <c r="D362" t="inlineStr">
        <is>
          <t>VÄSTERBOTTENS LÄN</t>
        </is>
      </c>
      <c r="E362" t="inlineStr">
        <is>
          <t>VILHELMINA</t>
        </is>
      </c>
      <c r="G362" t="n">
        <v>6.1</v>
      </c>
      <c r="H362" t="n">
        <v>0</v>
      </c>
      <c r="I362" t="n">
        <v>0</v>
      </c>
      <c r="J362" t="n">
        <v>0</v>
      </c>
      <c r="K362" t="n">
        <v>0</v>
      </c>
      <c r="L362" t="n">
        <v>0</v>
      </c>
      <c r="M362" t="n">
        <v>0</v>
      </c>
      <c r="N362" t="n">
        <v>0</v>
      </c>
      <c r="O362" t="n">
        <v>0</v>
      </c>
      <c r="P362" t="n">
        <v>0</v>
      </c>
      <c r="Q362" t="n">
        <v>0</v>
      </c>
      <c r="R362" s="2" t="inlineStr"/>
    </row>
    <row r="363" ht="15" customHeight="1">
      <c r="A363" t="inlineStr">
        <is>
          <t>A 24988-2025</t>
        </is>
      </c>
      <c r="B363" s="1" t="n">
        <v>45799</v>
      </c>
      <c r="C363" s="1" t="n">
        <v>45911</v>
      </c>
      <c r="D363" t="inlineStr">
        <is>
          <t>VÄSTERBOTTENS LÄN</t>
        </is>
      </c>
      <c r="E363" t="inlineStr">
        <is>
          <t>VILHELMINA</t>
        </is>
      </c>
      <c r="G363" t="n">
        <v>8.9</v>
      </c>
      <c r="H363" t="n">
        <v>0</v>
      </c>
      <c r="I363" t="n">
        <v>0</v>
      </c>
      <c r="J363" t="n">
        <v>0</v>
      </c>
      <c r="K363" t="n">
        <v>0</v>
      </c>
      <c r="L363" t="n">
        <v>0</v>
      </c>
      <c r="M363" t="n">
        <v>0</v>
      </c>
      <c r="N363" t="n">
        <v>0</v>
      </c>
      <c r="O363" t="n">
        <v>0</v>
      </c>
      <c r="P363" t="n">
        <v>0</v>
      </c>
      <c r="Q363" t="n">
        <v>0</v>
      </c>
      <c r="R363" s="2" t="inlineStr"/>
    </row>
    <row r="364" ht="15" customHeight="1">
      <c r="A364" t="inlineStr">
        <is>
          <t>A 25180-2025</t>
        </is>
      </c>
      <c r="B364" s="1" t="n">
        <v>45800.44892361111</v>
      </c>
      <c r="C364" s="1" t="n">
        <v>45911</v>
      </c>
      <c r="D364" t="inlineStr">
        <is>
          <t>VÄSTERBOTTENS LÄN</t>
        </is>
      </c>
      <c r="E364" t="inlineStr">
        <is>
          <t>VILHELMINA</t>
        </is>
      </c>
      <c r="F364" t="inlineStr">
        <is>
          <t>SCA</t>
        </is>
      </c>
      <c r="G364" t="n">
        <v>10.8</v>
      </c>
      <c r="H364" t="n">
        <v>0</v>
      </c>
      <c r="I364" t="n">
        <v>0</v>
      </c>
      <c r="J364" t="n">
        <v>0</v>
      </c>
      <c r="K364" t="n">
        <v>0</v>
      </c>
      <c r="L364" t="n">
        <v>0</v>
      </c>
      <c r="M364" t="n">
        <v>0</v>
      </c>
      <c r="N364" t="n">
        <v>0</v>
      </c>
      <c r="O364" t="n">
        <v>0</v>
      </c>
      <c r="P364" t="n">
        <v>0</v>
      </c>
      <c r="Q364" t="n">
        <v>0</v>
      </c>
      <c r="R364" s="2" t="inlineStr"/>
    </row>
    <row r="365" ht="15" customHeight="1">
      <c r="A365" t="inlineStr">
        <is>
          <t>A 55720-2023</t>
        </is>
      </c>
      <c r="B365" s="1" t="n">
        <v>45232</v>
      </c>
      <c r="C365" s="1" t="n">
        <v>45911</v>
      </c>
      <c r="D365" t="inlineStr">
        <is>
          <t>VÄSTERBOTTENS LÄN</t>
        </is>
      </c>
      <c r="E365" t="inlineStr">
        <is>
          <t>VILHELMINA</t>
        </is>
      </c>
      <c r="G365" t="n">
        <v>0.8</v>
      </c>
      <c r="H365" t="n">
        <v>0</v>
      </c>
      <c r="I365" t="n">
        <v>0</v>
      </c>
      <c r="J365" t="n">
        <v>0</v>
      </c>
      <c r="K365" t="n">
        <v>0</v>
      </c>
      <c r="L365" t="n">
        <v>0</v>
      </c>
      <c r="M365" t="n">
        <v>0</v>
      </c>
      <c r="N365" t="n">
        <v>0</v>
      </c>
      <c r="O365" t="n">
        <v>0</v>
      </c>
      <c r="P365" t="n">
        <v>0</v>
      </c>
      <c r="Q365" t="n">
        <v>0</v>
      </c>
      <c r="R365" s="2" t="inlineStr"/>
    </row>
    <row r="366" ht="15" customHeight="1">
      <c r="A366" t="inlineStr">
        <is>
          <t>A 17587-2024</t>
        </is>
      </c>
      <c r="B366" s="1" t="n">
        <v>45415.94033564815</v>
      </c>
      <c r="C366" s="1" t="n">
        <v>45911</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8578-2025</t>
        </is>
      </c>
      <c r="B367" s="1" t="n">
        <v>45709</v>
      </c>
      <c r="C367" s="1" t="n">
        <v>45911</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24870-2025</t>
        </is>
      </c>
      <c r="B368" s="1" t="n">
        <v>45799.49025462963</v>
      </c>
      <c r="C368" s="1" t="n">
        <v>45911</v>
      </c>
      <c r="D368" t="inlineStr">
        <is>
          <t>VÄSTERBOTTENS LÄN</t>
        </is>
      </c>
      <c r="E368" t="inlineStr">
        <is>
          <t>VILHELMINA</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25239-2025</t>
        </is>
      </c>
      <c r="B369" s="1" t="n">
        <v>45800</v>
      </c>
      <c r="C369" s="1" t="n">
        <v>45911</v>
      </c>
      <c r="D369" t="inlineStr">
        <is>
          <t>VÄSTERBOTTENS LÄN</t>
        </is>
      </c>
      <c r="E369" t="inlineStr">
        <is>
          <t>VILHELMINA</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25309-2025</t>
        </is>
      </c>
      <c r="B370" s="1" t="n">
        <v>45800.57380787037</v>
      </c>
      <c r="C370" s="1" t="n">
        <v>45911</v>
      </c>
      <c r="D370" t="inlineStr">
        <is>
          <t>VÄSTERBOTTENS LÄN</t>
        </is>
      </c>
      <c r="E370" t="inlineStr">
        <is>
          <t>VILHELMINA</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46318-2022</t>
        </is>
      </c>
      <c r="B371" s="1" t="n">
        <v>44847</v>
      </c>
      <c r="C371" s="1" t="n">
        <v>45911</v>
      </c>
      <c r="D371" t="inlineStr">
        <is>
          <t>VÄSTERBOTTENS LÄN</t>
        </is>
      </c>
      <c r="E371" t="inlineStr">
        <is>
          <t>VILHELMINA</t>
        </is>
      </c>
      <c r="G371" t="n">
        <v>11.7</v>
      </c>
      <c r="H371" t="n">
        <v>0</v>
      </c>
      <c r="I371" t="n">
        <v>0</v>
      </c>
      <c r="J371" t="n">
        <v>0</v>
      </c>
      <c r="K371" t="n">
        <v>0</v>
      </c>
      <c r="L371" t="n">
        <v>0</v>
      </c>
      <c r="M371" t="n">
        <v>0</v>
      </c>
      <c r="N371" t="n">
        <v>0</v>
      </c>
      <c r="O371" t="n">
        <v>0</v>
      </c>
      <c r="P371" t="n">
        <v>0</v>
      </c>
      <c r="Q371" t="n">
        <v>0</v>
      </c>
      <c r="R371" s="2" t="inlineStr"/>
    </row>
    <row r="372" ht="15" customHeight="1">
      <c r="A372" t="inlineStr">
        <is>
          <t>A 24871-2025</t>
        </is>
      </c>
      <c r="B372" s="1" t="n">
        <v>45799.49028935185</v>
      </c>
      <c r="C372" s="1" t="n">
        <v>45911</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37322-2022</t>
        </is>
      </c>
      <c r="B373" s="1" t="n">
        <v>44806</v>
      </c>
      <c r="C373" s="1" t="n">
        <v>45911</v>
      </c>
      <c r="D373" t="inlineStr">
        <is>
          <t>VÄSTERBOTTENS LÄN</t>
        </is>
      </c>
      <c r="E373" t="inlineStr">
        <is>
          <t>VILHELMINA</t>
        </is>
      </c>
      <c r="F373" t="inlineStr">
        <is>
          <t>Övriga statliga verk och myndigheter</t>
        </is>
      </c>
      <c r="G373" t="n">
        <v>15.4</v>
      </c>
      <c r="H373" t="n">
        <v>0</v>
      </c>
      <c r="I373" t="n">
        <v>0</v>
      </c>
      <c r="J373" t="n">
        <v>0</v>
      </c>
      <c r="K373" t="n">
        <v>0</v>
      </c>
      <c r="L373" t="n">
        <v>0</v>
      </c>
      <c r="M373" t="n">
        <v>0</v>
      </c>
      <c r="N373" t="n">
        <v>0</v>
      </c>
      <c r="O373" t="n">
        <v>0</v>
      </c>
      <c r="P373" t="n">
        <v>0</v>
      </c>
      <c r="Q373" t="n">
        <v>0</v>
      </c>
      <c r="R373" s="2" t="inlineStr"/>
    </row>
    <row r="374" ht="15" customHeight="1">
      <c r="A374" t="inlineStr">
        <is>
          <t>A 25062-2025</t>
        </is>
      </c>
      <c r="B374" s="1" t="n">
        <v>45799.69844907407</v>
      </c>
      <c r="C374" s="1" t="n">
        <v>45911</v>
      </c>
      <c r="D374" t="inlineStr">
        <is>
          <t>VÄSTERBOTTENS LÄN</t>
        </is>
      </c>
      <c r="E374" t="inlineStr">
        <is>
          <t>VILHELMINA</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25176-2025</t>
        </is>
      </c>
      <c r="B375" s="1" t="n">
        <v>45800.44840277778</v>
      </c>
      <c r="C375" s="1" t="n">
        <v>45911</v>
      </c>
      <c r="D375" t="inlineStr">
        <is>
          <t>VÄSTERBOTTENS LÄN</t>
        </is>
      </c>
      <c r="E375" t="inlineStr">
        <is>
          <t>VILHELMINA</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38363-2023</t>
        </is>
      </c>
      <c r="B376" s="1" t="n">
        <v>45161</v>
      </c>
      <c r="C376" s="1" t="n">
        <v>45911</v>
      </c>
      <c r="D376" t="inlineStr">
        <is>
          <t>VÄSTERBOTTENS LÄN</t>
        </is>
      </c>
      <c r="E376" t="inlineStr">
        <is>
          <t>VILHELMINA</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60090-2020</t>
        </is>
      </c>
      <c r="B377" s="1" t="n">
        <v>44151</v>
      </c>
      <c r="C377" s="1" t="n">
        <v>45911</v>
      </c>
      <c r="D377" t="inlineStr">
        <is>
          <t>VÄSTERBOTTENS LÄN</t>
        </is>
      </c>
      <c r="E377" t="inlineStr">
        <is>
          <t>VILHELMINA</t>
        </is>
      </c>
      <c r="G377" t="n">
        <v>9</v>
      </c>
      <c r="H377" t="n">
        <v>0</v>
      </c>
      <c r="I377" t="n">
        <v>0</v>
      </c>
      <c r="J377" t="n">
        <v>0</v>
      </c>
      <c r="K377" t="n">
        <v>0</v>
      </c>
      <c r="L377" t="n">
        <v>0</v>
      </c>
      <c r="M377" t="n">
        <v>0</v>
      </c>
      <c r="N377" t="n">
        <v>0</v>
      </c>
      <c r="O377" t="n">
        <v>0</v>
      </c>
      <c r="P377" t="n">
        <v>0</v>
      </c>
      <c r="Q377" t="n">
        <v>0</v>
      </c>
      <c r="R377" s="2" t="inlineStr"/>
    </row>
    <row r="378" ht="15" customHeight="1">
      <c r="A378" t="inlineStr">
        <is>
          <t>A 46392-2024</t>
        </is>
      </c>
      <c r="B378" s="1" t="n">
        <v>45582</v>
      </c>
      <c r="C378" s="1" t="n">
        <v>45911</v>
      </c>
      <c r="D378" t="inlineStr">
        <is>
          <t>VÄSTERBOTTENS LÄN</t>
        </is>
      </c>
      <c r="E378" t="inlineStr">
        <is>
          <t>VILHELMINA</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22108-2024</t>
        </is>
      </c>
      <c r="B379" s="1" t="n">
        <v>45443</v>
      </c>
      <c r="C379" s="1" t="n">
        <v>45911</v>
      </c>
      <c r="D379" t="inlineStr">
        <is>
          <t>VÄSTERBOTTENS LÄN</t>
        </is>
      </c>
      <c r="E379" t="inlineStr">
        <is>
          <t>VILHELMINA</t>
        </is>
      </c>
      <c r="F379" t="inlineStr">
        <is>
          <t>SCA</t>
        </is>
      </c>
      <c r="G379" t="n">
        <v>4.9</v>
      </c>
      <c r="H379" t="n">
        <v>0</v>
      </c>
      <c r="I379" t="n">
        <v>0</v>
      </c>
      <c r="J379" t="n">
        <v>0</v>
      </c>
      <c r="K379" t="n">
        <v>0</v>
      </c>
      <c r="L379" t="n">
        <v>0</v>
      </c>
      <c r="M379" t="n">
        <v>0</v>
      </c>
      <c r="N379" t="n">
        <v>0</v>
      </c>
      <c r="O379" t="n">
        <v>0</v>
      </c>
      <c r="P379" t="n">
        <v>0</v>
      </c>
      <c r="Q379" t="n">
        <v>0</v>
      </c>
      <c r="R379" s="2" t="inlineStr"/>
    </row>
    <row r="380" ht="15" customHeight="1">
      <c r="A380" t="inlineStr">
        <is>
          <t>A 25524-2025</t>
        </is>
      </c>
      <c r="B380" s="1" t="n">
        <v>45803.38644675926</v>
      </c>
      <c r="C380" s="1" t="n">
        <v>45911</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25770-2025</t>
        </is>
      </c>
      <c r="B381" s="1" t="n">
        <v>45804.3449537037</v>
      </c>
      <c r="C381" s="1" t="n">
        <v>45911</v>
      </c>
      <c r="D381" t="inlineStr">
        <is>
          <t>VÄSTERBOTTENS LÄN</t>
        </is>
      </c>
      <c r="E381" t="inlineStr">
        <is>
          <t>VILHELMINA</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61920-2020</t>
        </is>
      </c>
      <c r="B382" s="1" t="n">
        <v>44155</v>
      </c>
      <c r="C382" s="1" t="n">
        <v>45911</v>
      </c>
      <c r="D382" t="inlineStr">
        <is>
          <t>VÄSTERBOTTENS LÄN</t>
        </is>
      </c>
      <c r="E382" t="inlineStr">
        <is>
          <t>VILHELMINA</t>
        </is>
      </c>
      <c r="G382" t="n">
        <v>7.7</v>
      </c>
      <c r="H382" t="n">
        <v>0</v>
      </c>
      <c r="I382" t="n">
        <v>0</v>
      </c>
      <c r="J382" t="n">
        <v>0</v>
      </c>
      <c r="K382" t="n">
        <v>0</v>
      </c>
      <c r="L382" t="n">
        <v>0</v>
      </c>
      <c r="M382" t="n">
        <v>0</v>
      </c>
      <c r="N382" t="n">
        <v>0</v>
      </c>
      <c r="O382" t="n">
        <v>0</v>
      </c>
      <c r="P382" t="n">
        <v>0</v>
      </c>
      <c r="Q382" t="n">
        <v>0</v>
      </c>
      <c r="R382" s="2" t="inlineStr"/>
    </row>
    <row r="383" ht="15" customHeight="1">
      <c r="A383" t="inlineStr">
        <is>
          <t>A 26018-2025</t>
        </is>
      </c>
      <c r="B383" s="1" t="n">
        <v>45804.67799768518</v>
      </c>
      <c r="C383" s="1" t="n">
        <v>45911</v>
      </c>
      <c r="D383" t="inlineStr">
        <is>
          <t>VÄSTERBOTTENS LÄN</t>
        </is>
      </c>
      <c r="E383" t="inlineStr">
        <is>
          <t>VILHELMINA</t>
        </is>
      </c>
      <c r="F383" t="inlineStr">
        <is>
          <t>SCA</t>
        </is>
      </c>
      <c r="G383" t="n">
        <v>7.3</v>
      </c>
      <c r="H383" t="n">
        <v>0</v>
      </c>
      <c r="I383" t="n">
        <v>0</v>
      </c>
      <c r="J383" t="n">
        <v>0</v>
      </c>
      <c r="K383" t="n">
        <v>0</v>
      </c>
      <c r="L383" t="n">
        <v>0</v>
      </c>
      <c r="M383" t="n">
        <v>0</v>
      </c>
      <c r="N383" t="n">
        <v>0</v>
      </c>
      <c r="O383" t="n">
        <v>0</v>
      </c>
      <c r="P383" t="n">
        <v>0</v>
      </c>
      <c r="Q383" t="n">
        <v>0</v>
      </c>
      <c r="R383" s="2" t="inlineStr"/>
    </row>
    <row r="384" ht="15" customHeight="1">
      <c r="A384" t="inlineStr">
        <is>
          <t>A 25942-2025</t>
        </is>
      </c>
      <c r="B384" s="1" t="n">
        <v>45804.59461805555</v>
      </c>
      <c r="C384" s="1" t="n">
        <v>45911</v>
      </c>
      <c r="D384" t="inlineStr">
        <is>
          <t>VÄSTERBOTTENS LÄN</t>
        </is>
      </c>
      <c r="E384" t="inlineStr">
        <is>
          <t>VILHELMINA</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8726-2023</t>
        </is>
      </c>
      <c r="B385" s="1" t="n">
        <v>44972</v>
      </c>
      <c r="C385" s="1" t="n">
        <v>45911</v>
      </c>
      <c r="D385" t="inlineStr">
        <is>
          <t>VÄSTERBOTTENS LÄN</t>
        </is>
      </c>
      <c r="E385" t="inlineStr">
        <is>
          <t>VILHELMINA</t>
        </is>
      </c>
      <c r="F385" t="inlineStr">
        <is>
          <t>Allmännings- och besparingsskogar</t>
        </is>
      </c>
      <c r="G385" t="n">
        <v>50</v>
      </c>
      <c r="H385" t="n">
        <v>0</v>
      </c>
      <c r="I385" t="n">
        <v>0</v>
      </c>
      <c r="J385" t="n">
        <v>0</v>
      </c>
      <c r="K385" t="n">
        <v>0</v>
      </c>
      <c r="L385" t="n">
        <v>0</v>
      </c>
      <c r="M385" t="n">
        <v>0</v>
      </c>
      <c r="N385" t="n">
        <v>0</v>
      </c>
      <c r="O385" t="n">
        <v>0</v>
      </c>
      <c r="P385" t="n">
        <v>0</v>
      </c>
      <c r="Q385" t="n">
        <v>0</v>
      </c>
      <c r="R385" s="2" t="inlineStr"/>
    </row>
    <row r="386" ht="15" customHeight="1">
      <c r="A386" t="inlineStr">
        <is>
          <t>A 55697-2024</t>
        </is>
      </c>
      <c r="B386" s="1" t="n">
        <v>45622</v>
      </c>
      <c r="C386" s="1" t="n">
        <v>45911</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46908-2024</t>
        </is>
      </c>
      <c r="B387" s="1" t="n">
        <v>45583</v>
      </c>
      <c r="C387" s="1" t="n">
        <v>45911</v>
      </c>
      <c r="D387" t="inlineStr">
        <is>
          <t>VÄSTERBOTTENS LÄN</t>
        </is>
      </c>
      <c r="E387" t="inlineStr">
        <is>
          <t>VILHELMINA</t>
        </is>
      </c>
      <c r="F387" t="inlineStr">
        <is>
          <t>SCA</t>
        </is>
      </c>
      <c r="G387" t="n">
        <v>7.5</v>
      </c>
      <c r="H387" t="n">
        <v>0</v>
      </c>
      <c r="I387" t="n">
        <v>0</v>
      </c>
      <c r="J387" t="n">
        <v>0</v>
      </c>
      <c r="K387" t="n">
        <v>0</v>
      </c>
      <c r="L387" t="n">
        <v>0</v>
      </c>
      <c r="M387" t="n">
        <v>0</v>
      </c>
      <c r="N387" t="n">
        <v>0</v>
      </c>
      <c r="O387" t="n">
        <v>0</v>
      </c>
      <c r="P387" t="n">
        <v>0</v>
      </c>
      <c r="Q387" t="n">
        <v>0</v>
      </c>
      <c r="R387" s="2" t="inlineStr"/>
    </row>
    <row r="388" ht="15" customHeight="1">
      <c r="A388" t="inlineStr">
        <is>
          <t>A 59003-2024</t>
        </is>
      </c>
      <c r="B388" s="1" t="n">
        <v>45636</v>
      </c>
      <c r="C388" s="1" t="n">
        <v>45911</v>
      </c>
      <c r="D388" t="inlineStr">
        <is>
          <t>VÄSTERBOTTENS LÄN</t>
        </is>
      </c>
      <c r="E388" t="inlineStr">
        <is>
          <t>VILHELMINA</t>
        </is>
      </c>
      <c r="F388" t="inlineStr">
        <is>
          <t>Allmännings- och besparingsskogar</t>
        </is>
      </c>
      <c r="G388" t="n">
        <v>21.8</v>
      </c>
      <c r="H388" t="n">
        <v>0</v>
      </c>
      <c r="I388" t="n">
        <v>0</v>
      </c>
      <c r="J388" t="n">
        <v>0</v>
      </c>
      <c r="K388" t="n">
        <v>0</v>
      </c>
      <c r="L388" t="n">
        <v>0</v>
      </c>
      <c r="M388" t="n">
        <v>0</v>
      </c>
      <c r="N388" t="n">
        <v>0</v>
      </c>
      <c r="O388" t="n">
        <v>0</v>
      </c>
      <c r="P388" t="n">
        <v>0</v>
      </c>
      <c r="Q388" t="n">
        <v>0</v>
      </c>
      <c r="R388" s="2" t="inlineStr"/>
    </row>
    <row r="389" ht="15" customHeight="1">
      <c r="A389" t="inlineStr">
        <is>
          <t>A 29463-2024</t>
        </is>
      </c>
      <c r="B389" s="1" t="n">
        <v>45483.96994212963</v>
      </c>
      <c r="C389" s="1" t="n">
        <v>45911</v>
      </c>
      <c r="D389" t="inlineStr">
        <is>
          <t>VÄSTERBOTTENS LÄN</t>
        </is>
      </c>
      <c r="E389" t="inlineStr">
        <is>
          <t>VILHELMINA</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12118-2024</t>
        </is>
      </c>
      <c r="B390" s="1" t="n">
        <v>45376</v>
      </c>
      <c r="C390" s="1" t="n">
        <v>45911</v>
      </c>
      <c r="D390" t="inlineStr">
        <is>
          <t>VÄSTERBOTTENS LÄN</t>
        </is>
      </c>
      <c r="E390" t="inlineStr">
        <is>
          <t>VILHELMINA</t>
        </is>
      </c>
      <c r="G390" t="n">
        <v>3.6</v>
      </c>
      <c r="H390" t="n">
        <v>0</v>
      </c>
      <c r="I390" t="n">
        <v>0</v>
      </c>
      <c r="J390" t="n">
        <v>0</v>
      </c>
      <c r="K390" t="n">
        <v>0</v>
      </c>
      <c r="L390" t="n">
        <v>0</v>
      </c>
      <c r="M390" t="n">
        <v>0</v>
      </c>
      <c r="N390" t="n">
        <v>0</v>
      </c>
      <c r="O390" t="n">
        <v>0</v>
      </c>
      <c r="P390" t="n">
        <v>0</v>
      </c>
      <c r="Q390" t="n">
        <v>0</v>
      </c>
      <c r="R390" s="2" t="inlineStr"/>
    </row>
    <row r="391" ht="15" customHeight="1">
      <c r="A391" t="inlineStr">
        <is>
          <t>A 56627-2024</t>
        </is>
      </c>
      <c r="B391" s="1" t="n">
        <v>45625</v>
      </c>
      <c r="C391" s="1" t="n">
        <v>45911</v>
      </c>
      <c r="D391" t="inlineStr">
        <is>
          <t>VÄSTERBOTTENS LÄN</t>
        </is>
      </c>
      <c r="E391" t="inlineStr">
        <is>
          <t>VILHELMINA</t>
        </is>
      </c>
      <c r="F391" t="inlineStr">
        <is>
          <t>Allmännings- och besparingsskogar</t>
        </is>
      </c>
      <c r="G391" t="n">
        <v>21.5</v>
      </c>
      <c r="H391" t="n">
        <v>0</v>
      </c>
      <c r="I391" t="n">
        <v>0</v>
      </c>
      <c r="J391" t="n">
        <v>0</v>
      </c>
      <c r="K391" t="n">
        <v>0</v>
      </c>
      <c r="L391" t="n">
        <v>0</v>
      </c>
      <c r="M391" t="n">
        <v>0</v>
      </c>
      <c r="N391" t="n">
        <v>0</v>
      </c>
      <c r="O391" t="n">
        <v>0</v>
      </c>
      <c r="P391" t="n">
        <v>0</v>
      </c>
      <c r="Q391" t="n">
        <v>0</v>
      </c>
      <c r="R391" s="2" t="inlineStr"/>
    </row>
    <row r="392" ht="15" customHeight="1">
      <c r="A392" t="inlineStr">
        <is>
          <t>A 37937-2023</t>
        </is>
      </c>
      <c r="B392" s="1" t="n">
        <v>45159</v>
      </c>
      <c r="C392" s="1" t="n">
        <v>45911</v>
      </c>
      <c r="D392" t="inlineStr">
        <is>
          <t>VÄSTERBOTTENS LÄN</t>
        </is>
      </c>
      <c r="E392" t="inlineStr">
        <is>
          <t>VILHELMINA</t>
        </is>
      </c>
      <c r="G392" t="n">
        <v>2.2</v>
      </c>
      <c r="H392" t="n">
        <v>0</v>
      </c>
      <c r="I392" t="n">
        <v>0</v>
      </c>
      <c r="J392" t="n">
        <v>0</v>
      </c>
      <c r="K392" t="n">
        <v>0</v>
      </c>
      <c r="L392" t="n">
        <v>0</v>
      </c>
      <c r="M392" t="n">
        <v>0</v>
      </c>
      <c r="N392" t="n">
        <v>0</v>
      </c>
      <c r="O392" t="n">
        <v>0</v>
      </c>
      <c r="P392" t="n">
        <v>0</v>
      </c>
      <c r="Q392" t="n">
        <v>0</v>
      </c>
      <c r="R392" s="2" t="inlineStr"/>
    </row>
    <row r="393" ht="15" customHeight="1">
      <c r="A393" t="inlineStr">
        <is>
          <t>A 36348-2024</t>
        </is>
      </c>
      <c r="B393" s="1" t="n">
        <v>45534.64422453703</v>
      </c>
      <c r="C393" s="1" t="n">
        <v>45911</v>
      </c>
      <c r="D393" t="inlineStr">
        <is>
          <t>VÄSTERBOTTENS LÄN</t>
        </is>
      </c>
      <c r="E393" t="inlineStr">
        <is>
          <t>VILHELMINA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36355-2024</t>
        </is>
      </c>
      <c r="B394" s="1" t="n">
        <v>45534.64508101852</v>
      </c>
      <c r="C394" s="1" t="n">
        <v>45911</v>
      </c>
      <c r="D394" t="inlineStr">
        <is>
          <t>VÄSTERBOTTENS LÄN</t>
        </is>
      </c>
      <c r="E394" t="inlineStr">
        <is>
          <t>VILHELMINA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26098-2025</t>
        </is>
      </c>
      <c r="B395" s="1" t="n">
        <v>45805</v>
      </c>
      <c r="C395" s="1" t="n">
        <v>45911</v>
      </c>
      <c r="D395" t="inlineStr">
        <is>
          <t>VÄSTERBOTTENS LÄN</t>
        </is>
      </c>
      <c r="E395" t="inlineStr">
        <is>
          <t>VILHELMINA</t>
        </is>
      </c>
      <c r="F395" t="inlineStr">
        <is>
          <t>Övriga statliga verk och myndigheter</t>
        </is>
      </c>
      <c r="G395" t="n">
        <v>5.4</v>
      </c>
      <c r="H395" t="n">
        <v>0</v>
      </c>
      <c r="I395" t="n">
        <v>0</v>
      </c>
      <c r="J395" t="n">
        <v>0</v>
      </c>
      <c r="K395" t="n">
        <v>0</v>
      </c>
      <c r="L395" t="n">
        <v>0</v>
      </c>
      <c r="M395" t="n">
        <v>0</v>
      </c>
      <c r="N395" t="n">
        <v>0</v>
      </c>
      <c r="O395" t="n">
        <v>0</v>
      </c>
      <c r="P395" t="n">
        <v>0</v>
      </c>
      <c r="Q395" t="n">
        <v>0</v>
      </c>
      <c r="R395" s="2" t="inlineStr"/>
    </row>
    <row r="396" ht="15" customHeight="1">
      <c r="A396" t="inlineStr">
        <is>
          <t>A 55695-2024</t>
        </is>
      </c>
      <c r="B396" s="1" t="n">
        <v>45622</v>
      </c>
      <c r="C396" s="1" t="n">
        <v>45911</v>
      </c>
      <c r="D396" t="inlineStr">
        <is>
          <t>VÄSTERBOTTENS LÄN</t>
        </is>
      </c>
      <c r="E396" t="inlineStr">
        <is>
          <t>VILHELMINA</t>
        </is>
      </c>
      <c r="G396" t="n">
        <v>7.2</v>
      </c>
      <c r="H396" t="n">
        <v>0</v>
      </c>
      <c r="I396" t="n">
        <v>0</v>
      </c>
      <c r="J396" t="n">
        <v>0</v>
      </c>
      <c r="K396" t="n">
        <v>0</v>
      </c>
      <c r="L396" t="n">
        <v>0</v>
      </c>
      <c r="M396" t="n">
        <v>0</v>
      </c>
      <c r="N396" t="n">
        <v>0</v>
      </c>
      <c r="O396" t="n">
        <v>0</v>
      </c>
      <c r="P396" t="n">
        <v>0</v>
      </c>
      <c r="Q396" t="n">
        <v>0</v>
      </c>
      <c r="R396" s="2" t="inlineStr"/>
    </row>
    <row r="397" ht="15" customHeight="1">
      <c r="A397" t="inlineStr">
        <is>
          <t>A 27355-2023</t>
        </is>
      </c>
      <c r="B397" s="1" t="n">
        <v>45096</v>
      </c>
      <c r="C397" s="1" t="n">
        <v>45911</v>
      </c>
      <c r="D397" t="inlineStr">
        <is>
          <t>VÄSTERBOTTENS LÄN</t>
        </is>
      </c>
      <c r="E397" t="inlineStr">
        <is>
          <t>VILHELMINA</t>
        </is>
      </c>
      <c r="G397" t="n">
        <v>2.6</v>
      </c>
      <c r="H397" t="n">
        <v>0</v>
      </c>
      <c r="I397" t="n">
        <v>0</v>
      </c>
      <c r="J397" t="n">
        <v>0</v>
      </c>
      <c r="K397" t="n">
        <v>0</v>
      </c>
      <c r="L397" t="n">
        <v>0</v>
      </c>
      <c r="M397" t="n">
        <v>0</v>
      </c>
      <c r="N397" t="n">
        <v>0</v>
      </c>
      <c r="O397" t="n">
        <v>0</v>
      </c>
      <c r="P397" t="n">
        <v>0</v>
      </c>
      <c r="Q397" t="n">
        <v>0</v>
      </c>
      <c r="R397" s="2" t="inlineStr"/>
    </row>
    <row r="398" ht="15" customHeight="1">
      <c r="A398" t="inlineStr">
        <is>
          <t>A 59018-2024</t>
        </is>
      </c>
      <c r="B398" s="1" t="n">
        <v>45636</v>
      </c>
      <c r="C398" s="1" t="n">
        <v>45911</v>
      </c>
      <c r="D398" t="inlineStr">
        <is>
          <t>VÄSTERBOTTENS LÄN</t>
        </is>
      </c>
      <c r="E398" t="inlineStr">
        <is>
          <t>VILHELMINA</t>
        </is>
      </c>
      <c r="F398" t="inlineStr">
        <is>
          <t>Allmännings- och besparingsskogar</t>
        </is>
      </c>
      <c r="G398" t="n">
        <v>13.9</v>
      </c>
      <c r="H398" t="n">
        <v>0</v>
      </c>
      <c r="I398" t="n">
        <v>0</v>
      </c>
      <c r="J398" t="n">
        <v>0</v>
      </c>
      <c r="K398" t="n">
        <v>0</v>
      </c>
      <c r="L398" t="n">
        <v>0</v>
      </c>
      <c r="M398" t="n">
        <v>0</v>
      </c>
      <c r="N398" t="n">
        <v>0</v>
      </c>
      <c r="O398" t="n">
        <v>0</v>
      </c>
      <c r="P398" t="n">
        <v>0</v>
      </c>
      <c r="Q398" t="n">
        <v>0</v>
      </c>
      <c r="R398" s="2" t="inlineStr"/>
    </row>
    <row r="399" ht="15" customHeight="1">
      <c r="A399" t="inlineStr">
        <is>
          <t>A 29722-2024</t>
        </is>
      </c>
      <c r="B399" s="1" t="n">
        <v>45485</v>
      </c>
      <c r="C399" s="1" t="n">
        <v>45911</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32253-2024</t>
        </is>
      </c>
      <c r="B400" s="1" t="n">
        <v>45511.95214120371</v>
      </c>
      <c r="C400" s="1" t="n">
        <v>45911</v>
      </c>
      <c r="D400" t="inlineStr">
        <is>
          <t>VÄSTERBOTTENS LÄN</t>
        </is>
      </c>
      <c r="E400" t="inlineStr">
        <is>
          <t>VILHELMINA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57795-2023</t>
        </is>
      </c>
      <c r="B401" s="1" t="n">
        <v>45246.96861111111</v>
      </c>
      <c r="C401" s="1" t="n">
        <v>45911</v>
      </c>
      <c r="D401" t="inlineStr">
        <is>
          <t>VÄSTERBOTTENS LÄN</t>
        </is>
      </c>
      <c r="E401" t="inlineStr">
        <is>
          <t>VILHELMINA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52174-2020</t>
        </is>
      </c>
      <c r="B402" s="1" t="n">
        <v>44105</v>
      </c>
      <c r="C402" s="1" t="n">
        <v>45911</v>
      </c>
      <c r="D402" t="inlineStr">
        <is>
          <t>VÄSTERBOTTENS LÄN</t>
        </is>
      </c>
      <c r="E402" t="inlineStr">
        <is>
          <t>VILHELMINA</t>
        </is>
      </c>
      <c r="G402" t="n">
        <v>3</v>
      </c>
      <c r="H402" t="n">
        <v>0</v>
      </c>
      <c r="I402" t="n">
        <v>0</v>
      </c>
      <c r="J402" t="n">
        <v>0</v>
      </c>
      <c r="K402" t="n">
        <v>0</v>
      </c>
      <c r="L402" t="n">
        <v>0</v>
      </c>
      <c r="M402" t="n">
        <v>0</v>
      </c>
      <c r="N402" t="n">
        <v>0</v>
      </c>
      <c r="O402" t="n">
        <v>0</v>
      </c>
      <c r="P402" t="n">
        <v>0</v>
      </c>
      <c r="Q402" t="n">
        <v>0</v>
      </c>
      <c r="R402" s="2" t="inlineStr"/>
    </row>
    <row r="403" ht="15" customHeight="1">
      <c r="A403" t="inlineStr">
        <is>
          <t>A 58946-2024</t>
        </is>
      </c>
      <c r="B403" s="1" t="n">
        <v>45636.55063657407</v>
      </c>
      <c r="C403" s="1" t="n">
        <v>45911</v>
      </c>
      <c r="D403" t="inlineStr">
        <is>
          <t>VÄSTERBOTTENS LÄN</t>
        </is>
      </c>
      <c r="E403" t="inlineStr">
        <is>
          <t>VILHELMINA</t>
        </is>
      </c>
      <c r="F403" t="inlineStr">
        <is>
          <t>Kommuner</t>
        </is>
      </c>
      <c r="G403" t="n">
        <v>4.9</v>
      </c>
      <c r="H403" t="n">
        <v>0</v>
      </c>
      <c r="I403" t="n">
        <v>0</v>
      </c>
      <c r="J403" t="n">
        <v>0</v>
      </c>
      <c r="K403" t="n">
        <v>0</v>
      </c>
      <c r="L403" t="n">
        <v>0</v>
      </c>
      <c r="M403" t="n">
        <v>0</v>
      </c>
      <c r="N403" t="n">
        <v>0</v>
      </c>
      <c r="O403" t="n">
        <v>0</v>
      </c>
      <c r="P403" t="n">
        <v>0</v>
      </c>
      <c r="Q403" t="n">
        <v>0</v>
      </c>
      <c r="R403" s="2" t="inlineStr"/>
    </row>
    <row r="404" ht="15" customHeight="1">
      <c r="A404" t="inlineStr">
        <is>
          <t>A 58999-2024</t>
        </is>
      </c>
      <c r="B404" s="1" t="n">
        <v>45636</v>
      </c>
      <c r="C404" s="1" t="n">
        <v>45911</v>
      </c>
      <c r="D404" t="inlineStr">
        <is>
          <t>VÄSTERBOTTENS LÄN</t>
        </is>
      </c>
      <c r="E404" t="inlineStr">
        <is>
          <t>VILHELMINA</t>
        </is>
      </c>
      <c r="F404" t="inlineStr">
        <is>
          <t>Allmännings- och besparingsskogar</t>
        </is>
      </c>
      <c r="G404" t="n">
        <v>12.3</v>
      </c>
      <c r="H404" t="n">
        <v>0</v>
      </c>
      <c r="I404" t="n">
        <v>0</v>
      </c>
      <c r="J404" t="n">
        <v>0</v>
      </c>
      <c r="K404" t="n">
        <v>0</v>
      </c>
      <c r="L404" t="n">
        <v>0</v>
      </c>
      <c r="M404" t="n">
        <v>0</v>
      </c>
      <c r="N404" t="n">
        <v>0</v>
      </c>
      <c r="O404" t="n">
        <v>0</v>
      </c>
      <c r="P404" t="n">
        <v>0</v>
      </c>
      <c r="Q404" t="n">
        <v>0</v>
      </c>
      <c r="R404" s="2" t="inlineStr"/>
    </row>
    <row r="405" ht="15" customHeight="1">
      <c r="A405" t="inlineStr">
        <is>
          <t>A 19401-2023</t>
        </is>
      </c>
      <c r="B405" s="1" t="n">
        <v>45048</v>
      </c>
      <c r="C405" s="1" t="n">
        <v>45911</v>
      </c>
      <c r="D405" t="inlineStr">
        <is>
          <t>VÄSTERBOTTENS LÄN</t>
        </is>
      </c>
      <c r="E405" t="inlineStr">
        <is>
          <t>VILHELMINA</t>
        </is>
      </c>
      <c r="G405" t="n">
        <v>5.4</v>
      </c>
      <c r="H405" t="n">
        <v>0</v>
      </c>
      <c r="I405" t="n">
        <v>0</v>
      </c>
      <c r="J405" t="n">
        <v>0</v>
      </c>
      <c r="K405" t="n">
        <v>0</v>
      </c>
      <c r="L405" t="n">
        <v>0</v>
      </c>
      <c r="M405" t="n">
        <v>0</v>
      </c>
      <c r="N405" t="n">
        <v>0</v>
      </c>
      <c r="O405" t="n">
        <v>0</v>
      </c>
      <c r="P405" t="n">
        <v>0</v>
      </c>
      <c r="Q405" t="n">
        <v>0</v>
      </c>
      <c r="R405" s="2" t="inlineStr"/>
    </row>
    <row r="406" ht="15" customHeight="1">
      <c r="A406" t="inlineStr">
        <is>
          <t>A 28380-2023</t>
        </is>
      </c>
      <c r="B406" s="1" t="n">
        <v>45099</v>
      </c>
      <c r="C406" s="1" t="n">
        <v>45911</v>
      </c>
      <c r="D406" t="inlineStr">
        <is>
          <t>VÄSTERBOTTENS LÄN</t>
        </is>
      </c>
      <c r="E406" t="inlineStr">
        <is>
          <t>VILHELMINA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57470-2024</t>
        </is>
      </c>
      <c r="B407" s="1" t="n">
        <v>45630</v>
      </c>
      <c r="C407" s="1" t="n">
        <v>45911</v>
      </c>
      <c r="D407" t="inlineStr">
        <is>
          <t>VÄSTERBOTTENS LÄN</t>
        </is>
      </c>
      <c r="E407" t="inlineStr">
        <is>
          <t>VILHELMINA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56629-2024</t>
        </is>
      </c>
      <c r="B408" s="1" t="n">
        <v>45625</v>
      </c>
      <c r="C408" s="1" t="n">
        <v>45911</v>
      </c>
      <c r="D408" t="inlineStr">
        <is>
          <t>VÄSTERBOTTENS LÄN</t>
        </is>
      </c>
      <c r="E408" t="inlineStr">
        <is>
          <t>VILHELMINA</t>
        </is>
      </c>
      <c r="F408" t="inlineStr">
        <is>
          <t>Allmännings- och besparingsskogar</t>
        </is>
      </c>
      <c r="G408" t="n">
        <v>19.7</v>
      </c>
      <c r="H408" t="n">
        <v>0</v>
      </c>
      <c r="I408" t="n">
        <v>0</v>
      </c>
      <c r="J408" t="n">
        <v>0</v>
      </c>
      <c r="K408" t="n">
        <v>0</v>
      </c>
      <c r="L408" t="n">
        <v>0</v>
      </c>
      <c r="M408" t="n">
        <v>0</v>
      </c>
      <c r="N408" t="n">
        <v>0</v>
      </c>
      <c r="O408" t="n">
        <v>0</v>
      </c>
      <c r="P408" t="n">
        <v>0</v>
      </c>
      <c r="Q408" t="n">
        <v>0</v>
      </c>
      <c r="R408" s="2" t="inlineStr"/>
    </row>
    <row r="409" ht="15" customHeight="1">
      <c r="A409" t="inlineStr">
        <is>
          <t>A 56624-2024</t>
        </is>
      </c>
      <c r="B409" s="1" t="n">
        <v>45625</v>
      </c>
      <c r="C409" s="1" t="n">
        <v>45911</v>
      </c>
      <c r="D409" t="inlineStr">
        <is>
          <t>VÄSTERBOTTENS LÄN</t>
        </is>
      </c>
      <c r="E409" t="inlineStr">
        <is>
          <t>VILHELMINA</t>
        </is>
      </c>
      <c r="F409" t="inlineStr">
        <is>
          <t>Allmännings- och besparingsskogar</t>
        </is>
      </c>
      <c r="G409" t="n">
        <v>17.8</v>
      </c>
      <c r="H409" t="n">
        <v>0</v>
      </c>
      <c r="I409" t="n">
        <v>0</v>
      </c>
      <c r="J409" t="n">
        <v>0</v>
      </c>
      <c r="K409" t="n">
        <v>0</v>
      </c>
      <c r="L409" t="n">
        <v>0</v>
      </c>
      <c r="M409" t="n">
        <v>0</v>
      </c>
      <c r="N409" t="n">
        <v>0</v>
      </c>
      <c r="O409" t="n">
        <v>0</v>
      </c>
      <c r="P409" t="n">
        <v>0</v>
      </c>
      <c r="Q409" t="n">
        <v>0</v>
      </c>
      <c r="R409" s="2" t="inlineStr"/>
    </row>
    <row r="410" ht="15" customHeight="1">
      <c r="A410" t="inlineStr">
        <is>
          <t>A 59011-2024</t>
        </is>
      </c>
      <c r="B410" s="1" t="n">
        <v>45636</v>
      </c>
      <c r="C410" s="1" t="n">
        <v>45911</v>
      </c>
      <c r="D410" t="inlineStr">
        <is>
          <t>VÄSTERBOTTENS LÄN</t>
        </is>
      </c>
      <c r="E410" t="inlineStr">
        <is>
          <t>VILHELMINA</t>
        </is>
      </c>
      <c r="F410" t="inlineStr">
        <is>
          <t>Allmännings- och besparingsskogar</t>
        </is>
      </c>
      <c r="G410" t="n">
        <v>35.2</v>
      </c>
      <c r="H410" t="n">
        <v>0</v>
      </c>
      <c r="I410" t="n">
        <v>0</v>
      </c>
      <c r="J410" t="n">
        <v>0</v>
      </c>
      <c r="K410" t="n">
        <v>0</v>
      </c>
      <c r="L410" t="n">
        <v>0</v>
      </c>
      <c r="M410" t="n">
        <v>0</v>
      </c>
      <c r="N410" t="n">
        <v>0</v>
      </c>
      <c r="O410" t="n">
        <v>0</v>
      </c>
      <c r="P410" t="n">
        <v>0</v>
      </c>
      <c r="Q410" t="n">
        <v>0</v>
      </c>
      <c r="R410" s="2" t="inlineStr"/>
    </row>
    <row r="411" ht="15" customHeight="1">
      <c r="A411" t="inlineStr">
        <is>
          <t>A 65151-2021</t>
        </is>
      </c>
      <c r="B411" s="1" t="n">
        <v>44515</v>
      </c>
      <c r="C411" s="1" t="n">
        <v>45911</v>
      </c>
      <c r="D411" t="inlineStr">
        <is>
          <t>VÄSTERBOTTENS LÄN</t>
        </is>
      </c>
      <c r="E411" t="inlineStr">
        <is>
          <t>VILHELMINA</t>
        </is>
      </c>
      <c r="G411" t="n">
        <v>11.8</v>
      </c>
      <c r="H411" t="n">
        <v>0</v>
      </c>
      <c r="I411" t="n">
        <v>0</v>
      </c>
      <c r="J411" t="n">
        <v>0</v>
      </c>
      <c r="K411" t="n">
        <v>0</v>
      </c>
      <c r="L411" t="n">
        <v>0</v>
      </c>
      <c r="M411" t="n">
        <v>0</v>
      </c>
      <c r="N411" t="n">
        <v>0</v>
      </c>
      <c r="O411" t="n">
        <v>0</v>
      </c>
      <c r="P411" t="n">
        <v>0</v>
      </c>
      <c r="Q411" t="n">
        <v>0</v>
      </c>
      <c r="R411" s="2" t="inlineStr"/>
    </row>
    <row r="412" ht="15" customHeight="1">
      <c r="A412" t="inlineStr">
        <is>
          <t>A 65159-2021</t>
        </is>
      </c>
      <c r="B412" s="1" t="n">
        <v>44515</v>
      </c>
      <c r="C412" s="1" t="n">
        <v>45911</v>
      </c>
      <c r="D412" t="inlineStr">
        <is>
          <t>VÄSTERBOTTENS LÄN</t>
        </is>
      </c>
      <c r="E412" t="inlineStr">
        <is>
          <t>VILHELMINA</t>
        </is>
      </c>
      <c r="G412" t="n">
        <v>5</v>
      </c>
      <c r="H412" t="n">
        <v>0</v>
      </c>
      <c r="I412" t="n">
        <v>0</v>
      </c>
      <c r="J412" t="n">
        <v>0</v>
      </c>
      <c r="K412" t="n">
        <v>0</v>
      </c>
      <c r="L412" t="n">
        <v>0</v>
      </c>
      <c r="M412" t="n">
        <v>0</v>
      </c>
      <c r="N412" t="n">
        <v>0</v>
      </c>
      <c r="O412" t="n">
        <v>0</v>
      </c>
      <c r="P412" t="n">
        <v>0</v>
      </c>
      <c r="Q412" t="n">
        <v>0</v>
      </c>
      <c r="R412" s="2" t="inlineStr"/>
    </row>
    <row r="413" ht="15" customHeight="1">
      <c r="A413" t="inlineStr">
        <is>
          <t>A 47010-2024</t>
        </is>
      </c>
      <c r="B413" s="1" t="n">
        <v>45586</v>
      </c>
      <c r="C413" s="1" t="n">
        <v>45911</v>
      </c>
      <c r="D413" t="inlineStr">
        <is>
          <t>VÄSTERBOTTENS LÄN</t>
        </is>
      </c>
      <c r="E413" t="inlineStr">
        <is>
          <t>VILHELMINA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21345-2024</t>
        </is>
      </c>
      <c r="B414" s="1" t="n">
        <v>45440.92866898148</v>
      </c>
      <c r="C414" s="1" t="n">
        <v>45911</v>
      </c>
      <c r="D414" t="inlineStr">
        <is>
          <t>VÄSTERBOTTENS LÄN</t>
        </is>
      </c>
      <c r="E414" t="inlineStr">
        <is>
          <t>VILHELMINA</t>
        </is>
      </c>
      <c r="G414" t="n">
        <v>3</v>
      </c>
      <c r="H414" t="n">
        <v>0</v>
      </c>
      <c r="I414" t="n">
        <v>0</v>
      </c>
      <c r="J414" t="n">
        <v>0</v>
      </c>
      <c r="K414" t="n">
        <v>0</v>
      </c>
      <c r="L414" t="n">
        <v>0</v>
      </c>
      <c r="M414" t="n">
        <v>0</v>
      </c>
      <c r="N414" t="n">
        <v>0</v>
      </c>
      <c r="O414" t="n">
        <v>0</v>
      </c>
      <c r="P414" t="n">
        <v>0</v>
      </c>
      <c r="Q414" t="n">
        <v>0</v>
      </c>
      <c r="R414" s="2" t="inlineStr"/>
    </row>
    <row r="415" ht="15" customHeight="1">
      <c r="A415" t="inlineStr">
        <is>
          <t>A 8555-2023</t>
        </is>
      </c>
      <c r="B415" s="1" t="n">
        <v>44972</v>
      </c>
      <c r="C415" s="1" t="n">
        <v>45911</v>
      </c>
      <c r="D415" t="inlineStr">
        <is>
          <t>VÄSTERBOTTENS LÄN</t>
        </is>
      </c>
      <c r="E415" t="inlineStr">
        <is>
          <t>VILHELMINA</t>
        </is>
      </c>
      <c r="F415" t="inlineStr">
        <is>
          <t>Allmännings- och besparingsskogar</t>
        </is>
      </c>
      <c r="G415" t="n">
        <v>39</v>
      </c>
      <c r="H415" t="n">
        <v>0</v>
      </c>
      <c r="I415" t="n">
        <v>0</v>
      </c>
      <c r="J415" t="n">
        <v>0</v>
      </c>
      <c r="K415" t="n">
        <v>0</v>
      </c>
      <c r="L415" t="n">
        <v>0</v>
      </c>
      <c r="M415" t="n">
        <v>0</v>
      </c>
      <c r="N415" t="n">
        <v>0</v>
      </c>
      <c r="O415" t="n">
        <v>0</v>
      </c>
      <c r="P415" t="n">
        <v>0</v>
      </c>
      <c r="Q415" t="n">
        <v>0</v>
      </c>
      <c r="R415" s="2" t="inlineStr"/>
    </row>
    <row r="416" ht="15" customHeight="1">
      <c r="A416" t="inlineStr">
        <is>
          <t>A 31095-2024</t>
        </is>
      </c>
      <c r="B416" s="1" t="n">
        <v>45502</v>
      </c>
      <c r="C416" s="1" t="n">
        <v>45911</v>
      </c>
      <c r="D416" t="inlineStr">
        <is>
          <t>VÄSTERBOTTENS LÄN</t>
        </is>
      </c>
      <c r="E416" t="inlineStr">
        <is>
          <t>VILHELMINA</t>
        </is>
      </c>
      <c r="G416" t="n">
        <v>4.7</v>
      </c>
      <c r="H416" t="n">
        <v>0</v>
      </c>
      <c r="I416" t="n">
        <v>0</v>
      </c>
      <c r="J416" t="n">
        <v>0</v>
      </c>
      <c r="K416" t="n">
        <v>0</v>
      </c>
      <c r="L416" t="n">
        <v>0</v>
      </c>
      <c r="M416" t="n">
        <v>0</v>
      </c>
      <c r="N416" t="n">
        <v>0</v>
      </c>
      <c r="O416" t="n">
        <v>0</v>
      </c>
      <c r="P416" t="n">
        <v>0</v>
      </c>
      <c r="Q416" t="n">
        <v>0</v>
      </c>
      <c r="R416" s="2" t="inlineStr"/>
    </row>
    <row r="417" ht="15" customHeight="1">
      <c r="A417" t="inlineStr">
        <is>
          <t>A 8859-2023</t>
        </is>
      </c>
      <c r="B417" s="1" t="n">
        <v>44978</v>
      </c>
      <c r="C417" s="1" t="n">
        <v>45911</v>
      </c>
      <c r="D417" t="inlineStr">
        <is>
          <t>VÄSTERBOTTENS LÄN</t>
        </is>
      </c>
      <c r="E417" t="inlineStr">
        <is>
          <t>VILHELMINA</t>
        </is>
      </c>
      <c r="G417" t="n">
        <v>6.3</v>
      </c>
      <c r="H417" t="n">
        <v>0</v>
      </c>
      <c r="I417" t="n">
        <v>0</v>
      </c>
      <c r="J417" t="n">
        <v>0</v>
      </c>
      <c r="K417" t="n">
        <v>0</v>
      </c>
      <c r="L417" t="n">
        <v>0</v>
      </c>
      <c r="M417" t="n">
        <v>0</v>
      </c>
      <c r="N417" t="n">
        <v>0</v>
      </c>
      <c r="O417" t="n">
        <v>0</v>
      </c>
      <c r="P417" t="n">
        <v>0</v>
      </c>
      <c r="Q417" t="n">
        <v>0</v>
      </c>
      <c r="R417" s="2" t="inlineStr"/>
    </row>
    <row r="418" ht="15" customHeight="1">
      <c r="A418" t="inlineStr">
        <is>
          <t>A 26722-2025</t>
        </is>
      </c>
      <c r="B418" s="1" t="n">
        <v>45810</v>
      </c>
      <c r="C418" s="1" t="n">
        <v>45911</v>
      </c>
      <c r="D418" t="inlineStr">
        <is>
          <t>VÄSTERBOTTENS LÄN</t>
        </is>
      </c>
      <c r="E418" t="inlineStr">
        <is>
          <t>VILHELMINA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7777-2024</t>
        </is>
      </c>
      <c r="B419" s="1" t="n">
        <v>45349</v>
      </c>
      <c r="C419" s="1" t="n">
        <v>45911</v>
      </c>
      <c r="D419" t="inlineStr">
        <is>
          <t>VÄSTERBOTTENS LÄN</t>
        </is>
      </c>
      <c r="E419" t="inlineStr">
        <is>
          <t>VILHELMINA</t>
        </is>
      </c>
      <c r="G419" t="n">
        <v>7</v>
      </c>
      <c r="H419" t="n">
        <v>0</v>
      </c>
      <c r="I419" t="n">
        <v>0</v>
      </c>
      <c r="J419" t="n">
        <v>0</v>
      </c>
      <c r="K419" t="n">
        <v>0</v>
      </c>
      <c r="L419" t="n">
        <v>0</v>
      </c>
      <c r="M419" t="n">
        <v>0</v>
      </c>
      <c r="N419" t="n">
        <v>0</v>
      </c>
      <c r="O419" t="n">
        <v>0</v>
      </c>
      <c r="P419" t="n">
        <v>0</v>
      </c>
      <c r="Q419" t="n">
        <v>0</v>
      </c>
      <c r="R419" s="2" t="inlineStr"/>
    </row>
    <row r="420" ht="15" customHeight="1">
      <c r="A420" t="inlineStr">
        <is>
          <t>A 48470-2023</t>
        </is>
      </c>
      <c r="B420" s="1" t="n">
        <v>45206.95747685185</v>
      </c>
      <c r="C420" s="1" t="n">
        <v>45911</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60682-2022</t>
        </is>
      </c>
      <c r="B421" s="1" t="n">
        <v>44911.94</v>
      </c>
      <c r="C421" s="1" t="n">
        <v>45911</v>
      </c>
      <c r="D421" t="inlineStr">
        <is>
          <t>VÄSTERBOTTENS LÄN</t>
        </is>
      </c>
      <c r="E421" t="inlineStr">
        <is>
          <t>VILHELMINA</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26744-2025</t>
        </is>
      </c>
      <c r="B422" s="1" t="n">
        <v>45810.53185185185</v>
      </c>
      <c r="C422" s="1" t="n">
        <v>45911</v>
      </c>
      <c r="D422" t="inlineStr">
        <is>
          <t>VÄSTERBOTTENS LÄN</t>
        </is>
      </c>
      <c r="E422" t="inlineStr">
        <is>
          <t>VILHELMINA</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37716-2024</t>
        </is>
      </c>
      <c r="B423" s="1" t="n">
        <v>45541.63592592593</v>
      </c>
      <c r="C423" s="1" t="n">
        <v>45911</v>
      </c>
      <c r="D423" t="inlineStr">
        <is>
          <t>VÄSTERBOTTENS LÄN</t>
        </is>
      </c>
      <c r="E423" t="inlineStr">
        <is>
          <t>VILHELMINA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37717-2024</t>
        </is>
      </c>
      <c r="B424" s="1" t="n">
        <v>45541</v>
      </c>
      <c r="C424" s="1" t="n">
        <v>45911</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26790-2025</t>
        </is>
      </c>
      <c r="B425" s="1" t="n">
        <v>45810.59417824074</v>
      </c>
      <c r="C425" s="1" t="n">
        <v>45911</v>
      </c>
      <c r="D425" t="inlineStr">
        <is>
          <t>VÄSTERBOTTENS LÄN</t>
        </is>
      </c>
      <c r="E425" t="inlineStr">
        <is>
          <t>VILHELMINA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45258-2024</t>
        </is>
      </c>
      <c r="B426" s="1" t="n">
        <v>45576.34444444445</v>
      </c>
      <c r="C426" s="1" t="n">
        <v>45911</v>
      </c>
      <c r="D426" t="inlineStr">
        <is>
          <t>VÄSTERBOTTENS LÄN</t>
        </is>
      </c>
      <c r="E426" t="inlineStr">
        <is>
          <t>VILHELMINA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26745-2025</t>
        </is>
      </c>
      <c r="B427" s="1" t="n">
        <v>45810.53188657408</v>
      </c>
      <c r="C427" s="1" t="n">
        <v>45911</v>
      </c>
      <c r="D427" t="inlineStr">
        <is>
          <t>VÄSTERBOTTENS LÄN</t>
        </is>
      </c>
      <c r="E427" t="inlineStr">
        <is>
          <t>VILHELMINA</t>
        </is>
      </c>
      <c r="F427" t="inlineStr">
        <is>
          <t>SCA</t>
        </is>
      </c>
      <c r="G427" t="n">
        <v>0.3</v>
      </c>
      <c r="H427" t="n">
        <v>0</v>
      </c>
      <c r="I427" t="n">
        <v>0</v>
      </c>
      <c r="J427" t="n">
        <v>0</v>
      </c>
      <c r="K427" t="n">
        <v>0</v>
      </c>
      <c r="L427" t="n">
        <v>0</v>
      </c>
      <c r="M427" t="n">
        <v>0</v>
      </c>
      <c r="N427" t="n">
        <v>0</v>
      </c>
      <c r="O427" t="n">
        <v>0</v>
      </c>
      <c r="P427" t="n">
        <v>0</v>
      </c>
      <c r="Q427" t="n">
        <v>0</v>
      </c>
      <c r="R427" s="2" t="inlineStr"/>
    </row>
    <row r="428" ht="15" customHeight="1">
      <c r="A428" t="inlineStr">
        <is>
          <t>A 10941-2023</t>
        </is>
      </c>
      <c r="B428" s="1" t="n">
        <v>44985</v>
      </c>
      <c r="C428" s="1" t="n">
        <v>45911</v>
      </c>
      <c r="D428" t="inlineStr">
        <is>
          <t>VÄSTERBOTTENS LÄN</t>
        </is>
      </c>
      <c r="E428" t="inlineStr">
        <is>
          <t>VILHELMINA</t>
        </is>
      </c>
      <c r="G428" t="n">
        <v>16.7</v>
      </c>
      <c r="H428" t="n">
        <v>0</v>
      </c>
      <c r="I428" t="n">
        <v>0</v>
      </c>
      <c r="J428" t="n">
        <v>0</v>
      </c>
      <c r="K428" t="n">
        <v>0</v>
      </c>
      <c r="L428" t="n">
        <v>0</v>
      </c>
      <c r="M428" t="n">
        <v>0</v>
      </c>
      <c r="N428" t="n">
        <v>0</v>
      </c>
      <c r="O428" t="n">
        <v>0</v>
      </c>
      <c r="P428" t="n">
        <v>0</v>
      </c>
      <c r="Q428" t="n">
        <v>0</v>
      </c>
      <c r="R428" s="2" t="inlineStr"/>
    </row>
    <row r="429" ht="15" customHeight="1">
      <c r="A429" t="inlineStr">
        <is>
          <t>A 38222-2024</t>
        </is>
      </c>
      <c r="B429" s="1" t="n">
        <v>45545.53619212963</v>
      </c>
      <c r="C429" s="1" t="n">
        <v>45911</v>
      </c>
      <c r="D429" t="inlineStr">
        <is>
          <t>VÄSTERBOTTENS LÄN</t>
        </is>
      </c>
      <c r="E429" t="inlineStr">
        <is>
          <t>VILHELMINA</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3237-2024</t>
        </is>
      </c>
      <c r="B430" s="1" t="n">
        <v>45316.9474537037</v>
      </c>
      <c r="C430" s="1" t="n">
        <v>45911</v>
      </c>
      <c r="D430" t="inlineStr">
        <is>
          <t>VÄSTERBOTTENS LÄN</t>
        </is>
      </c>
      <c r="E430" t="inlineStr">
        <is>
          <t>VILHELMINA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36909-2024</t>
        </is>
      </c>
      <c r="B431" s="1" t="n">
        <v>45538.63577546296</v>
      </c>
      <c r="C431" s="1" t="n">
        <v>45911</v>
      </c>
      <c r="D431" t="inlineStr">
        <is>
          <t>VÄSTERBOTTENS LÄN</t>
        </is>
      </c>
      <c r="E431" t="inlineStr">
        <is>
          <t>VILHELMINA</t>
        </is>
      </c>
      <c r="F431" t="inlineStr">
        <is>
          <t>SCA</t>
        </is>
      </c>
      <c r="G431" t="n">
        <v>16.8</v>
      </c>
      <c r="H431" t="n">
        <v>0</v>
      </c>
      <c r="I431" t="n">
        <v>0</v>
      </c>
      <c r="J431" t="n">
        <v>0</v>
      </c>
      <c r="K431" t="n">
        <v>0</v>
      </c>
      <c r="L431" t="n">
        <v>0</v>
      </c>
      <c r="M431" t="n">
        <v>0</v>
      </c>
      <c r="N431" t="n">
        <v>0</v>
      </c>
      <c r="O431" t="n">
        <v>0</v>
      </c>
      <c r="P431" t="n">
        <v>0</v>
      </c>
      <c r="Q431" t="n">
        <v>0</v>
      </c>
      <c r="R431" s="2" t="inlineStr"/>
    </row>
    <row r="432" ht="15" customHeight="1">
      <c r="A432" t="inlineStr">
        <is>
          <t>A 2054-2023</t>
        </is>
      </c>
      <c r="B432" s="1" t="n">
        <v>44939</v>
      </c>
      <c r="C432" s="1" t="n">
        <v>45911</v>
      </c>
      <c r="D432" t="inlineStr">
        <is>
          <t>VÄSTERBOTTENS LÄN</t>
        </is>
      </c>
      <c r="E432" t="inlineStr">
        <is>
          <t>VILHELMINA</t>
        </is>
      </c>
      <c r="F432" t="inlineStr">
        <is>
          <t>Sveaskog</t>
        </is>
      </c>
      <c r="G432" t="n">
        <v>19.2</v>
      </c>
      <c r="H432" t="n">
        <v>0</v>
      </c>
      <c r="I432" t="n">
        <v>0</v>
      </c>
      <c r="J432" t="n">
        <v>0</v>
      </c>
      <c r="K432" t="n">
        <v>0</v>
      </c>
      <c r="L432" t="n">
        <v>0</v>
      </c>
      <c r="M432" t="n">
        <v>0</v>
      </c>
      <c r="N432" t="n">
        <v>0</v>
      </c>
      <c r="O432" t="n">
        <v>0</v>
      </c>
      <c r="P432" t="n">
        <v>0</v>
      </c>
      <c r="Q432" t="n">
        <v>0</v>
      </c>
      <c r="R432" s="2" t="inlineStr"/>
    </row>
    <row r="433" ht="15" customHeight="1">
      <c r="A433" t="inlineStr">
        <is>
          <t>A 41644-2024</t>
        </is>
      </c>
      <c r="B433" s="1" t="n">
        <v>45560</v>
      </c>
      <c r="C433" s="1" t="n">
        <v>45911</v>
      </c>
      <c r="D433" t="inlineStr">
        <is>
          <t>VÄSTERBOTTENS LÄN</t>
        </is>
      </c>
      <c r="E433" t="inlineStr">
        <is>
          <t>VILHELMINA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13829-2025</t>
        </is>
      </c>
      <c r="B434" s="1" t="n">
        <v>45737</v>
      </c>
      <c r="C434" s="1" t="n">
        <v>45911</v>
      </c>
      <c r="D434" t="inlineStr">
        <is>
          <t>VÄSTERBOTTENS LÄN</t>
        </is>
      </c>
      <c r="E434" t="inlineStr">
        <is>
          <t>VILHELMINA</t>
        </is>
      </c>
      <c r="F434" t="inlineStr">
        <is>
          <t>Övriga statliga verk och myndigheter</t>
        </is>
      </c>
      <c r="G434" t="n">
        <v>39.7</v>
      </c>
      <c r="H434" t="n">
        <v>0</v>
      </c>
      <c r="I434" t="n">
        <v>0</v>
      </c>
      <c r="J434" t="n">
        <v>0</v>
      </c>
      <c r="K434" t="n">
        <v>0</v>
      </c>
      <c r="L434" t="n">
        <v>0</v>
      </c>
      <c r="M434" t="n">
        <v>0</v>
      </c>
      <c r="N434" t="n">
        <v>0</v>
      </c>
      <c r="O434" t="n">
        <v>0</v>
      </c>
      <c r="P434" t="n">
        <v>0</v>
      </c>
      <c r="Q434" t="n">
        <v>0</v>
      </c>
      <c r="R434" s="2" t="inlineStr"/>
    </row>
    <row r="435" ht="15" customHeight="1">
      <c r="A435" t="inlineStr">
        <is>
          <t>A 48422-2023</t>
        </is>
      </c>
      <c r="B435" s="1" t="n">
        <v>45205</v>
      </c>
      <c r="C435" s="1" t="n">
        <v>45911</v>
      </c>
      <c r="D435" t="inlineStr">
        <is>
          <t>VÄSTERBOTTENS LÄN</t>
        </is>
      </c>
      <c r="E435" t="inlineStr">
        <is>
          <t>VILHELMINA</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48483-2023</t>
        </is>
      </c>
      <c r="B436" s="1" t="n">
        <v>45206.95854166667</v>
      </c>
      <c r="C436" s="1" t="n">
        <v>45911</v>
      </c>
      <c r="D436" t="inlineStr">
        <is>
          <t>VÄSTERBOTTENS LÄN</t>
        </is>
      </c>
      <c r="E436" t="inlineStr">
        <is>
          <t>VILHELMINA</t>
        </is>
      </c>
      <c r="F436" t="inlineStr">
        <is>
          <t>SCA</t>
        </is>
      </c>
      <c r="G436" t="n">
        <v>7.6</v>
      </c>
      <c r="H436" t="n">
        <v>0</v>
      </c>
      <c r="I436" t="n">
        <v>0</v>
      </c>
      <c r="J436" t="n">
        <v>0</v>
      </c>
      <c r="K436" t="n">
        <v>0</v>
      </c>
      <c r="L436" t="n">
        <v>0</v>
      </c>
      <c r="M436" t="n">
        <v>0</v>
      </c>
      <c r="N436" t="n">
        <v>0</v>
      </c>
      <c r="O436" t="n">
        <v>0</v>
      </c>
      <c r="P436" t="n">
        <v>0</v>
      </c>
      <c r="Q436" t="n">
        <v>0</v>
      </c>
      <c r="R436" s="2" t="inlineStr"/>
    </row>
    <row r="437" ht="15" customHeight="1">
      <c r="A437" t="inlineStr">
        <is>
          <t>A 48505-2023</t>
        </is>
      </c>
      <c r="B437" s="1" t="n">
        <v>45207.93900462963</v>
      </c>
      <c r="C437" s="1" t="n">
        <v>45911</v>
      </c>
      <c r="D437" t="inlineStr">
        <is>
          <t>VÄSTERBOTTENS LÄN</t>
        </is>
      </c>
      <c r="E437" t="inlineStr">
        <is>
          <t>VILHELMINA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50489-2023</t>
        </is>
      </c>
      <c r="B438" s="1" t="n">
        <v>45216.95556712963</v>
      </c>
      <c r="C438" s="1" t="n">
        <v>45911</v>
      </c>
      <c r="D438" t="inlineStr">
        <is>
          <t>VÄSTERBOTTENS LÄN</t>
        </is>
      </c>
      <c r="E438" t="inlineStr">
        <is>
          <t>VILHELMINA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50506-2023</t>
        </is>
      </c>
      <c r="B439" s="1" t="n">
        <v>45216.9580787037</v>
      </c>
      <c r="C439" s="1" t="n">
        <v>45911</v>
      </c>
      <c r="D439" t="inlineStr">
        <is>
          <t>VÄSTERBOTTENS LÄN</t>
        </is>
      </c>
      <c r="E439" t="inlineStr">
        <is>
          <t>VILHELMINA</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31868-2024</t>
        </is>
      </c>
      <c r="B440" s="1" t="n">
        <v>45509</v>
      </c>
      <c r="C440" s="1" t="n">
        <v>45911</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5403-2025</t>
        </is>
      </c>
      <c r="B441" s="1" t="n">
        <v>45692.64475694444</v>
      </c>
      <c r="C441" s="1" t="n">
        <v>45911</v>
      </c>
      <c r="D441" t="inlineStr">
        <is>
          <t>VÄSTERBOTTENS LÄN</t>
        </is>
      </c>
      <c r="E441" t="inlineStr">
        <is>
          <t>VILHELMINA</t>
        </is>
      </c>
      <c r="F441" t="inlineStr">
        <is>
          <t>Kommuner</t>
        </is>
      </c>
      <c r="G441" t="n">
        <v>14.9</v>
      </c>
      <c r="H441" t="n">
        <v>0</v>
      </c>
      <c r="I441" t="n">
        <v>0</v>
      </c>
      <c r="J441" t="n">
        <v>0</v>
      </c>
      <c r="K441" t="n">
        <v>0</v>
      </c>
      <c r="L441" t="n">
        <v>0</v>
      </c>
      <c r="M441" t="n">
        <v>0</v>
      </c>
      <c r="N441" t="n">
        <v>0</v>
      </c>
      <c r="O441" t="n">
        <v>0</v>
      </c>
      <c r="P441" t="n">
        <v>0</v>
      </c>
      <c r="Q441" t="n">
        <v>0</v>
      </c>
      <c r="R441" s="2" t="inlineStr"/>
    </row>
    <row r="442" ht="15" customHeight="1">
      <c r="A442" t="inlineStr">
        <is>
          <t>A 38569-2024</t>
        </is>
      </c>
      <c r="B442" s="1" t="n">
        <v>45546.63689814815</v>
      </c>
      <c r="C442" s="1" t="n">
        <v>45911</v>
      </c>
      <c r="D442" t="inlineStr">
        <is>
          <t>VÄSTERBOTTENS LÄN</t>
        </is>
      </c>
      <c r="E442" t="inlineStr">
        <is>
          <t>VILHELMINA</t>
        </is>
      </c>
      <c r="G442" t="n">
        <v>31.5</v>
      </c>
      <c r="H442" t="n">
        <v>0</v>
      </c>
      <c r="I442" t="n">
        <v>0</v>
      </c>
      <c r="J442" t="n">
        <v>0</v>
      </c>
      <c r="K442" t="n">
        <v>0</v>
      </c>
      <c r="L442" t="n">
        <v>0</v>
      </c>
      <c r="M442" t="n">
        <v>0</v>
      </c>
      <c r="N442" t="n">
        <v>0</v>
      </c>
      <c r="O442" t="n">
        <v>0</v>
      </c>
      <c r="P442" t="n">
        <v>0</v>
      </c>
      <c r="Q442" t="n">
        <v>0</v>
      </c>
      <c r="R442" s="2" t="inlineStr"/>
    </row>
    <row r="443" ht="15" customHeight="1">
      <c r="A443" t="inlineStr">
        <is>
          <t>A 54459-2024</t>
        </is>
      </c>
      <c r="B443" s="1" t="n">
        <v>45617</v>
      </c>
      <c r="C443" s="1" t="n">
        <v>45911</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59030-2022</t>
        </is>
      </c>
      <c r="B444" s="1" t="n">
        <v>44903</v>
      </c>
      <c r="C444" s="1" t="n">
        <v>45911</v>
      </c>
      <c r="D444" t="inlineStr">
        <is>
          <t>VÄSTERBOTTENS LÄN</t>
        </is>
      </c>
      <c r="E444" t="inlineStr">
        <is>
          <t>VILHELMINA</t>
        </is>
      </c>
      <c r="G444" t="n">
        <v>17.8</v>
      </c>
      <c r="H444" t="n">
        <v>0</v>
      </c>
      <c r="I444" t="n">
        <v>0</v>
      </c>
      <c r="J444" t="n">
        <v>0</v>
      </c>
      <c r="K444" t="n">
        <v>0</v>
      </c>
      <c r="L444" t="n">
        <v>0</v>
      </c>
      <c r="M444" t="n">
        <v>0</v>
      </c>
      <c r="N444" t="n">
        <v>0</v>
      </c>
      <c r="O444" t="n">
        <v>0</v>
      </c>
      <c r="P444" t="n">
        <v>0</v>
      </c>
      <c r="Q444" t="n">
        <v>0</v>
      </c>
      <c r="R444" s="2" t="inlineStr"/>
    </row>
    <row r="445" ht="15" customHeight="1">
      <c r="A445" t="inlineStr">
        <is>
          <t>A 46177-2023</t>
        </is>
      </c>
      <c r="B445" s="1" t="n">
        <v>45190</v>
      </c>
      <c r="C445" s="1" t="n">
        <v>45911</v>
      </c>
      <c r="D445" t="inlineStr">
        <is>
          <t>VÄSTERBOTTENS LÄN</t>
        </is>
      </c>
      <c r="E445" t="inlineStr">
        <is>
          <t>VILHELMINA</t>
        </is>
      </c>
      <c r="F445" t="inlineStr">
        <is>
          <t>Övriga Aktiebolag</t>
        </is>
      </c>
      <c r="G445" t="n">
        <v>7.7</v>
      </c>
      <c r="H445" t="n">
        <v>0</v>
      </c>
      <c r="I445" t="n">
        <v>0</v>
      </c>
      <c r="J445" t="n">
        <v>0</v>
      </c>
      <c r="K445" t="n">
        <v>0</v>
      </c>
      <c r="L445" t="n">
        <v>0</v>
      </c>
      <c r="M445" t="n">
        <v>0</v>
      </c>
      <c r="N445" t="n">
        <v>0</v>
      </c>
      <c r="O445" t="n">
        <v>0</v>
      </c>
      <c r="P445" t="n">
        <v>0</v>
      </c>
      <c r="Q445" t="n">
        <v>0</v>
      </c>
      <c r="R445" s="2" t="inlineStr"/>
    </row>
    <row r="446" ht="15" customHeight="1">
      <c r="A446" t="inlineStr">
        <is>
          <t>A 20846-2025</t>
        </is>
      </c>
      <c r="B446" s="1" t="n">
        <v>45777</v>
      </c>
      <c r="C446" s="1" t="n">
        <v>45911</v>
      </c>
      <c r="D446" t="inlineStr">
        <is>
          <t>VÄSTERBOTTENS LÄN</t>
        </is>
      </c>
      <c r="E446" t="inlineStr">
        <is>
          <t>VILHELMINA</t>
        </is>
      </c>
      <c r="G446" t="n">
        <v>19.1</v>
      </c>
      <c r="H446" t="n">
        <v>0</v>
      </c>
      <c r="I446" t="n">
        <v>0</v>
      </c>
      <c r="J446" t="n">
        <v>0</v>
      </c>
      <c r="K446" t="n">
        <v>0</v>
      </c>
      <c r="L446" t="n">
        <v>0</v>
      </c>
      <c r="M446" t="n">
        <v>0</v>
      </c>
      <c r="N446" t="n">
        <v>0</v>
      </c>
      <c r="O446" t="n">
        <v>0</v>
      </c>
      <c r="P446" t="n">
        <v>0</v>
      </c>
      <c r="Q446" t="n">
        <v>0</v>
      </c>
      <c r="R446" s="2" t="inlineStr"/>
    </row>
    <row r="447" ht="15" customHeight="1">
      <c r="A447" t="inlineStr">
        <is>
          <t>A 33318-2024</t>
        </is>
      </c>
      <c r="B447" s="1" t="n">
        <v>45518.97211805556</v>
      </c>
      <c r="C447" s="1" t="n">
        <v>45911</v>
      </c>
      <c r="D447" t="inlineStr">
        <is>
          <t>VÄSTERBOTTENS LÄN</t>
        </is>
      </c>
      <c r="E447" t="inlineStr">
        <is>
          <t>VILHELMINA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33321-2024</t>
        </is>
      </c>
      <c r="B448" s="1" t="n">
        <v>45518.97256944444</v>
      </c>
      <c r="C448" s="1" t="n">
        <v>45911</v>
      </c>
      <c r="D448" t="inlineStr">
        <is>
          <t>VÄSTERBOTTENS LÄN</t>
        </is>
      </c>
      <c r="E448" t="inlineStr">
        <is>
          <t>VILHELMINA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15884-2025</t>
        </is>
      </c>
      <c r="B449" s="1" t="n">
        <v>45749</v>
      </c>
      <c r="C449" s="1" t="n">
        <v>45911</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62630-2022</t>
        </is>
      </c>
      <c r="B450" s="1" t="n">
        <v>44917</v>
      </c>
      <c r="C450" s="1" t="n">
        <v>45911</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16626-2024</t>
        </is>
      </c>
      <c r="B451" s="1" t="n">
        <v>45408</v>
      </c>
      <c r="C451" s="1" t="n">
        <v>45911</v>
      </c>
      <c r="D451" t="inlineStr">
        <is>
          <t>VÄSTERBOTTENS LÄN</t>
        </is>
      </c>
      <c r="E451" t="inlineStr">
        <is>
          <t>VILHELMINA</t>
        </is>
      </c>
      <c r="G451" t="n">
        <v>15.5</v>
      </c>
      <c r="H451" t="n">
        <v>0</v>
      </c>
      <c r="I451" t="n">
        <v>0</v>
      </c>
      <c r="J451" t="n">
        <v>0</v>
      </c>
      <c r="K451" t="n">
        <v>0</v>
      </c>
      <c r="L451" t="n">
        <v>0</v>
      </c>
      <c r="M451" t="n">
        <v>0</v>
      </c>
      <c r="N451" t="n">
        <v>0</v>
      </c>
      <c r="O451" t="n">
        <v>0</v>
      </c>
      <c r="P451" t="n">
        <v>0</v>
      </c>
      <c r="Q451" t="n">
        <v>0</v>
      </c>
      <c r="R451" s="2" t="inlineStr"/>
    </row>
    <row r="452" ht="15" customHeight="1">
      <c r="A452" t="inlineStr">
        <is>
          <t>A 51826-2023</t>
        </is>
      </c>
      <c r="B452" s="1" t="n">
        <v>45222.9678125</v>
      </c>
      <c r="C452" s="1" t="n">
        <v>45911</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18394-2025</t>
        </is>
      </c>
      <c r="B453" s="1" t="n">
        <v>45762</v>
      </c>
      <c r="C453" s="1" t="n">
        <v>45911</v>
      </c>
      <c r="D453" t="inlineStr">
        <is>
          <t>VÄSTERBOTTENS LÄN</t>
        </is>
      </c>
      <c r="E453" t="inlineStr">
        <is>
          <t>VILHELMINA</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20524-2024</t>
        </is>
      </c>
      <c r="B454" s="1" t="n">
        <v>45435.94567129629</v>
      </c>
      <c r="C454" s="1" t="n">
        <v>45911</v>
      </c>
      <c r="D454" t="inlineStr">
        <is>
          <t>VÄSTERBOTTENS LÄN</t>
        </is>
      </c>
      <c r="E454" t="inlineStr">
        <is>
          <t>VILHELMINA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2043-2023</t>
        </is>
      </c>
      <c r="B455" s="1" t="n">
        <v>44939</v>
      </c>
      <c r="C455" s="1" t="n">
        <v>45911</v>
      </c>
      <c r="D455" t="inlineStr">
        <is>
          <t>VÄSTERBOTTENS LÄN</t>
        </is>
      </c>
      <c r="E455" t="inlineStr">
        <is>
          <t>VILHELMINA</t>
        </is>
      </c>
      <c r="F455" t="inlineStr">
        <is>
          <t>Sveaskog</t>
        </is>
      </c>
      <c r="G455" t="n">
        <v>10.5</v>
      </c>
      <c r="H455" t="n">
        <v>0</v>
      </c>
      <c r="I455" t="n">
        <v>0</v>
      </c>
      <c r="J455" t="n">
        <v>0</v>
      </c>
      <c r="K455" t="n">
        <v>0</v>
      </c>
      <c r="L455" t="n">
        <v>0</v>
      </c>
      <c r="M455" t="n">
        <v>0</v>
      </c>
      <c r="N455" t="n">
        <v>0</v>
      </c>
      <c r="O455" t="n">
        <v>0</v>
      </c>
      <c r="P455" t="n">
        <v>0</v>
      </c>
      <c r="Q455" t="n">
        <v>0</v>
      </c>
      <c r="R455" s="2" t="inlineStr"/>
    </row>
    <row r="456" ht="15" customHeight="1">
      <c r="A456" t="inlineStr">
        <is>
          <t>A 50494-2023</t>
        </is>
      </c>
      <c r="B456" s="1" t="n">
        <v>45216.95604166666</v>
      </c>
      <c r="C456" s="1" t="n">
        <v>45911</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55870-2022</t>
        </is>
      </c>
      <c r="B457" s="1" t="n">
        <v>44888</v>
      </c>
      <c r="C457" s="1" t="n">
        <v>45911</v>
      </c>
      <c r="D457" t="inlineStr">
        <is>
          <t>VÄSTERBOTTENS LÄN</t>
        </is>
      </c>
      <c r="E457" t="inlineStr">
        <is>
          <t>VILHELMINA</t>
        </is>
      </c>
      <c r="G457" t="n">
        <v>13.6</v>
      </c>
      <c r="H457" t="n">
        <v>0</v>
      </c>
      <c r="I457" t="n">
        <v>0</v>
      </c>
      <c r="J457" t="n">
        <v>0</v>
      </c>
      <c r="K457" t="n">
        <v>0</v>
      </c>
      <c r="L457" t="n">
        <v>0</v>
      </c>
      <c r="M457" t="n">
        <v>0</v>
      </c>
      <c r="N457" t="n">
        <v>0</v>
      </c>
      <c r="O457" t="n">
        <v>0</v>
      </c>
      <c r="P457" t="n">
        <v>0</v>
      </c>
      <c r="Q457" t="n">
        <v>0</v>
      </c>
      <c r="R457" s="2" t="inlineStr"/>
    </row>
    <row r="458" ht="15" customHeight="1">
      <c r="A458" t="inlineStr">
        <is>
          <t>A 27601-2025</t>
        </is>
      </c>
      <c r="B458" s="1" t="n">
        <v>45813.52791666667</v>
      </c>
      <c r="C458" s="1" t="n">
        <v>45911</v>
      </c>
      <c r="D458" t="inlineStr">
        <is>
          <t>VÄSTERBOTTENS LÄN</t>
        </is>
      </c>
      <c r="E458" t="inlineStr">
        <is>
          <t>VILHELMINA</t>
        </is>
      </c>
      <c r="F458" t="inlineStr">
        <is>
          <t>Övriga statliga verk och myndigheter</t>
        </is>
      </c>
      <c r="G458" t="n">
        <v>36.5</v>
      </c>
      <c r="H458" t="n">
        <v>0</v>
      </c>
      <c r="I458" t="n">
        <v>0</v>
      </c>
      <c r="J458" t="n">
        <v>0</v>
      </c>
      <c r="K458" t="n">
        <v>0</v>
      </c>
      <c r="L458" t="n">
        <v>0</v>
      </c>
      <c r="M458" t="n">
        <v>0</v>
      </c>
      <c r="N458" t="n">
        <v>0</v>
      </c>
      <c r="O458" t="n">
        <v>0</v>
      </c>
      <c r="P458" t="n">
        <v>0</v>
      </c>
      <c r="Q458" t="n">
        <v>0</v>
      </c>
      <c r="R458" s="2" t="inlineStr"/>
    </row>
    <row r="459" ht="15" customHeight="1">
      <c r="A459" t="inlineStr">
        <is>
          <t>A 8566-2025</t>
        </is>
      </c>
      <c r="B459" s="1" t="n">
        <v>45709</v>
      </c>
      <c r="C459" s="1" t="n">
        <v>45911</v>
      </c>
      <c r="D459" t="inlineStr">
        <is>
          <t>VÄSTERBOTTENS LÄN</t>
        </is>
      </c>
      <c r="E459" t="inlineStr">
        <is>
          <t>VILHELMINA</t>
        </is>
      </c>
      <c r="G459" t="n">
        <v>10.5</v>
      </c>
      <c r="H459" t="n">
        <v>0</v>
      </c>
      <c r="I459" t="n">
        <v>0</v>
      </c>
      <c r="J459" t="n">
        <v>0</v>
      </c>
      <c r="K459" t="n">
        <v>0</v>
      </c>
      <c r="L459" t="n">
        <v>0</v>
      </c>
      <c r="M459" t="n">
        <v>0</v>
      </c>
      <c r="N459" t="n">
        <v>0</v>
      </c>
      <c r="O459" t="n">
        <v>0</v>
      </c>
      <c r="P459" t="n">
        <v>0</v>
      </c>
      <c r="Q459" t="n">
        <v>0</v>
      </c>
      <c r="R459" s="2" t="inlineStr"/>
    </row>
    <row r="460" ht="15" customHeight="1">
      <c r="A460" t="inlineStr">
        <is>
          <t>A 8585-2025</t>
        </is>
      </c>
      <c r="B460" s="1" t="n">
        <v>45709</v>
      </c>
      <c r="C460" s="1" t="n">
        <v>45911</v>
      </c>
      <c r="D460" t="inlineStr">
        <is>
          <t>VÄSTERBOTTENS LÄN</t>
        </is>
      </c>
      <c r="E460" t="inlineStr">
        <is>
          <t>VILHELMINA</t>
        </is>
      </c>
      <c r="G460" t="n">
        <v>3.4</v>
      </c>
      <c r="H460" t="n">
        <v>0</v>
      </c>
      <c r="I460" t="n">
        <v>0</v>
      </c>
      <c r="J460" t="n">
        <v>0</v>
      </c>
      <c r="K460" t="n">
        <v>0</v>
      </c>
      <c r="L460" t="n">
        <v>0</v>
      </c>
      <c r="M460" t="n">
        <v>0</v>
      </c>
      <c r="N460" t="n">
        <v>0</v>
      </c>
      <c r="O460" t="n">
        <v>0</v>
      </c>
      <c r="P460" t="n">
        <v>0</v>
      </c>
      <c r="Q460" t="n">
        <v>0</v>
      </c>
      <c r="R460" s="2" t="inlineStr"/>
    </row>
    <row r="461" ht="15" customHeight="1">
      <c r="A461" t="inlineStr">
        <is>
          <t>A 19585-2024</t>
        </is>
      </c>
      <c r="B461" s="1" t="n">
        <v>45429</v>
      </c>
      <c r="C461" s="1" t="n">
        <v>45911</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27945-2025</t>
        </is>
      </c>
      <c r="B462" s="1" t="n">
        <v>45817</v>
      </c>
      <c r="C462" s="1" t="n">
        <v>45911</v>
      </c>
      <c r="D462" t="inlineStr">
        <is>
          <t>VÄSTERBOTTENS LÄN</t>
        </is>
      </c>
      <c r="E462" t="inlineStr">
        <is>
          <t>VILHELMINA</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43987-2024</t>
        </is>
      </c>
      <c r="B463" s="1" t="n">
        <v>45572.51092592593</v>
      </c>
      <c r="C463" s="1" t="n">
        <v>45911</v>
      </c>
      <c r="D463" t="inlineStr">
        <is>
          <t>VÄSTERBOTTENS LÄN</t>
        </is>
      </c>
      <c r="E463" t="inlineStr">
        <is>
          <t>VILHELMINA</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21965-2025</t>
        </is>
      </c>
      <c r="B464" s="1" t="n">
        <v>45784</v>
      </c>
      <c r="C464" s="1" t="n">
        <v>45911</v>
      </c>
      <c r="D464" t="inlineStr">
        <is>
          <t>VÄSTERBOTTENS LÄN</t>
        </is>
      </c>
      <c r="E464" t="inlineStr">
        <is>
          <t>VILHELMINA</t>
        </is>
      </c>
      <c r="G464" t="n">
        <v>7.4</v>
      </c>
      <c r="H464" t="n">
        <v>0</v>
      </c>
      <c r="I464" t="n">
        <v>0</v>
      </c>
      <c r="J464" t="n">
        <v>0</v>
      </c>
      <c r="K464" t="n">
        <v>0</v>
      </c>
      <c r="L464" t="n">
        <v>0</v>
      </c>
      <c r="M464" t="n">
        <v>0</v>
      </c>
      <c r="N464" t="n">
        <v>0</v>
      </c>
      <c r="O464" t="n">
        <v>0</v>
      </c>
      <c r="P464" t="n">
        <v>0</v>
      </c>
      <c r="Q464" t="n">
        <v>0</v>
      </c>
      <c r="R464" s="2" t="inlineStr"/>
    </row>
    <row r="465" ht="15" customHeight="1">
      <c r="A465" t="inlineStr">
        <is>
          <t>A 28019-2025</t>
        </is>
      </c>
      <c r="B465" s="1" t="n">
        <v>45817.61545138889</v>
      </c>
      <c r="C465" s="1" t="n">
        <v>45911</v>
      </c>
      <c r="D465" t="inlineStr">
        <is>
          <t>VÄSTERBOTTENS LÄN</t>
        </is>
      </c>
      <c r="E465" t="inlineStr">
        <is>
          <t>VILHELMINA</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664-2022</t>
        </is>
      </c>
      <c r="B466" s="1" t="n">
        <v>44568</v>
      </c>
      <c r="C466" s="1" t="n">
        <v>45911</v>
      </c>
      <c r="D466" t="inlineStr">
        <is>
          <t>VÄSTERBOTTENS LÄN</t>
        </is>
      </c>
      <c r="E466" t="inlineStr">
        <is>
          <t>VILHELMINA</t>
        </is>
      </c>
      <c r="G466" t="n">
        <v>1.8</v>
      </c>
      <c r="H466" t="n">
        <v>0</v>
      </c>
      <c r="I466" t="n">
        <v>0</v>
      </c>
      <c r="J466" t="n">
        <v>0</v>
      </c>
      <c r="K466" t="n">
        <v>0</v>
      </c>
      <c r="L466" t="n">
        <v>0</v>
      </c>
      <c r="M466" t="n">
        <v>0</v>
      </c>
      <c r="N466" t="n">
        <v>0</v>
      </c>
      <c r="O466" t="n">
        <v>0</v>
      </c>
      <c r="P466" t="n">
        <v>0</v>
      </c>
      <c r="Q466" t="n">
        <v>0</v>
      </c>
      <c r="R466" s="2" t="inlineStr"/>
    </row>
    <row r="467" ht="15" customHeight="1">
      <c r="A467" t="inlineStr">
        <is>
          <t>A 11538-2024</t>
        </is>
      </c>
      <c r="B467" s="1" t="n">
        <v>45372</v>
      </c>
      <c r="C467" s="1" t="n">
        <v>45911</v>
      </c>
      <c r="D467" t="inlineStr">
        <is>
          <t>VÄSTERBOTTENS LÄN</t>
        </is>
      </c>
      <c r="E467" t="inlineStr">
        <is>
          <t>VILHELMINA</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27943-2025</t>
        </is>
      </c>
      <c r="B468" s="1" t="n">
        <v>45817.51078703703</v>
      </c>
      <c r="C468" s="1" t="n">
        <v>45911</v>
      </c>
      <c r="D468" t="inlineStr">
        <is>
          <t>VÄSTERBOTTENS LÄN</t>
        </is>
      </c>
      <c r="E468" t="inlineStr">
        <is>
          <t>VILHELMINA</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34805-2023</t>
        </is>
      </c>
      <c r="B469" s="1" t="n">
        <v>45140</v>
      </c>
      <c r="C469" s="1" t="n">
        <v>45911</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27952-2025</t>
        </is>
      </c>
      <c r="B470" s="1" t="n">
        <v>45817.53157407408</v>
      </c>
      <c r="C470" s="1" t="n">
        <v>45911</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35409-2024</t>
        </is>
      </c>
      <c r="B471" s="1" t="n">
        <v>45531</v>
      </c>
      <c r="C471" s="1" t="n">
        <v>45911</v>
      </c>
      <c r="D471" t="inlineStr">
        <is>
          <t>VÄSTERBOTTENS LÄN</t>
        </is>
      </c>
      <c r="E471" t="inlineStr">
        <is>
          <t>VILHELMINA</t>
        </is>
      </c>
      <c r="F471" t="inlineStr">
        <is>
          <t>SCA</t>
        </is>
      </c>
      <c r="G471" t="n">
        <v>13.1</v>
      </c>
      <c r="H471" t="n">
        <v>0</v>
      </c>
      <c r="I471" t="n">
        <v>0</v>
      </c>
      <c r="J471" t="n">
        <v>0</v>
      </c>
      <c r="K471" t="n">
        <v>0</v>
      </c>
      <c r="L471" t="n">
        <v>0</v>
      </c>
      <c r="M471" t="n">
        <v>0</v>
      </c>
      <c r="N471" t="n">
        <v>0</v>
      </c>
      <c r="O471" t="n">
        <v>0</v>
      </c>
      <c r="P471" t="n">
        <v>0</v>
      </c>
      <c r="Q471" t="n">
        <v>0</v>
      </c>
      <c r="R471" s="2" t="inlineStr"/>
    </row>
    <row r="472" ht="15" customHeight="1">
      <c r="A472" t="inlineStr">
        <is>
          <t>A 69621-2020</t>
        </is>
      </c>
      <c r="B472" s="1" t="n">
        <v>44195</v>
      </c>
      <c r="C472" s="1" t="n">
        <v>45911</v>
      </c>
      <c r="D472" t="inlineStr">
        <is>
          <t>VÄSTERBOTTENS LÄN</t>
        </is>
      </c>
      <c r="E472" t="inlineStr">
        <is>
          <t>VILHELMINA</t>
        </is>
      </c>
      <c r="G472" t="n">
        <v>2.9</v>
      </c>
      <c r="H472" t="n">
        <v>0</v>
      </c>
      <c r="I472" t="n">
        <v>0</v>
      </c>
      <c r="J472" t="n">
        <v>0</v>
      </c>
      <c r="K472" t="n">
        <v>0</v>
      </c>
      <c r="L472" t="n">
        <v>0</v>
      </c>
      <c r="M472" t="n">
        <v>0</v>
      </c>
      <c r="N472" t="n">
        <v>0</v>
      </c>
      <c r="O472" t="n">
        <v>0</v>
      </c>
      <c r="P472" t="n">
        <v>0</v>
      </c>
      <c r="Q472" t="n">
        <v>0</v>
      </c>
      <c r="R472" s="2" t="inlineStr"/>
    </row>
    <row r="473" ht="15" customHeight="1">
      <c r="A473" t="inlineStr">
        <is>
          <t>A 28016-2025</t>
        </is>
      </c>
      <c r="B473" s="1" t="n">
        <v>45817.61506944444</v>
      </c>
      <c r="C473" s="1" t="n">
        <v>45911</v>
      </c>
      <c r="D473" t="inlineStr">
        <is>
          <t>VÄSTERBOTTENS LÄN</t>
        </is>
      </c>
      <c r="E473" t="inlineStr">
        <is>
          <t>VILHELMINA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28050-2025</t>
        </is>
      </c>
      <c r="B474" s="1" t="n">
        <v>45817.65658564815</v>
      </c>
      <c r="C474" s="1" t="n">
        <v>45911</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38125-2024</t>
        </is>
      </c>
      <c r="B475" s="1" t="n">
        <v>45545.40717592592</v>
      </c>
      <c r="C475" s="1" t="n">
        <v>45911</v>
      </c>
      <c r="D475" t="inlineStr">
        <is>
          <t>VÄSTERBOTTENS LÄN</t>
        </is>
      </c>
      <c r="E475" t="inlineStr">
        <is>
          <t>VILHELMINA</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38126-2024</t>
        </is>
      </c>
      <c r="B476" s="1" t="n">
        <v>45545</v>
      </c>
      <c r="C476" s="1" t="n">
        <v>45911</v>
      </c>
      <c r="D476" t="inlineStr">
        <is>
          <t>VÄSTERBOTTENS LÄN</t>
        </is>
      </c>
      <c r="E476" t="inlineStr">
        <is>
          <t>VILHELMINA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38130-2024</t>
        </is>
      </c>
      <c r="B477" s="1" t="n">
        <v>45545</v>
      </c>
      <c r="C477" s="1" t="n">
        <v>45911</v>
      </c>
      <c r="D477" t="inlineStr">
        <is>
          <t>VÄSTERBOTTENS LÄN</t>
        </is>
      </c>
      <c r="E477" t="inlineStr">
        <is>
          <t>VILHELMINA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28144-2025</t>
        </is>
      </c>
      <c r="B478" s="1" t="n">
        <v>45818</v>
      </c>
      <c r="C478" s="1" t="n">
        <v>45911</v>
      </c>
      <c r="D478" t="inlineStr">
        <is>
          <t>VÄSTERBOTTENS LÄN</t>
        </is>
      </c>
      <c r="E478" t="inlineStr">
        <is>
          <t>VILHELMINA</t>
        </is>
      </c>
      <c r="F478" t="inlineStr">
        <is>
          <t>SCA</t>
        </is>
      </c>
      <c r="G478" t="n">
        <v>10.8</v>
      </c>
      <c r="H478" t="n">
        <v>0</v>
      </c>
      <c r="I478" t="n">
        <v>0</v>
      </c>
      <c r="J478" t="n">
        <v>0</v>
      </c>
      <c r="K478" t="n">
        <v>0</v>
      </c>
      <c r="L478" t="n">
        <v>0</v>
      </c>
      <c r="M478" t="n">
        <v>0</v>
      </c>
      <c r="N478" t="n">
        <v>0</v>
      </c>
      <c r="O478" t="n">
        <v>0</v>
      </c>
      <c r="P478" t="n">
        <v>0</v>
      </c>
      <c r="Q478" t="n">
        <v>0</v>
      </c>
      <c r="R478" s="2" t="inlineStr"/>
    </row>
    <row r="479" ht="15" customHeight="1">
      <c r="A479" t="inlineStr">
        <is>
          <t>A 31449-2024</t>
        </is>
      </c>
      <c r="B479" s="1" t="n">
        <v>45505.9299537037</v>
      </c>
      <c r="C479" s="1" t="n">
        <v>45911</v>
      </c>
      <c r="D479" t="inlineStr">
        <is>
          <t>VÄSTERBOTTENS LÄN</t>
        </is>
      </c>
      <c r="E479" t="inlineStr">
        <is>
          <t>VILHELMINA</t>
        </is>
      </c>
      <c r="G479" t="n">
        <v>3.5</v>
      </c>
      <c r="H479" t="n">
        <v>0</v>
      </c>
      <c r="I479" t="n">
        <v>0</v>
      </c>
      <c r="J479" t="n">
        <v>0</v>
      </c>
      <c r="K479" t="n">
        <v>0</v>
      </c>
      <c r="L479" t="n">
        <v>0</v>
      </c>
      <c r="M479" t="n">
        <v>0</v>
      </c>
      <c r="N479" t="n">
        <v>0</v>
      </c>
      <c r="O479" t="n">
        <v>0</v>
      </c>
      <c r="P479" t="n">
        <v>0</v>
      </c>
      <c r="Q479" t="n">
        <v>0</v>
      </c>
      <c r="R479" s="2" t="inlineStr"/>
    </row>
    <row r="480" ht="15" customHeight="1">
      <c r="A480" t="inlineStr">
        <is>
          <t>A 18564-2022</t>
        </is>
      </c>
      <c r="B480" s="1" t="n">
        <v>44686</v>
      </c>
      <c r="C480" s="1" t="n">
        <v>45911</v>
      </c>
      <c r="D480" t="inlineStr">
        <is>
          <t>VÄSTERBOTTENS LÄN</t>
        </is>
      </c>
      <c r="E480" t="inlineStr">
        <is>
          <t>VILHELMINA</t>
        </is>
      </c>
      <c r="F480" t="inlineStr">
        <is>
          <t>SCA</t>
        </is>
      </c>
      <c r="G480" t="n">
        <v>6</v>
      </c>
      <c r="H480" t="n">
        <v>0</v>
      </c>
      <c r="I480" t="n">
        <v>0</v>
      </c>
      <c r="J480" t="n">
        <v>0</v>
      </c>
      <c r="K480" t="n">
        <v>0</v>
      </c>
      <c r="L480" t="n">
        <v>0</v>
      </c>
      <c r="M480" t="n">
        <v>0</v>
      </c>
      <c r="N480" t="n">
        <v>0</v>
      </c>
      <c r="O480" t="n">
        <v>0</v>
      </c>
      <c r="P480" t="n">
        <v>0</v>
      </c>
      <c r="Q480" t="n">
        <v>0</v>
      </c>
      <c r="R480" s="2" t="inlineStr"/>
    </row>
    <row r="481" ht="15" customHeight="1">
      <c r="A481" t="inlineStr">
        <is>
          <t>A 39670-2024</t>
        </is>
      </c>
      <c r="B481" s="1" t="n">
        <v>45552.5315162037</v>
      </c>
      <c r="C481" s="1" t="n">
        <v>45911</v>
      </c>
      <c r="D481" t="inlineStr">
        <is>
          <t>VÄSTERBOTTENS LÄN</t>
        </is>
      </c>
      <c r="E481" t="inlineStr">
        <is>
          <t>VILHELMINA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28071-2025</t>
        </is>
      </c>
      <c r="B482" s="1" t="n">
        <v>45817.67755787037</v>
      </c>
      <c r="C482" s="1" t="n">
        <v>45911</v>
      </c>
      <c r="D482" t="inlineStr">
        <is>
          <t>VÄSTERBOTTENS LÄN</t>
        </is>
      </c>
      <c r="E482" t="inlineStr">
        <is>
          <t>VILHELMINA</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64254-2020</t>
        </is>
      </c>
      <c r="B483" s="1" t="n">
        <v>44168</v>
      </c>
      <c r="C483" s="1" t="n">
        <v>45911</v>
      </c>
      <c r="D483" t="inlineStr">
        <is>
          <t>VÄSTERBOTTENS LÄN</t>
        </is>
      </c>
      <c r="E483" t="inlineStr">
        <is>
          <t>VILHELMINA</t>
        </is>
      </c>
      <c r="G483" t="n">
        <v>17.6</v>
      </c>
      <c r="H483" t="n">
        <v>0</v>
      </c>
      <c r="I483" t="n">
        <v>0</v>
      </c>
      <c r="J483" t="n">
        <v>0</v>
      </c>
      <c r="K483" t="n">
        <v>0</v>
      </c>
      <c r="L483" t="n">
        <v>0</v>
      </c>
      <c r="M483" t="n">
        <v>0</v>
      </c>
      <c r="N483" t="n">
        <v>0</v>
      </c>
      <c r="O483" t="n">
        <v>0</v>
      </c>
      <c r="P483" t="n">
        <v>0</v>
      </c>
      <c r="Q483" t="n">
        <v>0</v>
      </c>
      <c r="R483" s="2" t="inlineStr"/>
    </row>
    <row r="484" ht="15" customHeight="1">
      <c r="A484" t="inlineStr">
        <is>
          <t>A 51825-2023</t>
        </is>
      </c>
      <c r="B484" s="1" t="n">
        <v>45222</v>
      </c>
      <c r="C484" s="1" t="n">
        <v>45911</v>
      </c>
      <c r="D484" t="inlineStr">
        <is>
          <t>VÄSTERBOTTENS LÄN</t>
        </is>
      </c>
      <c r="E484" t="inlineStr">
        <is>
          <t>VILHELMINA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22457-2025</t>
        </is>
      </c>
      <c r="B485" s="1" t="n">
        <v>45786</v>
      </c>
      <c r="C485" s="1" t="n">
        <v>45911</v>
      </c>
      <c r="D485" t="inlineStr">
        <is>
          <t>VÄSTERBOTTENS LÄN</t>
        </is>
      </c>
      <c r="E485" t="inlineStr">
        <is>
          <t>VILHELMINA</t>
        </is>
      </c>
      <c r="G485" t="n">
        <v>10.8</v>
      </c>
      <c r="H485" t="n">
        <v>0</v>
      </c>
      <c r="I485" t="n">
        <v>0</v>
      </c>
      <c r="J485" t="n">
        <v>0</v>
      </c>
      <c r="K485" t="n">
        <v>0</v>
      </c>
      <c r="L485" t="n">
        <v>0</v>
      </c>
      <c r="M485" t="n">
        <v>0</v>
      </c>
      <c r="N485" t="n">
        <v>0</v>
      </c>
      <c r="O485" t="n">
        <v>0</v>
      </c>
      <c r="P485" t="n">
        <v>0</v>
      </c>
      <c r="Q485" t="n">
        <v>0</v>
      </c>
      <c r="R485" s="2" t="inlineStr"/>
    </row>
    <row r="486" ht="15" customHeight="1">
      <c r="A486" t="inlineStr">
        <is>
          <t>A 9162-2022</t>
        </is>
      </c>
      <c r="B486" s="1" t="n">
        <v>44615</v>
      </c>
      <c r="C486" s="1" t="n">
        <v>45911</v>
      </c>
      <c r="D486" t="inlineStr">
        <is>
          <t>VÄSTERBOTTENS LÄN</t>
        </is>
      </c>
      <c r="E486" t="inlineStr">
        <is>
          <t>VILHELMINA</t>
        </is>
      </c>
      <c r="G486" t="n">
        <v>7.2</v>
      </c>
      <c r="H486" t="n">
        <v>0</v>
      </c>
      <c r="I486" t="n">
        <v>0</v>
      </c>
      <c r="J486" t="n">
        <v>0</v>
      </c>
      <c r="K486" t="n">
        <v>0</v>
      </c>
      <c r="L486" t="n">
        <v>0</v>
      </c>
      <c r="M486" t="n">
        <v>0</v>
      </c>
      <c r="N486" t="n">
        <v>0</v>
      </c>
      <c r="O486" t="n">
        <v>0</v>
      </c>
      <c r="P486" t="n">
        <v>0</v>
      </c>
      <c r="Q486" t="n">
        <v>0</v>
      </c>
      <c r="R486" s="2" t="inlineStr"/>
    </row>
    <row r="487" ht="15" customHeight="1">
      <c r="A487" t="inlineStr">
        <is>
          <t>A 37514-2024</t>
        </is>
      </c>
      <c r="B487" s="1" t="n">
        <v>45541.38586805556</v>
      </c>
      <c r="C487" s="1" t="n">
        <v>45911</v>
      </c>
      <c r="D487" t="inlineStr">
        <is>
          <t>VÄSTERBOTTENS LÄN</t>
        </is>
      </c>
      <c r="E487" t="inlineStr">
        <is>
          <t>VILHELMINA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28897-2025</t>
        </is>
      </c>
      <c r="B488" s="1" t="n">
        <v>45820.6360300926</v>
      </c>
      <c r="C488" s="1" t="n">
        <v>45911</v>
      </c>
      <c r="D488" t="inlineStr">
        <is>
          <t>VÄSTERBOTTENS LÄN</t>
        </is>
      </c>
      <c r="E488" t="inlineStr">
        <is>
          <t>VILHELMINA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21370-2024</t>
        </is>
      </c>
      <c r="B489" s="1" t="n">
        <v>45440.95310185185</v>
      </c>
      <c r="C489" s="1" t="n">
        <v>45911</v>
      </c>
      <c r="D489" t="inlineStr">
        <is>
          <t>VÄSTERBOTTENS LÄN</t>
        </is>
      </c>
      <c r="E489" t="inlineStr">
        <is>
          <t>VILHELMINA</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20591-2025</t>
        </is>
      </c>
      <c r="B490" s="1" t="n">
        <v>45775</v>
      </c>
      <c r="C490" s="1" t="n">
        <v>45911</v>
      </c>
      <c r="D490" t="inlineStr">
        <is>
          <t>VÄSTERBOTTENS LÄN</t>
        </is>
      </c>
      <c r="E490" t="inlineStr">
        <is>
          <t>VILHELMINA</t>
        </is>
      </c>
      <c r="F490" t="inlineStr">
        <is>
          <t>SCA</t>
        </is>
      </c>
      <c r="G490" t="n">
        <v>27.4</v>
      </c>
      <c r="H490" t="n">
        <v>0</v>
      </c>
      <c r="I490" t="n">
        <v>0</v>
      </c>
      <c r="J490" t="n">
        <v>0</v>
      </c>
      <c r="K490" t="n">
        <v>0</v>
      </c>
      <c r="L490" t="n">
        <v>0</v>
      </c>
      <c r="M490" t="n">
        <v>0</v>
      </c>
      <c r="N490" t="n">
        <v>0</v>
      </c>
      <c r="O490" t="n">
        <v>0</v>
      </c>
      <c r="P490" t="n">
        <v>0</v>
      </c>
      <c r="Q490" t="n">
        <v>0</v>
      </c>
      <c r="R490" s="2" t="inlineStr"/>
    </row>
    <row r="491" ht="15" customHeight="1">
      <c r="A491" t="inlineStr">
        <is>
          <t>A 19423-2022</t>
        </is>
      </c>
      <c r="B491" s="1" t="n">
        <v>44693.32515046297</v>
      </c>
      <c r="C491" s="1" t="n">
        <v>45911</v>
      </c>
      <c r="D491" t="inlineStr">
        <is>
          <t>VÄSTERBOTTENS LÄN</t>
        </is>
      </c>
      <c r="E491" t="inlineStr">
        <is>
          <t>VILHELMINA</t>
        </is>
      </c>
      <c r="G491" t="n">
        <v>1.9</v>
      </c>
      <c r="H491" t="n">
        <v>0</v>
      </c>
      <c r="I491" t="n">
        <v>0</v>
      </c>
      <c r="J491" t="n">
        <v>0</v>
      </c>
      <c r="K491" t="n">
        <v>0</v>
      </c>
      <c r="L491" t="n">
        <v>0</v>
      </c>
      <c r="M491" t="n">
        <v>0</v>
      </c>
      <c r="N491" t="n">
        <v>0</v>
      </c>
      <c r="O491" t="n">
        <v>0</v>
      </c>
      <c r="P491" t="n">
        <v>0</v>
      </c>
      <c r="Q491" t="n">
        <v>0</v>
      </c>
      <c r="R491" s="2" t="inlineStr"/>
    </row>
    <row r="492" ht="15" customHeight="1">
      <c r="A492" t="inlineStr">
        <is>
          <t>A 33636-2021</t>
        </is>
      </c>
      <c r="B492" s="1" t="n">
        <v>44378</v>
      </c>
      <c r="C492" s="1" t="n">
        <v>45911</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35984-2023</t>
        </is>
      </c>
      <c r="B493" s="1" t="n">
        <v>45148.96195601852</v>
      </c>
      <c r="C493" s="1" t="n">
        <v>45911</v>
      </c>
      <c r="D493" t="inlineStr">
        <is>
          <t>VÄSTERBOTTENS LÄN</t>
        </is>
      </c>
      <c r="E493" t="inlineStr">
        <is>
          <t>VILHELMINA</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34719-2024</t>
        </is>
      </c>
      <c r="B494" s="1" t="n">
        <v>45526.56435185186</v>
      </c>
      <c r="C494" s="1" t="n">
        <v>45911</v>
      </c>
      <c r="D494" t="inlineStr">
        <is>
          <t>VÄSTERBOTTENS LÄN</t>
        </is>
      </c>
      <c r="E494" t="inlineStr">
        <is>
          <t>VILHELMINA</t>
        </is>
      </c>
      <c r="G494" t="n">
        <v>1.7</v>
      </c>
      <c r="H494" t="n">
        <v>0</v>
      </c>
      <c r="I494" t="n">
        <v>0</v>
      </c>
      <c r="J494" t="n">
        <v>0</v>
      </c>
      <c r="K494" t="n">
        <v>0</v>
      </c>
      <c r="L494" t="n">
        <v>0</v>
      </c>
      <c r="M494" t="n">
        <v>0</v>
      </c>
      <c r="N494" t="n">
        <v>0</v>
      </c>
      <c r="O494" t="n">
        <v>0</v>
      </c>
      <c r="P494" t="n">
        <v>0</v>
      </c>
      <c r="Q494" t="n">
        <v>0</v>
      </c>
      <c r="R494" s="2" t="inlineStr"/>
    </row>
    <row r="495" ht="15" customHeight="1">
      <c r="A495" t="inlineStr">
        <is>
          <t>A 29203-2025</t>
        </is>
      </c>
      <c r="B495" s="1" t="n">
        <v>45823</v>
      </c>
      <c r="C495" s="1" t="n">
        <v>45911</v>
      </c>
      <c r="D495" t="inlineStr">
        <is>
          <t>VÄSTERBOTTENS LÄN</t>
        </is>
      </c>
      <c r="E495" t="inlineStr">
        <is>
          <t>VILHELMINA</t>
        </is>
      </c>
      <c r="G495" t="n">
        <v>2.3</v>
      </c>
      <c r="H495" t="n">
        <v>0</v>
      </c>
      <c r="I495" t="n">
        <v>0</v>
      </c>
      <c r="J495" t="n">
        <v>0</v>
      </c>
      <c r="K495" t="n">
        <v>0</v>
      </c>
      <c r="L495" t="n">
        <v>0</v>
      </c>
      <c r="M495" t="n">
        <v>0</v>
      </c>
      <c r="N495" t="n">
        <v>0</v>
      </c>
      <c r="O495" t="n">
        <v>0</v>
      </c>
      <c r="P495" t="n">
        <v>0</v>
      </c>
      <c r="Q495" t="n">
        <v>0</v>
      </c>
      <c r="R495" s="2" t="inlineStr"/>
    </row>
    <row r="496" ht="15" customHeight="1">
      <c r="A496" t="inlineStr">
        <is>
          <t>A 34630-2024</t>
        </is>
      </c>
      <c r="B496" s="1" t="n">
        <v>45526.46234953704</v>
      </c>
      <c r="C496" s="1" t="n">
        <v>45911</v>
      </c>
      <c r="D496" t="inlineStr">
        <is>
          <t>VÄSTERBOTTENS LÄN</t>
        </is>
      </c>
      <c r="E496" t="inlineStr">
        <is>
          <t>VILHELMINA</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29120-2025</t>
        </is>
      </c>
      <c r="B497" s="1" t="n">
        <v>45821</v>
      </c>
      <c r="C497" s="1" t="n">
        <v>45911</v>
      </c>
      <c r="D497" t="inlineStr">
        <is>
          <t>VÄSTERBOTTENS LÄN</t>
        </is>
      </c>
      <c r="E497" t="inlineStr">
        <is>
          <t>VILHELMINA</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29234-2025</t>
        </is>
      </c>
      <c r="B498" s="1" t="n">
        <v>45824.34478009259</v>
      </c>
      <c r="C498" s="1" t="n">
        <v>45911</v>
      </c>
      <c r="D498" t="inlineStr">
        <is>
          <t>VÄSTERBOTTENS LÄN</t>
        </is>
      </c>
      <c r="E498" t="inlineStr">
        <is>
          <t>VILHELMINA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35753-2023</t>
        </is>
      </c>
      <c r="B499" s="1" t="n">
        <v>45147.95390046296</v>
      </c>
      <c r="C499" s="1" t="n">
        <v>45911</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52746-2023</t>
        </is>
      </c>
      <c r="B500" s="1" t="n">
        <v>45225.96753472222</v>
      </c>
      <c r="C500" s="1" t="n">
        <v>45911</v>
      </c>
      <c r="D500" t="inlineStr">
        <is>
          <t>VÄSTERBOTTENS LÄN</t>
        </is>
      </c>
      <c r="E500" t="inlineStr">
        <is>
          <t>VILHELMINA</t>
        </is>
      </c>
      <c r="F500" t="inlineStr">
        <is>
          <t>SCA</t>
        </is>
      </c>
      <c r="G500" t="n">
        <v>10.4</v>
      </c>
      <c r="H500" t="n">
        <v>0</v>
      </c>
      <c r="I500" t="n">
        <v>0</v>
      </c>
      <c r="J500" t="n">
        <v>0</v>
      </c>
      <c r="K500" t="n">
        <v>0</v>
      </c>
      <c r="L500" t="n">
        <v>0</v>
      </c>
      <c r="M500" t="n">
        <v>0</v>
      </c>
      <c r="N500" t="n">
        <v>0</v>
      </c>
      <c r="O500" t="n">
        <v>0</v>
      </c>
      <c r="P500" t="n">
        <v>0</v>
      </c>
      <c r="Q500" t="n">
        <v>0</v>
      </c>
      <c r="R500" s="2" t="inlineStr"/>
    </row>
    <row r="501" ht="15" customHeight="1">
      <c r="A501" t="inlineStr">
        <is>
          <t>A 55326-2023</t>
        </is>
      </c>
      <c r="B501" s="1" t="n">
        <v>45237.97364583334</v>
      </c>
      <c r="C501" s="1" t="n">
        <v>45911</v>
      </c>
      <c r="D501" t="inlineStr">
        <is>
          <t>VÄSTERBOTTENS LÄN</t>
        </is>
      </c>
      <c r="E501" t="inlineStr">
        <is>
          <t>VILHELMINA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29468-2025</t>
        </is>
      </c>
      <c r="B502" s="1" t="n">
        <v>45824.69888888889</v>
      </c>
      <c r="C502" s="1" t="n">
        <v>45911</v>
      </c>
      <c r="D502" t="inlineStr">
        <is>
          <t>VÄSTERBOTTENS LÄN</t>
        </is>
      </c>
      <c r="E502" t="inlineStr">
        <is>
          <t>VILHELMINA</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7102-2024</t>
        </is>
      </c>
      <c r="B503" s="1" t="n">
        <v>45343</v>
      </c>
      <c r="C503" s="1" t="n">
        <v>45911</v>
      </c>
      <c r="D503" t="inlineStr">
        <is>
          <t>VÄSTERBOTTENS LÄN</t>
        </is>
      </c>
      <c r="E503" t="inlineStr">
        <is>
          <t>VILHELMINA</t>
        </is>
      </c>
      <c r="G503" t="n">
        <v>3.2</v>
      </c>
      <c r="H503" t="n">
        <v>0</v>
      </c>
      <c r="I503" t="n">
        <v>0</v>
      </c>
      <c r="J503" t="n">
        <v>0</v>
      </c>
      <c r="K503" t="n">
        <v>0</v>
      </c>
      <c r="L503" t="n">
        <v>0</v>
      </c>
      <c r="M503" t="n">
        <v>0</v>
      </c>
      <c r="N503" t="n">
        <v>0</v>
      </c>
      <c r="O503" t="n">
        <v>0</v>
      </c>
      <c r="P503" t="n">
        <v>0</v>
      </c>
      <c r="Q503" t="n">
        <v>0</v>
      </c>
      <c r="R503" s="2" t="inlineStr"/>
    </row>
    <row r="504" ht="15" customHeight="1">
      <c r="A504" t="inlineStr">
        <is>
          <t>A 29466-2025</t>
        </is>
      </c>
      <c r="B504" s="1" t="n">
        <v>45824.69865740741</v>
      </c>
      <c r="C504" s="1" t="n">
        <v>45911</v>
      </c>
      <c r="D504" t="inlineStr">
        <is>
          <t>VÄSTERBOTTENS LÄN</t>
        </is>
      </c>
      <c r="E504" t="inlineStr">
        <is>
          <t>VILHELMINA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45911</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29940-2025</t>
        </is>
      </c>
      <c r="B506" s="1" t="n">
        <v>45826.45104166667</v>
      </c>
      <c r="C506" s="1" t="n">
        <v>45911</v>
      </c>
      <c r="D506" t="inlineStr">
        <is>
          <t>VÄSTERBOTTENS LÄN</t>
        </is>
      </c>
      <c r="E506" t="inlineStr">
        <is>
          <t>VILHELMINA</t>
        </is>
      </c>
      <c r="F506" t="inlineStr">
        <is>
          <t>Sveaskog</t>
        </is>
      </c>
      <c r="G506" t="n">
        <v>11.6</v>
      </c>
      <c r="H506" t="n">
        <v>0</v>
      </c>
      <c r="I506" t="n">
        <v>0</v>
      </c>
      <c r="J506" t="n">
        <v>0</v>
      </c>
      <c r="K506" t="n">
        <v>0</v>
      </c>
      <c r="L506" t="n">
        <v>0</v>
      </c>
      <c r="M506" t="n">
        <v>0</v>
      </c>
      <c r="N506" t="n">
        <v>0</v>
      </c>
      <c r="O506" t="n">
        <v>0</v>
      </c>
      <c r="P506" t="n">
        <v>0</v>
      </c>
      <c r="Q506" t="n">
        <v>0</v>
      </c>
      <c r="R506" s="2" t="inlineStr"/>
    </row>
    <row r="507" ht="15" customHeight="1">
      <c r="A507" t="inlineStr">
        <is>
          <t>A 2488-2023</t>
        </is>
      </c>
      <c r="B507" s="1" t="n">
        <v>44943</v>
      </c>
      <c r="C507" s="1" t="n">
        <v>45911</v>
      </c>
      <c r="D507" t="inlineStr">
        <is>
          <t>VÄSTERBOTTENS LÄN</t>
        </is>
      </c>
      <c r="E507" t="inlineStr">
        <is>
          <t>VILHELMINA</t>
        </is>
      </c>
      <c r="G507" t="n">
        <v>69.3</v>
      </c>
      <c r="H507" t="n">
        <v>0</v>
      </c>
      <c r="I507" t="n">
        <v>0</v>
      </c>
      <c r="J507" t="n">
        <v>0</v>
      </c>
      <c r="K507" t="n">
        <v>0</v>
      </c>
      <c r="L507" t="n">
        <v>0</v>
      </c>
      <c r="M507" t="n">
        <v>0</v>
      </c>
      <c r="N507" t="n">
        <v>0</v>
      </c>
      <c r="O507" t="n">
        <v>0</v>
      </c>
      <c r="P507" t="n">
        <v>0</v>
      </c>
      <c r="Q507" t="n">
        <v>0</v>
      </c>
      <c r="R507" s="2" t="inlineStr"/>
    </row>
    <row r="508" ht="15" customHeight="1">
      <c r="A508" t="inlineStr">
        <is>
          <t>A 15805-2025</t>
        </is>
      </c>
      <c r="B508" s="1" t="n">
        <v>45748</v>
      </c>
      <c r="C508" s="1" t="n">
        <v>45911</v>
      </c>
      <c r="D508" t="inlineStr">
        <is>
          <t>VÄSTERBOTTENS LÄN</t>
        </is>
      </c>
      <c r="E508" t="inlineStr">
        <is>
          <t>VILHELMINA</t>
        </is>
      </c>
      <c r="G508" t="n">
        <v>1.4</v>
      </c>
      <c r="H508" t="n">
        <v>0</v>
      </c>
      <c r="I508" t="n">
        <v>0</v>
      </c>
      <c r="J508" t="n">
        <v>0</v>
      </c>
      <c r="K508" t="n">
        <v>0</v>
      </c>
      <c r="L508" t="n">
        <v>0</v>
      </c>
      <c r="M508" t="n">
        <v>0</v>
      </c>
      <c r="N508" t="n">
        <v>0</v>
      </c>
      <c r="O508" t="n">
        <v>0</v>
      </c>
      <c r="P508" t="n">
        <v>0</v>
      </c>
      <c r="Q508" t="n">
        <v>0</v>
      </c>
      <c r="R508" s="2" t="inlineStr"/>
    </row>
    <row r="509" ht="15" customHeight="1">
      <c r="A509" t="inlineStr">
        <is>
          <t>A 58833-2023</t>
        </is>
      </c>
      <c r="B509" s="1" t="n">
        <v>45248</v>
      </c>
      <c r="C509" s="1" t="n">
        <v>45911</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26401-2022</t>
        </is>
      </c>
      <c r="B510" s="1" t="n">
        <v>44735</v>
      </c>
      <c r="C510" s="1" t="n">
        <v>45911</v>
      </c>
      <c r="D510" t="inlineStr">
        <is>
          <t>VÄSTERBOTTENS LÄN</t>
        </is>
      </c>
      <c r="E510" t="inlineStr">
        <is>
          <t>VILHELMINA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60035-2023</t>
        </is>
      </c>
      <c r="B511" s="1" t="n">
        <v>45254</v>
      </c>
      <c r="C511" s="1" t="n">
        <v>45911</v>
      </c>
      <c r="D511" t="inlineStr">
        <is>
          <t>VÄSTERBOTTENS LÄN</t>
        </is>
      </c>
      <c r="E511" t="inlineStr">
        <is>
          <t>VILHELMINA</t>
        </is>
      </c>
      <c r="G511" t="n">
        <v>2</v>
      </c>
      <c r="H511" t="n">
        <v>0</v>
      </c>
      <c r="I511" t="n">
        <v>0</v>
      </c>
      <c r="J511" t="n">
        <v>0</v>
      </c>
      <c r="K511" t="n">
        <v>0</v>
      </c>
      <c r="L511" t="n">
        <v>0</v>
      </c>
      <c r="M511" t="n">
        <v>0</v>
      </c>
      <c r="N511" t="n">
        <v>0</v>
      </c>
      <c r="O511" t="n">
        <v>0</v>
      </c>
      <c r="P511" t="n">
        <v>0</v>
      </c>
      <c r="Q511" t="n">
        <v>0</v>
      </c>
      <c r="R511" s="2" t="inlineStr"/>
    </row>
    <row r="512" ht="15" customHeight="1">
      <c r="A512" t="inlineStr">
        <is>
          <t>A 29942-2025</t>
        </is>
      </c>
      <c r="B512" s="1" t="n">
        <v>45826.45702546297</v>
      </c>
      <c r="C512" s="1" t="n">
        <v>45911</v>
      </c>
      <c r="D512" t="inlineStr">
        <is>
          <t>VÄSTERBOTTENS LÄN</t>
        </is>
      </c>
      <c r="E512" t="inlineStr">
        <is>
          <t>VILHELMINA</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9534-2023</t>
        </is>
      </c>
      <c r="B513" s="1" t="n">
        <v>44981.72646990741</v>
      </c>
      <c r="C513" s="1" t="n">
        <v>45911</v>
      </c>
      <c r="D513" t="inlineStr">
        <is>
          <t>VÄSTERBOTTENS LÄN</t>
        </is>
      </c>
      <c r="E513" t="inlineStr">
        <is>
          <t>VILHELMINA</t>
        </is>
      </c>
      <c r="G513" t="n">
        <v>1.7</v>
      </c>
      <c r="H513" t="n">
        <v>0</v>
      </c>
      <c r="I513" t="n">
        <v>0</v>
      </c>
      <c r="J513" t="n">
        <v>0</v>
      </c>
      <c r="K513" t="n">
        <v>0</v>
      </c>
      <c r="L513" t="n">
        <v>0</v>
      </c>
      <c r="M513" t="n">
        <v>0</v>
      </c>
      <c r="N513" t="n">
        <v>0</v>
      </c>
      <c r="O513" t="n">
        <v>0</v>
      </c>
      <c r="P513" t="n">
        <v>0</v>
      </c>
      <c r="Q513" t="n">
        <v>0</v>
      </c>
      <c r="R513" s="2" t="inlineStr"/>
    </row>
    <row r="514" ht="15" customHeight="1">
      <c r="A514" t="inlineStr">
        <is>
          <t>A 56747-2023</t>
        </is>
      </c>
      <c r="B514" s="1" t="n">
        <v>45238</v>
      </c>
      <c r="C514" s="1" t="n">
        <v>45911</v>
      </c>
      <c r="D514" t="inlineStr">
        <is>
          <t>VÄSTERBOTTENS LÄN</t>
        </is>
      </c>
      <c r="E514" t="inlineStr">
        <is>
          <t>VILHELMINA</t>
        </is>
      </c>
      <c r="F514" t="inlineStr">
        <is>
          <t>Allmännings- och besparingsskogar</t>
        </is>
      </c>
      <c r="G514" t="n">
        <v>16.2</v>
      </c>
      <c r="H514" t="n">
        <v>0</v>
      </c>
      <c r="I514" t="n">
        <v>0</v>
      </c>
      <c r="J514" t="n">
        <v>0</v>
      </c>
      <c r="K514" t="n">
        <v>0</v>
      </c>
      <c r="L514" t="n">
        <v>0</v>
      </c>
      <c r="M514" t="n">
        <v>0</v>
      </c>
      <c r="N514" t="n">
        <v>0</v>
      </c>
      <c r="O514" t="n">
        <v>0</v>
      </c>
      <c r="P514" t="n">
        <v>0</v>
      </c>
      <c r="Q514" t="n">
        <v>0</v>
      </c>
      <c r="R514" s="2" t="inlineStr"/>
    </row>
    <row r="515" ht="15" customHeight="1">
      <c r="A515" t="inlineStr">
        <is>
          <t>A 56758-2023</t>
        </is>
      </c>
      <c r="B515" s="1" t="n">
        <v>45238</v>
      </c>
      <c r="C515" s="1" t="n">
        <v>45911</v>
      </c>
      <c r="D515" t="inlineStr">
        <is>
          <t>VÄSTERBOTTENS LÄN</t>
        </is>
      </c>
      <c r="E515" t="inlineStr">
        <is>
          <t>VILHELMINA</t>
        </is>
      </c>
      <c r="F515" t="inlineStr">
        <is>
          <t>Allmännings- och besparingsskogar</t>
        </is>
      </c>
      <c r="G515" t="n">
        <v>371.4</v>
      </c>
      <c r="H515" t="n">
        <v>0</v>
      </c>
      <c r="I515" t="n">
        <v>0</v>
      </c>
      <c r="J515" t="n">
        <v>0</v>
      </c>
      <c r="K515" t="n">
        <v>0</v>
      </c>
      <c r="L515" t="n">
        <v>0</v>
      </c>
      <c r="M515" t="n">
        <v>0</v>
      </c>
      <c r="N515" t="n">
        <v>0</v>
      </c>
      <c r="O515" t="n">
        <v>0</v>
      </c>
      <c r="P515" t="n">
        <v>0</v>
      </c>
      <c r="Q515" t="n">
        <v>0</v>
      </c>
      <c r="R515" s="2" t="inlineStr"/>
    </row>
    <row r="516" ht="15" customHeight="1">
      <c r="A516" t="inlineStr">
        <is>
          <t>A 45672-2023</t>
        </is>
      </c>
      <c r="B516" s="1" t="n">
        <v>45194</v>
      </c>
      <c r="C516" s="1" t="n">
        <v>45911</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28486-2022</t>
        </is>
      </c>
      <c r="B517" s="1" t="n">
        <v>44747</v>
      </c>
      <c r="C517" s="1" t="n">
        <v>45911</v>
      </c>
      <c r="D517" t="inlineStr">
        <is>
          <t>VÄSTERBOTTENS LÄN</t>
        </is>
      </c>
      <c r="E517" t="inlineStr">
        <is>
          <t>VILHELMINA</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26663-2023</t>
        </is>
      </c>
      <c r="B518" s="1" t="n">
        <v>45092.94042824074</v>
      </c>
      <c r="C518" s="1" t="n">
        <v>45911</v>
      </c>
      <c r="D518" t="inlineStr">
        <is>
          <t>VÄSTERBOTTENS LÄN</t>
        </is>
      </c>
      <c r="E518" t="inlineStr">
        <is>
          <t>VILHELMINA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9916-2021</t>
        </is>
      </c>
      <c r="B519" s="1" t="n">
        <v>44253</v>
      </c>
      <c r="C519" s="1" t="n">
        <v>45911</v>
      </c>
      <c r="D519" t="inlineStr">
        <is>
          <t>VÄSTERBOTTENS LÄN</t>
        </is>
      </c>
      <c r="E519" t="inlineStr">
        <is>
          <t>VILHELMINA</t>
        </is>
      </c>
      <c r="G519" t="n">
        <v>1</v>
      </c>
      <c r="H519" t="n">
        <v>0</v>
      </c>
      <c r="I519" t="n">
        <v>0</v>
      </c>
      <c r="J519" t="n">
        <v>0</v>
      </c>
      <c r="K519" t="n">
        <v>0</v>
      </c>
      <c r="L519" t="n">
        <v>0</v>
      </c>
      <c r="M519" t="n">
        <v>0</v>
      </c>
      <c r="N519" t="n">
        <v>0</v>
      </c>
      <c r="O519" t="n">
        <v>0</v>
      </c>
      <c r="P519" t="n">
        <v>0</v>
      </c>
      <c r="Q519" t="n">
        <v>0</v>
      </c>
      <c r="R519" s="2" t="inlineStr"/>
    </row>
    <row r="520" ht="15" customHeight="1">
      <c r="A520" t="inlineStr">
        <is>
          <t>A 63877-2023</t>
        </is>
      </c>
      <c r="B520" s="1" t="n">
        <v>45278</v>
      </c>
      <c r="C520" s="1" t="n">
        <v>45911</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3435-2021</t>
        </is>
      </c>
      <c r="B521" s="1" t="n">
        <v>44216</v>
      </c>
      <c r="C521" s="1" t="n">
        <v>45911</v>
      </c>
      <c r="D521" t="inlineStr">
        <is>
          <t>VÄSTERBOTTENS LÄN</t>
        </is>
      </c>
      <c r="E521" t="inlineStr">
        <is>
          <t>VILHELMINA</t>
        </is>
      </c>
      <c r="G521" t="n">
        <v>20.5</v>
      </c>
      <c r="H521" t="n">
        <v>0</v>
      </c>
      <c r="I521" t="n">
        <v>0</v>
      </c>
      <c r="J521" t="n">
        <v>0</v>
      </c>
      <c r="K521" t="n">
        <v>0</v>
      </c>
      <c r="L521" t="n">
        <v>0</v>
      </c>
      <c r="M521" t="n">
        <v>0</v>
      </c>
      <c r="N521" t="n">
        <v>0</v>
      </c>
      <c r="O521" t="n">
        <v>0</v>
      </c>
      <c r="P521" t="n">
        <v>0</v>
      </c>
      <c r="Q521" t="n">
        <v>0</v>
      </c>
      <c r="R521" s="2" t="inlineStr"/>
    </row>
    <row r="522" ht="15" customHeight="1">
      <c r="A522" t="inlineStr">
        <is>
          <t>A 48472-2023</t>
        </is>
      </c>
      <c r="B522" s="1" t="n">
        <v>45206.95761574074</v>
      </c>
      <c r="C522" s="1" t="n">
        <v>45911</v>
      </c>
      <c r="D522" t="inlineStr">
        <is>
          <t>VÄSTERBOTTENS LÄN</t>
        </is>
      </c>
      <c r="E522" t="inlineStr">
        <is>
          <t>VILHELMINA</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43637-2023</t>
        </is>
      </c>
      <c r="B523" s="1" t="n">
        <v>45186.51590277778</v>
      </c>
      <c r="C523" s="1" t="n">
        <v>45911</v>
      </c>
      <c r="D523" t="inlineStr">
        <is>
          <t>VÄSTERBOTTENS LÄN</t>
        </is>
      </c>
      <c r="E523" t="inlineStr">
        <is>
          <t>VILHELMINA</t>
        </is>
      </c>
      <c r="G523" t="n">
        <v>3.3</v>
      </c>
      <c r="H523" t="n">
        <v>0</v>
      </c>
      <c r="I523" t="n">
        <v>0</v>
      </c>
      <c r="J523" t="n">
        <v>0</v>
      </c>
      <c r="K523" t="n">
        <v>0</v>
      </c>
      <c r="L523" t="n">
        <v>0</v>
      </c>
      <c r="M523" t="n">
        <v>0</v>
      </c>
      <c r="N523" t="n">
        <v>0</v>
      </c>
      <c r="O523" t="n">
        <v>0</v>
      </c>
      <c r="P523" t="n">
        <v>0</v>
      </c>
      <c r="Q523" t="n">
        <v>0</v>
      </c>
      <c r="R523" s="2" t="inlineStr"/>
    </row>
    <row r="524" ht="15" customHeight="1">
      <c r="A524" t="inlineStr">
        <is>
          <t>A 16608-2024</t>
        </is>
      </c>
      <c r="B524" s="1" t="n">
        <v>45408</v>
      </c>
      <c r="C524" s="1" t="n">
        <v>45911</v>
      </c>
      <c r="D524" t="inlineStr">
        <is>
          <t>VÄSTERBOTTENS LÄN</t>
        </is>
      </c>
      <c r="E524" t="inlineStr">
        <is>
          <t>VILHELMINA</t>
        </is>
      </c>
      <c r="G524" t="n">
        <v>17.5</v>
      </c>
      <c r="H524" t="n">
        <v>0</v>
      </c>
      <c r="I524" t="n">
        <v>0</v>
      </c>
      <c r="J524" t="n">
        <v>0</v>
      </c>
      <c r="K524" t="n">
        <v>0</v>
      </c>
      <c r="L524" t="n">
        <v>0</v>
      </c>
      <c r="M524" t="n">
        <v>0</v>
      </c>
      <c r="N524" t="n">
        <v>0</v>
      </c>
      <c r="O524" t="n">
        <v>0</v>
      </c>
      <c r="P524" t="n">
        <v>0</v>
      </c>
      <c r="Q524" t="n">
        <v>0</v>
      </c>
      <c r="R524" s="2" t="inlineStr"/>
    </row>
    <row r="525" ht="15" customHeight="1">
      <c r="A525" t="inlineStr">
        <is>
          <t>A 55327-2023</t>
        </is>
      </c>
      <c r="B525" s="1" t="n">
        <v>45237.97375</v>
      </c>
      <c r="C525" s="1" t="n">
        <v>45911</v>
      </c>
      <c r="D525" t="inlineStr">
        <is>
          <t>VÄSTERBOTTENS LÄN</t>
        </is>
      </c>
      <c r="E525" t="inlineStr">
        <is>
          <t>VILHELMINA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30553-2025</t>
        </is>
      </c>
      <c r="B526" s="1" t="n">
        <v>45831.38579861111</v>
      </c>
      <c r="C526" s="1" t="n">
        <v>45911</v>
      </c>
      <c r="D526" t="inlineStr">
        <is>
          <t>VÄSTERBOTTENS LÄN</t>
        </is>
      </c>
      <c r="E526" t="inlineStr">
        <is>
          <t>VILHELMINA</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26381-2024</t>
        </is>
      </c>
      <c r="B527" s="1" t="n">
        <v>45469</v>
      </c>
      <c r="C527" s="1" t="n">
        <v>45911</v>
      </c>
      <c r="D527" t="inlineStr">
        <is>
          <t>VÄSTERBOTTENS LÄN</t>
        </is>
      </c>
      <c r="E527" t="inlineStr">
        <is>
          <t>VILHELMINA</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47483-2023</t>
        </is>
      </c>
      <c r="B528" s="1" t="n">
        <v>45202.9413425926</v>
      </c>
      <c r="C528" s="1" t="n">
        <v>45911</v>
      </c>
      <c r="D528" t="inlineStr">
        <is>
          <t>VÄSTERBOTTENS LÄN</t>
        </is>
      </c>
      <c r="E528" t="inlineStr">
        <is>
          <t>VILHELMINA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48229-2024</t>
        </is>
      </c>
      <c r="B529" s="1" t="n">
        <v>45590.37554398148</v>
      </c>
      <c r="C529" s="1" t="n">
        <v>45911</v>
      </c>
      <c r="D529" t="inlineStr">
        <is>
          <t>VÄSTERBOTTENS LÄN</t>
        </is>
      </c>
      <c r="E529" t="inlineStr">
        <is>
          <t>VILHELMINA</t>
        </is>
      </c>
      <c r="G529" t="n">
        <v>11.6</v>
      </c>
      <c r="H529" t="n">
        <v>0</v>
      </c>
      <c r="I529" t="n">
        <v>0</v>
      </c>
      <c r="J529" t="n">
        <v>0</v>
      </c>
      <c r="K529" t="n">
        <v>0</v>
      </c>
      <c r="L529" t="n">
        <v>0</v>
      </c>
      <c r="M529" t="n">
        <v>0</v>
      </c>
      <c r="N529" t="n">
        <v>0</v>
      </c>
      <c r="O529" t="n">
        <v>0</v>
      </c>
      <c r="P529" t="n">
        <v>0</v>
      </c>
      <c r="Q529" t="n">
        <v>0</v>
      </c>
      <c r="R529" s="2" t="inlineStr"/>
    </row>
    <row r="530" ht="15" customHeight="1">
      <c r="A530" t="inlineStr">
        <is>
          <t>A 36944-2025</t>
        </is>
      </c>
      <c r="B530" s="1" t="n">
        <v>45874.59450231482</v>
      </c>
      <c r="C530" s="1" t="n">
        <v>45911</v>
      </c>
      <c r="D530" t="inlineStr">
        <is>
          <t>VÄSTERBOTTENS LÄN</t>
        </is>
      </c>
      <c r="E530" t="inlineStr">
        <is>
          <t>VILHELMINA</t>
        </is>
      </c>
      <c r="F530" t="inlineStr">
        <is>
          <t>SCA</t>
        </is>
      </c>
      <c r="G530" t="n">
        <v>17.4</v>
      </c>
      <c r="H530" t="n">
        <v>0</v>
      </c>
      <c r="I530" t="n">
        <v>0</v>
      </c>
      <c r="J530" t="n">
        <v>0</v>
      </c>
      <c r="K530" t="n">
        <v>0</v>
      </c>
      <c r="L530" t="n">
        <v>0</v>
      </c>
      <c r="M530" t="n">
        <v>0</v>
      </c>
      <c r="N530" t="n">
        <v>0</v>
      </c>
      <c r="O530" t="n">
        <v>0</v>
      </c>
      <c r="P530" t="n">
        <v>0</v>
      </c>
      <c r="Q530" t="n">
        <v>0</v>
      </c>
      <c r="R530" s="2" t="inlineStr"/>
    </row>
    <row r="531" ht="15" customHeight="1">
      <c r="A531" t="inlineStr">
        <is>
          <t>A 12990-2025</t>
        </is>
      </c>
      <c r="B531" s="1" t="n">
        <v>45734</v>
      </c>
      <c r="C531" s="1" t="n">
        <v>45911</v>
      </c>
      <c r="D531" t="inlineStr">
        <is>
          <t>VÄSTERBOTTENS LÄN</t>
        </is>
      </c>
      <c r="E531" t="inlineStr">
        <is>
          <t>VILHELMINA</t>
        </is>
      </c>
      <c r="G531" t="n">
        <v>11.2</v>
      </c>
      <c r="H531" t="n">
        <v>0</v>
      </c>
      <c r="I531" t="n">
        <v>0</v>
      </c>
      <c r="J531" t="n">
        <v>0</v>
      </c>
      <c r="K531" t="n">
        <v>0</v>
      </c>
      <c r="L531" t="n">
        <v>0</v>
      </c>
      <c r="M531" t="n">
        <v>0</v>
      </c>
      <c r="N531" t="n">
        <v>0</v>
      </c>
      <c r="O531" t="n">
        <v>0</v>
      </c>
      <c r="P531" t="n">
        <v>0</v>
      </c>
      <c r="Q531" t="n">
        <v>0</v>
      </c>
      <c r="R531" s="2" t="inlineStr"/>
    </row>
    <row r="532" ht="15" customHeight="1">
      <c r="A532" t="inlineStr">
        <is>
          <t>A 17186-2025</t>
        </is>
      </c>
      <c r="B532" s="1" t="n">
        <v>45756</v>
      </c>
      <c r="C532" s="1" t="n">
        <v>45911</v>
      </c>
      <c r="D532" t="inlineStr">
        <is>
          <t>VÄSTERBOTTENS LÄN</t>
        </is>
      </c>
      <c r="E532" t="inlineStr">
        <is>
          <t>VILHELMINA</t>
        </is>
      </c>
      <c r="F532" t="inlineStr">
        <is>
          <t>SCA</t>
        </is>
      </c>
      <c r="G532" t="n">
        <v>12.3</v>
      </c>
      <c r="H532" t="n">
        <v>0</v>
      </c>
      <c r="I532" t="n">
        <v>0</v>
      </c>
      <c r="J532" t="n">
        <v>0</v>
      </c>
      <c r="K532" t="n">
        <v>0</v>
      </c>
      <c r="L532" t="n">
        <v>0</v>
      </c>
      <c r="M532" t="n">
        <v>0</v>
      </c>
      <c r="N532" t="n">
        <v>0</v>
      </c>
      <c r="O532" t="n">
        <v>0</v>
      </c>
      <c r="P532" t="n">
        <v>0</v>
      </c>
      <c r="Q532" t="n">
        <v>0</v>
      </c>
      <c r="R532" s="2" t="inlineStr"/>
    </row>
    <row r="533" ht="15" customHeight="1">
      <c r="A533" t="inlineStr">
        <is>
          <t>A 17302-2025</t>
        </is>
      </c>
      <c r="B533" s="1" t="n">
        <v>45756</v>
      </c>
      <c r="C533" s="1" t="n">
        <v>45911</v>
      </c>
      <c r="D533" t="inlineStr">
        <is>
          <t>VÄSTERBOTTENS LÄN</t>
        </is>
      </c>
      <c r="E533" t="inlineStr">
        <is>
          <t>VILHELMINA</t>
        </is>
      </c>
      <c r="G533" t="n">
        <v>6.6</v>
      </c>
      <c r="H533" t="n">
        <v>0</v>
      </c>
      <c r="I533" t="n">
        <v>0</v>
      </c>
      <c r="J533" t="n">
        <v>0</v>
      </c>
      <c r="K533" t="n">
        <v>0</v>
      </c>
      <c r="L533" t="n">
        <v>0</v>
      </c>
      <c r="M533" t="n">
        <v>0</v>
      </c>
      <c r="N533" t="n">
        <v>0</v>
      </c>
      <c r="O533" t="n">
        <v>0</v>
      </c>
      <c r="P533" t="n">
        <v>0</v>
      </c>
      <c r="Q533" t="n">
        <v>0</v>
      </c>
      <c r="R533" s="2" t="inlineStr"/>
    </row>
    <row r="534" ht="15" customHeight="1">
      <c r="A534" t="inlineStr">
        <is>
          <t>A 17314-2025</t>
        </is>
      </c>
      <c r="B534" s="1" t="n">
        <v>45756</v>
      </c>
      <c r="C534" s="1" t="n">
        <v>45911</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36569-2025</t>
        </is>
      </c>
      <c r="B535" s="1" t="n">
        <v>45870</v>
      </c>
      <c r="C535" s="1" t="n">
        <v>45911</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25551-2024</t>
        </is>
      </c>
      <c r="B536" s="1" t="n">
        <v>45463</v>
      </c>
      <c r="C536" s="1" t="n">
        <v>45911</v>
      </c>
      <c r="D536" t="inlineStr">
        <is>
          <t>VÄSTERBOTTENS LÄN</t>
        </is>
      </c>
      <c r="E536" t="inlineStr">
        <is>
          <t>VILHELMINA</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29954-2023</t>
        </is>
      </c>
      <c r="B537" s="1" t="n">
        <v>45107</v>
      </c>
      <c r="C537" s="1" t="n">
        <v>45911</v>
      </c>
      <c r="D537" t="inlineStr">
        <is>
          <t>VÄSTERBOTTENS LÄN</t>
        </is>
      </c>
      <c r="E537" t="inlineStr">
        <is>
          <t>VILHELMINA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36973-2025</t>
        </is>
      </c>
      <c r="B538" s="1" t="n">
        <v>45874.63747685185</v>
      </c>
      <c r="C538" s="1" t="n">
        <v>45911</v>
      </c>
      <c r="D538" t="inlineStr">
        <is>
          <t>VÄSTERBOTTENS LÄN</t>
        </is>
      </c>
      <c r="E538" t="inlineStr">
        <is>
          <t>VILHELMINA</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30746-2025</t>
        </is>
      </c>
      <c r="B539" s="1" t="n">
        <v>45831.58256944444</v>
      </c>
      <c r="C539" s="1" t="n">
        <v>45911</v>
      </c>
      <c r="D539" t="inlineStr">
        <is>
          <t>VÄSTERBOTTENS LÄN</t>
        </is>
      </c>
      <c r="E539" t="inlineStr">
        <is>
          <t>VILHELMINA</t>
        </is>
      </c>
      <c r="G539" t="n">
        <v>5.7</v>
      </c>
      <c r="H539" t="n">
        <v>0</v>
      </c>
      <c r="I539" t="n">
        <v>0</v>
      </c>
      <c r="J539" t="n">
        <v>0</v>
      </c>
      <c r="K539" t="n">
        <v>0</v>
      </c>
      <c r="L539" t="n">
        <v>0</v>
      </c>
      <c r="M539" t="n">
        <v>0</v>
      </c>
      <c r="N539" t="n">
        <v>0</v>
      </c>
      <c r="O539" t="n">
        <v>0</v>
      </c>
      <c r="P539" t="n">
        <v>0</v>
      </c>
      <c r="Q539" t="n">
        <v>0</v>
      </c>
      <c r="R539" s="2" t="inlineStr"/>
    </row>
    <row r="540" ht="15" customHeight="1">
      <c r="A540" t="inlineStr">
        <is>
          <t>A 37714-2024</t>
        </is>
      </c>
      <c r="B540" s="1" t="n">
        <v>45541.63569444444</v>
      </c>
      <c r="C540" s="1" t="n">
        <v>45911</v>
      </c>
      <c r="D540" t="inlineStr">
        <is>
          <t>VÄSTERBOTTENS LÄN</t>
        </is>
      </c>
      <c r="E540" t="inlineStr">
        <is>
          <t>VILHELMINA</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37715-2024</t>
        </is>
      </c>
      <c r="B541" s="1" t="n">
        <v>45541.63581018519</v>
      </c>
      <c r="C541" s="1" t="n">
        <v>45911</v>
      </c>
      <c r="D541" t="inlineStr">
        <is>
          <t>VÄSTERBOTTENS LÄN</t>
        </is>
      </c>
      <c r="E541" t="inlineStr">
        <is>
          <t>VILHELMINA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44285-2024</t>
        </is>
      </c>
      <c r="B542" s="1" t="n">
        <v>45573</v>
      </c>
      <c r="C542" s="1" t="n">
        <v>45911</v>
      </c>
      <c r="D542" t="inlineStr">
        <is>
          <t>VÄSTERBOTTENS LÄN</t>
        </is>
      </c>
      <c r="E542" t="inlineStr">
        <is>
          <t>VILHELMINA</t>
        </is>
      </c>
      <c r="G542" t="n">
        <v>30.9</v>
      </c>
      <c r="H542" t="n">
        <v>0</v>
      </c>
      <c r="I542" t="n">
        <v>0</v>
      </c>
      <c r="J542" t="n">
        <v>0</v>
      </c>
      <c r="K542" t="n">
        <v>0</v>
      </c>
      <c r="L542" t="n">
        <v>0</v>
      </c>
      <c r="M542" t="n">
        <v>0</v>
      </c>
      <c r="N542" t="n">
        <v>0</v>
      </c>
      <c r="O542" t="n">
        <v>0</v>
      </c>
      <c r="P542" t="n">
        <v>0</v>
      </c>
      <c r="Q542" t="n">
        <v>0</v>
      </c>
      <c r="R542" s="2" t="inlineStr"/>
    </row>
    <row r="543" ht="15" customHeight="1">
      <c r="A543" t="inlineStr">
        <is>
          <t>A 64421-2023</t>
        </is>
      </c>
      <c r="B543" s="1" t="n">
        <v>45280</v>
      </c>
      <c r="C543" s="1" t="n">
        <v>45911</v>
      </c>
      <c r="D543" t="inlineStr">
        <is>
          <t>VÄSTERBOTTENS LÄN</t>
        </is>
      </c>
      <c r="E543" t="inlineStr">
        <is>
          <t>VILHELMINA</t>
        </is>
      </c>
      <c r="G543" t="n">
        <v>4.9</v>
      </c>
      <c r="H543" t="n">
        <v>0</v>
      </c>
      <c r="I543" t="n">
        <v>0</v>
      </c>
      <c r="J543" t="n">
        <v>0</v>
      </c>
      <c r="K543" t="n">
        <v>0</v>
      </c>
      <c r="L543" t="n">
        <v>0</v>
      </c>
      <c r="M543" t="n">
        <v>0</v>
      </c>
      <c r="N543" t="n">
        <v>0</v>
      </c>
      <c r="O543" t="n">
        <v>0</v>
      </c>
      <c r="P543" t="n">
        <v>0</v>
      </c>
      <c r="Q543" t="n">
        <v>0</v>
      </c>
      <c r="R543" s="2" t="inlineStr"/>
    </row>
    <row r="544" ht="15" customHeight="1">
      <c r="A544" t="inlineStr">
        <is>
          <t>A 37015-2025</t>
        </is>
      </c>
      <c r="B544" s="1" t="n">
        <v>45874.71912037037</v>
      </c>
      <c r="C544" s="1" t="n">
        <v>45911</v>
      </c>
      <c r="D544" t="inlineStr">
        <is>
          <t>VÄSTERBOTTENS LÄN</t>
        </is>
      </c>
      <c r="E544" t="inlineStr">
        <is>
          <t>VILHELMINA</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24828-2023</t>
        </is>
      </c>
      <c r="B545" s="1" t="n">
        <v>45084</v>
      </c>
      <c r="C545" s="1" t="n">
        <v>45911</v>
      </c>
      <c r="D545" t="inlineStr">
        <is>
          <t>VÄSTERBOTTENS LÄN</t>
        </is>
      </c>
      <c r="E545" t="inlineStr">
        <is>
          <t>VILHELMINA</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6664-2021</t>
        </is>
      </c>
      <c r="B546" s="1" t="n">
        <v>44235</v>
      </c>
      <c r="C546" s="1" t="n">
        <v>45911</v>
      </c>
      <c r="D546" t="inlineStr">
        <is>
          <t>VÄSTERBOTTENS LÄN</t>
        </is>
      </c>
      <c r="E546" t="inlineStr">
        <is>
          <t>VILHELMINA</t>
        </is>
      </c>
      <c r="G546" t="n">
        <v>2.5</v>
      </c>
      <c r="H546" t="n">
        <v>0</v>
      </c>
      <c r="I546" t="n">
        <v>0</v>
      </c>
      <c r="J546" t="n">
        <v>0</v>
      </c>
      <c r="K546" t="n">
        <v>0</v>
      </c>
      <c r="L546" t="n">
        <v>0</v>
      </c>
      <c r="M546" t="n">
        <v>0</v>
      </c>
      <c r="N546" t="n">
        <v>0</v>
      </c>
      <c r="O546" t="n">
        <v>0</v>
      </c>
      <c r="P546" t="n">
        <v>0</v>
      </c>
      <c r="Q546" t="n">
        <v>0</v>
      </c>
      <c r="R546" s="2" t="inlineStr"/>
    </row>
    <row r="547" ht="15" customHeight="1">
      <c r="A547" t="inlineStr">
        <is>
          <t>A 6699-2021</t>
        </is>
      </c>
      <c r="B547" s="1" t="n">
        <v>44235</v>
      </c>
      <c r="C547" s="1" t="n">
        <v>45911</v>
      </c>
      <c r="D547" t="inlineStr">
        <is>
          <t>VÄSTERBOTTENS LÄN</t>
        </is>
      </c>
      <c r="E547" t="inlineStr">
        <is>
          <t>VILHELMINA</t>
        </is>
      </c>
      <c r="G547" t="n">
        <v>6.9</v>
      </c>
      <c r="H547" t="n">
        <v>0</v>
      </c>
      <c r="I547" t="n">
        <v>0</v>
      </c>
      <c r="J547" t="n">
        <v>0</v>
      </c>
      <c r="K547" t="n">
        <v>0</v>
      </c>
      <c r="L547" t="n">
        <v>0</v>
      </c>
      <c r="M547" t="n">
        <v>0</v>
      </c>
      <c r="N547" t="n">
        <v>0</v>
      </c>
      <c r="O547" t="n">
        <v>0</v>
      </c>
      <c r="P547" t="n">
        <v>0</v>
      </c>
      <c r="Q547" t="n">
        <v>0</v>
      </c>
      <c r="R547" s="2" t="inlineStr"/>
    </row>
    <row r="548" ht="15" customHeight="1">
      <c r="A548" t="inlineStr">
        <is>
          <t>A 61779-2023</t>
        </is>
      </c>
      <c r="B548" s="1" t="n">
        <v>45265.95677083333</v>
      </c>
      <c r="C548" s="1" t="n">
        <v>45911</v>
      </c>
      <c r="D548" t="inlineStr">
        <is>
          <t>VÄSTERBOTTENS LÄN</t>
        </is>
      </c>
      <c r="E548" t="inlineStr">
        <is>
          <t>VILHELMINA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12364-2025</t>
        </is>
      </c>
      <c r="B549" s="1" t="n">
        <v>45730.37515046296</v>
      </c>
      <c r="C549" s="1" t="n">
        <v>45911</v>
      </c>
      <c r="D549" t="inlineStr">
        <is>
          <t>VÄSTERBOTTENS LÄN</t>
        </is>
      </c>
      <c r="E549" t="inlineStr">
        <is>
          <t>VILHELMINA</t>
        </is>
      </c>
      <c r="F549" t="inlineStr">
        <is>
          <t>Övriga statliga verk och myndigheter</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12377-2025</t>
        </is>
      </c>
      <c r="B550" s="1" t="n">
        <v>45730</v>
      </c>
      <c r="C550" s="1" t="n">
        <v>45911</v>
      </c>
      <c r="D550" t="inlineStr">
        <is>
          <t>VÄSTERBOTTENS LÄN</t>
        </is>
      </c>
      <c r="E550" t="inlineStr">
        <is>
          <t>VILHELMINA</t>
        </is>
      </c>
      <c r="F550" t="inlineStr">
        <is>
          <t>Övriga statliga verk och myndigheter</t>
        </is>
      </c>
      <c r="G550" t="n">
        <v>37.1</v>
      </c>
      <c r="H550" t="n">
        <v>0</v>
      </c>
      <c r="I550" t="n">
        <v>0</v>
      </c>
      <c r="J550" t="n">
        <v>0</v>
      </c>
      <c r="K550" t="n">
        <v>0</v>
      </c>
      <c r="L550" t="n">
        <v>0</v>
      </c>
      <c r="M550" t="n">
        <v>0</v>
      </c>
      <c r="N550" t="n">
        <v>0</v>
      </c>
      <c r="O550" t="n">
        <v>0</v>
      </c>
      <c r="P550" t="n">
        <v>0</v>
      </c>
      <c r="Q550" t="n">
        <v>0</v>
      </c>
      <c r="R550" s="2" t="inlineStr"/>
    </row>
    <row r="551" ht="15" customHeight="1">
      <c r="A551" t="inlineStr">
        <is>
          <t>A 8215-2023</t>
        </is>
      </c>
      <c r="B551" s="1" t="n">
        <v>44971</v>
      </c>
      <c r="C551" s="1" t="n">
        <v>45911</v>
      </c>
      <c r="D551" t="inlineStr">
        <is>
          <t>VÄSTERBOTTENS LÄN</t>
        </is>
      </c>
      <c r="E551" t="inlineStr">
        <is>
          <t>VILHELMINA</t>
        </is>
      </c>
      <c r="G551" t="n">
        <v>0.8</v>
      </c>
      <c r="H551" t="n">
        <v>0</v>
      </c>
      <c r="I551" t="n">
        <v>0</v>
      </c>
      <c r="J551" t="n">
        <v>0</v>
      </c>
      <c r="K551" t="n">
        <v>0</v>
      </c>
      <c r="L551" t="n">
        <v>0</v>
      </c>
      <c r="M551" t="n">
        <v>0</v>
      </c>
      <c r="N551" t="n">
        <v>0</v>
      </c>
      <c r="O551" t="n">
        <v>0</v>
      </c>
      <c r="P551" t="n">
        <v>0</v>
      </c>
      <c r="Q551" t="n">
        <v>0</v>
      </c>
      <c r="R551" s="2" t="inlineStr"/>
    </row>
    <row r="552" ht="15" customHeight="1">
      <c r="A552" t="inlineStr">
        <is>
          <t>A 48754-2021</t>
        </is>
      </c>
      <c r="B552" s="1" t="n">
        <v>44452</v>
      </c>
      <c r="C552" s="1" t="n">
        <v>45911</v>
      </c>
      <c r="D552" t="inlineStr">
        <is>
          <t>VÄSTERBOTTENS LÄN</t>
        </is>
      </c>
      <c r="E552" t="inlineStr">
        <is>
          <t>VILHELMINA</t>
        </is>
      </c>
      <c r="G552" t="n">
        <v>5.6</v>
      </c>
      <c r="H552" t="n">
        <v>0</v>
      </c>
      <c r="I552" t="n">
        <v>0</v>
      </c>
      <c r="J552" t="n">
        <v>0</v>
      </c>
      <c r="K552" t="n">
        <v>0</v>
      </c>
      <c r="L552" t="n">
        <v>0</v>
      </c>
      <c r="M552" t="n">
        <v>0</v>
      </c>
      <c r="N552" t="n">
        <v>0</v>
      </c>
      <c r="O552" t="n">
        <v>0</v>
      </c>
      <c r="P552" t="n">
        <v>0</v>
      </c>
      <c r="Q552" t="n">
        <v>0</v>
      </c>
      <c r="R552" s="2" t="inlineStr"/>
    </row>
    <row r="553" ht="15" customHeight="1">
      <c r="A553" t="inlineStr">
        <is>
          <t>A 48756-2021</t>
        </is>
      </c>
      <c r="B553" s="1" t="n">
        <v>44452</v>
      </c>
      <c r="C553" s="1" t="n">
        <v>45911</v>
      </c>
      <c r="D553" t="inlineStr">
        <is>
          <t>VÄSTERBOTTENS LÄN</t>
        </is>
      </c>
      <c r="E553" t="inlineStr">
        <is>
          <t>VILHELMINA</t>
        </is>
      </c>
      <c r="G553" t="n">
        <v>13.3</v>
      </c>
      <c r="H553" t="n">
        <v>0</v>
      </c>
      <c r="I553" t="n">
        <v>0</v>
      </c>
      <c r="J553" t="n">
        <v>0</v>
      </c>
      <c r="K553" t="n">
        <v>0</v>
      </c>
      <c r="L553" t="n">
        <v>0</v>
      </c>
      <c r="M553" t="n">
        <v>0</v>
      </c>
      <c r="N553" t="n">
        <v>0</v>
      </c>
      <c r="O553" t="n">
        <v>0</v>
      </c>
      <c r="P553" t="n">
        <v>0</v>
      </c>
      <c r="Q553" t="n">
        <v>0</v>
      </c>
      <c r="R553" s="2" t="inlineStr"/>
    </row>
    <row r="554" ht="15" customHeight="1">
      <c r="A554" t="inlineStr">
        <is>
          <t>A 59671-2023</t>
        </is>
      </c>
      <c r="B554" s="1" t="n">
        <v>45254.96524305556</v>
      </c>
      <c r="C554" s="1" t="n">
        <v>45911</v>
      </c>
      <c r="D554" t="inlineStr">
        <is>
          <t>VÄSTERBOTTENS LÄN</t>
        </is>
      </c>
      <c r="E554" t="inlineStr">
        <is>
          <t>VILHELMINA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31724-2025</t>
        </is>
      </c>
      <c r="B555" s="1" t="n">
        <v>45834</v>
      </c>
      <c r="C555" s="1" t="n">
        <v>45911</v>
      </c>
      <c r="D555" t="inlineStr">
        <is>
          <t>VÄSTERBOTTENS LÄN</t>
        </is>
      </c>
      <c r="E555" t="inlineStr">
        <is>
          <t>VILHELMINA</t>
        </is>
      </c>
      <c r="G555" t="n">
        <v>19.7</v>
      </c>
      <c r="H555" t="n">
        <v>0</v>
      </c>
      <c r="I555" t="n">
        <v>0</v>
      </c>
      <c r="J555" t="n">
        <v>0</v>
      </c>
      <c r="K555" t="n">
        <v>0</v>
      </c>
      <c r="L555" t="n">
        <v>0</v>
      </c>
      <c r="M555" t="n">
        <v>0</v>
      </c>
      <c r="N555" t="n">
        <v>0</v>
      </c>
      <c r="O555" t="n">
        <v>0</v>
      </c>
      <c r="P555" t="n">
        <v>0</v>
      </c>
      <c r="Q555" t="n">
        <v>0</v>
      </c>
      <c r="R555" s="2" t="inlineStr"/>
    </row>
    <row r="556" ht="15" customHeight="1">
      <c r="A556" t="inlineStr">
        <is>
          <t>A 31730-2025</t>
        </is>
      </c>
      <c r="B556" s="1" t="n">
        <v>45834</v>
      </c>
      <c r="C556" s="1" t="n">
        <v>45911</v>
      </c>
      <c r="D556" t="inlineStr">
        <is>
          <t>VÄSTERBOTTENS LÄN</t>
        </is>
      </c>
      <c r="E556" t="inlineStr">
        <is>
          <t>VILHELMINA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54430-2024</t>
        </is>
      </c>
      <c r="B557" s="1" t="n">
        <v>45617.49107638889</v>
      </c>
      <c r="C557" s="1" t="n">
        <v>45911</v>
      </c>
      <c r="D557" t="inlineStr">
        <is>
          <t>VÄSTERBOTTENS LÄN</t>
        </is>
      </c>
      <c r="E557" t="inlineStr">
        <is>
          <t>VILHELMINA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31307-2025</t>
        </is>
      </c>
      <c r="B558" s="1" t="n">
        <v>45833</v>
      </c>
      <c r="C558" s="1" t="n">
        <v>45911</v>
      </c>
      <c r="D558" t="inlineStr">
        <is>
          <t>VÄSTERBOTTENS LÄN</t>
        </is>
      </c>
      <c r="E558" t="inlineStr">
        <is>
          <t>VILHELMINA</t>
        </is>
      </c>
      <c r="G558" t="n">
        <v>9.9</v>
      </c>
      <c r="H558" t="n">
        <v>0</v>
      </c>
      <c r="I558" t="n">
        <v>0</v>
      </c>
      <c r="J558" t="n">
        <v>0</v>
      </c>
      <c r="K558" t="n">
        <v>0</v>
      </c>
      <c r="L558" t="n">
        <v>0</v>
      </c>
      <c r="M558" t="n">
        <v>0</v>
      </c>
      <c r="N558" t="n">
        <v>0</v>
      </c>
      <c r="O558" t="n">
        <v>0</v>
      </c>
      <c r="P558" t="n">
        <v>0</v>
      </c>
      <c r="Q558" t="n">
        <v>0</v>
      </c>
      <c r="R558" s="2" t="inlineStr"/>
    </row>
    <row r="559" ht="15" customHeight="1">
      <c r="A559" t="inlineStr">
        <is>
          <t>A 20510-2024</t>
        </is>
      </c>
      <c r="B559" s="1" t="n">
        <v>45435.94324074074</v>
      </c>
      <c r="C559" s="1" t="n">
        <v>45911</v>
      </c>
      <c r="D559" t="inlineStr">
        <is>
          <t>VÄSTERBOTTENS LÄN</t>
        </is>
      </c>
      <c r="E559" t="inlineStr">
        <is>
          <t>VILHELMINA</t>
        </is>
      </c>
      <c r="F559" t="inlineStr">
        <is>
          <t>SCA</t>
        </is>
      </c>
      <c r="G559" t="n">
        <v>7.7</v>
      </c>
      <c r="H559" t="n">
        <v>0</v>
      </c>
      <c r="I559" t="n">
        <v>0</v>
      </c>
      <c r="J559" t="n">
        <v>0</v>
      </c>
      <c r="K559" t="n">
        <v>0</v>
      </c>
      <c r="L559" t="n">
        <v>0</v>
      </c>
      <c r="M559" t="n">
        <v>0</v>
      </c>
      <c r="N559" t="n">
        <v>0</v>
      </c>
      <c r="O559" t="n">
        <v>0</v>
      </c>
      <c r="P559" t="n">
        <v>0</v>
      </c>
      <c r="Q559" t="n">
        <v>0</v>
      </c>
      <c r="R559" s="2" t="inlineStr"/>
    </row>
    <row r="560" ht="15" customHeight="1">
      <c r="A560" t="inlineStr">
        <is>
          <t>A 20523-2024</t>
        </is>
      </c>
      <c r="B560" s="1" t="n">
        <v>45435.94553240741</v>
      </c>
      <c r="C560" s="1" t="n">
        <v>45911</v>
      </c>
      <c r="D560" t="inlineStr">
        <is>
          <t>VÄSTERBOTTENS LÄN</t>
        </is>
      </c>
      <c r="E560" t="inlineStr">
        <is>
          <t>VILHELMINA</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32455-2024</t>
        </is>
      </c>
      <c r="B561" s="1" t="n">
        <v>45512.95870370371</v>
      </c>
      <c r="C561" s="1" t="n">
        <v>45911</v>
      </c>
      <c r="D561" t="inlineStr">
        <is>
          <t>VÄSTERBOTTENS LÄN</t>
        </is>
      </c>
      <c r="E561" t="inlineStr">
        <is>
          <t>VILHELMINA</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31485-2025</t>
        </is>
      </c>
      <c r="B562" s="1" t="n">
        <v>45833</v>
      </c>
      <c r="C562" s="1" t="n">
        <v>45911</v>
      </c>
      <c r="D562" t="inlineStr">
        <is>
          <t>VÄSTERBOTTENS LÄN</t>
        </is>
      </c>
      <c r="E562" t="inlineStr">
        <is>
          <t>VILHELMINA</t>
        </is>
      </c>
      <c r="G562" t="n">
        <v>2.8</v>
      </c>
      <c r="H562" t="n">
        <v>0</v>
      </c>
      <c r="I562" t="n">
        <v>0</v>
      </c>
      <c r="J562" t="n">
        <v>0</v>
      </c>
      <c r="K562" t="n">
        <v>0</v>
      </c>
      <c r="L562" t="n">
        <v>0</v>
      </c>
      <c r="M562" t="n">
        <v>0</v>
      </c>
      <c r="N562" t="n">
        <v>0</v>
      </c>
      <c r="O562" t="n">
        <v>0</v>
      </c>
      <c r="P562" t="n">
        <v>0</v>
      </c>
      <c r="Q562" t="n">
        <v>0</v>
      </c>
      <c r="R562" s="2" t="inlineStr"/>
    </row>
    <row r="563" ht="15" customHeight="1">
      <c r="A563" t="inlineStr">
        <is>
          <t>A 31733-2025</t>
        </is>
      </c>
      <c r="B563" s="1" t="n">
        <v>45834.47035879629</v>
      </c>
      <c r="C563" s="1" t="n">
        <v>45911</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31308-2025</t>
        </is>
      </c>
      <c r="B564" s="1" t="n">
        <v>45833</v>
      </c>
      <c r="C564" s="1" t="n">
        <v>45911</v>
      </c>
      <c r="D564" t="inlineStr">
        <is>
          <t>VÄSTERBOTTENS LÄN</t>
        </is>
      </c>
      <c r="E564" t="inlineStr">
        <is>
          <t>VILHELMINA</t>
        </is>
      </c>
      <c r="G564" t="n">
        <v>3.2</v>
      </c>
      <c r="H564" t="n">
        <v>0</v>
      </c>
      <c r="I564" t="n">
        <v>0</v>
      </c>
      <c r="J564" t="n">
        <v>0</v>
      </c>
      <c r="K564" t="n">
        <v>0</v>
      </c>
      <c r="L564" t="n">
        <v>0</v>
      </c>
      <c r="M564" t="n">
        <v>0</v>
      </c>
      <c r="N564" t="n">
        <v>0</v>
      </c>
      <c r="O564" t="n">
        <v>0</v>
      </c>
      <c r="P564" t="n">
        <v>0</v>
      </c>
      <c r="Q564" t="n">
        <v>0</v>
      </c>
      <c r="R564" s="2" t="inlineStr"/>
    </row>
    <row r="565" ht="15" customHeight="1">
      <c r="A565" t="inlineStr">
        <is>
          <t>A 62405-2022</t>
        </is>
      </c>
      <c r="B565" s="1" t="n">
        <v>44923</v>
      </c>
      <c r="C565" s="1" t="n">
        <v>45911</v>
      </c>
      <c r="D565" t="inlineStr">
        <is>
          <t>VÄSTERBOTTENS LÄN</t>
        </is>
      </c>
      <c r="E565" t="inlineStr">
        <is>
          <t>VILHELMINA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37369-2025</t>
        </is>
      </c>
      <c r="B566" s="1" t="n">
        <v>45877.34444444445</v>
      </c>
      <c r="C566" s="1" t="n">
        <v>45911</v>
      </c>
      <c r="D566" t="inlineStr">
        <is>
          <t>VÄSTERBOTTENS LÄN</t>
        </is>
      </c>
      <c r="E566" t="inlineStr">
        <is>
          <t>VILHELMINA</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49886-2024</t>
        </is>
      </c>
      <c r="B567" s="1" t="n">
        <v>45597</v>
      </c>
      <c r="C567" s="1" t="n">
        <v>45911</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51134-2024</t>
        </is>
      </c>
      <c r="B568" s="1" t="n">
        <v>45603</v>
      </c>
      <c r="C568" s="1" t="n">
        <v>45911</v>
      </c>
      <c r="D568" t="inlineStr">
        <is>
          <t>VÄSTERBOTTENS LÄN</t>
        </is>
      </c>
      <c r="E568" t="inlineStr">
        <is>
          <t>VILHELMINA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26553-2023</t>
        </is>
      </c>
      <c r="B569" s="1" t="n">
        <v>45089</v>
      </c>
      <c r="C569" s="1" t="n">
        <v>45911</v>
      </c>
      <c r="D569" t="inlineStr">
        <is>
          <t>VÄSTERBOTTENS LÄN</t>
        </is>
      </c>
      <c r="E569" t="inlineStr">
        <is>
          <t>VILHELMINA</t>
        </is>
      </c>
      <c r="G569" t="n">
        <v>5.5</v>
      </c>
      <c r="H569" t="n">
        <v>0</v>
      </c>
      <c r="I569" t="n">
        <v>0</v>
      </c>
      <c r="J569" t="n">
        <v>0</v>
      </c>
      <c r="K569" t="n">
        <v>0</v>
      </c>
      <c r="L569" t="n">
        <v>0</v>
      </c>
      <c r="M569" t="n">
        <v>0</v>
      </c>
      <c r="N569" t="n">
        <v>0</v>
      </c>
      <c r="O569" t="n">
        <v>0</v>
      </c>
      <c r="P569" t="n">
        <v>0</v>
      </c>
      <c r="Q569" t="n">
        <v>0</v>
      </c>
      <c r="R569" s="2" t="inlineStr"/>
    </row>
    <row r="570" ht="15" customHeight="1">
      <c r="A570" t="inlineStr">
        <is>
          <t>A 23360-2025</t>
        </is>
      </c>
      <c r="B570" s="1" t="n">
        <v>45791</v>
      </c>
      <c r="C570" s="1" t="n">
        <v>45911</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50635-2021</t>
        </is>
      </c>
      <c r="B571" s="1" t="n">
        <v>44459.71978009259</v>
      </c>
      <c r="C571" s="1" t="n">
        <v>45911</v>
      </c>
      <c r="D571" t="inlineStr">
        <is>
          <t>VÄSTERBOTTENS LÄN</t>
        </is>
      </c>
      <c r="E571" t="inlineStr">
        <is>
          <t>VILHELMINA</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28870-2024</t>
        </is>
      </c>
      <c r="B572" s="1" t="n">
        <v>45478.94733796296</v>
      </c>
      <c r="C572" s="1" t="n">
        <v>45911</v>
      </c>
      <c r="D572" t="inlineStr">
        <is>
          <t>VÄSTERBOTTENS LÄN</t>
        </is>
      </c>
      <c r="E572" t="inlineStr">
        <is>
          <t>VILHELMINA</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37269-2025</t>
        </is>
      </c>
      <c r="B573" s="1" t="n">
        <v>45876</v>
      </c>
      <c r="C573" s="1" t="n">
        <v>45911</v>
      </c>
      <c r="D573" t="inlineStr">
        <is>
          <t>VÄSTERBOTTENS LÄN</t>
        </is>
      </c>
      <c r="E573" t="inlineStr">
        <is>
          <t>VILHELMINA</t>
        </is>
      </c>
      <c r="G573" t="n">
        <v>2.5</v>
      </c>
      <c r="H573" t="n">
        <v>0</v>
      </c>
      <c r="I573" t="n">
        <v>0</v>
      </c>
      <c r="J573" t="n">
        <v>0</v>
      </c>
      <c r="K573" t="n">
        <v>0</v>
      </c>
      <c r="L573" t="n">
        <v>0</v>
      </c>
      <c r="M573" t="n">
        <v>0</v>
      </c>
      <c r="N573" t="n">
        <v>0</v>
      </c>
      <c r="O573" t="n">
        <v>0</v>
      </c>
      <c r="P573" t="n">
        <v>0</v>
      </c>
      <c r="Q573" t="n">
        <v>0</v>
      </c>
      <c r="R573" s="2" t="inlineStr"/>
    </row>
    <row r="574" ht="15" customHeight="1">
      <c r="A574" t="inlineStr">
        <is>
          <t>A 54727-2024</t>
        </is>
      </c>
      <c r="B574" s="1" t="n">
        <v>45618.43804398148</v>
      </c>
      <c r="C574" s="1" t="n">
        <v>45911</v>
      </c>
      <c r="D574" t="inlineStr">
        <is>
          <t>VÄSTERBOTTENS LÄN</t>
        </is>
      </c>
      <c r="E574" t="inlineStr">
        <is>
          <t>VILHELMINA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54804-2024</t>
        </is>
      </c>
      <c r="B575" s="1" t="n">
        <v>45618</v>
      </c>
      <c r="C575" s="1" t="n">
        <v>45911</v>
      </c>
      <c r="D575" t="inlineStr">
        <is>
          <t>VÄSTERBOTTENS LÄN</t>
        </is>
      </c>
      <c r="E575" t="inlineStr">
        <is>
          <t>VILHELMINA</t>
        </is>
      </c>
      <c r="F575" t="inlineStr">
        <is>
          <t>SCA</t>
        </is>
      </c>
      <c r="G575" t="n">
        <v>6.2</v>
      </c>
      <c r="H575" t="n">
        <v>0</v>
      </c>
      <c r="I575" t="n">
        <v>0</v>
      </c>
      <c r="J575" t="n">
        <v>0</v>
      </c>
      <c r="K575" t="n">
        <v>0</v>
      </c>
      <c r="L575" t="n">
        <v>0</v>
      </c>
      <c r="M575" t="n">
        <v>0</v>
      </c>
      <c r="N575" t="n">
        <v>0</v>
      </c>
      <c r="O575" t="n">
        <v>0</v>
      </c>
      <c r="P575" t="n">
        <v>0</v>
      </c>
      <c r="Q575" t="n">
        <v>0</v>
      </c>
      <c r="R575" s="2" t="inlineStr"/>
    </row>
    <row r="576" ht="15" customHeight="1">
      <c r="A576" t="inlineStr">
        <is>
          <t>A 41484-2022</t>
        </is>
      </c>
      <c r="B576" s="1" t="n">
        <v>44826</v>
      </c>
      <c r="C576" s="1" t="n">
        <v>45911</v>
      </c>
      <c r="D576" t="inlineStr">
        <is>
          <t>VÄSTERBOTTENS LÄN</t>
        </is>
      </c>
      <c r="E576" t="inlineStr">
        <is>
          <t>VILHELMINA</t>
        </is>
      </c>
      <c r="F576" t="inlineStr">
        <is>
          <t>SCA</t>
        </is>
      </c>
      <c r="G576" t="n">
        <v>18.1</v>
      </c>
      <c r="H576" t="n">
        <v>0</v>
      </c>
      <c r="I576" t="n">
        <v>0</v>
      </c>
      <c r="J576" t="n">
        <v>0</v>
      </c>
      <c r="K576" t="n">
        <v>0</v>
      </c>
      <c r="L576" t="n">
        <v>0</v>
      </c>
      <c r="M576" t="n">
        <v>0</v>
      </c>
      <c r="N576" t="n">
        <v>0</v>
      </c>
      <c r="O576" t="n">
        <v>0</v>
      </c>
      <c r="P576" t="n">
        <v>0</v>
      </c>
      <c r="Q576" t="n">
        <v>0</v>
      </c>
      <c r="R576" s="2" t="inlineStr"/>
    </row>
    <row r="577" ht="15" customHeight="1">
      <c r="A577" t="inlineStr">
        <is>
          <t>A 47253-2022</t>
        </is>
      </c>
      <c r="B577" s="1" t="n">
        <v>44852</v>
      </c>
      <c r="C577" s="1" t="n">
        <v>45911</v>
      </c>
      <c r="D577" t="inlineStr">
        <is>
          <t>VÄSTERBOTTENS LÄN</t>
        </is>
      </c>
      <c r="E577" t="inlineStr">
        <is>
          <t>VILHELMINA</t>
        </is>
      </c>
      <c r="F577" t="inlineStr">
        <is>
          <t>SCA</t>
        </is>
      </c>
      <c r="G577" t="n">
        <v>0.3</v>
      </c>
      <c r="H577" t="n">
        <v>0</v>
      </c>
      <c r="I577" t="n">
        <v>0</v>
      </c>
      <c r="J577" t="n">
        <v>0</v>
      </c>
      <c r="K577" t="n">
        <v>0</v>
      </c>
      <c r="L577" t="n">
        <v>0</v>
      </c>
      <c r="M577" t="n">
        <v>0</v>
      </c>
      <c r="N577" t="n">
        <v>0</v>
      </c>
      <c r="O577" t="n">
        <v>0</v>
      </c>
      <c r="P577" t="n">
        <v>0</v>
      </c>
      <c r="Q577" t="n">
        <v>0</v>
      </c>
      <c r="R577" s="2" t="inlineStr"/>
    </row>
    <row r="578" ht="15" customHeight="1">
      <c r="A578" t="inlineStr">
        <is>
          <t>A 20653-2021</t>
        </is>
      </c>
      <c r="B578" s="1" t="n">
        <v>44316.41677083333</v>
      </c>
      <c r="C578" s="1" t="n">
        <v>45911</v>
      </c>
      <c r="D578" t="inlineStr">
        <is>
          <t>VÄSTERBOTTENS LÄN</t>
        </is>
      </c>
      <c r="E578" t="inlineStr">
        <is>
          <t>VILHELMINA</t>
        </is>
      </c>
      <c r="F578" t="inlineStr">
        <is>
          <t>Kommuner</t>
        </is>
      </c>
      <c r="G578" t="n">
        <v>2.5</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44628.925625</v>
      </c>
      <c r="C579" s="1" t="n">
        <v>45911</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56763-2023</t>
        </is>
      </c>
      <c r="B580" s="1" t="n">
        <v>45238</v>
      </c>
      <c r="C580" s="1" t="n">
        <v>45911</v>
      </c>
      <c r="D580" t="inlineStr">
        <is>
          <t>VÄSTERBOTTENS LÄN</t>
        </is>
      </c>
      <c r="E580" t="inlineStr">
        <is>
          <t>VILHELMINA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37368-2025</t>
        </is>
      </c>
      <c r="B581" s="1" t="n">
        <v>45877.34436342592</v>
      </c>
      <c r="C581" s="1" t="n">
        <v>45911</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37376-2025</t>
        </is>
      </c>
      <c r="B582" s="1" t="n">
        <v>45877.36513888889</v>
      </c>
      <c r="C582" s="1" t="n">
        <v>45911</v>
      </c>
      <c r="D582" t="inlineStr">
        <is>
          <t>VÄSTERBOTTENS LÄN</t>
        </is>
      </c>
      <c r="E582" t="inlineStr">
        <is>
          <t>VILHELMINA</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47011-2024</t>
        </is>
      </c>
      <c r="B583" s="1" t="n">
        <v>45586.38592592593</v>
      </c>
      <c r="C583" s="1" t="n">
        <v>45911</v>
      </c>
      <c r="D583" t="inlineStr">
        <is>
          <t>VÄSTERBOTTENS LÄN</t>
        </is>
      </c>
      <c r="E583" t="inlineStr">
        <is>
          <t>VILHELMINA</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35412-2024</t>
        </is>
      </c>
      <c r="B584" s="1" t="n">
        <v>45531.4075</v>
      </c>
      <c r="C584" s="1" t="n">
        <v>45911</v>
      </c>
      <c r="D584" t="inlineStr">
        <is>
          <t>VÄSTERBOTTENS LÄN</t>
        </is>
      </c>
      <c r="E584" t="inlineStr">
        <is>
          <t>VILHELMINA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14961-2022</t>
        </is>
      </c>
      <c r="B585" s="1" t="n">
        <v>44657</v>
      </c>
      <c r="C585" s="1" t="n">
        <v>45911</v>
      </c>
      <c r="D585" t="inlineStr">
        <is>
          <t>VÄSTERBOTTENS LÄN</t>
        </is>
      </c>
      <c r="E585" t="inlineStr">
        <is>
          <t>VILHELMINA</t>
        </is>
      </c>
      <c r="G585" t="n">
        <v>19.9</v>
      </c>
      <c r="H585" t="n">
        <v>0</v>
      </c>
      <c r="I585" t="n">
        <v>0</v>
      </c>
      <c r="J585" t="n">
        <v>0</v>
      </c>
      <c r="K585" t="n">
        <v>0</v>
      </c>
      <c r="L585" t="n">
        <v>0</v>
      </c>
      <c r="M585" t="n">
        <v>0</v>
      </c>
      <c r="N585" t="n">
        <v>0</v>
      </c>
      <c r="O585" t="n">
        <v>0</v>
      </c>
      <c r="P585" t="n">
        <v>0</v>
      </c>
      <c r="Q585" t="n">
        <v>0</v>
      </c>
      <c r="R585" s="2" t="inlineStr"/>
    </row>
    <row r="586" ht="15" customHeight="1">
      <c r="A586" t="inlineStr">
        <is>
          <t>A 35757-2023</t>
        </is>
      </c>
      <c r="B586" s="1" t="n">
        <v>45147.95444444445</v>
      </c>
      <c r="C586" s="1" t="n">
        <v>45911</v>
      </c>
      <c r="D586" t="inlineStr">
        <is>
          <t>VÄSTERBOTTENS LÄN</t>
        </is>
      </c>
      <c r="E586" t="inlineStr">
        <is>
          <t>VILHELMINA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44634-2024</t>
        </is>
      </c>
      <c r="B587" s="1" t="n">
        <v>45574</v>
      </c>
      <c r="C587" s="1" t="n">
        <v>45911</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37302-2025</t>
        </is>
      </c>
      <c r="B588" s="1" t="n">
        <v>45876</v>
      </c>
      <c r="C588" s="1" t="n">
        <v>45911</v>
      </c>
      <c r="D588" t="inlineStr">
        <is>
          <t>VÄSTERBOTTENS LÄN</t>
        </is>
      </c>
      <c r="E588" t="inlineStr">
        <is>
          <t>VILHELMINA</t>
        </is>
      </c>
      <c r="F588" t="inlineStr">
        <is>
          <t>SCA</t>
        </is>
      </c>
      <c r="G588" t="n">
        <v>7.6</v>
      </c>
      <c r="H588" t="n">
        <v>0</v>
      </c>
      <c r="I588" t="n">
        <v>0</v>
      </c>
      <c r="J588" t="n">
        <v>0</v>
      </c>
      <c r="K588" t="n">
        <v>0</v>
      </c>
      <c r="L588" t="n">
        <v>0</v>
      </c>
      <c r="M588" t="n">
        <v>0</v>
      </c>
      <c r="N588" t="n">
        <v>0</v>
      </c>
      <c r="O588" t="n">
        <v>0</v>
      </c>
      <c r="P588" t="n">
        <v>0</v>
      </c>
      <c r="Q588" t="n">
        <v>0</v>
      </c>
      <c r="R588" s="2" t="inlineStr"/>
    </row>
    <row r="589" ht="15" customHeight="1">
      <c r="A589" t="inlineStr">
        <is>
          <t>A 33142-2025</t>
        </is>
      </c>
      <c r="B589" s="1" t="n">
        <v>45840</v>
      </c>
      <c r="C589" s="1" t="n">
        <v>45911</v>
      </c>
      <c r="D589" t="inlineStr">
        <is>
          <t>VÄSTERBOTTENS LÄN</t>
        </is>
      </c>
      <c r="E589" t="inlineStr">
        <is>
          <t>VILHELMINA</t>
        </is>
      </c>
      <c r="G589" t="n">
        <v>15.2</v>
      </c>
      <c r="H589" t="n">
        <v>0</v>
      </c>
      <c r="I589" t="n">
        <v>0</v>
      </c>
      <c r="J589" t="n">
        <v>0</v>
      </c>
      <c r="K589" t="n">
        <v>0</v>
      </c>
      <c r="L589" t="n">
        <v>0</v>
      </c>
      <c r="M589" t="n">
        <v>0</v>
      </c>
      <c r="N589" t="n">
        <v>0</v>
      </c>
      <c r="O589" t="n">
        <v>0</v>
      </c>
      <c r="P589" t="n">
        <v>0</v>
      </c>
      <c r="Q589" t="n">
        <v>0</v>
      </c>
      <c r="R589" s="2" t="inlineStr"/>
    </row>
    <row r="590" ht="15" customHeight="1">
      <c r="A590" t="inlineStr">
        <is>
          <t>A 66952-2021</t>
        </is>
      </c>
      <c r="B590" s="1" t="n">
        <v>44522</v>
      </c>
      <c r="C590" s="1" t="n">
        <v>45911</v>
      </c>
      <c r="D590" t="inlineStr">
        <is>
          <t>VÄSTERBOTTENS LÄN</t>
        </is>
      </c>
      <c r="E590" t="inlineStr">
        <is>
          <t>VILHELMINA</t>
        </is>
      </c>
      <c r="F590" t="inlineStr">
        <is>
          <t>Allmännings- och besparingsskogar</t>
        </is>
      </c>
      <c r="G590" t="n">
        <v>70</v>
      </c>
      <c r="H590" t="n">
        <v>0</v>
      </c>
      <c r="I590" t="n">
        <v>0</v>
      </c>
      <c r="J590" t="n">
        <v>0</v>
      </c>
      <c r="K590" t="n">
        <v>0</v>
      </c>
      <c r="L590" t="n">
        <v>0</v>
      </c>
      <c r="M590" t="n">
        <v>0</v>
      </c>
      <c r="N590" t="n">
        <v>0</v>
      </c>
      <c r="O590" t="n">
        <v>0</v>
      </c>
      <c r="P590" t="n">
        <v>0</v>
      </c>
      <c r="Q590" t="n">
        <v>0</v>
      </c>
      <c r="R590" s="2" t="inlineStr"/>
    </row>
    <row r="591" ht="15" customHeight="1">
      <c r="A591" t="inlineStr">
        <is>
          <t>A 3096-2021</t>
        </is>
      </c>
      <c r="B591" s="1" t="n">
        <v>44216.93865740741</v>
      </c>
      <c r="C591" s="1" t="n">
        <v>45911</v>
      </c>
      <c r="D591" t="inlineStr">
        <is>
          <t>VÄSTERBOTTENS LÄN</t>
        </is>
      </c>
      <c r="E591" t="inlineStr">
        <is>
          <t>VILHELMINA</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32947-2025</t>
        </is>
      </c>
      <c r="B592" s="1" t="n">
        <v>45839</v>
      </c>
      <c r="C592" s="1" t="n">
        <v>45911</v>
      </c>
      <c r="D592" t="inlineStr">
        <is>
          <t>VÄSTERBOTTENS LÄN</t>
        </is>
      </c>
      <c r="E592" t="inlineStr">
        <is>
          <t>VILHELMINA</t>
        </is>
      </c>
      <c r="G592" t="n">
        <v>19.1</v>
      </c>
      <c r="H592" t="n">
        <v>0</v>
      </c>
      <c r="I592" t="n">
        <v>0</v>
      </c>
      <c r="J592" t="n">
        <v>0</v>
      </c>
      <c r="K592" t="n">
        <v>0</v>
      </c>
      <c r="L592" t="n">
        <v>0</v>
      </c>
      <c r="M592" t="n">
        <v>0</v>
      </c>
      <c r="N592" t="n">
        <v>0</v>
      </c>
      <c r="O592" t="n">
        <v>0</v>
      </c>
      <c r="P592" t="n">
        <v>0</v>
      </c>
      <c r="Q592" t="n">
        <v>0</v>
      </c>
      <c r="R592" s="2" t="inlineStr"/>
    </row>
    <row r="593" ht="15" customHeight="1">
      <c r="A593" t="inlineStr">
        <is>
          <t>A 26000-2023</t>
        </is>
      </c>
      <c r="B593" s="1" t="n">
        <v>45090</v>
      </c>
      <c r="C593" s="1" t="n">
        <v>45911</v>
      </c>
      <c r="D593" t="inlineStr">
        <is>
          <t>VÄSTERBOTTENS LÄN</t>
        </is>
      </c>
      <c r="E593" t="inlineStr">
        <is>
          <t>VILHELMINA</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21726-2021</t>
        </is>
      </c>
      <c r="B594" s="1" t="n">
        <v>44322</v>
      </c>
      <c r="C594" s="1" t="n">
        <v>45911</v>
      </c>
      <c r="D594" t="inlineStr">
        <is>
          <t>VÄSTERBOTTENS LÄN</t>
        </is>
      </c>
      <c r="E594" t="inlineStr">
        <is>
          <t>VILHELMINA</t>
        </is>
      </c>
      <c r="G594" t="n">
        <v>19.6</v>
      </c>
      <c r="H594" t="n">
        <v>0</v>
      </c>
      <c r="I594" t="n">
        <v>0</v>
      </c>
      <c r="J594" t="n">
        <v>0</v>
      </c>
      <c r="K594" t="n">
        <v>0</v>
      </c>
      <c r="L594" t="n">
        <v>0</v>
      </c>
      <c r="M594" t="n">
        <v>0</v>
      </c>
      <c r="N594" t="n">
        <v>0</v>
      </c>
      <c r="O594" t="n">
        <v>0</v>
      </c>
      <c r="P594" t="n">
        <v>0</v>
      </c>
      <c r="Q594" t="n">
        <v>0</v>
      </c>
      <c r="R594" s="2" t="inlineStr"/>
    </row>
    <row r="595" ht="15" customHeight="1">
      <c r="A595" t="inlineStr">
        <is>
          <t>A 72057-2021</t>
        </is>
      </c>
      <c r="B595" s="1" t="n">
        <v>44540</v>
      </c>
      <c r="C595" s="1" t="n">
        <v>45911</v>
      </c>
      <c r="D595" t="inlineStr">
        <is>
          <t>VÄSTERBOTTENS LÄN</t>
        </is>
      </c>
      <c r="E595" t="inlineStr">
        <is>
          <t>VILHELMINA</t>
        </is>
      </c>
      <c r="G595" t="n">
        <v>7</v>
      </c>
      <c r="H595" t="n">
        <v>0</v>
      </c>
      <c r="I595" t="n">
        <v>0</v>
      </c>
      <c r="J595" t="n">
        <v>0</v>
      </c>
      <c r="K595" t="n">
        <v>0</v>
      </c>
      <c r="L595" t="n">
        <v>0</v>
      </c>
      <c r="M595" t="n">
        <v>0</v>
      </c>
      <c r="N595" t="n">
        <v>0</v>
      </c>
      <c r="O595" t="n">
        <v>0</v>
      </c>
      <c r="P595" t="n">
        <v>0</v>
      </c>
      <c r="Q595" t="n">
        <v>0</v>
      </c>
      <c r="R595" s="2" t="inlineStr"/>
    </row>
    <row r="596" ht="15" customHeight="1">
      <c r="A596" t="inlineStr">
        <is>
          <t>A 72-2025</t>
        </is>
      </c>
      <c r="B596" s="1" t="n">
        <v>45659</v>
      </c>
      <c r="C596" s="1" t="n">
        <v>45911</v>
      </c>
      <c r="D596" t="inlineStr">
        <is>
          <t>VÄSTERBOTTENS LÄN</t>
        </is>
      </c>
      <c r="E596" t="inlineStr">
        <is>
          <t>VILHELMINA</t>
        </is>
      </c>
      <c r="G596" t="n">
        <v>0.9</v>
      </c>
      <c r="H596" t="n">
        <v>0</v>
      </c>
      <c r="I596" t="n">
        <v>0</v>
      </c>
      <c r="J596" t="n">
        <v>0</v>
      </c>
      <c r="K596" t="n">
        <v>0</v>
      </c>
      <c r="L596" t="n">
        <v>0</v>
      </c>
      <c r="M596" t="n">
        <v>0</v>
      </c>
      <c r="N596" t="n">
        <v>0</v>
      </c>
      <c r="O596" t="n">
        <v>0</v>
      </c>
      <c r="P596" t="n">
        <v>0</v>
      </c>
      <c r="Q596" t="n">
        <v>0</v>
      </c>
      <c r="R596" s="2" t="inlineStr"/>
    </row>
    <row r="597" ht="15" customHeight="1">
      <c r="A597" t="inlineStr">
        <is>
          <t>A 9181-2023</t>
        </is>
      </c>
      <c r="B597" s="1" t="n">
        <v>44972</v>
      </c>
      <c r="C597" s="1" t="n">
        <v>45911</v>
      </c>
      <c r="D597" t="inlineStr">
        <is>
          <t>VÄSTERBOTTENS LÄN</t>
        </is>
      </c>
      <c r="E597" t="inlineStr">
        <is>
          <t>VILHELMINA</t>
        </is>
      </c>
      <c r="F597" t="inlineStr">
        <is>
          <t>Allmännings- och besparingsskogar</t>
        </is>
      </c>
      <c r="G597" t="n">
        <v>220.1</v>
      </c>
      <c r="H597" t="n">
        <v>0</v>
      </c>
      <c r="I597" t="n">
        <v>0</v>
      </c>
      <c r="J597" t="n">
        <v>0</v>
      </c>
      <c r="K597" t="n">
        <v>0</v>
      </c>
      <c r="L597" t="n">
        <v>0</v>
      </c>
      <c r="M597" t="n">
        <v>0</v>
      </c>
      <c r="N597" t="n">
        <v>0</v>
      </c>
      <c r="O597" t="n">
        <v>0</v>
      </c>
      <c r="P597" t="n">
        <v>0</v>
      </c>
      <c r="Q597" t="n">
        <v>0</v>
      </c>
      <c r="R597" s="2" t="inlineStr"/>
    </row>
    <row r="598" ht="15" customHeight="1">
      <c r="A598" t="inlineStr">
        <is>
          <t>A 61777-2023</t>
        </is>
      </c>
      <c r="B598" s="1" t="n">
        <v>45265</v>
      </c>
      <c r="C598" s="1" t="n">
        <v>45911</v>
      </c>
      <c r="D598" t="inlineStr">
        <is>
          <t>VÄSTERBOTTENS LÄN</t>
        </is>
      </c>
      <c r="E598" t="inlineStr">
        <is>
          <t>VILHELMINA</t>
        </is>
      </c>
      <c r="F598" t="inlineStr">
        <is>
          <t>SCA</t>
        </is>
      </c>
      <c r="G598" t="n">
        <v>20.6</v>
      </c>
      <c r="H598" t="n">
        <v>0</v>
      </c>
      <c r="I598" t="n">
        <v>0</v>
      </c>
      <c r="J598" t="n">
        <v>0</v>
      </c>
      <c r="K598" t="n">
        <v>0</v>
      </c>
      <c r="L598" t="n">
        <v>0</v>
      </c>
      <c r="M598" t="n">
        <v>0</v>
      </c>
      <c r="N598" t="n">
        <v>0</v>
      </c>
      <c r="O598" t="n">
        <v>0</v>
      </c>
      <c r="P598" t="n">
        <v>0</v>
      </c>
      <c r="Q598" t="n">
        <v>0</v>
      </c>
      <c r="R598" s="2" t="inlineStr"/>
    </row>
    <row r="599" ht="15" customHeight="1">
      <c r="A599" t="inlineStr">
        <is>
          <t>A 54457-2024</t>
        </is>
      </c>
      <c r="B599" s="1" t="n">
        <v>45617</v>
      </c>
      <c r="C599" s="1" t="n">
        <v>45911</v>
      </c>
      <c r="D599" t="inlineStr">
        <is>
          <t>VÄSTERBOTTENS LÄN</t>
        </is>
      </c>
      <c r="E599" t="inlineStr">
        <is>
          <t>VILHELMINA</t>
        </is>
      </c>
      <c r="F599" t="inlineStr">
        <is>
          <t>SCA</t>
        </is>
      </c>
      <c r="G599" t="n">
        <v>8</v>
      </c>
      <c r="H599" t="n">
        <v>0</v>
      </c>
      <c r="I599" t="n">
        <v>0</v>
      </c>
      <c r="J599" t="n">
        <v>0</v>
      </c>
      <c r="K599" t="n">
        <v>0</v>
      </c>
      <c r="L599" t="n">
        <v>0</v>
      </c>
      <c r="M599" t="n">
        <v>0</v>
      </c>
      <c r="N599" t="n">
        <v>0</v>
      </c>
      <c r="O599" t="n">
        <v>0</v>
      </c>
      <c r="P599" t="n">
        <v>0</v>
      </c>
      <c r="Q599" t="n">
        <v>0</v>
      </c>
      <c r="R599" s="2" t="inlineStr"/>
    </row>
    <row r="600" ht="15" customHeight="1">
      <c r="A600" t="inlineStr">
        <is>
          <t>A 29922-2024</t>
        </is>
      </c>
      <c r="B600" s="1" t="n">
        <v>45487.9563425926</v>
      </c>
      <c r="C600" s="1" t="n">
        <v>45911</v>
      </c>
      <c r="D600" t="inlineStr">
        <is>
          <t>VÄSTERBOTTENS LÄN</t>
        </is>
      </c>
      <c r="E600" t="inlineStr">
        <is>
          <t>VILHELMINA</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12365-2025</t>
        </is>
      </c>
      <c r="B601" s="1" t="n">
        <v>45730.37549768519</v>
      </c>
      <c r="C601" s="1" t="n">
        <v>45911</v>
      </c>
      <c r="D601" t="inlineStr">
        <is>
          <t>VÄSTERBOTTENS LÄN</t>
        </is>
      </c>
      <c r="E601" t="inlineStr">
        <is>
          <t>VILHELMINA</t>
        </is>
      </c>
      <c r="F601" t="inlineStr">
        <is>
          <t>Övriga statliga verk och myndigheter</t>
        </is>
      </c>
      <c r="G601" t="n">
        <v>11.5</v>
      </c>
      <c r="H601" t="n">
        <v>0</v>
      </c>
      <c r="I601" t="n">
        <v>0</v>
      </c>
      <c r="J601" t="n">
        <v>0</v>
      </c>
      <c r="K601" t="n">
        <v>0</v>
      </c>
      <c r="L601" t="n">
        <v>0</v>
      </c>
      <c r="M601" t="n">
        <v>0</v>
      </c>
      <c r="N601" t="n">
        <v>0</v>
      </c>
      <c r="O601" t="n">
        <v>0</v>
      </c>
      <c r="P601" t="n">
        <v>0</v>
      </c>
      <c r="Q601" t="n">
        <v>0</v>
      </c>
      <c r="R601" s="2" t="inlineStr"/>
    </row>
    <row r="602" ht="15" customHeight="1">
      <c r="A602" t="inlineStr">
        <is>
          <t>A 12370-2025</t>
        </is>
      </c>
      <c r="B602" s="1" t="n">
        <v>45730.37681712963</v>
      </c>
      <c r="C602" s="1" t="n">
        <v>45911</v>
      </c>
      <c r="D602" t="inlineStr">
        <is>
          <t>VÄSTERBOTTENS LÄN</t>
        </is>
      </c>
      <c r="E602" t="inlineStr">
        <is>
          <t>VILHELMINA</t>
        </is>
      </c>
      <c r="F602" t="inlineStr">
        <is>
          <t>Övriga statliga verk och myndigheter</t>
        </is>
      </c>
      <c r="G602" t="n">
        <v>8.9</v>
      </c>
      <c r="H602" t="n">
        <v>0</v>
      </c>
      <c r="I602" t="n">
        <v>0</v>
      </c>
      <c r="J602" t="n">
        <v>0</v>
      </c>
      <c r="K602" t="n">
        <v>0</v>
      </c>
      <c r="L602" t="n">
        <v>0</v>
      </c>
      <c r="M602" t="n">
        <v>0</v>
      </c>
      <c r="N602" t="n">
        <v>0</v>
      </c>
      <c r="O602" t="n">
        <v>0</v>
      </c>
      <c r="P602" t="n">
        <v>0</v>
      </c>
      <c r="Q602" t="n">
        <v>0</v>
      </c>
      <c r="R602" s="2" t="inlineStr"/>
    </row>
    <row r="603" ht="15" customHeight="1">
      <c r="A603" t="inlineStr">
        <is>
          <t>A 2022-2024</t>
        </is>
      </c>
      <c r="B603" s="1" t="n">
        <v>45308</v>
      </c>
      <c r="C603" s="1" t="n">
        <v>45911</v>
      </c>
      <c r="D603" t="inlineStr">
        <is>
          <t>VÄSTERBOTTENS LÄN</t>
        </is>
      </c>
      <c r="E603" t="inlineStr">
        <is>
          <t>VILHELMINA</t>
        </is>
      </c>
      <c r="G603" t="n">
        <v>8.5</v>
      </c>
      <c r="H603" t="n">
        <v>0</v>
      </c>
      <c r="I603" t="n">
        <v>0</v>
      </c>
      <c r="J603" t="n">
        <v>0</v>
      </c>
      <c r="K603" t="n">
        <v>0</v>
      </c>
      <c r="L603" t="n">
        <v>0</v>
      </c>
      <c r="M603" t="n">
        <v>0</v>
      </c>
      <c r="N603" t="n">
        <v>0</v>
      </c>
      <c r="O603" t="n">
        <v>0</v>
      </c>
      <c r="P603" t="n">
        <v>0</v>
      </c>
      <c r="Q603" t="n">
        <v>0</v>
      </c>
      <c r="R603" s="2" t="inlineStr"/>
    </row>
    <row r="604" ht="15" customHeight="1">
      <c r="A604" t="inlineStr">
        <is>
          <t>A 17732-2024</t>
        </is>
      </c>
      <c r="B604" s="1" t="n">
        <v>45415</v>
      </c>
      <c r="C604" s="1" t="n">
        <v>45911</v>
      </c>
      <c r="D604" t="inlineStr">
        <is>
          <t>VÄSTERBOTTENS LÄN</t>
        </is>
      </c>
      <c r="E604" t="inlineStr">
        <is>
          <t>VILHELMINA</t>
        </is>
      </c>
      <c r="G604" t="n">
        <v>0.6</v>
      </c>
      <c r="H604" t="n">
        <v>0</v>
      </c>
      <c r="I604" t="n">
        <v>0</v>
      </c>
      <c r="J604" t="n">
        <v>0</v>
      </c>
      <c r="K604" t="n">
        <v>0</v>
      </c>
      <c r="L604" t="n">
        <v>0</v>
      </c>
      <c r="M604" t="n">
        <v>0</v>
      </c>
      <c r="N604" t="n">
        <v>0</v>
      </c>
      <c r="O604" t="n">
        <v>0</v>
      </c>
      <c r="P604" t="n">
        <v>0</v>
      </c>
      <c r="Q604" t="n">
        <v>0</v>
      </c>
      <c r="R604" s="2" t="inlineStr"/>
    </row>
    <row r="605" ht="15" customHeight="1">
      <c r="A605" t="inlineStr">
        <is>
          <t>A 31851-2024</t>
        </is>
      </c>
      <c r="B605" s="1" t="n">
        <v>45509</v>
      </c>
      <c r="C605" s="1" t="n">
        <v>45911</v>
      </c>
      <c r="D605" t="inlineStr">
        <is>
          <t>VÄSTERBOTTENS LÄN</t>
        </is>
      </c>
      <c r="E605" t="inlineStr">
        <is>
          <t>VILHELMINA</t>
        </is>
      </c>
      <c r="G605" t="n">
        <v>5.1</v>
      </c>
      <c r="H605" t="n">
        <v>0</v>
      </c>
      <c r="I605" t="n">
        <v>0</v>
      </c>
      <c r="J605" t="n">
        <v>0</v>
      </c>
      <c r="K605" t="n">
        <v>0</v>
      </c>
      <c r="L605" t="n">
        <v>0</v>
      </c>
      <c r="M605" t="n">
        <v>0</v>
      </c>
      <c r="N605" t="n">
        <v>0</v>
      </c>
      <c r="O605" t="n">
        <v>0</v>
      </c>
      <c r="P605" t="n">
        <v>0</v>
      </c>
      <c r="Q605" t="n">
        <v>0</v>
      </c>
      <c r="R605" s="2" t="inlineStr"/>
    </row>
    <row r="606" ht="15" customHeight="1">
      <c r="A606" t="inlineStr">
        <is>
          <t>A 38409-2025</t>
        </is>
      </c>
      <c r="B606" s="1" t="n">
        <v>45883.59429398148</v>
      </c>
      <c r="C606" s="1" t="n">
        <v>45911</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38427-2025</t>
        </is>
      </c>
      <c r="B607" s="1" t="n">
        <v>45883.63611111111</v>
      </c>
      <c r="C607" s="1" t="n">
        <v>45911</v>
      </c>
      <c r="D607" t="inlineStr">
        <is>
          <t>VÄSTERBOTTENS LÄN</t>
        </is>
      </c>
      <c r="E607" t="inlineStr">
        <is>
          <t>VILHELMINA</t>
        </is>
      </c>
      <c r="F607" t="inlineStr">
        <is>
          <t>SCA</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34130-2024</t>
        </is>
      </c>
      <c r="B608" s="1" t="n">
        <v>45524.34668981482</v>
      </c>
      <c r="C608" s="1" t="n">
        <v>45911</v>
      </c>
      <c r="D608" t="inlineStr">
        <is>
          <t>VÄSTERBOTTENS LÄN</t>
        </is>
      </c>
      <c r="E608" t="inlineStr">
        <is>
          <t>VILHELMINA</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38540-2025</t>
        </is>
      </c>
      <c r="B609" s="1" t="n">
        <v>45884.42768518518</v>
      </c>
      <c r="C609" s="1" t="n">
        <v>45911</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38620-2025</t>
        </is>
      </c>
      <c r="B610" s="1" t="n">
        <v>45884.55297453704</v>
      </c>
      <c r="C610" s="1" t="n">
        <v>45911</v>
      </c>
      <c r="D610" t="inlineStr">
        <is>
          <t>VÄSTERBOTTENS LÄN</t>
        </is>
      </c>
      <c r="E610" t="inlineStr">
        <is>
          <t>VILHELMINA</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58934-2024</t>
        </is>
      </c>
      <c r="B611" s="1" t="n">
        <v>45636</v>
      </c>
      <c r="C611" s="1" t="n">
        <v>45911</v>
      </c>
      <c r="D611" t="inlineStr">
        <is>
          <t>VÄSTERBOTTENS LÄN</t>
        </is>
      </c>
      <c r="E611" t="inlineStr">
        <is>
          <t>VILHELMINA</t>
        </is>
      </c>
      <c r="F611" t="inlineStr">
        <is>
          <t>Allmännings- och besparingsskogar</t>
        </is>
      </c>
      <c r="G611" t="n">
        <v>45.6</v>
      </c>
      <c r="H611" t="n">
        <v>0</v>
      </c>
      <c r="I611" t="n">
        <v>0</v>
      </c>
      <c r="J611" t="n">
        <v>0</v>
      </c>
      <c r="K611" t="n">
        <v>0</v>
      </c>
      <c r="L611" t="n">
        <v>0</v>
      </c>
      <c r="M611" t="n">
        <v>0</v>
      </c>
      <c r="N611" t="n">
        <v>0</v>
      </c>
      <c r="O611" t="n">
        <v>0</v>
      </c>
      <c r="P611" t="n">
        <v>0</v>
      </c>
      <c r="Q611" t="n">
        <v>0</v>
      </c>
      <c r="R611" s="2" t="inlineStr"/>
    </row>
    <row r="612" ht="15" customHeight="1">
      <c r="A612" t="inlineStr">
        <is>
          <t>A 58943-2024</t>
        </is>
      </c>
      <c r="B612" s="1" t="n">
        <v>45636.5433449074</v>
      </c>
      <c r="C612" s="1" t="n">
        <v>45911</v>
      </c>
      <c r="D612" t="inlineStr">
        <is>
          <t>VÄSTERBOTTENS LÄN</t>
        </is>
      </c>
      <c r="E612" t="inlineStr">
        <is>
          <t>VILHELMINA</t>
        </is>
      </c>
      <c r="F612" t="inlineStr">
        <is>
          <t>Kommuner</t>
        </is>
      </c>
      <c r="G612" t="n">
        <v>4.1</v>
      </c>
      <c r="H612" t="n">
        <v>0</v>
      </c>
      <c r="I612" t="n">
        <v>0</v>
      </c>
      <c r="J612" t="n">
        <v>0</v>
      </c>
      <c r="K612" t="n">
        <v>0</v>
      </c>
      <c r="L612" t="n">
        <v>0</v>
      </c>
      <c r="M612" t="n">
        <v>0</v>
      </c>
      <c r="N612" t="n">
        <v>0</v>
      </c>
      <c r="O612" t="n">
        <v>0</v>
      </c>
      <c r="P612" t="n">
        <v>0</v>
      </c>
      <c r="Q612" t="n">
        <v>0</v>
      </c>
      <c r="R612" s="2" t="inlineStr"/>
    </row>
    <row r="613" ht="15" customHeight="1">
      <c r="A613" t="inlineStr">
        <is>
          <t>A 74-2025</t>
        </is>
      </c>
      <c r="B613" s="1" t="n">
        <v>45659</v>
      </c>
      <c r="C613" s="1" t="n">
        <v>45911</v>
      </c>
      <c r="D613" t="inlineStr">
        <is>
          <t>VÄSTERBOTTENS LÄN</t>
        </is>
      </c>
      <c r="E613" t="inlineStr">
        <is>
          <t>VILHELMINA</t>
        </is>
      </c>
      <c r="G613" t="n">
        <v>5.9</v>
      </c>
      <c r="H613" t="n">
        <v>0</v>
      </c>
      <c r="I613" t="n">
        <v>0</v>
      </c>
      <c r="J613" t="n">
        <v>0</v>
      </c>
      <c r="K613" t="n">
        <v>0</v>
      </c>
      <c r="L613" t="n">
        <v>0</v>
      </c>
      <c r="M613" t="n">
        <v>0</v>
      </c>
      <c r="N613" t="n">
        <v>0</v>
      </c>
      <c r="O613" t="n">
        <v>0</v>
      </c>
      <c r="P613" t="n">
        <v>0</v>
      </c>
      <c r="Q613" t="n">
        <v>0</v>
      </c>
      <c r="R613" s="2" t="inlineStr"/>
    </row>
    <row r="614" ht="15" customHeight="1">
      <c r="A614" t="inlineStr">
        <is>
          <t>A 78-2025</t>
        </is>
      </c>
      <c r="B614" s="1" t="n">
        <v>45659</v>
      </c>
      <c r="C614" s="1" t="n">
        <v>45911</v>
      </c>
      <c r="D614" t="inlineStr">
        <is>
          <t>VÄSTERBOTTENS LÄN</t>
        </is>
      </c>
      <c r="E614" t="inlineStr">
        <is>
          <t>VILHELMINA</t>
        </is>
      </c>
      <c r="G614" t="n">
        <v>7.3</v>
      </c>
      <c r="H614" t="n">
        <v>0</v>
      </c>
      <c r="I614" t="n">
        <v>0</v>
      </c>
      <c r="J614" t="n">
        <v>0</v>
      </c>
      <c r="K614" t="n">
        <v>0</v>
      </c>
      <c r="L614" t="n">
        <v>0</v>
      </c>
      <c r="M614" t="n">
        <v>0</v>
      </c>
      <c r="N614" t="n">
        <v>0</v>
      </c>
      <c r="O614" t="n">
        <v>0</v>
      </c>
      <c r="P614" t="n">
        <v>0</v>
      </c>
      <c r="Q614" t="n">
        <v>0</v>
      </c>
      <c r="R614" s="2" t="inlineStr"/>
    </row>
    <row r="615" ht="15" customHeight="1">
      <c r="A615" t="inlineStr">
        <is>
          <t>A 33319-2025</t>
        </is>
      </c>
      <c r="B615" s="1" t="n">
        <v>45841</v>
      </c>
      <c r="C615" s="1" t="n">
        <v>45911</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33320-2025</t>
        </is>
      </c>
      <c r="B616" s="1" t="n">
        <v>45841.34461805555</v>
      </c>
      <c r="C616" s="1" t="n">
        <v>45911</v>
      </c>
      <c r="D616" t="inlineStr">
        <is>
          <t>VÄSTERBOTTENS LÄN</t>
        </is>
      </c>
      <c r="E616" t="inlineStr">
        <is>
          <t>VILHELMINA</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23278-2021</t>
        </is>
      </c>
      <c r="B617" s="1" t="n">
        <v>44328</v>
      </c>
      <c r="C617" s="1" t="n">
        <v>45911</v>
      </c>
      <c r="D617" t="inlineStr">
        <is>
          <t>VÄSTERBOTTENS LÄN</t>
        </is>
      </c>
      <c r="E617" t="inlineStr">
        <is>
          <t>VILHELMINA</t>
        </is>
      </c>
      <c r="F617" t="inlineStr">
        <is>
          <t>Allmännings- och besparingsskogar</t>
        </is>
      </c>
      <c r="G617" t="n">
        <v>13.6</v>
      </c>
      <c r="H617" t="n">
        <v>0</v>
      </c>
      <c r="I617" t="n">
        <v>0</v>
      </c>
      <c r="J617" t="n">
        <v>0</v>
      </c>
      <c r="K617" t="n">
        <v>0</v>
      </c>
      <c r="L617" t="n">
        <v>0</v>
      </c>
      <c r="M617" t="n">
        <v>0</v>
      </c>
      <c r="N617" t="n">
        <v>0</v>
      </c>
      <c r="O617" t="n">
        <v>0</v>
      </c>
      <c r="P617" t="n">
        <v>0</v>
      </c>
      <c r="Q617" t="n">
        <v>0</v>
      </c>
      <c r="R617" s="2" t="inlineStr"/>
    </row>
    <row r="618" ht="15" customHeight="1">
      <c r="A618" t="inlineStr">
        <is>
          <t>A 38543-2025</t>
        </is>
      </c>
      <c r="B618" s="1" t="n">
        <v>45884.42813657408</v>
      </c>
      <c r="C618" s="1" t="n">
        <v>45911</v>
      </c>
      <c r="D618" t="inlineStr">
        <is>
          <t>VÄSTERBOTTENS LÄN</t>
        </is>
      </c>
      <c r="E618" t="inlineStr">
        <is>
          <t>VILHELMINA</t>
        </is>
      </c>
      <c r="G618" t="n">
        <v>2.4</v>
      </c>
      <c r="H618" t="n">
        <v>0</v>
      </c>
      <c r="I618" t="n">
        <v>0</v>
      </c>
      <c r="J618" t="n">
        <v>0</v>
      </c>
      <c r="K618" t="n">
        <v>0</v>
      </c>
      <c r="L618" t="n">
        <v>0</v>
      </c>
      <c r="M618" t="n">
        <v>0</v>
      </c>
      <c r="N618" t="n">
        <v>0</v>
      </c>
      <c r="O618" t="n">
        <v>0</v>
      </c>
      <c r="P618" t="n">
        <v>0</v>
      </c>
      <c r="Q618" t="n">
        <v>0</v>
      </c>
      <c r="R618" s="2" t="inlineStr"/>
    </row>
    <row r="619" ht="15" customHeight="1">
      <c r="A619" t="inlineStr">
        <is>
          <t>A 38211-2025</t>
        </is>
      </c>
      <c r="B619" s="1" t="n">
        <v>45882.93524305556</v>
      </c>
      <c r="C619" s="1" t="n">
        <v>45911</v>
      </c>
      <c r="D619" t="inlineStr">
        <is>
          <t>VÄSTERBOTTENS LÄN</t>
        </is>
      </c>
      <c r="E619" t="inlineStr">
        <is>
          <t>VILHELMINA</t>
        </is>
      </c>
      <c r="G619" t="n">
        <v>13.8</v>
      </c>
      <c r="H619" t="n">
        <v>0</v>
      </c>
      <c r="I619" t="n">
        <v>0</v>
      </c>
      <c r="J619" t="n">
        <v>0</v>
      </c>
      <c r="K619" t="n">
        <v>0</v>
      </c>
      <c r="L619" t="n">
        <v>0</v>
      </c>
      <c r="M619" t="n">
        <v>0</v>
      </c>
      <c r="N619" t="n">
        <v>0</v>
      </c>
      <c r="O619" t="n">
        <v>0</v>
      </c>
      <c r="P619" t="n">
        <v>0</v>
      </c>
      <c r="Q619" t="n">
        <v>0</v>
      </c>
      <c r="R619" s="2" t="inlineStr"/>
    </row>
    <row r="620" ht="15" customHeight="1">
      <c r="A620" t="inlineStr">
        <is>
          <t>A 38212-2025</t>
        </is>
      </c>
      <c r="B620" s="1" t="n">
        <v>45882.95137731481</v>
      </c>
      <c r="C620" s="1" t="n">
        <v>45911</v>
      </c>
      <c r="D620" t="inlineStr">
        <is>
          <t>VÄSTERBOTTENS LÄN</t>
        </is>
      </c>
      <c r="E620" t="inlineStr">
        <is>
          <t>VILHELMINA</t>
        </is>
      </c>
      <c r="G620" t="n">
        <v>11.7</v>
      </c>
      <c r="H620" t="n">
        <v>0</v>
      </c>
      <c r="I620" t="n">
        <v>0</v>
      </c>
      <c r="J620" t="n">
        <v>0</v>
      </c>
      <c r="K620" t="n">
        <v>0</v>
      </c>
      <c r="L620" t="n">
        <v>0</v>
      </c>
      <c r="M620" t="n">
        <v>0</v>
      </c>
      <c r="N620" t="n">
        <v>0</v>
      </c>
      <c r="O620" t="n">
        <v>0</v>
      </c>
      <c r="P620" t="n">
        <v>0</v>
      </c>
      <c r="Q620" t="n">
        <v>0</v>
      </c>
      <c r="R620" s="2" t="inlineStr"/>
    </row>
    <row r="621" ht="15" customHeight="1">
      <c r="A621" t="inlineStr">
        <is>
          <t>A 38387-2025</t>
        </is>
      </c>
      <c r="B621" s="1" t="n">
        <v>45883.57451388889</v>
      </c>
      <c r="C621" s="1" t="n">
        <v>45911</v>
      </c>
      <c r="D621" t="inlineStr">
        <is>
          <t>VÄSTERBOTTENS LÄN</t>
        </is>
      </c>
      <c r="E621" t="inlineStr">
        <is>
          <t>VILHELMINA</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38454-2025</t>
        </is>
      </c>
      <c r="B622" s="1" t="n">
        <v>45883.67839120371</v>
      </c>
      <c r="C622" s="1" t="n">
        <v>45911</v>
      </c>
      <c r="D622" t="inlineStr">
        <is>
          <t>VÄSTERBOTTENS LÄN</t>
        </is>
      </c>
      <c r="E622" t="inlineStr">
        <is>
          <t>VILHELMINA</t>
        </is>
      </c>
      <c r="G622" t="n">
        <v>4.8</v>
      </c>
      <c r="H622" t="n">
        <v>0</v>
      </c>
      <c r="I622" t="n">
        <v>0</v>
      </c>
      <c r="J622" t="n">
        <v>0</v>
      </c>
      <c r="K622" t="n">
        <v>0</v>
      </c>
      <c r="L622" t="n">
        <v>0</v>
      </c>
      <c r="M622" t="n">
        <v>0</v>
      </c>
      <c r="N622" t="n">
        <v>0</v>
      </c>
      <c r="O622" t="n">
        <v>0</v>
      </c>
      <c r="P622" t="n">
        <v>0</v>
      </c>
      <c r="Q622" t="n">
        <v>0</v>
      </c>
      <c r="R622" s="2" t="inlineStr"/>
    </row>
    <row r="623" ht="15" customHeight="1">
      <c r="A623" t="inlineStr">
        <is>
          <t>A 23176-2024</t>
        </is>
      </c>
      <c r="B623" s="1" t="n">
        <v>45450.94366898148</v>
      </c>
      <c r="C623" s="1" t="n">
        <v>45911</v>
      </c>
      <c r="D623" t="inlineStr">
        <is>
          <t>VÄSTERBOTTENS LÄN</t>
        </is>
      </c>
      <c r="E623" t="inlineStr">
        <is>
          <t>VILHELMINA</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54387-2024</t>
        </is>
      </c>
      <c r="B624" s="1" t="n">
        <v>45617</v>
      </c>
      <c r="C624" s="1" t="n">
        <v>45911</v>
      </c>
      <c r="D624" t="inlineStr">
        <is>
          <t>VÄSTERBOTTENS LÄN</t>
        </is>
      </c>
      <c r="E624" t="inlineStr">
        <is>
          <t>VILHELMINA</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49888-2024</t>
        </is>
      </c>
      <c r="B625" s="1" t="n">
        <v>45597.5109837963</v>
      </c>
      <c r="C625" s="1" t="n">
        <v>45911</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44516-2024</t>
        </is>
      </c>
      <c r="B626" s="1" t="n">
        <v>45574</v>
      </c>
      <c r="C626" s="1" t="n">
        <v>45911</v>
      </c>
      <c r="D626" t="inlineStr">
        <is>
          <t>VÄSTERBOTTENS LÄN</t>
        </is>
      </c>
      <c r="E626" t="inlineStr">
        <is>
          <t>VILHELMINA</t>
        </is>
      </c>
      <c r="G626" t="n">
        <v>2.9</v>
      </c>
      <c r="H626" t="n">
        <v>0</v>
      </c>
      <c r="I626" t="n">
        <v>0</v>
      </c>
      <c r="J626" t="n">
        <v>0</v>
      </c>
      <c r="K626" t="n">
        <v>0</v>
      </c>
      <c r="L626" t="n">
        <v>0</v>
      </c>
      <c r="M626" t="n">
        <v>0</v>
      </c>
      <c r="N626" t="n">
        <v>0</v>
      </c>
      <c r="O626" t="n">
        <v>0</v>
      </c>
      <c r="P626" t="n">
        <v>0</v>
      </c>
      <c r="Q626" t="n">
        <v>0</v>
      </c>
      <c r="R626" s="2" t="inlineStr"/>
    </row>
    <row r="627" ht="15" customHeight="1">
      <c r="A627" t="inlineStr">
        <is>
          <t>A 36320-2024</t>
        </is>
      </c>
      <c r="B627" s="1" t="n">
        <v>45534.63586805556</v>
      </c>
      <c r="C627" s="1" t="n">
        <v>45911</v>
      </c>
      <c r="D627" t="inlineStr">
        <is>
          <t>VÄSTERBOTTENS LÄN</t>
        </is>
      </c>
      <c r="E627" t="inlineStr">
        <is>
          <t>VILHELMINA</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38355-2025</t>
        </is>
      </c>
      <c r="B628" s="1" t="n">
        <v>45883.53228009259</v>
      </c>
      <c r="C628" s="1" t="n">
        <v>45911</v>
      </c>
      <c r="D628" t="inlineStr">
        <is>
          <t>VÄSTERBOTTENS LÄN</t>
        </is>
      </c>
      <c r="E628" t="inlineStr">
        <is>
          <t>VILHELMINA</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38357-2025</t>
        </is>
      </c>
      <c r="B629" s="1" t="n">
        <v>45883.53263888889</v>
      </c>
      <c r="C629" s="1" t="n">
        <v>45911</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38356-2025</t>
        </is>
      </c>
      <c r="B630" s="1" t="n">
        <v>45883.53247685185</v>
      </c>
      <c r="C630" s="1" t="n">
        <v>45911</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38360-2025</t>
        </is>
      </c>
      <c r="B631" s="1" t="n">
        <v>45883.53290509259</v>
      </c>
      <c r="C631" s="1" t="n">
        <v>45911</v>
      </c>
      <c r="D631" t="inlineStr">
        <is>
          <t>VÄSTERBOTTENS LÄN</t>
        </is>
      </c>
      <c r="E631" t="inlineStr">
        <is>
          <t>VILHELMINA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38243-2025</t>
        </is>
      </c>
      <c r="B632" s="1" t="n">
        <v>45883.36553240741</v>
      </c>
      <c r="C632" s="1" t="n">
        <v>45911</v>
      </c>
      <c r="D632" t="inlineStr">
        <is>
          <t>VÄSTERBOTTENS LÄN</t>
        </is>
      </c>
      <c r="E632" t="inlineStr">
        <is>
          <t>VILHELMINA</t>
        </is>
      </c>
      <c r="G632" t="n">
        <v>4.7</v>
      </c>
      <c r="H632" t="n">
        <v>0</v>
      </c>
      <c r="I632" t="n">
        <v>0</v>
      </c>
      <c r="J632" t="n">
        <v>0</v>
      </c>
      <c r="K632" t="n">
        <v>0</v>
      </c>
      <c r="L632" t="n">
        <v>0</v>
      </c>
      <c r="M632" t="n">
        <v>0</v>
      </c>
      <c r="N632" t="n">
        <v>0</v>
      </c>
      <c r="O632" t="n">
        <v>0</v>
      </c>
      <c r="P632" t="n">
        <v>0</v>
      </c>
      <c r="Q632" t="n">
        <v>0</v>
      </c>
      <c r="R632" s="2" t="inlineStr"/>
    </row>
    <row r="633" ht="15" customHeight="1">
      <c r="A633" t="inlineStr">
        <is>
          <t>A 13768-2024</t>
        </is>
      </c>
      <c r="B633" s="1" t="n">
        <v>45390.95230324074</v>
      </c>
      <c r="C633" s="1" t="n">
        <v>45911</v>
      </c>
      <c r="D633" t="inlineStr">
        <is>
          <t>VÄSTERBOTTENS LÄN</t>
        </is>
      </c>
      <c r="E633" t="inlineStr">
        <is>
          <t>VILHELMINA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38429-2025</t>
        </is>
      </c>
      <c r="B634" s="1" t="n">
        <v>45883.63638888889</v>
      </c>
      <c r="C634" s="1" t="n">
        <v>45911</v>
      </c>
      <c r="D634" t="inlineStr">
        <is>
          <t>VÄSTERBOTTENS LÄN</t>
        </is>
      </c>
      <c r="E634" t="inlineStr">
        <is>
          <t>VILHELMINA</t>
        </is>
      </c>
      <c r="G634" t="n">
        <v>5.5</v>
      </c>
      <c r="H634" t="n">
        <v>0</v>
      </c>
      <c r="I634" t="n">
        <v>0</v>
      </c>
      <c r="J634" t="n">
        <v>0</v>
      </c>
      <c r="K634" t="n">
        <v>0</v>
      </c>
      <c r="L634" t="n">
        <v>0</v>
      </c>
      <c r="M634" t="n">
        <v>0</v>
      </c>
      <c r="N634" t="n">
        <v>0</v>
      </c>
      <c r="O634" t="n">
        <v>0</v>
      </c>
      <c r="P634" t="n">
        <v>0</v>
      </c>
      <c r="Q634" t="n">
        <v>0</v>
      </c>
      <c r="R634" s="2" t="inlineStr"/>
    </row>
    <row r="635" ht="15" customHeight="1">
      <c r="A635" t="inlineStr">
        <is>
          <t>A 38430-2025</t>
        </is>
      </c>
      <c r="B635" s="1" t="n">
        <v>45883.6364699074</v>
      </c>
      <c r="C635" s="1" t="n">
        <v>45911</v>
      </c>
      <c r="D635" t="inlineStr">
        <is>
          <t>VÄSTERBOTTENS LÄN</t>
        </is>
      </c>
      <c r="E635" t="inlineStr">
        <is>
          <t>VILHELMINA</t>
        </is>
      </c>
      <c r="G635" t="n">
        <v>36.7</v>
      </c>
      <c r="H635" t="n">
        <v>0</v>
      </c>
      <c r="I635" t="n">
        <v>0</v>
      </c>
      <c r="J635" t="n">
        <v>0</v>
      </c>
      <c r="K635" t="n">
        <v>0</v>
      </c>
      <c r="L635" t="n">
        <v>0</v>
      </c>
      <c r="M635" t="n">
        <v>0</v>
      </c>
      <c r="N635" t="n">
        <v>0</v>
      </c>
      <c r="O635" t="n">
        <v>0</v>
      </c>
      <c r="P635" t="n">
        <v>0</v>
      </c>
      <c r="Q635" t="n">
        <v>0</v>
      </c>
      <c r="R635" s="2" t="inlineStr"/>
    </row>
    <row r="636" ht="15" customHeight="1">
      <c r="A636" t="inlineStr">
        <is>
          <t>A 38242-2025</t>
        </is>
      </c>
      <c r="B636" s="1" t="n">
        <v>45883.36547453704</v>
      </c>
      <c r="C636" s="1" t="n">
        <v>45911</v>
      </c>
      <c r="D636" t="inlineStr">
        <is>
          <t>VÄSTERBOTTENS LÄN</t>
        </is>
      </c>
      <c r="E636" t="inlineStr">
        <is>
          <t>VILHELMINA</t>
        </is>
      </c>
      <c r="G636" t="n">
        <v>1.4</v>
      </c>
      <c r="H636" t="n">
        <v>0</v>
      </c>
      <c r="I636" t="n">
        <v>0</v>
      </c>
      <c r="J636" t="n">
        <v>0</v>
      </c>
      <c r="K636" t="n">
        <v>0</v>
      </c>
      <c r="L636" t="n">
        <v>0</v>
      </c>
      <c r="M636" t="n">
        <v>0</v>
      </c>
      <c r="N636" t="n">
        <v>0</v>
      </c>
      <c r="O636" t="n">
        <v>0</v>
      </c>
      <c r="P636" t="n">
        <v>0</v>
      </c>
      <c r="Q636" t="n">
        <v>0</v>
      </c>
      <c r="R636" s="2" t="inlineStr"/>
    </row>
    <row r="637" ht="15" customHeight="1">
      <c r="A637" t="inlineStr">
        <is>
          <t>A 33641-2025</t>
        </is>
      </c>
      <c r="B637" s="1" t="n">
        <v>45841.65045138889</v>
      </c>
      <c r="C637" s="1" t="n">
        <v>45911</v>
      </c>
      <c r="D637" t="inlineStr">
        <is>
          <t>VÄSTERBOTTENS LÄN</t>
        </is>
      </c>
      <c r="E637" t="inlineStr">
        <is>
          <t>VILHELMINA</t>
        </is>
      </c>
      <c r="G637" t="n">
        <v>7.3</v>
      </c>
      <c r="H637" t="n">
        <v>0</v>
      </c>
      <c r="I637" t="n">
        <v>0</v>
      </c>
      <c r="J637" t="n">
        <v>0</v>
      </c>
      <c r="K637" t="n">
        <v>0</v>
      </c>
      <c r="L637" t="n">
        <v>0</v>
      </c>
      <c r="M637" t="n">
        <v>0</v>
      </c>
      <c r="N637" t="n">
        <v>0</v>
      </c>
      <c r="O637" t="n">
        <v>0</v>
      </c>
      <c r="P637" t="n">
        <v>0</v>
      </c>
      <c r="Q637" t="n">
        <v>0</v>
      </c>
      <c r="R637" s="2" t="inlineStr"/>
    </row>
    <row r="638" ht="15" customHeight="1">
      <c r="A638" t="inlineStr">
        <is>
          <t>A 38597-2025</t>
        </is>
      </c>
      <c r="B638" s="1" t="n">
        <v>45884.49061342593</v>
      </c>
      <c r="C638" s="1" t="n">
        <v>45911</v>
      </c>
      <c r="D638" t="inlineStr">
        <is>
          <t>VÄSTERBOTTENS LÄN</t>
        </is>
      </c>
      <c r="E638" t="inlineStr">
        <is>
          <t>VILHELMINA</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69502-2020</t>
        </is>
      </c>
      <c r="B639" s="1" t="n">
        <v>44193</v>
      </c>
      <c r="C639" s="1" t="n">
        <v>45911</v>
      </c>
      <c r="D639" t="inlineStr">
        <is>
          <t>VÄSTERBOTTENS LÄN</t>
        </is>
      </c>
      <c r="E639" t="inlineStr">
        <is>
          <t>VILHELMINA</t>
        </is>
      </c>
      <c r="G639" t="n">
        <v>19</v>
      </c>
      <c r="H639" t="n">
        <v>0</v>
      </c>
      <c r="I639" t="n">
        <v>0</v>
      </c>
      <c r="J639" t="n">
        <v>0</v>
      </c>
      <c r="K639" t="n">
        <v>0</v>
      </c>
      <c r="L639" t="n">
        <v>0</v>
      </c>
      <c r="M639" t="n">
        <v>0</v>
      </c>
      <c r="N639" t="n">
        <v>0</v>
      </c>
      <c r="O639" t="n">
        <v>0</v>
      </c>
      <c r="P639" t="n">
        <v>0</v>
      </c>
      <c r="Q639" t="n">
        <v>0</v>
      </c>
      <c r="R639" s="2" t="inlineStr"/>
    </row>
    <row r="640" ht="15" customHeight="1">
      <c r="A640" t="inlineStr">
        <is>
          <t>A 38580-2025</t>
        </is>
      </c>
      <c r="B640" s="1" t="n">
        <v>45884.46951388889</v>
      </c>
      <c r="C640" s="1" t="n">
        <v>45911</v>
      </c>
      <c r="D640" t="inlineStr">
        <is>
          <t>VÄSTERBOTTENS LÄN</t>
        </is>
      </c>
      <c r="E640" t="inlineStr">
        <is>
          <t>VILHELMINA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37505-2023</t>
        </is>
      </c>
      <c r="B641" s="1" t="n">
        <v>45158.31186342592</v>
      </c>
      <c r="C641" s="1" t="n">
        <v>45911</v>
      </c>
      <c r="D641" t="inlineStr">
        <is>
          <t>VÄSTERBOTTENS LÄN</t>
        </is>
      </c>
      <c r="E641" t="inlineStr">
        <is>
          <t>VILHELMINA</t>
        </is>
      </c>
      <c r="G641" t="n">
        <v>10.5</v>
      </c>
      <c r="H641" t="n">
        <v>0</v>
      </c>
      <c r="I641" t="n">
        <v>0</v>
      </c>
      <c r="J641" t="n">
        <v>0</v>
      </c>
      <c r="K641" t="n">
        <v>0</v>
      </c>
      <c r="L641" t="n">
        <v>0</v>
      </c>
      <c r="M641" t="n">
        <v>0</v>
      </c>
      <c r="N641" t="n">
        <v>0</v>
      </c>
      <c r="O641" t="n">
        <v>0</v>
      </c>
      <c r="P641" t="n">
        <v>0</v>
      </c>
      <c r="Q641" t="n">
        <v>0</v>
      </c>
      <c r="R641" s="2" t="inlineStr"/>
    </row>
    <row r="642" ht="15" customHeight="1">
      <c r="A642" t="inlineStr">
        <is>
          <t>A 53987-2021</t>
        </is>
      </c>
      <c r="B642" s="1" t="n">
        <v>44470.31884259259</v>
      </c>
      <c r="C642" s="1" t="n">
        <v>45911</v>
      </c>
      <c r="D642" t="inlineStr">
        <is>
          <t>VÄSTERBOTTENS LÄN</t>
        </is>
      </c>
      <c r="E642" t="inlineStr">
        <is>
          <t>VILHELMINA</t>
        </is>
      </c>
      <c r="F642" t="inlineStr">
        <is>
          <t>Kommuner</t>
        </is>
      </c>
      <c r="G642" t="n">
        <v>10</v>
      </c>
      <c r="H642" t="n">
        <v>0</v>
      </c>
      <c r="I642" t="n">
        <v>0</v>
      </c>
      <c r="J642" t="n">
        <v>0</v>
      </c>
      <c r="K642" t="n">
        <v>0</v>
      </c>
      <c r="L642" t="n">
        <v>0</v>
      </c>
      <c r="M642" t="n">
        <v>0</v>
      </c>
      <c r="N642" t="n">
        <v>0</v>
      </c>
      <c r="O642" t="n">
        <v>0</v>
      </c>
      <c r="P642" t="n">
        <v>0</v>
      </c>
      <c r="Q642" t="n">
        <v>0</v>
      </c>
      <c r="R642" s="2" t="inlineStr"/>
    </row>
    <row r="643" ht="15" customHeight="1">
      <c r="A643" t="inlineStr">
        <is>
          <t>A 27881-2022</t>
        </is>
      </c>
      <c r="B643" s="1" t="n">
        <v>44743</v>
      </c>
      <c r="C643" s="1" t="n">
        <v>45911</v>
      </c>
      <c r="D643" t="inlineStr">
        <is>
          <t>VÄSTERBOTTENS LÄN</t>
        </is>
      </c>
      <c r="E643" t="inlineStr">
        <is>
          <t>VILHELMINA</t>
        </is>
      </c>
      <c r="F643" t="inlineStr">
        <is>
          <t>Sveaskog</t>
        </is>
      </c>
      <c r="G643" t="n">
        <v>14.3</v>
      </c>
      <c r="H643" t="n">
        <v>0</v>
      </c>
      <c r="I643" t="n">
        <v>0</v>
      </c>
      <c r="J643" t="n">
        <v>0</v>
      </c>
      <c r="K643" t="n">
        <v>0</v>
      </c>
      <c r="L643" t="n">
        <v>0</v>
      </c>
      <c r="M643" t="n">
        <v>0</v>
      </c>
      <c r="N643" t="n">
        <v>0</v>
      </c>
      <c r="O643" t="n">
        <v>0</v>
      </c>
      <c r="P643" t="n">
        <v>0</v>
      </c>
      <c r="Q643" t="n">
        <v>0</v>
      </c>
      <c r="R643" s="2" t="inlineStr"/>
    </row>
    <row r="644" ht="15" customHeight="1">
      <c r="A644" t="inlineStr">
        <is>
          <t>A 34413-2025</t>
        </is>
      </c>
      <c r="B644" s="1" t="n">
        <v>45845</v>
      </c>
      <c r="C644" s="1" t="n">
        <v>45911</v>
      </c>
      <c r="D644" t="inlineStr">
        <is>
          <t>VÄSTERBOTTENS LÄN</t>
        </is>
      </c>
      <c r="E644" t="inlineStr">
        <is>
          <t>VILHELMINA</t>
        </is>
      </c>
      <c r="G644" t="n">
        <v>6.8</v>
      </c>
      <c r="H644" t="n">
        <v>0</v>
      </c>
      <c r="I644" t="n">
        <v>0</v>
      </c>
      <c r="J644" t="n">
        <v>0</v>
      </c>
      <c r="K644" t="n">
        <v>0</v>
      </c>
      <c r="L644" t="n">
        <v>0</v>
      </c>
      <c r="M644" t="n">
        <v>0</v>
      </c>
      <c r="N644" t="n">
        <v>0</v>
      </c>
      <c r="O644" t="n">
        <v>0</v>
      </c>
      <c r="P644" t="n">
        <v>0</v>
      </c>
      <c r="Q644" t="n">
        <v>0</v>
      </c>
      <c r="R644" s="2" t="inlineStr"/>
    </row>
    <row r="645" ht="15" customHeight="1">
      <c r="A645" t="inlineStr">
        <is>
          <t>A 39138-2025</t>
        </is>
      </c>
      <c r="B645" s="1" t="n">
        <v>45888.59435185185</v>
      </c>
      <c r="C645" s="1" t="n">
        <v>45911</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49241-2024</t>
        </is>
      </c>
      <c r="B646" s="1" t="n">
        <v>45595</v>
      </c>
      <c r="C646" s="1" t="n">
        <v>45911</v>
      </c>
      <c r="D646" t="inlineStr">
        <is>
          <t>VÄSTERBOTTENS LÄN</t>
        </is>
      </c>
      <c r="E646" t="inlineStr">
        <is>
          <t>VILHELMINA</t>
        </is>
      </c>
      <c r="G646" t="n">
        <v>1.4</v>
      </c>
      <c r="H646" t="n">
        <v>0</v>
      </c>
      <c r="I646" t="n">
        <v>0</v>
      </c>
      <c r="J646" t="n">
        <v>0</v>
      </c>
      <c r="K646" t="n">
        <v>0</v>
      </c>
      <c r="L646" t="n">
        <v>0</v>
      </c>
      <c r="M646" t="n">
        <v>0</v>
      </c>
      <c r="N646" t="n">
        <v>0</v>
      </c>
      <c r="O646" t="n">
        <v>0</v>
      </c>
      <c r="P646" t="n">
        <v>0</v>
      </c>
      <c r="Q646" t="n">
        <v>0</v>
      </c>
      <c r="R646" s="2" t="inlineStr"/>
    </row>
    <row r="647" ht="15" customHeight="1">
      <c r="A647" t="inlineStr">
        <is>
          <t>A 26143-2025</t>
        </is>
      </c>
      <c r="B647" s="1" t="n">
        <v>45805</v>
      </c>
      <c r="C647" s="1" t="n">
        <v>45911</v>
      </c>
      <c r="D647" t="inlineStr">
        <is>
          <t>VÄSTERBOTTENS LÄN</t>
        </is>
      </c>
      <c r="E647" t="inlineStr">
        <is>
          <t>VILHELMINA</t>
        </is>
      </c>
      <c r="G647" t="n">
        <v>20</v>
      </c>
      <c r="H647" t="n">
        <v>0</v>
      </c>
      <c r="I647" t="n">
        <v>0</v>
      </c>
      <c r="J647" t="n">
        <v>0</v>
      </c>
      <c r="K647" t="n">
        <v>0</v>
      </c>
      <c r="L647" t="n">
        <v>0</v>
      </c>
      <c r="M647" t="n">
        <v>0</v>
      </c>
      <c r="N647" t="n">
        <v>0</v>
      </c>
      <c r="O647" t="n">
        <v>0</v>
      </c>
      <c r="P647" t="n">
        <v>0</v>
      </c>
      <c r="Q647" t="n">
        <v>0</v>
      </c>
      <c r="R647" s="2" t="inlineStr"/>
    </row>
    <row r="648" ht="15" customHeight="1">
      <c r="A648" t="inlineStr">
        <is>
          <t>A 32658-2021</t>
        </is>
      </c>
      <c r="B648" s="1" t="n">
        <v>44371</v>
      </c>
      <c r="C648" s="1" t="n">
        <v>45911</v>
      </c>
      <c r="D648" t="inlineStr">
        <is>
          <t>VÄSTERBOTTENS LÄN</t>
        </is>
      </c>
      <c r="E648" t="inlineStr">
        <is>
          <t>VILHELMINA</t>
        </is>
      </c>
      <c r="G648" t="n">
        <v>2.2</v>
      </c>
      <c r="H648" t="n">
        <v>0</v>
      </c>
      <c r="I648" t="n">
        <v>0</v>
      </c>
      <c r="J648" t="n">
        <v>0</v>
      </c>
      <c r="K648" t="n">
        <v>0</v>
      </c>
      <c r="L648" t="n">
        <v>0</v>
      </c>
      <c r="M648" t="n">
        <v>0</v>
      </c>
      <c r="N648" t="n">
        <v>0</v>
      </c>
      <c r="O648" t="n">
        <v>0</v>
      </c>
      <c r="P648" t="n">
        <v>0</v>
      </c>
      <c r="Q648" t="n">
        <v>0</v>
      </c>
      <c r="R648" s="2" t="inlineStr"/>
    </row>
    <row r="649" ht="15" customHeight="1">
      <c r="A649" t="inlineStr">
        <is>
          <t>A 46373-2020</t>
        </is>
      </c>
      <c r="B649" s="1" t="n">
        <v>44092</v>
      </c>
      <c r="C649" s="1" t="n">
        <v>45911</v>
      </c>
      <c r="D649" t="inlineStr">
        <is>
          <t>VÄSTERBOTTENS LÄN</t>
        </is>
      </c>
      <c r="E649" t="inlineStr">
        <is>
          <t>VILHELMINA</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29347-2021</t>
        </is>
      </c>
      <c r="B650" s="1" t="n">
        <v>44361</v>
      </c>
      <c r="C650" s="1" t="n">
        <v>45911</v>
      </c>
      <c r="D650" t="inlineStr">
        <is>
          <t>VÄSTERBOTTENS LÄN</t>
        </is>
      </c>
      <c r="E650" t="inlineStr">
        <is>
          <t>VILHELMINA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5575-2025</t>
        </is>
      </c>
      <c r="B651" s="1" t="n">
        <v>45693.53200231482</v>
      </c>
      <c r="C651" s="1" t="n">
        <v>45911</v>
      </c>
      <c r="D651" t="inlineStr">
        <is>
          <t>VÄSTERBOTTENS LÄN</t>
        </is>
      </c>
      <c r="E651" t="inlineStr">
        <is>
          <t>VILHELMINA</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34253-2025</t>
        </is>
      </c>
      <c r="B652" s="1" t="n">
        <v>45845</v>
      </c>
      <c r="C652" s="1" t="n">
        <v>45911</v>
      </c>
      <c r="D652" t="inlineStr">
        <is>
          <t>VÄSTERBOTTENS LÄN</t>
        </is>
      </c>
      <c r="E652" t="inlineStr">
        <is>
          <t>VILHELMINA</t>
        </is>
      </c>
      <c r="G652" t="n">
        <v>14.3</v>
      </c>
      <c r="H652" t="n">
        <v>0</v>
      </c>
      <c r="I652" t="n">
        <v>0</v>
      </c>
      <c r="J652" t="n">
        <v>0</v>
      </c>
      <c r="K652" t="n">
        <v>0</v>
      </c>
      <c r="L652" t="n">
        <v>0</v>
      </c>
      <c r="M652" t="n">
        <v>0</v>
      </c>
      <c r="N652" t="n">
        <v>0</v>
      </c>
      <c r="O652" t="n">
        <v>0</v>
      </c>
      <c r="P652" t="n">
        <v>0</v>
      </c>
      <c r="Q652" t="n">
        <v>0</v>
      </c>
      <c r="R652" s="2" t="inlineStr"/>
    </row>
    <row r="653" ht="15" customHeight="1">
      <c r="A653" t="inlineStr">
        <is>
          <t>A 30574-2024</t>
        </is>
      </c>
      <c r="B653" s="1" t="n">
        <v>45492.9580324074</v>
      </c>
      <c r="C653" s="1" t="n">
        <v>45911</v>
      </c>
      <c r="D653" t="inlineStr">
        <is>
          <t>VÄSTERBOTTENS LÄN</t>
        </is>
      </c>
      <c r="E653" t="inlineStr">
        <is>
          <t>VILHELMINA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30681-2024</t>
        </is>
      </c>
      <c r="B654" s="1" t="n">
        <v>45495.9509837963</v>
      </c>
      <c r="C654" s="1" t="n">
        <v>45911</v>
      </c>
      <c r="D654" t="inlineStr">
        <is>
          <t>VÄSTERBOTTENS LÄN</t>
        </is>
      </c>
      <c r="E654" t="inlineStr">
        <is>
          <t>VILHELMINA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39320-2025</t>
        </is>
      </c>
      <c r="B655" s="1" t="n">
        <v>45889.46940972222</v>
      </c>
      <c r="C655" s="1" t="n">
        <v>45911</v>
      </c>
      <c r="D655" t="inlineStr">
        <is>
          <t>VÄSTERBOTTENS LÄN</t>
        </is>
      </c>
      <c r="E655" t="inlineStr">
        <is>
          <t>VILHELMINA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40462-2024</t>
        </is>
      </c>
      <c r="B656" s="1" t="n">
        <v>45555.51084490741</v>
      </c>
      <c r="C656" s="1" t="n">
        <v>45911</v>
      </c>
      <c r="D656" t="inlineStr">
        <is>
          <t>VÄSTERBOTTENS LÄN</t>
        </is>
      </c>
      <c r="E656" t="inlineStr">
        <is>
          <t>VILHELMINA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24457-2024</t>
        </is>
      </c>
      <c r="B657" s="1" t="n">
        <v>45457.96708333334</v>
      </c>
      <c r="C657" s="1" t="n">
        <v>45911</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10833-2022</t>
        </is>
      </c>
      <c r="B658" s="1" t="n">
        <v>44627</v>
      </c>
      <c r="C658" s="1" t="n">
        <v>45911</v>
      </c>
      <c r="D658" t="inlineStr">
        <is>
          <t>VÄSTERBOTTENS LÄN</t>
        </is>
      </c>
      <c r="E658" t="inlineStr">
        <is>
          <t>VILHELMINA</t>
        </is>
      </c>
      <c r="G658" t="n">
        <v>5.4</v>
      </c>
      <c r="H658" t="n">
        <v>0</v>
      </c>
      <c r="I658" t="n">
        <v>0</v>
      </c>
      <c r="J658" t="n">
        <v>0</v>
      </c>
      <c r="K658" t="n">
        <v>0</v>
      </c>
      <c r="L658" t="n">
        <v>0</v>
      </c>
      <c r="M658" t="n">
        <v>0</v>
      </c>
      <c r="N658" t="n">
        <v>0</v>
      </c>
      <c r="O658" t="n">
        <v>0</v>
      </c>
      <c r="P658" t="n">
        <v>0</v>
      </c>
      <c r="Q658" t="n">
        <v>0</v>
      </c>
      <c r="R658" s="2" t="inlineStr"/>
    </row>
    <row r="659" ht="15" customHeight="1">
      <c r="A659" t="inlineStr">
        <is>
          <t>A 36214-2023</t>
        </is>
      </c>
      <c r="B659" s="1" t="n">
        <v>45149.95256944445</v>
      </c>
      <c r="C659" s="1" t="n">
        <v>45911</v>
      </c>
      <c r="D659" t="inlineStr">
        <is>
          <t>VÄSTERBOTTENS LÄN</t>
        </is>
      </c>
      <c r="E659" t="inlineStr">
        <is>
          <t>VILHELMINA</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39571-2025</t>
        </is>
      </c>
      <c r="B660" s="1" t="n">
        <v>45890.49021990741</v>
      </c>
      <c r="C660" s="1" t="n">
        <v>45911</v>
      </c>
      <c r="D660" t="inlineStr">
        <is>
          <t>VÄSTERBOTTENS LÄN</t>
        </is>
      </c>
      <c r="E660" t="inlineStr">
        <is>
          <t>VILHELMINA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46372-2021</t>
        </is>
      </c>
      <c r="B661" s="1" t="n">
        <v>44442.94226851852</v>
      </c>
      <c r="C661" s="1" t="n">
        <v>45911</v>
      </c>
      <c r="D661" t="inlineStr">
        <is>
          <t>VÄSTERBOTTENS LÄN</t>
        </is>
      </c>
      <c r="E661" t="inlineStr">
        <is>
          <t>VILHELMINA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39533-2025</t>
        </is>
      </c>
      <c r="B662" s="1" t="n">
        <v>45890.44863425926</v>
      </c>
      <c r="C662" s="1" t="n">
        <v>45911</v>
      </c>
      <c r="D662" t="inlineStr">
        <is>
          <t>VÄSTERBOTTENS LÄN</t>
        </is>
      </c>
      <c r="E662" t="inlineStr">
        <is>
          <t>VILHELMINA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34569-2025</t>
        </is>
      </c>
      <c r="B663" s="1" t="n">
        <v>45847.58480324074</v>
      </c>
      <c r="C663" s="1" t="n">
        <v>45911</v>
      </c>
      <c r="D663" t="inlineStr">
        <is>
          <t>VÄSTERBOTTENS LÄN</t>
        </is>
      </c>
      <c r="E663" t="inlineStr">
        <is>
          <t>VILHELMINA</t>
        </is>
      </c>
      <c r="G663" t="n">
        <v>5.3</v>
      </c>
      <c r="H663" t="n">
        <v>0</v>
      </c>
      <c r="I663" t="n">
        <v>0</v>
      </c>
      <c r="J663" t="n">
        <v>0</v>
      </c>
      <c r="K663" t="n">
        <v>0</v>
      </c>
      <c r="L663" t="n">
        <v>0</v>
      </c>
      <c r="M663" t="n">
        <v>0</v>
      </c>
      <c r="N663" t="n">
        <v>0</v>
      </c>
      <c r="O663" t="n">
        <v>0</v>
      </c>
      <c r="P663" t="n">
        <v>0</v>
      </c>
      <c r="Q663" t="n">
        <v>0</v>
      </c>
      <c r="R663" s="2" t="inlineStr"/>
    </row>
    <row r="664" ht="15" customHeight="1">
      <c r="A664" t="inlineStr">
        <is>
          <t>A 34542-2025</t>
        </is>
      </c>
      <c r="B664" s="1" t="n">
        <v>45847.53211805555</v>
      </c>
      <c r="C664" s="1" t="n">
        <v>45911</v>
      </c>
      <c r="D664" t="inlineStr">
        <is>
          <t>VÄSTERBOTTENS LÄN</t>
        </is>
      </c>
      <c r="E664" t="inlineStr">
        <is>
          <t>VILHELMINA</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28722-2022</t>
        </is>
      </c>
      <c r="B665" s="1" t="n">
        <v>44748</v>
      </c>
      <c r="C665" s="1" t="n">
        <v>45911</v>
      </c>
      <c r="D665" t="inlineStr">
        <is>
          <t>VÄSTERBOTTENS LÄN</t>
        </is>
      </c>
      <c r="E665" t="inlineStr">
        <is>
          <t>VILHELMINA</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43251-2024</t>
        </is>
      </c>
      <c r="B666" s="1" t="n">
        <v>45568.34429398148</v>
      </c>
      <c r="C666" s="1" t="n">
        <v>45911</v>
      </c>
      <c r="D666" t="inlineStr">
        <is>
          <t>VÄSTERBOTTENS LÄN</t>
        </is>
      </c>
      <c r="E666" t="inlineStr">
        <is>
          <t>VILHELMINA</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18781-2021</t>
        </is>
      </c>
      <c r="B667" s="1" t="n">
        <v>44307</v>
      </c>
      <c r="C667" s="1" t="n">
        <v>45911</v>
      </c>
      <c r="D667" t="inlineStr">
        <is>
          <t>VÄSTERBOTTENS LÄN</t>
        </is>
      </c>
      <c r="E667" t="inlineStr">
        <is>
          <t>VILHELMINA</t>
        </is>
      </c>
      <c r="G667" t="n">
        <v>3.5</v>
      </c>
      <c r="H667" t="n">
        <v>0</v>
      </c>
      <c r="I667" t="n">
        <v>0</v>
      </c>
      <c r="J667" t="n">
        <v>0</v>
      </c>
      <c r="K667" t="n">
        <v>0</v>
      </c>
      <c r="L667" t="n">
        <v>0</v>
      </c>
      <c r="M667" t="n">
        <v>0</v>
      </c>
      <c r="N667" t="n">
        <v>0</v>
      </c>
      <c r="O667" t="n">
        <v>0</v>
      </c>
      <c r="P667" t="n">
        <v>0</v>
      </c>
      <c r="Q667" t="n">
        <v>0</v>
      </c>
      <c r="R667" s="2" t="inlineStr"/>
    </row>
    <row r="668" ht="15" customHeight="1">
      <c r="A668" t="inlineStr">
        <is>
          <t>A 12373-2024</t>
        </is>
      </c>
      <c r="B668" s="1" t="n">
        <v>45378</v>
      </c>
      <c r="C668" s="1" t="n">
        <v>45911</v>
      </c>
      <c r="D668" t="inlineStr">
        <is>
          <t>VÄSTERBOTTENS LÄN</t>
        </is>
      </c>
      <c r="E668" t="inlineStr">
        <is>
          <t>VILHELMINA</t>
        </is>
      </c>
      <c r="G668" t="n">
        <v>0.7</v>
      </c>
      <c r="H668" t="n">
        <v>0</v>
      </c>
      <c r="I668" t="n">
        <v>0</v>
      </c>
      <c r="J668" t="n">
        <v>0</v>
      </c>
      <c r="K668" t="n">
        <v>0</v>
      </c>
      <c r="L668" t="n">
        <v>0</v>
      </c>
      <c r="M668" t="n">
        <v>0</v>
      </c>
      <c r="N668" t="n">
        <v>0</v>
      </c>
      <c r="O668" t="n">
        <v>0</v>
      </c>
      <c r="P668" t="n">
        <v>0</v>
      </c>
      <c r="Q668" t="n">
        <v>0</v>
      </c>
      <c r="R668" s="2" t="inlineStr"/>
    </row>
    <row r="669" ht="15" customHeight="1">
      <c r="A669" t="inlineStr">
        <is>
          <t>A 34563-2025</t>
        </is>
      </c>
      <c r="B669" s="1" t="n">
        <v>45847.57950231482</v>
      </c>
      <c r="C669" s="1" t="n">
        <v>45911</v>
      </c>
      <c r="D669" t="inlineStr">
        <is>
          <t>VÄSTERBOTTENS LÄN</t>
        </is>
      </c>
      <c r="E669" t="inlineStr">
        <is>
          <t>VILHELMINA</t>
        </is>
      </c>
      <c r="G669" t="n">
        <v>20.6</v>
      </c>
      <c r="H669" t="n">
        <v>0</v>
      </c>
      <c r="I669" t="n">
        <v>0</v>
      </c>
      <c r="J669" t="n">
        <v>0</v>
      </c>
      <c r="K669" t="n">
        <v>0</v>
      </c>
      <c r="L669" t="n">
        <v>0</v>
      </c>
      <c r="M669" t="n">
        <v>0</v>
      </c>
      <c r="N669" t="n">
        <v>0</v>
      </c>
      <c r="O669" t="n">
        <v>0</v>
      </c>
      <c r="P669" t="n">
        <v>0</v>
      </c>
      <c r="Q669" t="n">
        <v>0</v>
      </c>
      <c r="R669" s="2" t="inlineStr"/>
    </row>
    <row r="670" ht="15" customHeight="1">
      <c r="A670" t="inlineStr">
        <is>
          <t>A 39558-2025</t>
        </is>
      </c>
      <c r="B670" s="1" t="n">
        <v>45890.46978009259</v>
      </c>
      <c r="C670" s="1" t="n">
        <v>45911</v>
      </c>
      <c r="D670" t="inlineStr">
        <is>
          <t>VÄSTERBOTTENS LÄN</t>
        </is>
      </c>
      <c r="E670" t="inlineStr">
        <is>
          <t>VILHELMINA</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39378-2025</t>
        </is>
      </c>
      <c r="B671" s="1" t="n">
        <v>45889.59453703704</v>
      </c>
      <c r="C671" s="1" t="n">
        <v>45911</v>
      </c>
      <c r="D671" t="inlineStr">
        <is>
          <t>VÄSTERBOTTENS LÄN</t>
        </is>
      </c>
      <c r="E671" t="inlineStr">
        <is>
          <t>VILHELMINA</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39534-2025</t>
        </is>
      </c>
      <c r="B672" s="1" t="n">
        <v>45890.44875</v>
      </c>
      <c r="C672" s="1" t="n">
        <v>45911</v>
      </c>
      <c r="D672" t="inlineStr">
        <is>
          <t>VÄSTERBOTTENS LÄN</t>
        </is>
      </c>
      <c r="E672" t="inlineStr">
        <is>
          <t>VILHELMINA</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21843-2024</t>
        </is>
      </c>
      <c r="B673" s="1" t="n">
        <v>45442.96064814815</v>
      </c>
      <c r="C673" s="1" t="n">
        <v>45911</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34819-2024</t>
        </is>
      </c>
      <c r="B674" s="1" t="n">
        <v>45526.71134259259</v>
      </c>
      <c r="C674" s="1" t="n">
        <v>45911</v>
      </c>
      <c r="D674" t="inlineStr">
        <is>
          <t>VÄSTERBOTTENS LÄN</t>
        </is>
      </c>
      <c r="E674" t="inlineStr">
        <is>
          <t>VILHELMINA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40220-2025</t>
        </is>
      </c>
      <c r="B675" s="1" t="n">
        <v>45894</v>
      </c>
      <c r="C675" s="1" t="n">
        <v>45911</v>
      </c>
      <c r="D675" t="inlineStr">
        <is>
          <t>VÄSTERBOTTENS LÄN</t>
        </is>
      </c>
      <c r="E675" t="inlineStr">
        <is>
          <t>VILHELMINA</t>
        </is>
      </c>
      <c r="G675" t="n">
        <v>4.6</v>
      </c>
      <c r="H675" t="n">
        <v>0</v>
      </c>
      <c r="I675" t="n">
        <v>0</v>
      </c>
      <c r="J675" t="n">
        <v>0</v>
      </c>
      <c r="K675" t="n">
        <v>0</v>
      </c>
      <c r="L675" t="n">
        <v>0</v>
      </c>
      <c r="M675" t="n">
        <v>0</v>
      </c>
      <c r="N675" t="n">
        <v>0</v>
      </c>
      <c r="O675" t="n">
        <v>0</v>
      </c>
      <c r="P675" t="n">
        <v>0</v>
      </c>
      <c r="Q675" t="n">
        <v>0</v>
      </c>
      <c r="R675" s="2" t="inlineStr"/>
    </row>
    <row r="676" ht="15" customHeight="1">
      <c r="A676" t="inlineStr">
        <is>
          <t>A 12043-2023</t>
        </is>
      </c>
      <c r="B676" s="1" t="n">
        <v>44995</v>
      </c>
      <c r="C676" s="1" t="n">
        <v>45911</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48117-2022</t>
        </is>
      </c>
      <c r="B677" s="1" t="n">
        <v>44857</v>
      </c>
      <c r="C677" s="1" t="n">
        <v>45911</v>
      </c>
      <c r="D677" t="inlineStr">
        <is>
          <t>VÄSTERBOTTENS LÄN</t>
        </is>
      </c>
      <c r="E677" t="inlineStr">
        <is>
          <t>VILHELMINA</t>
        </is>
      </c>
      <c r="G677" t="n">
        <v>5.6</v>
      </c>
      <c r="H677" t="n">
        <v>0</v>
      </c>
      <c r="I677" t="n">
        <v>0</v>
      </c>
      <c r="J677" t="n">
        <v>0</v>
      </c>
      <c r="K677" t="n">
        <v>0</v>
      </c>
      <c r="L677" t="n">
        <v>0</v>
      </c>
      <c r="M677" t="n">
        <v>0</v>
      </c>
      <c r="N677" t="n">
        <v>0</v>
      </c>
      <c r="O677" t="n">
        <v>0</v>
      </c>
      <c r="P677" t="n">
        <v>0</v>
      </c>
      <c r="Q677" t="n">
        <v>0</v>
      </c>
      <c r="R677" s="2" t="inlineStr"/>
    </row>
    <row r="678" ht="15" customHeight="1">
      <c r="A678" t="inlineStr">
        <is>
          <t>A 40196-2025</t>
        </is>
      </c>
      <c r="B678" s="1" t="n">
        <v>45894.65951388889</v>
      </c>
      <c r="C678" s="1" t="n">
        <v>45911</v>
      </c>
      <c r="D678" t="inlineStr">
        <is>
          <t>VÄSTERBOTTENS LÄN</t>
        </is>
      </c>
      <c r="E678" t="inlineStr">
        <is>
          <t>VILHELMINA</t>
        </is>
      </c>
      <c r="G678" t="n">
        <v>23.3</v>
      </c>
      <c r="H678" t="n">
        <v>0</v>
      </c>
      <c r="I678" t="n">
        <v>0</v>
      </c>
      <c r="J678" t="n">
        <v>0</v>
      </c>
      <c r="K678" t="n">
        <v>0</v>
      </c>
      <c r="L678" t="n">
        <v>0</v>
      </c>
      <c r="M678" t="n">
        <v>0</v>
      </c>
      <c r="N678" t="n">
        <v>0</v>
      </c>
      <c r="O678" t="n">
        <v>0</v>
      </c>
      <c r="P678" t="n">
        <v>0</v>
      </c>
      <c r="Q678" t="n">
        <v>0</v>
      </c>
      <c r="R678" s="2" t="inlineStr"/>
    </row>
    <row r="679" ht="15" customHeight="1">
      <c r="A679" t="inlineStr">
        <is>
          <t>A 12593-2022</t>
        </is>
      </c>
      <c r="B679" s="1" t="n">
        <v>44640</v>
      </c>
      <c r="C679" s="1" t="n">
        <v>45911</v>
      </c>
      <c r="D679" t="inlineStr">
        <is>
          <t>VÄSTERBOTTENS LÄN</t>
        </is>
      </c>
      <c r="E679" t="inlineStr">
        <is>
          <t>VILHELMINA</t>
        </is>
      </c>
      <c r="G679" t="n">
        <v>10.4</v>
      </c>
      <c r="H679" t="n">
        <v>0</v>
      </c>
      <c r="I679" t="n">
        <v>0</v>
      </c>
      <c r="J679" t="n">
        <v>0</v>
      </c>
      <c r="K679" t="n">
        <v>0</v>
      </c>
      <c r="L679" t="n">
        <v>0</v>
      </c>
      <c r="M679" t="n">
        <v>0</v>
      </c>
      <c r="N679" t="n">
        <v>0</v>
      </c>
      <c r="O679" t="n">
        <v>0</v>
      </c>
      <c r="P679" t="n">
        <v>0</v>
      </c>
      <c r="Q679" t="n">
        <v>0</v>
      </c>
      <c r="R679" s="2" t="inlineStr"/>
    </row>
    <row r="680" ht="15" customHeight="1">
      <c r="A680" t="inlineStr">
        <is>
          <t>A 4869-2023</t>
        </is>
      </c>
      <c r="B680" s="1" t="n">
        <v>44957</v>
      </c>
      <c r="C680" s="1" t="n">
        <v>45911</v>
      </c>
      <c r="D680" t="inlineStr">
        <is>
          <t>VÄSTERBOTTENS LÄN</t>
        </is>
      </c>
      <c r="E680" t="inlineStr">
        <is>
          <t>VILHELMINA</t>
        </is>
      </c>
      <c r="G680" t="n">
        <v>5.7</v>
      </c>
      <c r="H680" t="n">
        <v>0</v>
      </c>
      <c r="I680" t="n">
        <v>0</v>
      </c>
      <c r="J680" t="n">
        <v>0</v>
      </c>
      <c r="K680" t="n">
        <v>0</v>
      </c>
      <c r="L680" t="n">
        <v>0</v>
      </c>
      <c r="M680" t="n">
        <v>0</v>
      </c>
      <c r="N680" t="n">
        <v>0</v>
      </c>
      <c r="O680" t="n">
        <v>0</v>
      </c>
      <c r="P680" t="n">
        <v>0</v>
      </c>
      <c r="Q680" t="n">
        <v>0</v>
      </c>
      <c r="R680" s="2" t="inlineStr"/>
    </row>
    <row r="681" ht="15" customHeight="1">
      <c r="A681" t="inlineStr">
        <is>
          <t>A 40144-2025</t>
        </is>
      </c>
      <c r="B681" s="1" t="n">
        <v>45894.57322916666</v>
      </c>
      <c r="C681" s="1" t="n">
        <v>45911</v>
      </c>
      <c r="D681" t="inlineStr">
        <is>
          <t>VÄSTERBOTTENS LÄN</t>
        </is>
      </c>
      <c r="E681" t="inlineStr">
        <is>
          <t>VILHELMINA</t>
        </is>
      </c>
      <c r="G681" t="n">
        <v>6.3</v>
      </c>
      <c r="H681" t="n">
        <v>0</v>
      </c>
      <c r="I681" t="n">
        <v>0</v>
      </c>
      <c r="J681" t="n">
        <v>0</v>
      </c>
      <c r="K681" t="n">
        <v>0</v>
      </c>
      <c r="L681" t="n">
        <v>0</v>
      </c>
      <c r="M681" t="n">
        <v>0</v>
      </c>
      <c r="N681" t="n">
        <v>0</v>
      </c>
      <c r="O681" t="n">
        <v>0</v>
      </c>
      <c r="P681" t="n">
        <v>0</v>
      </c>
      <c r="Q681" t="n">
        <v>0</v>
      </c>
      <c r="R681" s="2" t="inlineStr"/>
    </row>
    <row r="682" ht="15" customHeight="1">
      <c r="A682" t="inlineStr">
        <is>
          <t>A 34799-2023</t>
        </is>
      </c>
      <c r="B682" s="1" t="n">
        <v>45140</v>
      </c>
      <c r="C682" s="1" t="n">
        <v>45911</v>
      </c>
      <c r="D682" t="inlineStr">
        <is>
          <t>VÄSTERBOTTENS LÄN</t>
        </is>
      </c>
      <c r="E682" t="inlineStr">
        <is>
          <t>VILHELMINA</t>
        </is>
      </c>
      <c r="G682" t="n">
        <v>17.4</v>
      </c>
      <c r="H682" t="n">
        <v>0</v>
      </c>
      <c r="I682" t="n">
        <v>0</v>
      </c>
      <c r="J682" t="n">
        <v>0</v>
      </c>
      <c r="K682" t="n">
        <v>0</v>
      </c>
      <c r="L682" t="n">
        <v>0</v>
      </c>
      <c r="M682" t="n">
        <v>0</v>
      </c>
      <c r="N682" t="n">
        <v>0</v>
      </c>
      <c r="O682" t="n">
        <v>0</v>
      </c>
      <c r="P682" t="n">
        <v>0</v>
      </c>
      <c r="Q682" t="n">
        <v>0</v>
      </c>
      <c r="R682" s="2" t="inlineStr"/>
    </row>
    <row r="683" ht="15" customHeight="1">
      <c r="A683" t="inlineStr">
        <is>
          <t>A 28695-2024</t>
        </is>
      </c>
      <c r="B683" s="1" t="n">
        <v>45478</v>
      </c>
      <c r="C683" s="1" t="n">
        <v>45911</v>
      </c>
      <c r="D683" t="inlineStr">
        <is>
          <t>VÄSTERBOTTENS LÄN</t>
        </is>
      </c>
      <c r="E683" t="inlineStr">
        <is>
          <t>VILHELMINA</t>
        </is>
      </c>
      <c r="F683" t="inlineStr">
        <is>
          <t>Allmännings- och besparingsskogar</t>
        </is>
      </c>
      <c r="G683" t="n">
        <v>3.1</v>
      </c>
      <c r="H683" t="n">
        <v>0</v>
      </c>
      <c r="I683" t="n">
        <v>0</v>
      </c>
      <c r="J683" t="n">
        <v>0</v>
      </c>
      <c r="K683" t="n">
        <v>0</v>
      </c>
      <c r="L683" t="n">
        <v>0</v>
      </c>
      <c r="M683" t="n">
        <v>0</v>
      </c>
      <c r="N683" t="n">
        <v>0</v>
      </c>
      <c r="O683" t="n">
        <v>0</v>
      </c>
      <c r="P683" t="n">
        <v>0</v>
      </c>
      <c r="Q683" t="n">
        <v>0</v>
      </c>
      <c r="R683" s="2" t="inlineStr"/>
    </row>
    <row r="684" ht="15" customHeight="1">
      <c r="A684" t="inlineStr">
        <is>
          <t>A 30572-2024</t>
        </is>
      </c>
      <c r="B684" s="1" t="n">
        <v>45492.95777777778</v>
      </c>
      <c r="C684" s="1" t="n">
        <v>45911</v>
      </c>
      <c r="D684" t="inlineStr">
        <is>
          <t>VÄSTERBOTTENS LÄN</t>
        </is>
      </c>
      <c r="E684" t="inlineStr">
        <is>
          <t>VILHELMINA</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30582-2024</t>
        </is>
      </c>
      <c r="B685" s="1" t="n">
        <v>45492</v>
      </c>
      <c r="C685" s="1" t="n">
        <v>45911</v>
      </c>
      <c r="D685" t="inlineStr">
        <is>
          <t>VÄSTERBOTTENS LÄN</t>
        </is>
      </c>
      <c r="E685" t="inlineStr">
        <is>
          <t>VILHELMINA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55620-2024</t>
        </is>
      </c>
      <c r="B686" s="1" t="n">
        <v>45622</v>
      </c>
      <c r="C686" s="1" t="n">
        <v>45911</v>
      </c>
      <c r="D686" t="inlineStr">
        <is>
          <t>VÄSTERBOTTENS LÄN</t>
        </is>
      </c>
      <c r="E686" t="inlineStr">
        <is>
          <t>VILHELMINA</t>
        </is>
      </c>
      <c r="F686" t="inlineStr">
        <is>
          <t>SCA</t>
        </is>
      </c>
      <c r="G686" t="n">
        <v>21.4</v>
      </c>
      <c r="H686" t="n">
        <v>0</v>
      </c>
      <c r="I686" t="n">
        <v>0</v>
      </c>
      <c r="J686" t="n">
        <v>0</v>
      </c>
      <c r="K686" t="n">
        <v>0</v>
      </c>
      <c r="L686" t="n">
        <v>0</v>
      </c>
      <c r="M686" t="n">
        <v>0</v>
      </c>
      <c r="N686" t="n">
        <v>0</v>
      </c>
      <c r="O686" t="n">
        <v>0</v>
      </c>
      <c r="P686" t="n">
        <v>0</v>
      </c>
      <c r="Q686" t="n">
        <v>0</v>
      </c>
      <c r="R686" s="2" t="inlineStr"/>
    </row>
    <row r="687" ht="15" customHeight="1">
      <c r="A687" t="inlineStr">
        <is>
          <t>A 36669-2025</t>
        </is>
      </c>
      <c r="B687" s="1" t="n">
        <v>45873</v>
      </c>
      <c r="C687" s="1" t="n">
        <v>45911</v>
      </c>
      <c r="D687" t="inlineStr">
        <is>
          <t>VÄSTERBOTTENS LÄN</t>
        </is>
      </c>
      <c r="E687" t="inlineStr">
        <is>
          <t>VILHELMINA</t>
        </is>
      </c>
      <c r="G687" t="n">
        <v>12.5</v>
      </c>
      <c r="H687" t="n">
        <v>0</v>
      </c>
      <c r="I687" t="n">
        <v>0</v>
      </c>
      <c r="J687" t="n">
        <v>0</v>
      </c>
      <c r="K687" t="n">
        <v>0</v>
      </c>
      <c r="L687" t="n">
        <v>0</v>
      </c>
      <c r="M687" t="n">
        <v>0</v>
      </c>
      <c r="N687" t="n">
        <v>0</v>
      </c>
      <c r="O687" t="n">
        <v>0</v>
      </c>
      <c r="P687" t="n">
        <v>0</v>
      </c>
      <c r="Q687" t="n">
        <v>0</v>
      </c>
      <c r="R687" s="2" t="inlineStr"/>
    </row>
    <row r="688" ht="15" customHeight="1">
      <c r="A688" t="inlineStr">
        <is>
          <t>A 37320-2021</t>
        </is>
      </c>
      <c r="B688" s="1" t="n">
        <v>44397</v>
      </c>
      <c r="C688" s="1" t="n">
        <v>45911</v>
      </c>
      <c r="D688" t="inlineStr">
        <is>
          <t>VÄSTERBOTTENS LÄN</t>
        </is>
      </c>
      <c r="E688" t="inlineStr">
        <is>
          <t>VILHELMINA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15782-2025</t>
        </is>
      </c>
      <c r="B689" s="1" t="n">
        <v>45748</v>
      </c>
      <c r="C689" s="1" t="n">
        <v>45911</v>
      </c>
      <c r="D689" t="inlineStr">
        <is>
          <t>VÄSTERBOTTENS LÄN</t>
        </is>
      </c>
      <c r="E689" t="inlineStr">
        <is>
          <t>VILHELMINA</t>
        </is>
      </c>
      <c r="G689" t="n">
        <v>2.5</v>
      </c>
      <c r="H689" t="n">
        <v>0</v>
      </c>
      <c r="I689" t="n">
        <v>0</v>
      </c>
      <c r="J689" t="n">
        <v>0</v>
      </c>
      <c r="K689" t="n">
        <v>0</v>
      </c>
      <c r="L689" t="n">
        <v>0</v>
      </c>
      <c r="M689" t="n">
        <v>0</v>
      </c>
      <c r="N689" t="n">
        <v>0</v>
      </c>
      <c r="O689" t="n">
        <v>0</v>
      </c>
      <c r="P689" t="n">
        <v>0</v>
      </c>
      <c r="Q689" t="n">
        <v>0</v>
      </c>
      <c r="R689" s="2" t="inlineStr"/>
    </row>
    <row r="690" ht="15" customHeight="1">
      <c r="A690" t="inlineStr">
        <is>
          <t>A 15792-2025</t>
        </is>
      </c>
      <c r="B690" s="1" t="n">
        <v>45748.63356481482</v>
      </c>
      <c r="C690" s="1" t="n">
        <v>45911</v>
      </c>
      <c r="D690" t="inlineStr">
        <is>
          <t>VÄSTERBOTTENS LÄN</t>
        </is>
      </c>
      <c r="E690" t="inlineStr">
        <is>
          <t>VILHELMINA</t>
        </is>
      </c>
      <c r="G690" t="n">
        <v>5.5</v>
      </c>
      <c r="H690" t="n">
        <v>0</v>
      </c>
      <c r="I690" t="n">
        <v>0</v>
      </c>
      <c r="J690" t="n">
        <v>0</v>
      </c>
      <c r="K690" t="n">
        <v>0</v>
      </c>
      <c r="L690" t="n">
        <v>0</v>
      </c>
      <c r="M690" t="n">
        <v>0</v>
      </c>
      <c r="N690" t="n">
        <v>0</v>
      </c>
      <c r="O690" t="n">
        <v>0</v>
      </c>
      <c r="P690" t="n">
        <v>0</v>
      </c>
      <c r="Q690" t="n">
        <v>0</v>
      </c>
      <c r="R690" s="2" t="inlineStr"/>
    </row>
    <row r="691" ht="15" customHeight="1">
      <c r="A691" t="inlineStr">
        <is>
          <t>A 23543-2024</t>
        </is>
      </c>
      <c r="B691" s="1" t="n">
        <v>45453</v>
      </c>
      <c r="C691" s="1" t="n">
        <v>45911</v>
      </c>
      <c r="D691" t="inlineStr">
        <is>
          <t>VÄSTERBOTTENS LÄN</t>
        </is>
      </c>
      <c r="E691" t="inlineStr">
        <is>
          <t>VILHELMINA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40781-2023</t>
        </is>
      </c>
      <c r="B692" s="1" t="n">
        <v>45170.95747685185</v>
      </c>
      <c r="C692" s="1" t="n">
        <v>45911</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12362-2025</t>
        </is>
      </c>
      <c r="B693" s="1" t="n">
        <v>45730</v>
      </c>
      <c r="C693" s="1" t="n">
        <v>45911</v>
      </c>
      <c r="D693" t="inlineStr">
        <is>
          <t>VÄSTERBOTTENS LÄN</t>
        </is>
      </c>
      <c r="E693" t="inlineStr">
        <is>
          <t>VILHELMINA</t>
        </is>
      </c>
      <c r="F693" t="inlineStr">
        <is>
          <t>Övriga statliga verk och myndigheter</t>
        </is>
      </c>
      <c r="G693" t="n">
        <v>6.1</v>
      </c>
      <c r="H693" t="n">
        <v>0</v>
      </c>
      <c r="I693" t="n">
        <v>0</v>
      </c>
      <c r="J693" t="n">
        <v>0</v>
      </c>
      <c r="K693" t="n">
        <v>0</v>
      </c>
      <c r="L693" t="n">
        <v>0</v>
      </c>
      <c r="M693" t="n">
        <v>0</v>
      </c>
      <c r="N693" t="n">
        <v>0</v>
      </c>
      <c r="O693" t="n">
        <v>0</v>
      </c>
      <c r="P693" t="n">
        <v>0</v>
      </c>
      <c r="Q693" t="n">
        <v>0</v>
      </c>
      <c r="R693" s="2" t="inlineStr"/>
    </row>
    <row r="694" ht="15" customHeight="1">
      <c r="A694" t="inlineStr">
        <is>
          <t>A 52740-2023</t>
        </is>
      </c>
      <c r="B694" s="1" t="n">
        <v>45225</v>
      </c>
      <c r="C694" s="1" t="n">
        <v>45911</v>
      </c>
      <c r="D694" t="inlineStr">
        <is>
          <t>VÄSTERBOTTENS LÄN</t>
        </is>
      </c>
      <c r="E694" t="inlineStr">
        <is>
          <t>VILHELMINA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12763-2025</t>
        </is>
      </c>
      <c r="B695" s="1" t="n">
        <v>45733</v>
      </c>
      <c r="C695" s="1" t="n">
        <v>45911</v>
      </c>
      <c r="D695" t="inlineStr">
        <is>
          <t>VÄSTERBOTTENS LÄN</t>
        </is>
      </c>
      <c r="E695" t="inlineStr">
        <is>
          <t>VILHELMINA</t>
        </is>
      </c>
      <c r="F695" t="inlineStr">
        <is>
          <t>SCA</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46547-2023</t>
        </is>
      </c>
      <c r="B696" s="1" t="n">
        <v>45197.94158564815</v>
      </c>
      <c r="C696" s="1" t="n">
        <v>45911</v>
      </c>
      <c r="D696" t="inlineStr">
        <is>
          <t>VÄSTERBOTTENS LÄN</t>
        </is>
      </c>
      <c r="E696" t="inlineStr">
        <is>
          <t>VILHELMINA</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35285-2025</t>
        </is>
      </c>
      <c r="B697" s="1" t="n">
        <v>45854</v>
      </c>
      <c r="C697" s="1" t="n">
        <v>45911</v>
      </c>
      <c r="D697" t="inlineStr">
        <is>
          <t>VÄSTERBOTTENS LÄN</t>
        </is>
      </c>
      <c r="E697" t="inlineStr">
        <is>
          <t>VILHELMINA</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35287-2025</t>
        </is>
      </c>
      <c r="B698" s="1" t="n">
        <v>45854.3653587963</v>
      </c>
      <c r="C698" s="1" t="n">
        <v>45911</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35288-2025</t>
        </is>
      </c>
      <c r="B699" s="1" t="n">
        <v>45854.36543981481</v>
      </c>
      <c r="C699" s="1" t="n">
        <v>45911</v>
      </c>
      <c r="D699" t="inlineStr">
        <is>
          <t>VÄSTERBOTTENS LÄN</t>
        </is>
      </c>
      <c r="E699" t="inlineStr">
        <is>
          <t>VILHELMINA</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19600-2025</t>
        </is>
      </c>
      <c r="B700" s="1" t="n">
        <v>45770</v>
      </c>
      <c r="C700" s="1" t="n">
        <v>45911</v>
      </c>
      <c r="D700" t="inlineStr">
        <is>
          <t>VÄSTERBOTTENS LÄN</t>
        </is>
      </c>
      <c r="E700" t="inlineStr">
        <is>
          <t>VILHELMINA</t>
        </is>
      </c>
      <c r="G700" t="n">
        <v>3.7</v>
      </c>
      <c r="H700" t="n">
        <v>0</v>
      </c>
      <c r="I700" t="n">
        <v>0</v>
      </c>
      <c r="J700" t="n">
        <v>0</v>
      </c>
      <c r="K700" t="n">
        <v>0</v>
      </c>
      <c r="L700" t="n">
        <v>0</v>
      </c>
      <c r="M700" t="n">
        <v>0</v>
      </c>
      <c r="N700" t="n">
        <v>0</v>
      </c>
      <c r="O700" t="n">
        <v>0</v>
      </c>
      <c r="P700" t="n">
        <v>0</v>
      </c>
      <c r="Q700" t="n">
        <v>0</v>
      </c>
      <c r="R700" s="2" t="inlineStr"/>
    </row>
    <row r="701" ht="15" customHeight="1">
      <c r="A701" t="inlineStr">
        <is>
          <t>A 35230-2025</t>
        </is>
      </c>
      <c r="B701" s="1" t="n">
        <v>45853.59447916667</v>
      </c>
      <c r="C701" s="1" t="n">
        <v>45911</v>
      </c>
      <c r="D701" t="inlineStr">
        <is>
          <t>VÄSTERBOTTENS LÄN</t>
        </is>
      </c>
      <c r="E701" t="inlineStr">
        <is>
          <t>VILHELMINA</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35231-2025</t>
        </is>
      </c>
      <c r="B702" s="1" t="n">
        <v>45853.59453703704</v>
      </c>
      <c r="C702" s="1" t="n">
        <v>45911</v>
      </c>
      <c r="D702" t="inlineStr">
        <is>
          <t>VÄSTERBOTTENS LÄN</t>
        </is>
      </c>
      <c r="E702" t="inlineStr">
        <is>
          <t>VILHELMINA</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14959-2022</t>
        </is>
      </c>
      <c r="B703" s="1" t="n">
        <v>44657</v>
      </c>
      <c r="C703" s="1" t="n">
        <v>45911</v>
      </c>
      <c r="D703" t="inlineStr">
        <is>
          <t>VÄSTERBOTTENS LÄN</t>
        </is>
      </c>
      <c r="E703" t="inlineStr">
        <is>
          <t>VILHELMINA</t>
        </is>
      </c>
      <c r="G703" t="n">
        <v>71.8</v>
      </c>
      <c r="H703" t="n">
        <v>0</v>
      </c>
      <c r="I703" t="n">
        <v>0</v>
      </c>
      <c r="J703" t="n">
        <v>0</v>
      </c>
      <c r="K703" t="n">
        <v>0</v>
      </c>
      <c r="L703" t="n">
        <v>0</v>
      </c>
      <c r="M703" t="n">
        <v>0</v>
      </c>
      <c r="N703" t="n">
        <v>0</v>
      </c>
      <c r="O703" t="n">
        <v>0</v>
      </c>
      <c r="P703" t="n">
        <v>0</v>
      </c>
      <c r="Q703" t="n">
        <v>0</v>
      </c>
      <c r="R703" s="2" t="inlineStr"/>
    </row>
    <row r="704" ht="15" customHeight="1">
      <c r="A704" t="inlineStr">
        <is>
          <t>A 2187-2021</t>
        </is>
      </c>
      <c r="B704" s="1" t="n">
        <v>44211</v>
      </c>
      <c r="C704" s="1" t="n">
        <v>45911</v>
      </c>
      <c r="D704" t="inlineStr">
        <is>
          <t>VÄSTERBOTTENS LÄN</t>
        </is>
      </c>
      <c r="E704" t="inlineStr">
        <is>
          <t>VILHELMINA</t>
        </is>
      </c>
      <c r="F704" t="inlineStr">
        <is>
          <t>Allmännings- och besparingsskogar</t>
        </is>
      </c>
      <c r="G704" t="n">
        <v>21.3</v>
      </c>
      <c r="H704" t="n">
        <v>0</v>
      </c>
      <c r="I704" t="n">
        <v>0</v>
      </c>
      <c r="J704" t="n">
        <v>0</v>
      </c>
      <c r="K704" t="n">
        <v>0</v>
      </c>
      <c r="L704" t="n">
        <v>0</v>
      </c>
      <c r="M704" t="n">
        <v>0</v>
      </c>
      <c r="N704" t="n">
        <v>0</v>
      </c>
      <c r="O704" t="n">
        <v>0</v>
      </c>
      <c r="P704" t="n">
        <v>0</v>
      </c>
      <c r="Q704" t="n">
        <v>0</v>
      </c>
      <c r="R704" s="2" t="inlineStr"/>
    </row>
    <row r="705" ht="15" customHeight="1">
      <c r="A705" t="inlineStr">
        <is>
          <t>A 62101-2024</t>
        </is>
      </c>
      <c r="B705" s="1" t="n">
        <v>45656.51119212963</v>
      </c>
      <c r="C705" s="1" t="n">
        <v>45911</v>
      </c>
      <c r="D705" t="inlineStr">
        <is>
          <t>VÄSTERBOTTENS LÄN</t>
        </is>
      </c>
      <c r="E705" t="inlineStr">
        <is>
          <t>VILHELMINA</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12825-2023</t>
        </is>
      </c>
      <c r="B706" s="1" t="n">
        <v>45000</v>
      </c>
      <c r="C706" s="1" t="n">
        <v>45911</v>
      </c>
      <c r="D706" t="inlineStr">
        <is>
          <t>VÄSTERBOTTENS LÄN</t>
        </is>
      </c>
      <c r="E706" t="inlineStr">
        <is>
          <t>VILHELMINA</t>
        </is>
      </c>
      <c r="G706" t="n">
        <v>22.4</v>
      </c>
      <c r="H706" t="n">
        <v>0</v>
      </c>
      <c r="I706" t="n">
        <v>0</v>
      </c>
      <c r="J706" t="n">
        <v>0</v>
      </c>
      <c r="K706" t="n">
        <v>0</v>
      </c>
      <c r="L706" t="n">
        <v>0</v>
      </c>
      <c r="M706" t="n">
        <v>0</v>
      </c>
      <c r="N706" t="n">
        <v>0</v>
      </c>
      <c r="O706" t="n">
        <v>0</v>
      </c>
      <c r="P706" t="n">
        <v>0</v>
      </c>
      <c r="Q706" t="n">
        <v>0</v>
      </c>
      <c r="R706" s="2" t="inlineStr"/>
    </row>
    <row r="707" ht="15" customHeight="1">
      <c r="A707" t="inlineStr">
        <is>
          <t>A 20336-2025</t>
        </is>
      </c>
      <c r="B707" s="1" t="n">
        <v>45775.36528935185</v>
      </c>
      <c r="C707" s="1" t="n">
        <v>45911</v>
      </c>
      <c r="D707" t="inlineStr">
        <is>
          <t>VÄSTERBOTTENS LÄN</t>
        </is>
      </c>
      <c r="E707" t="inlineStr">
        <is>
          <t>VILHELMINA</t>
        </is>
      </c>
      <c r="F707" t="inlineStr">
        <is>
          <t>SCA</t>
        </is>
      </c>
      <c r="G707" t="n">
        <v>9.4</v>
      </c>
      <c r="H707" t="n">
        <v>0</v>
      </c>
      <c r="I707" t="n">
        <v>0</v>
      </c>
      <c r="J707" t="n">
        <v>0</v>
      </c>
      <c r="K707" t="n">
        <v>0</v>
      </c>
      <c r="L707" t="n">
        <v>0</v>
      </c>
      <c r="M707" t="n">
        <v>0</v>
      </c>
      <c r="N707" t="n">
        <v>0</v>
      </c>
      <c r="O707" t="n">
        <v>0</v>
      </c>
      <c r="P707" t="n">
        <v>0</v>
      </c>
      <c r="Q707" t="n">
        <v>0</v>
      </c>
      <c r="R707" s="2" t="inlineStr"/>
    </row>
    <row r="708" ht="15" customHeight="1">
      <c r="A708" t="inlineStr">
        <is>
          <t>A 237-2025</t>
        </is>
      </c>
      <c r="B708" s="1" t="n">
        <v>45660.40270833333</v>
      </c>
      <c r="C708" s="1" t="n">
        <v>45911</v>
      </c>
      <c r="D708" t="inlineStr">
        <is>
          <t>VÄSTERBOTTENS LÄN</t>
        </is>
      </c>
      <c r="E708" t="inlineStr">
        <is>
          <t>VILHELMINA</t>
        </is>
      </c>
      <c r="G708" t="n">
        <v>4.6</v>
      </c>
      <c r="H708" t="n">
        <v>0</v>
      </c>
      <c r="I708" t="n">
        <v>0</v>
      </c>
      <c r="J708" t="n">
        <v>0</v>
      </c>
      <c r="K708" t="n">
        <v>0</v>
      </c>
      <c r="L708" t="n">
        <v>0</v>
      </c>
      <c r="M708" t="n">
        <v>0</v>
      </c>
      <c r="N708" t="n">
        <v>0</v>
      </c>
      <c r="O708" t="n">
        <v>0</v>
      </c>
      <c r="P708" t="n">
        <v>0</v>
      </c>
      <c r="Q708" t="n">
        <v>0</v>
      </c>
      <c r="R708" s="2" t="inlineStr"/>
    </row>
    <row r="709" ht="15" customHeight="1">
      <c r="A709" t="inlineStr">
        <is>
          <t>A 242-2025</t>
        </is>
      </c>
      <c r="B709" s="1" t="n">
        <v>45660.41033564815</v>
      </c>
      <c r="C709" s="1" t="n">
        <v>45911</v>
      </c>
      <c r="D709" t="inlineStr">
        <is>
          <t>VÄSTERBOTTENS LÄN</t>
        </is>
      </c>
      <c r="E709" t="inlineStr">
        <is>
          <t>VILHELMINA</t>
        </is>
      </c>
      <c r="G709" t="n">
        <v>2.7</v>
      </c>
      <c r="H709" t="n">
        <v>0</v>
      </c>
      <c r="I709" t="n">
        <v>0</v>
      </c>
      <c r="J709" t="n">
        <v>0</v>
      </c>
      <c r="K709" t="n">
        <v>0</v>
      </c>
      <c r="L709" t="n">
        <v>0</v>
      </c>
      <c r="M709" t="n">
        <v>0</v>
      </c>
      <c r="N709" t="n">
        <v>0</v>
      </c>
      <c r="O709" t="n">
        <v>0</v>
      </c>
      <c r="P709" t="n">
        <v>0</v>
      </c>
      <c r="Q709" t="n">
        <v>0</v>
      </c>
      <c r="R709" s="2" t="inlineStr"/>
    </row>
    <row r="710" ht="15" customHeight="1">
      <c r="A710" t="inlineStr">
        <is>
          <t>A 296-2025</t>
        </is>
      </c>
      <c r="B710" s="1" t="n">
        <v>45660.53215277778</v>
      </c>
      <c r="C710" s="1" t="n">
        <v>45911</v>
      </c>
      <c r="D710" t="inlineStr">
        <is>
          <t>VÄSTERBOTTENS LÄN</t>
        </is>
      </c>
      <c r="E710" t="inlineStr">
        <is>
          <t>VILHELMINA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41171-2025</t>
        </is>
      </c>
      <c r="B711" s="1" t="n">
        <v>45898</v>
      </c>
      <c r="C711" s="1" t="n">
        <v>45911</v>
      </c>
      <c r="D711" t="inlineStr">
        <is>
          <t>VÄSTERBOTTENS LÄN</t>
        </is>
      </c>
      <c r="E711" t="inlineStr">
        <is>
          <t>VILHELMINA</t>
        </is>
      </c>
      <c r="F711" t="inlineStr">
        <is>
          <t>Övriga Aktiebolag</t>
        </is>
      </c>
      <c r="G711" t="n">
        <v>5.6</v>
      </c>
      <c r="H711" t="n">
        <v>0</v>
      </c>
      <c r="I711" t="n">
        <v>0</v>
      </c>
      <c r="J711" t="n">
        <v>0</v>
      </c>
      <c r="K711" t="n">
        <v>0</v>
      </c>
      <c r="L711" t="n">
        <v>0</v>
      </c>
      <c r="M711" t="n">
        <v>0</v>
      </c>
      <c r="N711" t="n">
        <v>0</v>
      </c>
      <c r="O711" t="n">
        <v>0</v>
      </c>
      <c r="P711" t="n">
        <v>0</v>
      </c>
      <c r="Q711" t="n">
        <v>0</v>
      </c>
      <c r="R711" s="2" t="inlineStr"/>
    </row>
    <row r="712" ht="15" customHeight="1">
      <c r="A712" t="inlineStr">
        <is>
          <t>A 468-2024</t>
        </is>
      </c>
      <c r="B712" s="1" t="n">
        <v>45297</v>
      </c>
      <c r="C712" s="1" t="n">
        <v>45911</v>
      </c>
      <c r="D712" t="inlineStr">
        <is>
          <t>VÄSTERBOTTENS LÄN</t>
        </is>
      </c>
      <c r="E712" t="inlineStr">
        <is>
          <t>VILHELMINA</t>
        </is>
      </c>
      <c r="G712" t="n">
        <v>6.7</v>
      </c>
      <c r="H712" t="n">
        <v>0</v>
      </c>
      <c r="I712" t="n">
        <v>0</v>
      </c>
      <c r="J712" t="n">
        <v>0</v>
      </c>
      <c r="K712" t="n">
        <v>0</v>
      </c>
      <c r="L712" t="n">
        <v>0</v>
      </c>
      <c r="M712" t="n">
        <v>0</v>
      </c>
      <c r="N712" t="n">
        <v>0</v>
      </c>
      <c r="O712" t="n">
        <v>0</v>
      </c>
      <c r="P712" t="n">
        <v>0</v>
      </c>
      <c r="Q712" t="n">
        <v>0</v>
      </c>
      <c r="R712" s="2" t="inlineStr"/>
    </row>
    <row r="713" ht="15" customHeight="1">
      <c r="A713" t="inlineStr">
        <is>
          <t>A 19349-2024</t>
        </is>
      </c>
      <c r="B713" s="1" t="n">
        <v>45428.97231481481</v>
      </c>
      <c r="C713" s="1" t="n">
        <v>45911</v>
      </c>
      <c r="D713" t="inlineStr">
        <is>
          <t>VÄSTERBOTTENS LÄN</t>
        </is>
      </c>
      <c r="E713" t="inlineStr">
        <is>
          <t>VILHELMINA</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18692-2023</t>
        </is>
      </c>
      <c r="B714" s="1" t="n">
        <v>45042</v>
      </c>
      <c r="C714" s="1" t="n">
        <v>45911</v>
      </c>
      <c r="D714" t="inlineStr">
        <is>
          <t>VÄSTERBOTTENS LÄN</t>
        </is>
      </c>
      <c r="E714" t="inlineStr">
        <is>
          <t>VILHELMINA</t>
        </is>
      </c>
      <c r="F714" t="inlineStr">
        <is>
          <t>Allmännings- och besparingsskogar</t>
        </is>
      </c>
      <c r="G714" t="n">
        <v>0.6</v>
      </c>
      <c r="H714" t="n">
        <v>0</v>
      </c>
      <c r="I714" t="n">
        <v>0</v>
      </c>
      <c r="J714" t="n">
        <v>0</v>
      </c>
      <c r="K714" t="n">
        <v>0</v>
      </c>
      <c r="L714" t="n">
        <v>0</v>
      </c>
      <c r="M714" t="n">
        <v>0</v>
      </c>
      <c r="N714" t="n">
        <v>0</v>
      </c>
      <c r="O714" t="n">
        <v>0</v>
      </c>
      <c r="P714" t="n">
        <v>0</v>
      </c>
      <c r="Q714" t="n">
        <v>0</v>
      </c>
      <c r="R714" s="2" t="inlineStr"/>
    </row>
    <row r="715" ht="15" customHeight="1">
      <c r="A715" t="inlineStr">
        <is>
          <t>A 15639-2024</t>
        </is>
      </c>
      <c r="B715" s="1" t="n">
        <v>45403</v>
      </c>
      <c r="C715" s="1" t="n">
        <v>45911</v>
      </c>
      <c r="D715" t="inlineStr">
        <is>
          <t>VÄSTERBOTTENS LÄN</t>
        </is>
      </c>
      <c r="E715" t="inlineStr">
        <is>
          <t>VILHELMINA</t>
        </is>
      </c>
      <c r="G715" t="n">
        <v>81.90000000000001</v>
      </c>
      <c r="H715" t="n">
        <v>0</v>
      </c>
      <c r="I715" t="n">
        <v>0</v>
      </c>
      <c r="J715" t="n">
        <v>0</v>
      </c>
      <c r="K715" t="n">
        <v>0</v>
      </c>
      <c r="L715" t="n">
        <v>0</v>
      </c>
      <c r="M715" t="n">
        <v>0</v>
      </c>
      <c r="N715" t="n">
        <v>0</v>
      </c>
      <c r="O715" t="n">
        <v>0</v>
      </c>
      <c r="P715" t="n">
        <v>0</v>
      </c>
      <c r="Q715" t="n">
        <v>0</v>
      </c>
      <c r="R715" s="2" t="inlineStr"/>
    </row>
    <row r="716" ht="15" customHeight="1">
      <c r="A716" t="inlineStr">
        <is>
          <t>A 58363-2021</t>
        </is>
      </c>
      <c r="B716" s="1" t="n">
        <v>44488</v>
      </c>
      <c r="C716" s="1" t="n">
        <v>45911</v>
      </c>
      <c r="D716" t="inlineStr">
        <is>
          <t>VÄSTERBOTTENS LÄN</t>
        </is>
      </c>
      <c r="E716" t="inlineStr">
        <is>
          <t>VILHELMINA</t>
        </is>
      </c>
      <c r="G716" t="n">
        <v>7.3</v>
      </c>
      <c r="H716" t="n">
        <v>0</v>
      </c>
      <c r="I716" t="n">
        <v>0</v>
      </c>
      <c r="J716" t="n">
        <v>0</v>
      </c>
      <c r="K716" t="n">
        <v>0</v>
      </c>
      <c r="L716" t="n">
        <v>0</v>
      </c>
      <c r="M716" t="n">
        <v>0</v>
      </c>
      <c r="N716" t="n">
        <v>0</v>
      </c>
      <c r="O716" t="n">
        <v>0</v>
      </c>
      <c r="P716" t="n">
        <v>0</v>
      </c>
      <c r="Q716" t="n">
        <v>0</v>
      </c>
      <c r="R716" s="2" t="inlineStr"/>
    </row>
    <row r="717" ht="15" customHeight="1">
      <c r="A717" t="inlineStr">
        <is>
          <t>A 8750-2021</t>
        </is>
      </c>
      <c r="B717" s="1" t="n">
        <v>44246</v>
      </c>
      <c r="C717" s="1" t="n">
        <v>45911</v>
      </c>
      <c r="D717" t="inlineStr">
        <is>
          <t>VÄSTERBOTTENS LÄN</t>
        </is>
      </c>
      <c r="E717" t="inlineStr">
        <is>
          <t>VILHELMINA</t>
        </is>
      </c>
      <c r="G717" t="n">
        <v>5.2</v>
      </c>
      <c r="H717" t="n">
        <v>0</v>
      </c>
      <c r="I717" t="n">
        <v>0</v>
      </c>
      <c r="J717" t="n">
        <v>0</v>
      </c>
      <c r="K717" t="n">
        <v>0</v>
      </c>
      <c r="L717" t="n">
        <v>0</v>
      </c>
      <c r="M717" t="n">
        <v>0</v>
      </c>
      <c r="N717" t="n">
        <v>0</v>
      </c>
      <c r="O717" t="n">
        <v>0</v>
      </c>
      <c r="P717" t="n">
        <v>0</v>
      </c>
      <c r="Q717" t="n">
        <v>0</v>
      </c>
      <c r="R717" s="2" t="inlineStr"/>
    </row>
    <row r="718" ht="15" customHeight="1">
      <c r="A718" t="inlineStr">
        <is>
          <t>A 31696-2024</t>
        </is>
      </c>
      <c r="B718" s="1" t="n">
        <v>45508</v>
      </c>
      <c r="C718" s="1" t="n">
        <v>45911</v>
      </c>
      <c r="D718" t="inlineStr">
        <is>
          <t>VÄSTERBOTTENS LÄN</t>
        </is>
      </c>
      <c r="E718" t="inlineStr">
        <is>
          <t>VILHELMINA</t>
        </is>
      </c>
      <c r="G718" t="n">
        <v>7.7</v>
      </c>
      <c r="H718" t="n">
        <v>0</v>
      </c>
      <c r="I718" t="n">
        <v>0</v>
      </c>
      <c r="J718" t="n">
        <v>0</v>
      </c>
      <c r="K718" t="n">
        <v>0</v>
      </c>
      <c r="L718" t="n">
        <v>0</v>
      </c>
      <c r="M718" t="n">
        <v>0</v>
      </c>
      <c r="N718" t="n">
        <v>0</v>
      </c>
      <c r="O718" t="n">
        <v>0</v>
      </c>
      <c r="P718" t="n">
        <v>0</v>
      </c>
      <c r="Q718" t="n">
        <v>0</v>
      </c>
      <c r="R718" s="2" t="inlineStr"/>
    </row>
    <row r="719" ht="15" customHeight="1">
      <c r="A719" t="inlineStr">
        <is>
          <t>A 56830-2023</t>
        </is>
      </c>
      <c r="B719" s="1" t="n">
        <v>45238</v>
      </c>
      <c r="C719" s="1" t="n">
        <v>45911</v>
      </c>
      <c r="D719" t="inlineStr">
        <is>
          <t>VÄSTERBOTTENS LÄN</t>
        </is>
      </c>
      <c r="E719" t="inlineStr">
        <is>
          <t>VILHELMINA</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56847-2023</t>
        </is>
      </c>
      <c r="B720" s="1" t="n">
        <v>45238</v>
      </c>
      <c r="C720" s="1" t="n">
        <v>45911</v>
      </c>
      <c r="D720" t="inlineStr">
        <is>
          <t>VÄSTERBOTTENS LÄN</t>
        </is>
      </c>
      <c r="E720" t="inlineStr">
        <is>
          <t>VILHELMINA</t>
        </is>
      </c>
      <c r="F720" t="inlineStr">
        <is>
          <t>Allmännings- och besparingsskogar</t>
        </is>
      </c>
      <c r="G720" t="n">
        <v>41</v>
      </c>
      <c r="H720" t="n">
        <v>0</v>
      </c>
      <c r="I720" t="n">
        <v>0</v>
      </c>
      <c r="J720" t="n">
        <v>0</v>
      </c>
      <c r="K720" t="n">
        <v>0</v>
      </c>
      <c r="L720" t="n">
        <v>0</v>
      </c>
      <c r="M720" t="n">
        <v>0</v>
      </c>
      <c r="N720" t="n">
        <v>0</v>
      </c>
      <c r="O720" t="n">
        <v>0</v>
      </c>
      <c r="P720" t="n">
        <v>0</v>
      </c>
      <c r="Q720" t="n">
        <v>0</v>
      </c>
      <c r="R720" s="2" t="inlineStr"/>
    </row>
    <row r="721" ht="15" customHeight="1">
      <c r="A721" t="inlineStr">
        <is>
          <t>A 20534-2025</t>
        </is>
      </c>
      <c r="B721" s="1" t="n">
        <v>45775.61550925926</v>
      </c>
      <c r="C721" s="1" t="n">
        <v>45911</v>
      </c>
      <c r="D721" t="inlineStr">
        <is>
          <t>VÄSTERBOTTENS LÄN</t>
        </is>
      </c>
      <c r="E721" t="inlineStr">
        <is>
          <t>VILHELMINA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56823-2023</t>
        </is>
      </c>
      <c r="B722" s="1" t="n">
        <v>45238</v>
      </c>
      <c r="C722" s="1" t="n">
        <v>45911</v>
      </c>
      <c r="D722" t="inlineStr">
        <is>
          <t>VÄSTERBOTTENS LÄN</t>
        </is>
      </c>
      <c r="E722" t="inlineStr">
        <is>
          <t>VILHELMINA</t>
        </is>
      </c>
      <c r="F722" t="inlineStr">
        <is>
          <t>Allmännings- och besparingsskogar</t>
        </is>
      </c>
      <c r="G722" t="n">
        <v>82</v>
      </c>
      <c r="H722" t="n">
        <v>0</v>
      </c>
      <c r="I722" t="n">
        <v>0</v>
      </c>
      <c r="J722" t="n">
        <v>0</v>
      </c>
      <c r="K722" t="n">
        <v>0</v>
      </c>
      <c r="L722" t="n">
        <v>0</v>
      </c>
      <c r="M722" t="n">
        <v>0</v>
      </c>
      <c r="N722" t="n">
        <v>0</v>
      </c>
      <c r="O722" t="n">
        <v>0</v>
      </c>
      <c r="P722" t="n">
        <v>0</v>
      </c>
      <c r="Q722" t="n">
        <v>0</v>
      </c>
      <c r="R722" s="2" t="inlineStr"/>
    </row>
    <row r="723" ht="15" customHeight="1">
      <c r="A723" t="inlineStr">
        <is>
          <t>A 47193-2020</t>
        </is>
      </c>
      <c r="B723" s="1" t="n">
        <v>44097</v>
      </c>
      <c r="C723" s="1" t="n">
        <v>45911</v>
      </c>
      <c r="D723" t="inlineStr">
        <is>
          <t>VÄSTERBOTTENS LÄN</t>
        </is>
      </c>
      <c r="E723" t="inlineStr">
        <is>
          <t>VILHELMINA</t>
        </is>
      </c>
      <c r="G723" t="n">
        <v>6.8</v>
      </c>
      <c r="H723" t="n">
        <v>0</v>
      </c>
      <c r="I723" t="n">
        <v>0</v>
      </c>
      <c r="J723" t="n">
        <v>0</v>
      </c>
      <c r="K723" t="n">
        <v>0</v>
      </c>
      <c r="L723" t="n">
        <v>0</v>
      </c>
      <c r="M723" t="n">
        <v>0</v>
      </c>
      <c r="N723" t="n">
        <v>0</v>
      </c>
      <c r="O723" t="n">
        <v>0</v>
      </c>
      <c r="P723" t="n">
        <v>0</v>
      </c>
      <c r="Q723" t="n">
        <v>0</v>
      </c>
      <c r="R723" s="2" t="inlineStr"/>
    </row>
    <row r="724" ht="15" customHeight="1">
      <c r="A724" t="inlineStr">
        <is>
          <t>A 48423-2023</t>
        </is>
      </c>
      <c r="B724" s="1" t="n">
        <v>45205</v>
      </c>
      <c r="C724" s="1" t="n">
        <v>45911</v>
      </c>
      <c r="D724" t="inlineStr">
        <is>
          <t>VÄSTERBOTTENS LÄN</t>
        </is>
      </c>
      <c r="E724" t="inlineStr">
        <is>
          <t>VILHELMINA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60842-2023</t>
        </is>
      </c>
      <c r="B725" s="1" t="n">
        <v>45260.9258912037</v>
      </c>
      <c r="C725" s="1" t="n">
        <v>45911</v>
      </c>
      <c r="D725" t="inlineStr">
        <is>
          <t>VÄSTERBOTTENS LÄN</t>
        </is>
      </c>
      <c r="E725" t="inlineStr">
        <is>
          <t>VILHELMINA</t>
        </is>
      </c>
      <c r="G725" t="n">
        <v>2.9</v>
      </c>
      <c r="H725" t="n">
        <v>0</v>
      </c>
      <c r="I725" t="n">
        <v>0</v>
      </c>
      <c r="J725" t="n">
        <v>0</v>
      </c>
      <c r="K725" t="n">
        <v>0</v>
      </c>
      <c r="L725" t="n">
        <v>0</v>
      </c>
      <c r="M725" t="n">
        <v>0</v>
      </c>
      <c r="N725" t="n">
        <v>0</v>
      </c>
      <c r="O725" t="n">
        <v>0</v>
      </c>
      <c r="P725" t="n">
        <v>0</v>
      </c>
      <c r="Q725" t="n">
        <v>0</v>
      </c>
      <c r="R725" s="2" t="inlineStr"/>
    </row>
    <row r="726" ht="15" customHeight="1">
      <c r="A726" t="inlineStr">
        <is>
          <t>A 6706-2021</t>
        </is>
      </c>
      <c r="B726" s="1" t="n">
        <v>44235</v>
      </c>
      <c r="C726" s="1" t="n">
        <v>45911</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53606-2024</t>
        </is>
      </c>
      <c r="B727" s="1" t="n">
        <v>45614</v>
      </c>
      <c r="C727" s="1" t="n">
        <v>45911</v>
      </c>
      <c r="D727" t="inlineStr">
        <is>
          <t>VÄSTERBOTTENS LÄN</t>
        </is>
      </c>
      <c r="E727" t="inlineStr">
        <is>
          <t>VILHELMINA</t>
        </is>
      </c>
      <c r="F727" t="inlineStr">
        <is>
          <t>SCA</t>
        </is>
      </c>
      <c r="G727" t="n">
        <v>10.1</v>
      </c>
      <c r="H727" t="n">
        <v>0</v>
      </c>
      <c r="I727" t="n">
        <v>0</v>
      </c>
      <c r="J727" t="n">
        <v>0</v>
      </c>
      <c r="K727" t="n">
        <v>0</v>
      </c>
      <c r="L727" t="n">
        <v>0</v>
      </c>
      <c r="M727" t="n">
        <v>0</v>
      </c>
      <c r="N727" t="n">
        <v>0</v>
      </c>
      <c r="O727" t="n">
        <v>0</v>
      </c>
      <c r="P727" t="n">
        <v>0</v>
      </c>
      <c r="Q727" t="n">
        <v>0</v>
      </c>
      <c r="R727" s="2" t="inlineStr"/>
    </row>
    <row r="728" ht="15" customHeight="1">
      <c r="A728" t="inlineStr">
        <is>
          <t>A 33786-2024</t>
        </is>
      </c>
      <c r="B728" s="1" t="n">
        <v>45520.58966435185</v>
      </c>
      <c r="C728" s="1" t="n">
        <v>45911</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28869-2024</t>
        </is>
      </c>
      <c r="B729" s="1" t="n">
        <v>45478.94722222222</v>
      </c>
      <c r="C729" s="1" t="n">
        <v>45911</v>
      </c>
      <c r="D729" t="inlineStr">
        <is>
          <t>VÄSTERBOTTENS LÄN</t>
        </is>
      </c>
      <c r="E729" t="inlineStr">
        <is>
          <t>VILHELMINA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12374-2025</t>
        </is>
      </c>
      <c r="B730" s="1" t="n">
        <v>45730</v>
      </c>
      <c r="C730" s="1" t="n">
        <v>45911</v>
      </c>
      <c r="D730" t="inlineStr">
        <is>
          <t>VÄSTERBOTTENS LÄN</t>
        </is>
      </c>
      <c r="E730" t="inlineStr">
        <is>
          <t>VILHELMINA</t>
        </is>
      </c>
      <c r="F730" t="inlineStr">
        <is>
          <t>Övriga statliga verk och myndigheter</t>
        </is>
      </c>
      <c r="G730" t="n">
        <v>18.7</v>
      </c>
      <c r="H730" t="n">
        <v>0</v>
      </c>
      <c r="I730" t="n">
        <v>0</v>
      </c>
      <c r="J730" t="n">
        <v>0</v>
      </c>
      <c r="K730" t="n">
        <v>0</v>
      </c>
      <c r="L730" t="n">
        <v>0</v>
      </c>
      <c r="M730" t="n">
        <v>0</v>
      </c>
      <c r="N730" t="n">
        <v>0</v>
      </c>
      <c r="O730" t="n">
        <v>0</v>
      </c>
      <c r="P730" t="n">
        <v>0</v>
      </c>
      <c r="Q730" t="n">
        <v>0</v>
      </c>
      <c r="R730" s="2" t="inlineStr"/>
    </row>
    <row r="731" ht="15" customHeight="1">
      <c r="A731" t="inlineStr">
        <is>
          <t>A 12375-2025</t>
        </is>
      </c>
      <c r="B731" s="1" t="n">
        <v>45730</v>
      </c>
      <c r="C731" s="1" t="n">
        <v>45911</v>
      </c>
      <c r="D731" t="inlineStr">
        <is>
          <t>VÄSTERBOTTENS LÄN</t>
        </is>
      </c>
      <c r="E731" t="inlineStr">
        <is>
          <t>VILHELMINA</t>
        </is>
      </c>
      <c r="F731" t="inlineStr">
        <is>
          <t>Övriga statliga verk och myndigheter</t>
        </is>
      </c>
      <c r="G731" t="n">
        <v>22.3</v>
      </c>
      <c r="H731" t="n">
        <v>0</v>
      </c>
      <c r="I731" t="n">
        <v>0</v>
      </c>
      <c r="J731" t="n">
        <v>0</v>
      </c>
      <c r="K731" t="n">
        <v>0</v>
      </c>
      <c r="L731" t="n">
        <v>0</v>
      </c>
      <c r="M731" t="n">
        <v>0</v>
      </c>
      <c r="N731" t="n">
        <v>0</v>
      </c>
      <c r="O731" t="n">
        <v>0</v>
      </c>
      <c r="P731" t="n">
        <v>0</v>
      </c>
      <c r="Q731" t="n">
        <v>0</v>
      </c>
      <c r="R731" s="2" t="inlineStr"/>
    </row>
    <row r="732" ht="15" customHeight="1">
      <c r="A732" t="inlineStr">
        <is>
          <t>A 25102-2021</t>
        </is>
      </c>
      <c r="B732" s="1" t="n">
        <v>44341</v>
      </c>
      <c r="C732" s="1" t="n">
        <v>45911</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20322-2022</t>
        </is>
      </c>
      <c r="B733" s="1" t="n">
        <v>44698</v>
      </c>
      <c r="C733" s="1" t="n">
        <v>45911</v>
      </c>
      <c r="D733" t="inlineStr">
        <is>
          <t>VÄSTERBOTTENS LÄN</t>
        </is>
      </c>
      <c r="E733" t="inlineStr">
        <is>
          <t>VILHELMINA</t>
        </is>
      </c>
      <c r="G733" t="n">
        <v>10.5</v>
      </c>
      <c r="H733" t="n">
        <v>0</v>
      </c>
      <c r="I733" t="n">
        <v>0</v>
      </c>
      <c r="J733" t="n">
        <v>0</v>
      </c>
      <c r="K733" t="n">
        <v>0</v>
      </c>
      <c r="L733" t="n">
        <v>0</v>
      </c>
      <c r="M733" t="n">
        <v>0</v>
      </c>
      <c r="N733" t="n">
        <v>0</v>
      </c>
      <c r="O733" t="n">
        <v>0</v>
      </c>
      <c r="P733" t="n">
        <v>0</v>
      </c>
      <c r="Q733" t="n">
        <v>0</v>
      </c>
      <c r="R733" s="2" t="inlineStr"/>
    </row>
    <row r="734" ht="15" customHeight="1">
      <c r="A734" t="inlineStr">
        <is>
          <t>A 2742-2023</t>
        </is>
      </c>
      <c r="B734" s="1" t="n">
        <v>44943</v>
      </c>
      <c r="C734" s="1" t="n">
        <v>45911</v>
      </c>
      <c r="D734" t="inlineStr">
        <is>
          <t>VÄSTERBOTTENS LÄN</t>
        </is>
      </c>
      <c r="E734" t="inlineStr">
        <is>
          <t>VILHELMINA</t>
        </is>
      </c>
      <c r="G734" t="n">
        <v>34.8</v>
      </c>
      <c r="H734" t="n">
        <v>0</v>
      </c>
      <c r="I734" t="n">
        <v>0</v>
      </c>
      <c r="J734" t="n">
        <v>0</v>
      </c>
      <c r="K734" t="n">
        <v>0</v>
      </c>
      <c r="L734" t="n">
        <v>0</v>
      </c>
      <c r="M734" t="n">
        <v>0</v>
      </c>
      <c r="N734" t="n">
        <v>0</v>
      </c>
      <c r="O734" t="n">
        <v>0</v>
      </c>
      <c r="P734" t="n">
        <v>0</v>
      </c>
      <c r="Q734" t="n">
        <v>0</v>
      </c>
      <c r="R734" s="2" t="inlineStr"/>
    </row>
    <row r="735" ht="15" customHeight="1">
      <c r="A735" t="inlineStr">
        <is>
          <t>A 26947-2024</t>
        </is>
      </c>
      <c r="B735" s="1" t="n">
        <v>45470.9693287037</v>
      </c>
      <c r="C735" s="1" t="n">
        <v>45911</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35888-2025</t>
        </is>
      </c>
      <c r="B736" s="1" t="n">
        <v>45862.44034722223</v>
      </c>
      <c r="C736" s="1" t="n">
        <v>45911</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55688-2023</t>
        </is>
      </c>
      <c r="B737" s="1" t="n">
        <v>45232</v>
      </c>
      <c r="C737" s="1" t="n">
        <v>45911</v>
      </c>
      <c r="D737" t="inlineStr">
        <is>
          <t>VÄSTERBOTTENS LÄN</t>
        </is>
      </c>
      <c r="E737" t="inlineStr">
        <is>
          <t>VILHELMINA</t>
        </is>
      </c>
      <c r="G737" t="n">
        <v>6.4</v>
      </c>
      <c r="H737" t="n">
        <v>0</v>
      </c>
      <c r="I737" t="n">
        <v>0</v>
      </c>
      <c r="J737" t="n">
        <v>0</v>
      </c>
      <c r="K737" t="n">
        <v>0</v>
      </c>
      <c r="L737" t="n">
        <v>0</v>
      </c>
      <c r="M737" t="n">
        <v>0</v>
      </c>
      <c r="N737" t="n">
        <v>0</v>
      </c>
      <c r="O737" t="n">
        <v>0</v>
      </c>
      <c r="P737" t="n">
        <v>0</v>
      </c>
      <c r="Q737" t="n">
        <v>0</v>
      </c>
      <c r="R737" s="2" t="inlineStr"/>
    </row>
    <row r="738" ht="15" customHeight="1">
      <c r="A738" t="inlineStr">
        <is>
          <t>A 26557-2023</t>
        </is>
      </c>
      <c r="B738" s="1" t="n">
        <v>45089</v>
      </c>
      <c r="C738" s="1" t="n">
        <v>45911</v>
      </c>
      <c r="D738" t="inlineStr">
        <is>
          <t>VÄSTERBOTTENS LÄN</t>
        </is>
      </c>
      <c r="E738" t="inlineStr">
        <is>
          <t>VILHELMINA</t>
        </is>
      </c>
      <c r="G738" t="n">
        <v>0.5</v>
      </c>
      <c r="H738" t="n">
        <v>0</v>
      </c>
      <c r="I738" t="n">
        <v>0</v>
      </c>
      <c r="J738" t="n">
        <v>0</v>
      </c>
      <c r="K738" t="n">
        <v>0</v>
      </c>
      <c r="L738" t="n">
        <v>0</v>
      </c>
      <c r="M738" t="n">
        <v>0</v>
      </c>
      <c r="N738" t="n">
        <v>0</v>
      </c>
      <c r="O738" t="n">
        <v>0</v>
      </c>
      <c r="P738" t="n">
        <v>0</v>
      </c>
      <c r="Q738" t="n">
        <v>0</v>
      </c>
      <c r="R738" s="2" t="inlineStr"/>
    </row>
    <row r="739" ht="15" customHeight="1">
      <c r="A739" t="inlineStr">
        <is>
          <t>A 38384-2025</t>
        </is>
      </c>
      <c r="B739" s="1" t="n">
        <v>45883</v>
      </c>
      <c r="C739" s="1" t="n">
        <v>45911</v>
      </c>
      <c r="D739" t="inlineStr">
        <is>
          <t>VÄSTERBOTTENS LÄN</t>
        </is>
      </c>
      <c r="E739" t="inlineStr">
        <is>
          <t>VILHELMINA</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10268-2025</t>
        </is>
      </c>
      <c r="B740" s="1" t="n">
        <v>45720</v>
      </c>
      <c r="C740" s="1" t="n">
        <v>45911</v>
      </c>
      <c r="D740" t="inlineStr">
        <is>
          <t>VÄSTERBOTTENS LÄN</t>
        </is>
      </c>
      <c r="E740" t="inlineStr">
        <is>
          <t>VILHELMINA</t>
        </is>
      </c>
      <c r="G740" t="n">
        <v>1.9</v>
      </c>
      <c r="H740" t="n">
        <v>0</v>
      </c>
      <c r="I740" t="n">
        <v>0</v>
      </c>
      <c r="J740" t="n">
        <v>0</v>
      </c>
      <c r="K740" t="n">
        <v>0</v>
      </c>
      <c r="L740" t="n">
        <v>0</v>
      </c>
      <c r="M740" t="n">
        <v>0</v>
      </c>
      <c r="N740" t="n">
        <v>0</v>
      </c>
      <c r="O740" t="n">
        <v>0</v>
      </c>
      <c r="P740" t="n">
        <v>0</v>
      </c>
      <c r="Q740" t="n">
        <v>0</v>
      </c>
      <c r="R740" s="2" t="inlineStr"/>
    </row>
    <row r="741" ht="15" customHeight="1">
      <c r="A741" t="inlineStr">
        <is>
          <t>A 36957-2023</t>
        </is>
      </c>
      <c r="B741" s="1" t="n">
        <v>45154.92628472222</v>
      </c>
      <c r="C741" s="1" t="n">
        <v>45911</v>
      </c>
      <c r="D741" t="inlineStr">
        <is>
          <t>VÄSTERBOTTENS LÄN</t>
        </is>
      </c>
      <c r="E741" t="inlineStr">
        <is>
          <t>VILHELMINA</t>
        </is>
      </c>
      <c r="G741" t="n">
        <v>0.5</v>
      </c>
      <c r="H741" t="n">
        <v>0</v>
      </c>
      <c r="I741" t="n">
        <v>0</v>
      </c>
      <c r="J741" t="n">
        <v>0</v>
      </c>
      <c r="K741" t="n">
        <v>0</v>
      </c>
      <c r="L741" t="n">
        <v>0</v>
      </c>
      <c r="M741" t="n">
        <v>0</v>
      </c>
      <c r="N741" t="n">
        <v>0</v>
      </c>
      <c r="O741" t="n">
        <v>0</v>
      </c>
      <c r="P741" t="n">
        <v>0</v>
      </c>
      <c r="Q741" t="n">
        <v>0</v>
      </c>
      <c r="R741" s="2" t="inlineStr"/>
    </row>
    <row r="742" ht="15" customHeight="1">
      <c r="A742" t="inlineStr">
        <is>
          <t>A 35886-2025</t>
        </is>
      </c>
      <c r="B742" s="1" t="n">
        <v>45862</v>
      </c>
      <c r="C742" s="1" t="n">
        <v>45911</v>
      </c>
      <c r="D742" t="inlineStr">
        <is>
          <t>VÄSTERBOTTENS LÄN</t>
        </is>
      </c>
      <c r="E742" t="inlineStr">
        <is>
          <t>VILHELMINA</t>
        </is>
      </c>
      <c r="G742" t="n">
        <v>7</v>
      </c>
      <c r="H742" t="n">
        <v>0</v>
      </c>
      <c r="I742" t="n">
        <v>0</v>
      </c>
      <c r="J742" t="n">
        <v>0</v>
      </c>
      <c r="K742" t="n">
        <v>0</v>
      </c>
      <c r="L742" t="n">
        <v>0</v>
      </c>
      <c r="M742" t="n">
        <v>0</v>
      </c>
      <c r="N742" t="n">
        <v>0</v>
      </c>
      <c r="O742" t="n">
        <v>0</v>
      </c>
      <c r="P742" t="n">
        <v>0</v>
      </c>
      <c r="Q742" t="n">
        <v>0</v>
      </c>
      <c r="R742" s="2" t="inlineStr"/>
    </row>
    <row r="743" ht="15" customHeight="1">
      <c r="A743" t="inlineStr">
        <is>
          <t>A 61270-2022</t>
        </is>
      </c>
      <c r="B743" s="1" t="n">
        <v>44909</v>
      </c>
      <c r="C743" s="1" t="n">
        <v>45911</v>
      </c>
      <c r="D743" t="inlineStr">
        <is>
          <t>VÄSTERBOTTENS LÄN</t>
        </is>
      </c>
      <c r="E743" t="inlineStr">
        <is>
          <t>VILHELMINA</t>
        </is>
      </c>
      <c r="G743" t="n">
        <v>8.9</v>
      </c>
      <c r="H743" t="n">
        <v>0</v>
      </c>
      <c r="I743" t="n">
        <v>0</v>
      </c>
      <c r="J743" t="n">
        <v>0</v>
      </c>
      <c r="K743" t="n">
        <v>0</v>
      </c>
      <c r="L743" t="n">
        <v>0</v>
      </c>
      <c r="M743" t="n">
        <v>0</v>
      </c>
      <c r="N743" t="n">
        <v>0</v>
      </c>
      <c r="O743" t="n">
        <v>0</v>
      </c>
      <c r="P743" t="n">
        <v>0</v>
      </c>
      <c r="Q743" t="n">
        <v>0</v>
      </c>
      <c r="R743" s="2" t="inlineStr"/>
    </row>
    <row r="744" ht="15" customHeight="1">
      <c r="A744" t="inlineStr">
        <is>
          <t>A 60227-2022</t>
        </is>
      </c>
      <c r="B744" s="1" t="n">
        <v>44903</v>
      </c>
      <c r="C744" s="1" t="n">
        <v>45911</v>
      </c>
      <c r="D744" t="inlineStr">
        <is>
          <t>VÄSTERBOTTENS LÄN</t>
        </is>
      </c>
      <c r="E744" t="inlineStr">
        <is>
          <t>VILHELMINA</t>
        </is>
      </c>
      <c r="G744" t="n">
        <v>11</v>
      </c>
      <c r="H744" t="n">
        <v>0</v>
      </c>
      <c r="I744" t="n">
        <v>0</v>
      </c>
      <c r="J744" t="n">
        <v>0</v>
      </c>
      <c r="K744" t="n">
        <v>0</v>
      </c>
      <c r="L744" t="n">
        <v>0</v>
      </c>
      <c r="M744" t="n">
        <v>0</v>
      </c>
      <c r="N744" t="n">
        <v>0</v>
      </c>
      <c r="O744" t="n">
        <v>0</v>
      </c>
      <c r="P744" t="n">
        <v>0</v>
      </c>
      <c r="Q744" t="n">
        <v>0</v>
      </c>
      <c r="R744" s="2" t="inlineStr"/>
    </row>
    <row r="745" ht="15" customHeight="1">
      <c r="A745" t="inlineStr">
        <is>
          <t>A 10956-2023</t>
        </is>
      </c>
      <c r="B745" s="1" t="n">
        <v>44985</v>
      </c>
      <c r="C745" s="1" t="n">
        <v>45911</v>
      </c>
      <c r="D745" t="inlineStr">
        <is>
          <t>VÄSTERBOTTENS LÄN</t>
        </is>
      </c>
      <c r="E745" t="inlineStr">
        <is>
          <t>VILHELMINA</t>
        </is>
      </c>
      <c r="G745" t="n">
        <v>3.3</v>
      </c>
      <c r="H745" t="n">
        <v>0</v>
      </c>
      <c r="I745" t="n">
        <v>0</v>
      </c>
      <c r="J745" t="n">
        <v>0</v>
      </c>
      <c r="K745" t="n">
        <v>0</v>
      </c>
      <c r="L745" t="n">
        <v>0</v>
      </c>
      <c r="M745" t="n">
        <v>0</v>
      </c>
      <c r="N745" t="n">
        <v>0</v>
      </c>
      <c r="O745" t="n">
        <v>0</v>
      </c>
      <c r="P745" t="n">
        <v>0</v>
      </c>
      <c r="Q745" t="n">
        <v>0</v>
      </c>
      <c r="R745" s="2" t="inlineStr"/>
    </row>
    <row r="746" ht="15" customHeight="1">
      <c r="A746" t="inlineStr">
        <is>
          <t>A 19223-2025</t>
        </is>
      </c>
      <c r="B746" s="1" t="n">
        <v>45769</v>
      </c>
      <c r="C746" s="1" t="n">
        <v>45911</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41704-2025</t>
        </is>
      </c>
      <c r="B747" s="1" t="n">
        <v>45902</v>
      </c>
      <c r="C747" s="1" t="n">
        <v>45911</v>
      </c>
      <c r="D747" t="inlineStr">
        <is>
          <t>VÄSTERBOTTENS LÄN</t>
        </is>
      </c>
      <c r="E747" t="inlineStr">
        <is>
          <t>VILHELMINA</t>
        </is>
      </c>
      <c r="G747" t="n">
        <v>3.3</v>
      </c>
      <c r="H747" t="n">
        <v>0</v>
      </c>
      <c r="I747" t="n">
        <v>0</v>
      </c>
      <c r="J747" t="n">
        <v>0</v>
      </c>
      <c r="K747" t="n">
        <v>0</v>
      </c>
      <c r="L747" t="n">
        <v>0</v>
      </c>
      <c r="M747" t="n">
        <v>0</v>
      </c>
      <c r="N747" t="n">
        <v>0</v>
      </c>
      <c r="O747" t="n">
        <v>0</v>
      </c>
      <c r="P747" t="n">
        <v>0</v>
      </c>
      <c r="Q747" t="n">
        <v>0</v>
      </c>
      <c r="R747" s="2" t="inlineStr"/>
    </row>
    <row r="748" ht="15" customHeight="1">
      <c r="A748" t="inlineStr">
        <is>
          <t>A 56396-2022</t>
        </is>
      </c>
      <c r="B748" s="1" t="n">
        <v>44890</v>
      </c>
      <c r="C748" s="1" t="n">
        <v>45911</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22440-2025</t>
        </is>
      </c>
      <c r="B749" s="1" t="n">
        <v>45786</v>
      </c>
      <c r="C749" s="1" t="n">
        <v>45911</v>
      </c>
      <c r="D749" t="inlineStr">
        <is>
          <t>VÄSTERBOTTENS LÄN</t>
        </is>
      </c>
      <c r="E749" t="inlineStr">
        <is>
          <t>VILHELMINA</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12784-2023</t>
        </is>
      </c>
      <c r="B750" s="1" t="n">
        <v>45000</v>
      </c>
      <c r="C750" s="1" t="n">
        <v>45911</v>
      </c>
      <c r="D750" t="inlineStr">
        <is>
          <t>VÄSTERBOTTENS LÄN</t>
        </is>
      </c>
      <c r="E750" t="inlineStr">
        <is>
          <t>VILHELMINA</t>
        </is>
      </c>
      <c r="G750" t="n">
        <v>18.6</v>
      </c>
      <c r="H750" t="n">
        <v>0</v>
      </c>
      <c r="I750" t="n">
        <v>0</v>
      </c>
      <c r="J750" t="n">
        <v>0</v>
      </c>
      <c r="K750" t="n">
        <v>0</v>
      </c>
      <c r="L750" t="n">
        <v>0</v>
      </c>
      <c r="M750" t="n">
        <v>0</v>
      </c>
      <c r="N750" t="n">
        <v>0</v>
      </c>
      <c r="O750" t="n">
        <v>0</v>
      </c>
      <c r="P750" t="n">
        <v>0</v>
      </c>
      <c r="Q750" t="n">
        <v>0</v>
      </c>
      <c r="R750" s="2" t="inlineStr"/>
    </row>
    <row r="751" ht="15" customHeight="1">
      <c r="A751" t="inlineStr">
        <is>
          <t>A 11139-2022</t>
        </is>
      </c>
      <c r="B751" s="1" t="n">
        <v>44628</v>
      </c>
      <c r="C751" s="1" t="n">
        <v>45911</v>
      </c>
      <c r="D751" t="inlineStr">
        <is>
          <t>VÄSTERBOTTENS LÄN</t>
        </is>
      </c>
      <c r="E751" t="inlineStr">
        <is>
          <t>VILHELMINA</t>
        </is>
      </c>
      <c r="G751" t="n">
        <v>13.6</v>
      </c>
      <c r="H751" t="n">
        <v>0</v>
      </c>
      <c r="I751" t="n">
        <v>0</v>
      </c>
      <c r="J751" t="n">
        <v>0</v>
      </c>
      <c r="K751" t="n">
        <v>0</v>
      </c>
      <c r="L751" t="n">
        <v>0</v>
      </c>
      <c r="M751" t="n">
        <v>0</v>
      </c>
      <c r="N751" t="n">
        <v>0</v>
      </c>
      <c r="O751" t="n">
        <v>0</v>
      </c>
      <c r="P751" t="n">
        <v>0</v>
      </c>
      <c r="Q751" t="n">
        <v>0</v>
      </c>
      <c r="R751" s="2" t="inlineStr"/>
    </row>
    <row r="752" ht="15" customHeight="1">
      <c r="A752" t="inlineStr">
        <is>
          <t>A 38297-2024</t>
        </is>
      </c>
      <c r="B752" s="1" t="n">
        <v>45545</v>
      </c>
      <c r="C752" s="1" t="n">
        <v>45911</v>
      </c>
      <c r="D752" t="inlineStr">
        <is>
          <t>VÄSTERBOTTENS LÄN</t>
        </is>
      </c>
      <c r="E752" t="inlineStr">
        <is>
          <t>VILHELMINA</t>
        </is>
      </c>
      <c r="G752" t="n">
        <v>139.8</v>
      </c>
      <c r="H752" t="n">
        <v>0</v>
      </c>
      <c r="I752" t="n">
        <v>0</v>
      </c>
      <c r="J752" t="n">
        <v>0</v>
      </c>
      <c r="K752" t="n">
        <v>0</v>
      </c>
      <c r="L752" t="n">
        <v>0</v>
      </c>
      <c r="M752" t="n">
        <v>0</v>
      </c>
      <c r="N752" t="n">
        <v>0</v>
      </c>
      <c r="O752" t="n">
        <v>0</v>
      </c>
      <c r="P752" t="n">
        <v>0</v>
      </c>
      <c r="Q752" t="n">
        <v>0</v>
      </c>
      <c r="R752" s="2" t="inlineStr"/>
    </row>
    <row r="753" ht="15" customHeight="1">
      <c r="A753" t="inlineStr">
        <is>
          <t>A 5947-2023</t>
        </is>
      </c>
      <c r="B753" s="1" t="n">
        <v>44963.92259259259</v>
      </c>
      <c r="C753" s="1" t="n">
        <v>45911</v>
      </c>
      <c r="D753" t="inlineStr">
        <is>
          <t>VÄSTERBOTTENS LÄN</t>
        </is>
      </c>
      <c r="E753" t="inlineStr">
        <is>
          <t>VILHELMINA</t>
        </is>
      </c>
      <c r="G753" t="n">
        <v>4.3</v>
      </c>
      <c r="H753" t="n">
        <v>0</v>
      </c>
      <c r="I753" t="n">
        <v>0</v>
      </c>
      <c r="J753" t="n">
        <v>0</v>
      </c>
      <c r="K753" t="n">
        <v>0</v>
      </c>
      <c r="L753" t="n">
        <v>0</v>
      </c>
      <c r="M753" t="n">
        <v>0</v>
      </c>
      <c r="N753" t="n">
        <v>0</v>
      </c>
      <c r="O753" t="n">
        <v>0</v>
      </c>
      <c r="P753" t="n">
        <v>0</v>
      </c>
      <c r="Q753" t="n">
        <v>0</v>
      </c>
      <c r="R753" s="2" t="inlineStr"/>
    </row>
    <row r="754" ht="15" customHeight="1">
      <c r="A754" t="inlineStr">
        <is>
          <t>A 65179-2021</t>
        </is>
      </c>
      <c r="B754" s="1" t="n">
        <v>44515</v>
      </c>
      <c r="C754" s="1" t="n">
        <v>45911</v>
      </c>
      <c r="D754" t="inlineStr">
        <is>
          <t>VÄSTERBOTTENS LÄN</t>
        </is>
      </c>
      <c r="E754" t="inlineStr">
        <is>
          <t>VILHELMINA</t>
        </is>
      </c>
      <c r="G754" t="n">
        <v>8</v>
      </c>
      <c r="H754" t="n">
        <v>0</v>
      </c>
      <c r="I754" t="n">
        <v>0</v>
      </c>
      <c r="J754" t="n">
        <v>0</v>
      </c>
      <c r="K754" t="n">
        <v>0</v>
      </c>
      <c r="L754" t="n">
        <v>0</v>
      </c>
      <c r="M754" t="n">
        <v>0</v>
      </c>
      <c r="N754" t="n">
        <v>0</v>
      </c>
      <c r="O754" t="n">
        <v>0</v>
      </c>
      <c r="P754" t="n">
        <v>0</v>
      </c>
      <c r="Q754" t="n">
        <v>0</v>
      </c>
      <c r="R754" s="2" t="inlineStr"/>
    </row>
    <row r="755" ht="15" customHeight="1">
      <c r="A755" t="inlineStr">
        <is>
          <t>A 40468-2021</t>
        </is>
      </c>
      <c r="B755" s="1" t="n">
        <v>44419.94174768519</v>
      </c>
      <c r="C755" s="1" t="n">
        <v>45911</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42360-2025</t>
        </is>
      </c>
      <c r="B756" s="1" t="n">
        <v>45904</v>
      </c>
      <c r="C756" s="1" t="n">
        <v>45911</v>
      </c>
      <c r="D756" t="inlineStr">
        <is>
          <t>VÄSTERBOTTENS LÄN</t>
        </is>
      </c>
      <c r="E756" t="inlineStr">
        <is>
          <t>VILHELMINA</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42382-2025</t>
        </is>
      </c>
      <c r="B757" s="1" t="n">
        <v>45904</v>
      </c>
      <c r="C757" s="1" t="n">
        <v>45911</v>
      </c>
      <c r="D757" t="inlineStr">
        <is>
          <t>VÄSTERBOTTENS LÄN</t>
        </is>
      </c>
      <c r="E757" t="inlineStr">
        <is>
          <t>VILHELMINA</t>
        </is>
      </c>
      <c r="F757" t="inlineStr">
        <is>
          <t>Övriga Aktiebolag</t>
        </is>
      </c>
      <c r="G757" t="n">
        <v>6.2</v>
      </c>
      <c r="H757" t="n">
        <v>0</v>
      </c>
      <c r="I757" t="n">
        <v>0</v>
      </c>
      <c r="J757" t="n">
        <v>0</v>
      </c>
      <c r="K757" t="n">
        <v>0</v>
      </c>
      <c r="L757" t="n">
        <v>0</v>
      </c>
      <c r="M757" t="n">
        <v>0</v>
      </c>
      <c r="N757" t="n">
        <v>0</v>
      </c>
      <c r="O757" t="n">
        <v>0</v>
      </c>
      <c r="P757" t="n">
        <v>0</v>
      </c>
      <c r="Q757" t="n">
        <v>0</v>
      </c>
      <c r="R757" s="2" t="inlineStr"/>
    </row>
    <row r="758" ht="15" customHeight="1">
      <c r="A758" t="inlineStr">
        <is>
          <t>A 16720-2025</t>
        </is>
      </c>
      <c r="B758" s="1" t="n">
        <v>45754.49039351852</v>
      </c>
      <c r="C758" s="1" t="n">
        <v>45911</v>
      </c>
      <c r="D758" t="inlineStr">
        <is>
          <t>VÄSTERBOTTENS LÄN</t>
        </is>
      </c>
      <c r="E758" t="inlineStr">
        <is>
          <t>VILHELMINA</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59022-2024</t>
        </is>
      </c>
      <c r="B759" s="1" t="n">
        <v>45636</v>
      </c>
      <c r="C759" s="1" t="n">
        <v>45911</v>
      </c>
      <c r="D759" t="inlineStr">
        <is>
          <t>VÄSTERBOTTENS LÄN</t>
        </is>
      </c>
      <c r="E759" t="inlineStr">
        <is>
          <t>VILHELMINA</t>
        </is>
      </c>
      <c r="F759" t="inlineStr">
        <is>
          <t>Allmännings- och besparingsskogar</t>
        </is>
      </c>
      <c r="G759" t="n">
        <v>35.1</v>
      </c>
      <c r="H759" t="n">
        <v>0</v>
      </c>
      <c r="I759" t="n">
        <v>0</v>
      </c>
      <c r="J759" t="n">
        <v>0</v>
      </c>
      <c r="K759" t="n">
        <v>0</v>
      </c>
      <c r="L759" t="n">
        <v>0</v>
      </c>
      <c r="M759" t="n">
        <v>0</v>
      </c>
      <c r="N759" t="n">
        <v>0</v>
      </c>
      <c r="O759" t="n">
        <v>0</v>
      </c>
      <c r="P759" t="n">
        <v>0</v>
      </c>
      <c r="Q759" t="n">
        <v>0</v>
      </c>
      <c r="R759" s="2" t="inlineStr"/>
    </row>
    <row r="760" ht="15" customHeight="1">
      <c r="A760" t="inlineStr">
        <is>
          <t>A 26499-2024</t>
        </is>
      </c>
      <c r="B760" s="1" t="n">
        <v>45469</v>
      </c>
      <c r="C760" s="1" t="n">
        <v>45911</v>
      </c>
      <c r="D760" t="inlineStr">
        <is>
          <t>VÄSTERBOTTENS LÄN</t>
        </is>
      </c>
      <c r="E760" t="inlineStr">
        <is>
          <t>VILHELMINA</t>
        </is>
      </c>
      <c r="F760" t="inlineStr">
        <is>
          <t>Sveaskog</t>
        </is>
      </c>
      <c r="G760" t="n">
        <v>5.1</v>
      </c>
      <c r="H760" t="n">
        <v>0</v>
      </c>
      <c r="I760" t="n">
        <v>0</v>
      </c>
      <c r="J760" t="n">
        <v>0</v>
      </c>
      <c r="K760" t="n">
        <v>0</v>
      </c>
      <c r="L760" t="n">
        <v>0</v>
      </c>
      <c r="M760" t="n">
        <v>0</v>
      </c>
      <c r="N760" t="n">
        <v>0</v>
      </c>
      <c r="O760" t="n">
        <v>0</v>
      </c>
      <c r="P760" t="n">
        <v>0</v>
      </c>
      <c r="Q760" t="n">
        <v>0</v>
      </c>
      <c r="R760" s="2" t="inlineStr"/>
    </row>
    <row r="761" ht="15" customHeight="1">
      <c r="A761" t="inlineStr">
        <is>
          <t>A 402-2023</t>
        </is>
      </c>
      <c r="B761" s="1" t="n">
        <v>44923</v>
      </c>
      <c r="C761" s="1" t="n">
        <v>45911</v>
      </c>
      <c r="D761" t="inlineStr">
        <is>
          <t>VÄSTERBOTTENS LÄN</t>
        </is>
      </c>
      <c r="E761" t="inlineStr">
        <is>
          <t>VILHELMINA</t>
        </is>
      </c>
      <c r="G761" t="n">
        <v>14.7</v>
      </c>
      <c r="H761" t="n">
        <v>0</v>
      </c>
      <c r="I761" t="n">
        <v>0</v>
      </c>
      <c r="J761" t="n">
        <v>0</v>
      </c>
      <c r="K761" t="n">
        <v>0</v>
      </c>
      <c r="L761" t="n">
        <v>0</v>
      </c>
      <c r="M761" t="n">
        <v>0</v>
      </c>
      <c r="N761" t="n">
        <v>0</v>
      </c>
      <c r="O761" t="n">
        <v>0</v>
      </c>
      <c r="P761" t="n">
        <v>0</v>
      </c>
      <c r="Q761" t="n">
        <v>0</v>
      </c>
      <c r="R761" s="2" t="inlineStr"/>
    </row>
    <row r="762" ht="15" customHeight="1">
      <c r="A762" t="inlineStr">
        <is>
          <t>A 40732-2024</t>
        </is>
      </c>
      <c r="B762" s="1" t="n">
        <v>45558</v>
      </c>
      <c r="C762" s="1" t="n">
        <v>45911</v>
      </c>
      <c r="D762" t="inlineStr">
        <is>
          <t>VÄSTERBOTTENS LÄN</t>
        </is>
      </c>
      <c r="E762" t="inlineStr">
        <is>
          <t>VILHELMINA</t>
        </is>
      </c>
      <c r="F762" t="inlineStr">
        <is>
          <t>Allmännings- och besparingsskogar</t>
        </is>
      </c>
      <c r="G762" t="n">
        <v>89.59999999999999</v>
      </c>
      <c r="H762" t="n">
        <v>0</v>
      </c>
      <c r="I762" t="n">
        <v>0</v>
      </c>
      <c r="J762" t="n">
        <v>0</v>
      </c>
      <c r="K762" t="n">
        <v>0</v>
      </c>
      <c r="L762" t="n">
        <v>0</v>
      </c>
      <c r="M762" t="n">
        <v>0</v>
      </c>
      <c r="N762" t="n">
        <v>0</v>
      </c>
      <c r="O762" t="n">
        <v>0</v>
      </c>
      <c r="P762" t="n">
        <v>0</v>
      </c>
      <c r="Q762" t="n">
        <v>0</v>
      </c>
      <c r="R762" s="2" t="inlineStr"/>
    </row>
    <row r="763" ht="15" customHeight="1">
      <c r="A763" t="inlineStr">
        <is>
          <t>A 59031-2024</t>
        </is>
      </c>
      <c r="B763" s="1" t="n">
        <v>45636</v>
      </c>
      <c r="C763" s="1" t="n">
        <v>45911</v>
      </c>
      <c r="D763" t="inlineStr">
        <is>
          <t>VÄSTERBOTTENS LÄN</t>
        </is>
      </c>
      <c r="E763" t="inlineStr">
        <is>
          <t>VILHELMINA</t>
        </is>
      </c>
      <c r="G763" t="n">
        <v>38.9</v>
      </c>
      <c r="H763" t="n">
        <v>0</v>
      </c>
      <c r="I763" t="n">
        <v>0</v>
      </c>
      <c r="J763" t="n">
        <v>0</v>
      </c>
      <c r="K763" t="n">
        <v>0</v>
      </c>
      <c r="L763" t="n">
        <v>0</v>
      </c>
      <c r="M763" t="n">
        <v>0</v>
      </c>
      <c r="N763" t="n">
        <v>0</v>
      </c>
      <c r="O763" t="n">
        <v>0</v>
      </c>
      <c r="P763" t="n">
        <v>0</v>
      </c>
      <c r="Q763" t="n">
        <v>0</v>
      </c>
      <c r="R763" s="2" t="inlineStr"/>
    </row>
    <row r="764" ht="15" customHeight="1">
      <c r="A764" t="inlineStr">
        <is>
          <t>A 6638-2025</t>
        </is>
      </c>
      <c r="B764" s="1" t="n">
        <v>45700</v>
      </c>
      <c r="C764" s="1" t="n">
        <v>45911</v>
      </c>
      <c r="D764" t="inlineStr">
        <is>
          <t>VÄSTERBOTTENS LÄN</t>
        </is>
      </c>
      <c r="E764" t="inlineStr">
        <is>
          <t>VILHELMINA</t>
        </is>
      </c>
      <c r="G764" t="n">
        <v>21.5</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45911</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210-2022</t>
        </is>
      </c>
      <c r="B766" s="1" t="n">
        <v>44564.80189814815</v>
      </c>
      <c r="C766" s="1" t="n">
        <v>45911</v>
      </c>
      <c r="D766" t="inlineStr">
        <is>
          <t>VÄSTERBOTTENS LÄN</t>
        </is>
      </c>
      <c r="E766" t="inlineStr">
        <is>
          <t>VILHELMINA</t>
        </is>
      </c>
      <c r="G766" t="n">
        <v>2</v>
      </c>
      <c r="H766" t="n">
        <v>0</v>
      </c>
      <c r="I766" t="n">
        <v>0</v>
      </c>
      <c r="J766" t="n">
        <v>0</v>
      </c>
      <c r="K766" t="n">
        <v>0</v>
      </c>
      <c r="L766" t="n">
        <v>0</v>
      </c>
      <c r="M766" t="n">
        <v>0</v>
      </c>
      <c r="N766" t="n">
        <v>0</v>
      </c>
      <c r="O766" t="n">
        <v>0</v>
      </c>
      <c r="P766" t="n">
        <v>0</v>
      </c>
      <c r="Q766" t="n">
        <v>0</v>
      </c>
      <c r="R766" s="2" t="inlineStr"/>
    </row>
    <row r="767" ht="15" customHeight="1">
      <c r="A767" t="inlineStr">
        <is>
          <t>A 36408-2023</t>
        </is>
      </c>
      <c r="B767" s="1" t="n">
        <v>45152</v>
      </c>
      <c r="C767" s="1" t="n">
        <v>45911</v>
      </c>
      <c r="D767" t="inlineStr">
        <is>
          <t>VÄSTERBOTTENS LÄN</t>
        </is>
      </c>
      <c r="E767" t="inlineStr">
        <is>
          <t>VILHELMINA</t>
        </is>
      </c>
      <c r="G767" t="n">
        <v>4.4</v>
      </c>
      <c r="H767" t="n">
        <v>0</v>
      </c>
      <c r="I767" t="n">
        <v>0</v>
      </c>
      <c r="J767" t="n">
        <v>0</v>
      </c>
      <c r="K767" t="n">
        <v>0</v>
      </c>
      <c r="L767" t="n">
        <v>0</v>
      </c>
      <c r="M767" t="n">
        <v>0</v>
      </c>
      <c r="N767" t="n">
        <v>0</v>
      </c>
      <c r="O767" t="n">
        <v>0</v>
      </c>
      <c r="P767" t="n">
        <v>0</v>
      </c>
      <c r="Q767" t="n">
        <v>0</v>
      </c>
      <c r="R767" s="2" t="inlineStr"/>
    </row>
    <row r="768" ht="15" customHeight="1">
      <c r="A768" t="inlineStr">
        <is>
          <t>A 16719-2025</t>
        </is>
      </c>
      <c r="B768" s="1" t="n">
        <v>45754.49008101852</v>
      </c>
      <c r="C768" s="1" t="n">
        <v>45911</v>
      </c>
      <c r="D768" t="inlineStr">
        <is>
          <t>VÄSTERBOTTENS LÄN</t>
        </is>
      </c>
      <c r="E768" t="inlineStr">
        <is>
          <t>VILHELMINA</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37325-2022</t>
        </is>
      </c>
      <c r="B769" s="1" t="n">
        <v>44806</v>
      </c>
      <c r="C769" s="1" t="n">
        <v>45911</v>
      </c>
      <c r="D769" t="inlineStr">
        <is>
          <t>VÄSTERBOTTENS LÄN</t>
        </is>
      </c>
      <c r="E769" t="inlineStr">
        <is>
          <t>VILHELMINA</t>
        </is>
      </c>
      <c r="F769" t="inlineStr">
        <is>
          <t>Övriga statliga verk och myndigheter</t>
        </is>
      </c>
      <c r="G769" t="n">
        <v>11</v>
      </c>
      <c r="H769" t="n">
        <v>0</v>
      </c>
      <c r="I769" t="n">
        <v>0</v>
      </c>
      <c r="J769" t="n">
        <v>0</v>
      </c>
      <c r="K769" t="n">
        <v>0</v>
      </c>
      <c r="L769" t="n">
        <v>0</v>
      </c>
      <c r="M769" t="n">
        <v>0</v>
      </c>
      <c r="N769" t="n">
        <v>0</v>
      </c>
      <c r="O769" t="n">
        <v>0</v>
      </c>
      <c r="P769" t="n">
        <v>0</v>
      </c>
      <c r="Q769" t="n">
        <v>0</v>
      </c>
      <c r="R769" s="2" t="inlineStr"/>
    </row>
    <row r="770" ht="15" customHeight="1">
      <c r="A770" t="inlineStr">
        <is>
          <t>A 37346-2024</t>
        </is>
      </c>
      <c r="B770" s="1" t="n">
        <v>45540</v>
      </c>
      <c r="C770" s="1" t="n">
        <v>45911</v>
      </c>
      <c r="D770" t="inlineStr">
        <is>
          <t>VÄSTERBOTTENS LÄN</t>
        </is>
      </c>
      <c r="E770" t="inlineStr">
        <is>
          <t>VILHELMINA</t>
        </is>
      </c>
      <c r="G770" t="n">
        <v>100.3</v>
      </c>
      <c r="H770" t="n">
        <v>0</v>
      </c>
      <c r="I770" t="n">
        <v>0</v>
      </c>
      <c r="J770" t="n">
        <v>0</v>
      </c>
      <c r="K770" t="n">
        <v>0</v>
      </c>
      <c r="L770" t="n">
        <v>0</v>
      </c>
      <c r="M770" t="n">
        <v>0</v>
      </c>
      <c r="N770" t="n">
        <v>0</v>
      </c>
      <c r="O770" t="n">
        <v>0</v>
      </c>
      <c r="P770" t="n">
        <v>0</v>
      </c>
      <c r="Q770" t="n">
        <v>0</v>
      </c>
      <c r="R770" s="2" t="inlineStr"/>
    </row>
    <row r="771" ht="15" customHeight="1">
      <c r="A771" t="inlineStr">
        <is>
          <t>A 40726-2024</t>
        </is>
      </c>
      <c r="B771" s="1" t="n">
        <v>45558</v>
      </c>
      <c r="C771" s="1" t="n">
        <v>45911</v>
      </c>
      <c r="D771" t="inlineStr">
        <is>
          <t>VÄSTERBOTTENS LÄN</t>
        </is>
      </c>
      <c r="E771" t="inlineStr">
        <is>
          <t>VILHELMINA</t>
        </is>
      </c>
      <c r="F771" t="inlineStr">
        <is>
          <t>Allmännings- och besparingsskogar</t>
        </is>
      </c>
      <c r="G771" t="n">
        <v>73.59999999999999</v>
      </c>
      <c r="H771" t="n">
        <v>0</v>
      </c>
      <c r="I771" t="n">
        <v>0</v>
      </c>
      <c r="J771" t="n">
        <v>0</v>
      </c>
      <c r="K771" t="n">
        <v>0</v>
      </c>
      <c r="L771" t="n">
        <v>0</v>
      </c>
      <c r="M771" t="n">
        <v>0</v>
      </c>
      <c r="N771" t="n">
        <v>0</v>
      </c>
      <c r="O771" t="n">
        <v>0</v>
      </c>
      <c r="P771" t="n">
        <v>0</v>
      </c>
      <c r="Q771" t="n">
        <v>0</v>
      </c>
      <c r="R771" s="2" t="inlineStr"/>
    </row>
    <row r="772" ht="15" customHeight="1">
      <c r="A772" t="inlineStr">
        <is>
          <t>A 57108-2023</t>
        </is>
      </c>
      <c r="B772" s="1" t="n">
        <v>45239</v>
      </c>
      <c r="C772" s="1" t="n">
        <v>45911</v>
      </c>
      <c r="D772" t="inlineStr">
        <is>
          <t>VÄSTERBOTTENS LÄN</t>
        </is>
      </c>
      <c r="E772" t="inlineStr">
        <is>
          <t>VILHELMINA</t>
        </is>
      </c>
      <c r="G772" t="n">
        <v>0.6</v>
      </c>
      <c r="H772" t="n">
        <v>0</v>
      </c>
      <c r="I772" t="n">
        <v>0</v>
      </c>
      <c r="J772" t="n">
        <v>0</v>
      </c>
      <c r="K772" t="n">
        <v>0</v>
      </c>
      <c r="L772" t="n">
        <v>0</v>
      </c>
      <c r="M772" t="n">
        <v>0</v>
      </c>
      <c r="N772" t="n">
        <v>0</v>
      </c>
      <c r="O772" t="n">
        <v>0</v>
      </c>
      <c r="P772" t="n">
        <v>0</v>
      </c>
      <c r="Q772" t="n">
        <v>0</v>
      </c>
      <c r="R772" s="2" t="inlineStr"/>
    </row>
    <row r="773" ht="15" customHeight="1">
      <c r="A773" t="inlineStr">
        <is>
          <t>A 8733-2023</t>
        </is>
      </c>
      <c r="B773" s="1" t="n">
        <v>44972</v>
      </c>
      <c r="C773" s="1" t="n">
        <v>45911</v>
      </c>
      <c r="D773" t="inlineStr">
        <is>
          <t>VÄSTERBOTTENS LÄN</t>
        </is>
      </c>
      <c r="E773" t="inlineStr">
        <is>
          <t>VILHELMINA</t>
        </is>
      </c>
      <c r="F773" t="inlineStr">
        <is>
          <t>Allmännings- och besparingsskogar</t>
        </is>
      </c>
      <c r="G773" t="n">
        <v>20</v>
      </c>
      <c r="H773" t="n">
        <v>0</v>
      </c>
      <c r="I773" t="n">
        <v>0</v>
      </c>
      <c r="J773" t="n">
        <v>0</v>
      </c>
      <c r="K773" t="n">
        <v>0</v>
      </c>
      <c r="L773" t="n">
        <v>0</v>
      </c>
      <c r="M773" t="n">
        <v>0</v>
      </c>
      <c r="N773" t="n">
        <v>0</v>
      </c>
      <c r="O773" t="n">
        <v>0</v>
      </c>
      <c r="P773" t="n">
        <v>0</v>
      </c>
      <c r="Q773" t="n">
        <v>0</v>
      </c>
      <c r="R773" s="2" t="inlineStr"/>
    </row>
    <row r="774" ht="15" customHeight="1">
      <c r="A774" t="inlineStr">
        <is>
          <t>A 8759-2023</t>
        </is>
      </c>
      <c r="B774" s="1" t="n">
        <v>44972</v>
      </c>
      <c r="C774" s="1" t="n">
        <v>45911</v>
      </c>
      <c r="D774" t="inlineStr">
        <is>
          <t>VÄSTERBOTTENS LÄN</t>
        </is>
      </c>
      <c r="E774" t="inlineStr">
        <is>
          <t>VILHELMINA</t>
        </is>
      </c>
      <c r="F774" t="inlineStr">
        <is>
          <t>Allmännings- och besparingsskogar</t>
        </is>
      </c>
      <c r="G774" t="n">
        <v>23.4</v>
      </c>
      <c r="H774" t="n">
        <v>0</v>
      </c>
      <c r="I774" t="n">
        <v>0</v>
      </c>
      <c r="J774" t="n">
        <v>0</v>
      </c>
      <c r="K774" t="n">
        <v>0</v>
      </c>
      <c r="L774" t="n">
        <v>0</v>
      </c>
      <c r="M774" t="n">
        <v>0</v>
      </c>
      <c r="N774" t="n">
        <v>0</v>
      </c>
      <c r="O774" t="n">
        <v>0</v>
      </c>
      <c r="P774" t="n">
        <v>0</v>
      </c>
      <c r="Q774" t="n">
        <v>0</v>
      </c>
      <c r="R774" s="2" t="inlineStr"/>
    </row>
    <row r="775" ht="15" customHeight="1">
      <c r="A775" t="inlineStr">
        <is>
          <t>A 38555-2024</t>
        </is>
      </c>
      <c r="B775" s="1" t="n">
        <v>45546</v>
      </c>
      <c r="C775" s="1" t="n">
        <v>45911</v>
      </c>
      <c r="D775" t="inlineStr">
        <is>
          <t>VÄSTERBOTTENS LÄN</t>
        </is>
      </c>
      <c r="E775" t="inlineStr">
        <is>
          <t>VILHELMINA</t>
        </is>
      </c>
      <c r="G775" t="n">
        <v>7.8</v>
      </c>
      <c r="H775" t="n">
        <v>0</v>
      </c>
      <c r="I775" t="n">
        <v>0</v>
      </c>
      <c r="J775" t="n">
        <v>0</v>
      </c>
      <c r="K775" t="n">
        <v>0</v>
      </c>
      <c r="L775" t="n">
        <v>0</v>
      </c>
      <c r="M775" t="n">
        <v>0</v>
      </c>
      <c r="N775" t="n">
        <v>0</v>
      </c>
      <c r="O775" t="n">
        <v>0</v>
      </c>
      <c r="P775" t="n">
        <v>0</v>
      </c>
      <c r="Q775" t="n">
        <v>0</v>
      </c>
      <c r="R775" s="2" t="inlineStr"/>
    </row>
    <row r="776" ht="15" customHeight="1">
      <c r="A776" t="inlineStr">
        <is>
          <t>A 59693-2024</t>
        </is>
      </c>
      <c r="B776" s="1" t="n">
        <v>45639</v>
      </c>
      <c r="C776" s="1" t="n">
        <v>45911</v>
      </c>
      <c r="D776" t="inlineStr">
        <is>
          <t>VÄSTERBOTTENS LÄN</t>
        </is>
      </c>
      <c r="E776" t="inlineStr">
        <is>
          <t>VILHELMINA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36972-2023</t>
        </is>
      </c>
      <c r="B777" s="1" t="n">
        <v>45154</v>
      </c>
      <c r="C777" s="1" t="n">
        <v>45911</v>
      </c>
      <c r="D777" t="inlineStr">
        <is>
          <t>VÄSTERBOTTENS LÄN</t>
        </is>
      </c>
      <c r="E777" t="inlineStr">
        <is>
          <t>VILHELMINA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56891-2023</t>
        </is>
      </c>
      <c r="B778" s="1" t="n">
        <v>45239</v>
      </c>
      <c r="C778" s="1" t="n">
        <v>45911</v>
      </c>
      <c r="D778" t="inlineStr">
        <is>
          <t>VÄSTERBOTTENS LÄN</t>
        </is>
      </c>
      <c r="E778" t="inlineStr">
        <is>
          <t>VILHELMINA</t>
        </is>
      </c>
      <c r="G778" t="n">
        <v>1.1</v>
      </c>
      <c r="H778" t="n">
        <v>0</v>
      </c>
      <c r="I778" t="n">
        <v>0</v>
      </c>
      <c r="J778" t="n">
        <v>0</v>
      </c>
      <c r="K778" t="n">
        <v>0</v>
      </c>
      <c r="L778" t="n">
        <v>0</v>
      </c>
      <c r="M778" t="n">
        <v>0</v>
      </c>
      <c r="N778" t="n">
        <v>0</v>
      </c>
      <c r="O778" t="n">
        <v>0</v>
      </c>
      <c r="P778" t="n">
        <v>0</v>
      </c>
      <c r="Q778" t="n">
        <v>0</v>
      </c>
      <c r="R778" s="2" t="inlineStr"/>
    </row>
    <row r="779" ht="15" customHeight="1">
      <c r="A779" t="inlineStr">
        <is>
          <t>A 61778-2023</t>
        </is>
      </c>
      <c r="B779" s="1" t="n">
        <v>45265.95667824074</v>
      </c>
      <c r="C779" s="1" t="n">
        <v>45911</v>
      </c>
      <c r="D779" t="inlineStr">
        <is>
          <t>VÄSTERBOTTENS LÄN</t>
        </is>
      </c>
      <c r="E779" t="inlineStr">
        <is>
          <t>VILHELMINA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29104-2024</t>
        </is>
      </c>
      <c r="B780" s="1" t="n">
        <v>45481.95178240741</v>
      </c>
      <c r="C780" s="1" t="n">
        <v>45911</v>
      </c>
      <c r="D780" t="inlineStr">
        <is>
          <t>VÄSTERBOTTENS LÄN</t>
        </is>
      </c>
      <c r="E780" t="inlineStr">
        <is>
          <t>VILHELMINA</t>
        </is>
      </c>
      <c r="F780" t="inlineStr">
        <is>
          <t>SCA</t>
        </is>
      </c>
      <c r="G780" t="n">
        <v>5.1</v>
      </c>
      <c r="H780" t="n">
        <v>0</v>
      </c>
      <c r="I780" t="n">
        <v>0</v>
      </c>
      <c r="J780" t="n">
        <v>0</v>
      </c>
      <c r="K780" t="n">
        <v>0</v>
      </c>
      <c r="L780" t="n">
        <v>0</v>
      </c>
      <c r="M780" t="n">
        <v>0</v>
      </c>
      <c r="N780" t="n">
        <v>0</v>
      </c>
      <c r="O780" t="n">
        <v>0</v>
      </c>
      <c r="P780" t="n">
        <v>0</v>
      </c>
      <c r="Q780" t="n">
        <v>0</v>
      </c>
      <c r="R780" s="2" t="inlineStr"/>
    </row>
    <row r="781" ht="15" customHeight="1">
      <c r="A781" t="inlineStr">
        <is>
          <t>A 53034-2023</t>
        </is>
      </c>
      <c r="B781" s="1" t="n">
        <v>45226.96258101852</v>
      </c>
      <c r="C781" s="1" t="n">
        <v>45911</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46164-2023</t>
        </is>
      </c>
      <c r="B782" s="1" t="n">
        <v>45190</v>
      </c>
      <c r="C782" s="1" t="n">
        <v>45911</v>
      </c>
      <c r="D782" t="inlineStr">
        <is>
          <t>VÄSTERBOTTENS LÄN</t>
        </is>
      </c>
      <c r="E782" t="inlineStr">
        <is>
          <t>VILHELMINA</t>
        </is>
      </c>
      <c r="G782" t="n">
        <v>6.3</v>
      </c>
      <c r="H782" t="n">
        <v>0</v>
      </c>
      <c r="I782" t="n">
        <v>0</v>
      </c>
      <c r="J782" t="n">
        <v>0</v>
      </c>
      <c r="K782" t="n">
        <v>0</v>
      </c>
      <c r="L782" t="n">
        <v>0</v>
      </c>
      <c r="M782" t="n">
        <v>0</v>
      </c>
      <c r="N782" t="n">
        <v>0</v>
      </c>
      <c r="O782" t="n">
        <v>0</v>
      </c>
      <c r="P782" t="n">
        <v>0</v>
      </c>
      <c r="Q782" t="n">
        <v>0</v>
      </c>
      <c r="R782" s="2" t="inlineStr"/>
    </row>
    <row r="783" ht="15" customHeight="1">
      <c r="A783" t="inlineStr">
        <is>
          <t>A 33661-2023</t>
        </is>
      </c>
      <c r="B783" s="1" t="n">
        <v>45119</v>
      </c>
      <c r="C783" s="1" t="n">
        <v>45911</v>
      </c>
      <c r="D783" t="inlineStr">
        <is>
          <t>VÄSTERBOTTENS LÄN</t>
        </is>
      </c>
      <c r="E783" t="inlineStr">
        <is>
          <t>VILHELMINA</t>
        </is>
      </c>
      <c r="G783" t="n">
        <v>1.8</v>
      </c>
      <c r="H783" t="n">
        <v>0</v>
      </c>
      <c r="I783" t="n">
        <v>0</v>
      </c>
      <c r="J783" t="n">
        <v>0</v>
      </c>
      <c r="K783" t="n">
        <v>0</v>
      </c>
      <c r="L783" t="n">
        <v>0</v>
      </c>
      <c r="M783" t="n">
        <v>0</v>
      </c>
      <c r="N783" t="n">
        <v>0</v>
      </c>
      <c r="O783" t="n">
        <v>0</v>
      </c>
      <c r="P783" t="n">
        <v>0</v>
      </c>
      <c r="Q783" t="n">
        <v>0</v>
      </c>
      <c r="R783" s="2" t="inlineStr"/>
    </row>
    <row r="784" ht="15" customHeight="1">
      <c r="A784" t="inlineStr">
        <is>
          <t>A 44371-2023</t>
        </is>
      </c>
      <c r="B784" s="1" t="n">
        <v>45188</v>
      </c>
      <c r="C784" s="1" t="n">
        <v>45911</v>
      </c>
      <c r="D784" t="inlineStr">
        <is>
          <t>VÄSTERBOTTENS LÄN</t>
        </is>
      </c>
      <c r="E784" t="inlineStr">
        <is>
          <t>VILHELMINA</t>
        </is>
      </c>
      <c r="G784" t="n">
        <v>11</v>
      </c>
      <c r="H784" t="n">
        <v>0</v>
      </c>
      <c r="I784" t="n">
        <v>0</v>
      </c>
      <c r="J784" t="n">
        <v>0</v>
      </c>
      <c r="K784" t="n">
        <v>0</v>
      </c>
      <c r="L784" t="n">
        <v>0</v>
      </c>
      <c r="M784" t="n">
        <v>0</v>
      </c>
      <c r="N784" t="n">
        <v>0</v>
      </c>
      <c r="O784" t="n">
        <v>0</v>
      </c>
      <c r="P784" t="n">
        <v>0</v>
      </c>
      <c r="Q784" t="n">
        <v>0</v>
      </c>
      <c r="R784" s="2" t="inlineStr"/>
    </row>
    <row r="785" ht="15" customHeight="1">
      <c r="A785" t="inlineStr">
        <is>
          <t>A 33349-2023</t>
        </is>
      </c>
      <c r="B785" s="1" t="n">
        <v>45117</v>
      </c>
      <c r="C785" s="1" t="n">
        <v>45911</v>
      </c>
      <c r="D785" t="inlineStr">
        <is>
          <t>VÄSTERBOTTENS LÄN</t>
        </is>
      </c>
      <c r="E785" t="inlineStr">
        <is>
          <t>VILHELMINA</t>
        </is>
      </c>
      <c r="G785" t="n">
        <v>1.3</v>
      </c>
      <c r="H785" t="n">
        <v>0</v>
      </c>
      <c r="I785" t="n">
        <v>0</v>
      </c>
      <c r="J785" t="n">
        <v>0</v>
      </c>
      <c r="K785" t="n">
        <v>0</v>
      </c>
      <c r="L785" t="n">
        <v>0</v>
      </c>
      <c r="M785" t="n">
        <v>0</v>
      </c>
      <c r="N785" t="n">
        <v>0</v>
      </c>
      <c r="O785" t="n">
        <v>0</v>
      </c>
      <c r="P785" t="n">
        <v>0</v>
      </c>
      <c r="Q785" t="n">
        <v>0</v>
      </c>
      <c r="R785" s="2" t="inlineStr"/>
    </row>
    <row r="786" ht="15" customHeight="1">
      <c r="A786" t="inlineStr">
        <is>
          <t>A 58450-2024</t>
        </is>
      </c>
      <c r="B786" s="1" t="n">
        <v>45635.34425925926</v>
      </c>
      <c r="C786" s="1" t="n">
        <v>45911</v>
      </c>
      <c r="D786" t="inlineStr">
        <is>
          <t>VÄSTERBOTTENS LÄN</t>
        </is>
      </c>
      <c r="E786" t="inlineStr">
        <is>
          <t>VILHELMINA</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34763-2024</t>
        </is>
      </c>
      <c r="B787" s="1" t="n">
        <v>45526.61646990741</v>
      </c>
      <c r="C787" s="1" t="n">
        <v>45911</v>
      </c>
      <c r="D787" t="inlineStr">
        <is>
          <t>VÄSTERBOTTENS LÄN</t>
        </is>
      </c>
      <c r="E787" t="inlineStr">
        <is>
          <t>VILHELMINA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34764-2024</t>
        </is>
      </c>
      <c r="B788" s="1" t="n">
        <v>45526.61664351852</v>
      </c>
      <c r="C788" s="1" t="n">
        <v>45911</v>
      </c>
      <c r="D788" t="inlineStr">
        <is>
          <t>VÄSTERBOTTENS LÄN</t>
        </is>
      </c>
      <c r="E788" t="inlineStr">
        <is>
          <t>VILHELMINA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50505-2023</t>
        </is>
      </c>
      <c r="B789" s="1" t="n">
        <v>45216.95800925926</v>
      </c>
      <c r="C789" s="1" t="n">
        <v>45911</v>
      </c>
      <c r="D789" t="inlineStr">
        <is>
          <t>VÄSTERBOTTENS LÄN</t>
        </is>
      </c>
      <c r="E789" t="inlineStr">
        <is>
          <t>VILHELMINA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6369-2024</t>
        </is>
      </c>
      <c r="B790" s="1" t="n">
        <v>45338</v>
      </c>
      <c r="C790" s="1" t="n">
        <v>45911</v>
      </c>
      <c r="D790" t="inlineStr">
        <is>
          <t>VÄSTERBOTTENS LÄN</t>
        </is>
      </c>
      <c r="E790" t="inlineStr">
        <is>
          <t>VILHELMINA</t>
        </is>
      </c>
      <c r="G790" t="n">
        <v>3.6</v>
      </c>
      <c r="H790" t="n">
        <v>0</v>
      </c>
      <c r="I790" t="n">
        <v>0</v>
      </c>
      <c r="J790" t="n">
        <v>0</v>
      </c>
      <c r="K790" t="n">
        <v>0</v>
      </c>
      <c r="L790" t="n">
        <v>0</v>
      </c>
      <c r="M790" t="n">
        <v>0</v>
      </c>
      <c r="N790" t="n">
        <v>0</v>
      </c>
      <c r="O790" t="n">
        <v>0</v>
      </c>
      <c r="P790" t="n">
        <v>0</v>
      </c>
      <c r="Q790" t="n">
        <v>0</v>
      </c>
      <c r="R790" s="2" t="inlineStr"/>
    </row>
    <row r="791" ht="15" customHeight="1">
      <c r="A791" t="inlineStr">
        <is>
          <t>A 10418-2023</t>
        </is>
      </c>
      <c r="B791" s="1" t="n">
        <v>44987</v>
      </c>
      <c r="C791" s="1" t="n">
        <v>45911</v>
      </c>
      <c r="D791" t="inlineStr">
        <is>
          <t>VÄSTERBOTTENS LÄN</t>
        </is>
      </c>
      <c r="E791" t="inlineStr">
        <is>
          <t>VILHELMINA</t>
        </is>
      </c>
      <c r="G791" t="n">
        <v>3.2</v>
      </c>
      <c r="H791" t="n">
        <v>0</v>
      </c>
      <c r="I791" t="n">
        <v>0</v>
      </c>
      <c r="J791" t="n">
        <v>0</v>
      </c>
      <c r="K791" t="n">
        <v>0</v>
      </c>
      <c r="L791" t="n">
        <v>0</v>
      </c>
      <c r="M791" t="n">
        <v>0</v>
      </c>
      <c r="N791" t="n">
        <v>0</v>
      </c>
      <c r="O791" t="n">
        <v>0</v>
      </c>
      <c r="P791" t="n">
        <v>0</v>
      </c>
      <c r="Q791" t="n">
        <v>0</v>
      </c>
      <c r="R791" s="2" t="inlineStr"/>
    </row>
    <row r="792" ht="15" customHeight="1">
      <c r="A792" t="inlineStr">
        <is>
          <t>A 34087-2023</t>
        </is>
      </c>
      <c r="B792" s="1" t="n">
        <v>45125</v>
      </c>
      <c r="C792" s="1" t="n">
        <v>45911</v>
      </c>
      <c r="D792" t="inlineStr">
        <is>
          <t>VÄSTERBOTTENS LÄN</t>
        </is>
      </c>
      <c r="E792" t="inlineStr">
        <is>
          <t>VILHELMINA</t>
        </is>
      </c>
      <c r="G792" t="n">
        <v>13.2</v>
      </c>
      <c r="H792" t="n">
        <v>0</v>
      </c>
      <c r="I792" t="n">
        <v>0</v>
      </c>
      <c r="J792" t="n">
        <v>0</v>
      </c>
      <c r="K792" t="n">
        <v>0</v>
      </c>
      <c r="L792" t="n">
        <v>0</v>
      </c>
      <c r="M792" t="n">
        <v>0</v>
      </c>
      <c r="N792" t="n">
        <v>0</v>
      </c>
      <c r="O792" t="n">
        <v>0</v>
      </c>
      <c r="P792" t="n">
        <v>0</v>
      </c>
      <c r="Q792" t="n">
        <v>0</v>
      </c>
      <c r="R792" s="2" t="inlineStr"/>
    </row>
    <row r="793" ht="15" customHeight="1">
      <c r="A793" t="inlineStr">
        <is>
          <t>A 19464-2025</t>
        </is>
      </c>
      <c r="B793" s="1" t="n">
        <v>45770</v>
      </c>
      <c r="C793" s="1" t="n">
        <v>45911</v>
      </c>
      <c r="D793" t="inlineStr">
        <is>
          <t>VÄSTERBOTTENS LÄN</t>
        </is>
      </c>
      <c r="E793" t="inlineStr">
        <is>
          <t>VILHELMINA</t>
        </is>
      </c>
      <c r="F793" t="inlineStr">
        <is>
          <t>SCA</t>
        </is>
      </c>
      <c r="G793" t="n">
        <v>7.3</v>
      </c>
      <c r="H793" t="n">
        <v>0</v>
      </c>
      <c r="I793" t="n">
        <v>0</v>
      </c>
      <c r="J793" t="n">
        <v>0</v>
      </c>
      <c r="K793" t="n">
        <v>0</v>
      </c>
      <c r="L793" t="n">
        <v>0</v>
      </c>
      <c r="M793" t="n">
        <v>0</v>
      </c>
      <c r="N793" t="n">
        <v>0</v>
      </c>
      <c r="O793" t="n">
        <v>0</v>
      </c>
      <c r="P793" t="n">
        <v>0</v>
      </c>
      <c r="Q793" t="n">
        <v>0</v>
      </c>
      <c r="R793" s="2" t="inlineStr"/>
    </row>
    <row r="794" ht="15" customHeight="1">
      <c r="A794" t="inlineStr">
        <is>
          <t>A 49236-2024</t>
        </is>
      </c>
      <c r="B794" s="1" t="n">
        <v>45595</v>
      </c>
      <c r="C794" s="1" t="n">
        <v>45911</v>
      </c>
      <c r="D794" t="inlineStr">
        <is>
          <t>VÄSTERBOTTENS LÄN</t>
        </is>
      </c>
      <c r="E794" t="inlineStr">
        <is>
          <t>VILHELMINA</t>
        </is>
      </c>
      <c r="G794" t="n">
        <v>4.1</v>
      </c>
      <c r="H794" t="n">
        <v>0</v>
      </c>
      <c r="I794" t="n">
        <v>0</v>
      </c>
      <c r="J794" t="n">
        <v>0</v>
      </c>
      <c r="K794" t="n">
        <v>0</v>
      </c>
      <c r="L794" t="n">
        <v>0</v>
      </c>
      <c r="M794" t="n">
        <v>0</v>
      </c>
      <c r="N794" t="n">
        <v>0</v>
      </c>
      <c r="O794" t="n">
        <v>0</v>
      </c>
      <c r="P794" t="n">
        <v>0</v>
      </c>
      <c r="Q794" t="n">
        <v>0</v>
      </c>
      <c r="R794" s="2" t="inlineStr"/>
    </row>
    <row r="795" ht="15" customHeight="1">
      <c r="A795" t="inlineStr">
        <is>
          <t>A 1470-2021</t>
        </is>
      </c>
      <c r="B795" s="1" t="n">
        <v>44208</v>
      </c>
      <c r="C795" s="1" t="n">
        <v>45911</v>
      </c>
      <c r="D795" t="inlineStr">
        <is>
          <t>VÄSTERBOTTENS LÄN</t>
        </is>
      </c>
      <c r="E795" t="inlineStr">
        <is>
          <t>VILHELMINA</t>
        </is>
      </c>
      <c r="F795" t="inlineStr">
        <is>
          <t>SCA</t>
        </is>
      </c>
      <c r="G795" t="n">
        <v>4.6</v>
      </c>
      <c r="H795" t="n">
        <v>0</v>
      </c>
      <c r="I795" t="n">
        <v>0</v>
      </c>
      <c r="J795" t="n">
        <v>0</v>
      </c>
      <c r="K795" t="n">
        <v>0</v>
      </c>
      <c r="L795" t="n">
        <v>0</v>
      </c>
      <c r="M795" t="n">
        <v>0</v>
      </c>
      <c r="N795" t="n">
        <v>0</v>
      </c>
      <c r="O795" t="n">
        <v>0</v>
      </c>
      <c r="P795" t="n">
        <v>0</v>
      </c>
      <c r="Q795" t="n">
        <v>0</v>
      </c>
      <c r="R795" s="2" t="inlineStr"/>
    </row>
    <row r="796" ht="15" customHeight="1">
      <c r="A796" t="inlineStr">
        <is>
          <t>A 475-2024</t>
        </is>
      </c>
      <c r="B796" s="1" t="n">
        <v>45297.83246527778</v>
      </c>
      <c r="C796" s="1" t="n">
        <v>45911</v>
      </c>
      <c r="D796" t="inlineStr">
        <is>
          <t>VÄSTERBOTTENS LÄN</t>
        </is>
      </c>
      <c r="E796" t="inlineStr">
        <is>
          <t>VILHELMINA</t>
        </is>
      </c>
      <c r="G796" t="n">
        <v>6.1</v>
      </c>
      <c r="H796" t="n">
        <v>0</v>
      </c>
      <c r="I796" t="n">
        <v>0</v>
      </c>
      <c r="J796" t="n">
        <v>0</v>
      </c>
      <c r="K796" t="n">
        <v>0</v>
      </c>
      <c r="L796" t="n">
        <v>0</v>
      </c>
      <c r="M796" t="n">
        <v>0</v>
      </c>
      <c r="N796" t="n">
        <v>0</v>
      </c>
      <c r="O796" t="n">
        <v>0</v>
      </c>
      <c r="P796" t="n">
        <v>0</v>
      </c>
      <c r="Q796" t="n">
        <v>0</v>
      </c>
      <c r="R796" s="2" t="inlineStr"/>
    </row>
    <row r="797" ht="15" customHeight="1">
      <c r="A797" t="inlineStr">
        <is>
          <t>A 61801-2024</t>
        </is>
      </c>
      <c r="B797" s="1" t="n">
        <v>45649.56392361111</v>
      </c>
      <c r="C797" s="1" t="n">
        <v>45911</v>
      </c>
      <c r="D797" t="inlineStr">
        <is>
          <t>VÄSTERBOTTENS LÄN</t>
        </is>
      </c>
      <c r="E797" t="inlineStr">
        <is>
          <t>VILHELMINA</t>
        </is>
      </c>
      <c r="G797" t="n">
        <v>2.5</v>
      </c>
      <c r="H797" t="n">
        <v>0</v>
      </c>
      <c r="I797" t="n">
        <v>0</v>
      </c>
      <c r="J797" t="n">
        <v>0</v>
      </c>
      <c r="K797" t="n">
        <v>0</v>
      </c>
      <c r="L797" t="n">
        <v>0</v>
      </c>
      <c r="M797" t="n">
        <v>0</v>
      </c>
      <c r="N797" t="n">
        <v>0</v>
      </c>
      <c r="O797" t="n">
        <v>0</v>
      </c>
      <c r="P797" t="n">
        <v>0</v>
      </c>
      <c r="Q797" t="n">
        <v>0</v>
      </c>
      <c r="R797" s="2" t="inlineStr"/>
    </row>
    <row r="798" ht="15" customHeight="1">
      <c r="A798" t="inlineStr">
        <is>
          <t>A 61780-2023</t>
        </is>
      </c>
      <c r="B798" s="1" t="n">
        <v>45265.95685185185</v>
      </c>
      <c r="C798" s="1" t="n">
        <v>45911</v>
      </c>
      <c r="D798" t="inlineStr">
        <is>
          <t>VÄSTERBOTTENS LÄN</t>
        </is>
      </c>
      <c r="E798" t="inlineStr">
        <is>
          <t>VILHELMINA</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58179-2024</t>
        </is>
      </c>
      <c r="B799" s="1" t="n">
        <v>45632.4690162037</v>
      </c>
      <c r="C799" s="1" t="n">
        <v>45911</v>
      </c>
      <c r="D799" t="inlineStr">
        <is>
          <t>VÄSTERBOTTENS LÄN</t>
        </is>
      </c>
      <c r="E799" t="inlineStr">
        <is>
          <t>VILHELMINA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19397-2023</t>
        </is>
      </c>
      <c r="B800" s="1" t="n">
        <v>45048</v>
      </c>
      <c r="C800" s="1" t="n">
        <v>45911</v>
      </c>
      <c r="D800" t="inlineStr">
        <is>
          <t>VÄSTERBOTTENS LÄN</t>
        </is>
      </c>
      <c r="E800" t="inlineStr">
        <is>
          <t>VILHELMINA</t>
        </is>
      </c>
      <c r="G800" t="n">
        <v>12.8</v>
      </c>
      <c r="H800" t="n">
        <v>0</v>
      </c>
      <c r="I800" t="n">
        <v>0</v>
      </c>
      <c r="J800" t="n">
        <v>0</v>
      </c>
      <c r="K800" t="n">
        <v>0</v>
      </c>
      <c r="L800" t="n">
        <v>0</v>
      </c>
      <c r="M800" t="n">
        <v>0</v>
      </c>
      <c r="N800" t="n">
        <v>0</v>
      </c>
      <c r="O800" t="n">
        <v>0</v>
      </c>
      <c r="P800" t="n">
        <v>0</v>
      </c>
      <c r="Q800" t="n">
        <v>0</v>
      </c>
      <c r="R800" s="2" t="inlineStr"/>
    </row>
    <row r="801" ht="15" customHeight="1">
      <c r="A801" t="inlineStr">
        <is>
          <t>A 367-2024</t>
        </is>
      </c>
      <c r="B801" s="1" t="n">
        <v>45295</v>
      </c>
      <c r="C801" s="1" t="n">
        <v>45911</v>
      </c>
      <c r="D801" t="inlineStr">
        <is>
          <t>VÄSTERBOTTENS LÄN</t>
        </is>
      </c>
      <c r="E801" t="inlineStr">
        <is>
          <t>VILHELMINA</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12765-2025</t>
        </is>
      </c>
      <c r="B802" s="1" t="n">
        <v>45733</v>
      </c>
      <c r="C802" s="1" t="n">
        <v>45911</v>
      </c>
      <c r="D802" t="inlineStr">
        <is>
          <t>VÄSTERBOTTENS LÄN</t>
        </is>
      </c>
      <c r="E802" t="inlineStr">
        <is>
          <t>VILHELMINA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33828-2024</t>
        </is>
      </c>
      <c r="B803" s="1" t="n">
        <v>45520.61695601852</v>
      </c>
      <c r="C803" s="1" t="n">
        <v>45911</v>
      </c>
      <c r="D803" t="inlineStr">
        <is>
          <t>VÄSTERBOTTENS LÄN</t>
        </is>
      </c>
      <c r="E803" t="inlineStr">
        <is>
          <t>VILHELMINA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33412-2023</t>
        </is>
      </c>
      <c r="B804" s="1" t="n">
        <v>45117</v>
      </c>
      <c r="C804" s="1" t="n">
        <v>45911</v>
      </c>
      <c r="D804" t="inlineStr">
        <is>
          <t>VÄSTERBOTTENS LÄN</t>
        </is>
      </c>
      <c r="E804" t="inlineStr">
        <is>
          <t>VILHELMINA</t>
        </is>
      </c>
      <c r="F804" t="inlineStr">
        <is>
          <t>Övriga Aktiebolag</t>
        </is>
      </c>
      <c r="G804" t="n">
        <v>0.3</v>
      </c>
      <c r="H804" t="n">
        <v>0</v>
      </c>
      <c r="I804" t="n">
        <v>0</v>
      </c>
      <c r="J804" t="n">
        <v>0</v>
      </c>
      <c r="K804" t="n">
        <v>0</v>
      </c>
      <c r="L804" t="n">
        <v>0</v>
      </c>
      <c r="M804" t="n">
        <v>0</v>
      </c>
      <c r="N804" t="n">
        <v>0</v>
      </c>
      <c r="O804" t="n">
        <v>0</v>
      </c>
      <c r="P804" t="n">
        <v>0</v>
      </c>
      <c r="Q804" t="n">
        <v>0</v>
      </c>
      <c r="R804" s="2" t="inlineStr"/>
    </row>
    <row r="805" ht="15" customHeight="1">
      <c r="A805" t="inlineStr">
        <is>
          <t>A 13557-2024</t>
        </is>
      </c>
      <c r="B805" s="1" t="n">
        <v>45388</v>
      </c>
      <c r="C805" s="1" t="n">
        <v>45911</v>
      </c>
      <c r="D805" t="inlineStr">
        <is>
          <t>VÄSTERBOTTENS LÄN</t>
        </is>
      </c>
      <c r="E805" t="inlineStr">
        <is>
          <t>VILHELMINA</t>
        </is>
      </c>
      <c r="G805" t="n">
        <v>11.2</v>
      </c>
      <c r="H805" t="n">
        <v>0</v>
      </c>
      <c r="I805" t="n">
        <v>0</v>
      </c>
      <c r="J805" t="n">
        <v>0</v>
      </c>
      <c r="K805" t="n">
        <v>0</v>
      </c>
      <c r="L805" t="n">
        <v>0</v>
      </c>
      <c r="M805" t="n">
        <v>0</v>
      </c>
      <c r="N805" t="n">
        <v>0</v>
      </c>
      <c r="O805" t="n">
        <v>0</v>
      </c>
      <c r="P805" t="n">
        <v>0</v>
      </c>
      <c r="Q805" t="n">
        <v>0</v>
      </c>
      <c r="R805" s="2" t="inlineStr"/>
    </row>
    <row r="806" ht="15" customHeight="1">
      <c r="A806" t="inlineStr">
        <is>
          <t>A 57246-2023</t>
        </is>
      </c>
      <c r="B806" s="1" t="n">
        <v>45239</v>
      </c>
      <c r="C806" s="1" t="n">
        <v>45911</v>
      </c>
      <c r="D806" t="inlineStr">
        <is>
          <t>VÄSTERBOTTENS LÄN</t>
        </is>
      </c>
      <c r="E806" t="inlineStr">
        <is>
          <t>VILHELMINA</t>
        </is>
      </c>
      <c r="G806" t="n">
        <v>15.3</v>
      </c>
      <c r="H806" t="n">
        <v>0</v>
      </c>
      <c r="I806" t="n">
        <v>0</v>
      </c>
      <c r="J806" t="n">
        <v>0</v>
      </c>
      <c r="K806" t="n">
        <v>0</v>
      </c>
      <c r="L806" t="n">
        <v>0</v>
      </c>
      <c r="M806" t="n">
        <v>0</v>
      </c>
      <c r="N806" t="n">
        <v>0</v>
      </c>
      <c r="O806" t="n">
        <v>0</v>
      </c>
      <c r="P806" t="n">
        <v>0</v>
      </c>
      <c r="Q806" t="n">
        <v>0</v>
      </c>
      <c r="R806" s="2" t="inlineStr"/>
    </row>
    <row r="807" ht="15" customHeight="1">
      <c r="A807" t="inlineStr">
        <is>
          <t>A 56246-2023</t>
        </is>
      </c>
      <c r="B807" s="1" t="n">
        <v>45240</v>
      </c>
      <c r="C807" s="1" t="n">
        <v>45911</v>
      </c>
      <c r="D807" t="inlineStr">
        <is>
          <t>VÄSTERBOTTENS LÄN</t>
        </is>
      </c>
      <c r="E807" t="inlineStr">
        <is>
          <t>VILHELMINA</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54984-2023</t>
        </is>
      </c>
      <c r="B808" s="1" t="n">
        <v>45236</v>
      </c>
      <c r="C808" s="1" t="n">
        <v>45911</v>
      </c>
      <c r="D808" t="inlineStr">
        <is>
          <t>VÄSTERBOTTENS LÄN</t>
        </is>
      </c>
      <c r="E808" t="inlineStr">
        <is>
          <t>VILHELMINA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12866-2023</t>
        </is>
      </c>
      <c r="B809" s="1" t="n">
        <v>45000</v>
      </c>
      <c r="C809" s="1" t="n">
        <v>45911</v>
      </c>
      <c r="D809" t="inlineStr">
        <is>
          <t>VÄSTERBOTTENS LÄN</t>
        </is>
      </c>
      <c r="E809" t="inlineStr">
        <is>
          <t>VILHELMINA</t>
        </is>
      </c>
      <c r="G809" t="n">
        <v>2.6</v>
      </c>
      <c r="H809" t="n">
        <v>0</v>
      </c>
      <c r="I809" t="n">
        <v>0</v>
      </c>
      <c r="J809" t="n">
        <v>0</v>
      </c>
      <c r="K809" t="n">
        <v>0</v>
      </c>
      <c r="L809" t="n">
        <v>0</v>
      </c>
      <c r="M809" t="n">
        <v>0</v>
      </c>
      <c r="N809" t="n">
        <v>0</v>
      </c>
      <c r="O809" t="n">
        <v>0</v>
      </c>
      <c r="P809" t="n">
        <v>0</v>
      </c>
      <c r="Q809" t="n">
        <v>0</v>
      </c>
      <c r="R809" s="2" t="inlineStr"/>
    </row>
    <row r="810" ht="15" customHeight="1">
      <c r="A810" t="inlineStr">
        <is>
          <t>A 27917-2024</t>
        </is>
      </c>
      <c r="B810" s="1" t="n">
        <v>45475.94844907407</v>
      </c>
      <c r="C810" s="1" t="n">
        <v>45911</v>
      </c>
      <c r="D810" t="inlineStr">
        <is>
          <t>VÄSTERBOTTENS LÄN</t>
        </is>
      </c>
      <c r="E810" t="inlineStr">
        <is>
          <t>VILHELMINA</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72494-2021</t>
        </is>
      </c>
      <c r="B811" s="1" t="n">
        <v>44545.92059027778</v>
      </c>
      <c r="C811" s="1" t="n">
        <v>45911</v>
      </c>
      <c r="D811" t="inlineStr">
        <is>
          <t>VÄSTERBOTTENS LÄN</t>
        </is>
      </c>
      <c r="E811" t="inlineStr">
        <is>
          <t>VILHELMINA</t>
        </is>
      </c>
      <c r="G811" t="n">
        <v>4.2</v>
      </c>
      <c r="H811" t="n">
        <v>0</v>
      </c>
      <c r="I811" t="n">
        <v>0</v>
      </c>
      <c r="J811" t="n">
        <v>0</v>
      </c>
      <c r="K811" t="n">
        <v>0</v>
      </c>
      <c r="L811" t="n">
        <v>0</v>
      </c>
      <c r="M811" t="n">
        <v>0</v>
      </c>
      <c r="N811" t="n">
        <v>0</v>
      </c>
      <c r="O811" t="n">
        <v>0</v>
      </c>
      <c r="P811" t="n">
        <v>0</v>
      </c>
      <c r="Q811" t="n">
        <v>0</v>
      </c>
      <c r="R811" s="2" t="inlineStr"/>
    </row>
    <row r="812" ht="15" customHeight="1">
      <c r="A812" t="inlineStr">
        <is>
          <t>A 58207-2022</t>
        </is>
      </c>
      <c r="B812" s="1" t="n">
        <v>44901</v>
      </c>
      <c r="C812" s="1" t="n">
        <v>45911</v>
      </c>
      <c r="D812" t="inlineStr">
        <is>
          <t>VÄSTERBOTTENS LÄN</t>
        </is>
      </c>
      <c r="E812" t="inlineStr">
        <is>
          <t>VILHELMINA</t>
        </is>
      </c>
      <c r="G812" t="n">
        <v>143.2</v>
      </c>
      <c r="H812" t="n">
        <v>0</v>
      </c>
      <c r="I812" t="n">
        <v>0</v>
      </c>
      <c r="J812" t="n">
        <v>0</v>
      </c>
      <c r="K812" t="n">
        <v>0</v>
      </c>
      <c r="L812" t="n">
        <v>0</v>
      </c>
      <c r="M812" t="n">
        <v>0</v>
      </c>
      <c r="N812" t="n">
        <v>0</v>
      </c>
      <c r="O812" t="n">
        <v>0</v>
      </c>
      <c r="P812" t="n">
        <v>0</v>
      </c>
      <c r="Q812" t="n">
        <v>0</v>
      </c>
      <c r="R812" s="2" t="inlineStr"/>
    </row>
    <row r="813" ht="15" customHeight="1">
      <c r="A813" t="inlineStr">
        <is>
          <t>A 248-2025</t>
        </is>
      </c>
      <c r="B813" s="1" t="n">
        <v>45660.419375</v>
      </c>
      <c r="C813" s="1" t="n">
        <v>45911</v>
      </c>
      <c r="D813" t="inlineStr">
        <is>
          <t>VÄSTERBOTTENS LÄN</t>
        </is>
      </c>
      <c r="E813" t="inlineStr">
        <is>
          <t>VILHELMINA</t>
        </is>
      </c>
      <c r="G813" t="n">
        <v>11</v>
      </c>
      <c r="H813" t="n">
        <v>0</v>
      </c>
      <c r="I813" t="n">
        <v>0</v>
      </c>
      <c r="J813" t="n">
        <v>0</v>
      </c>
      <c r="K813" t="n">
        <v>0</v>
      </c>
      <c r="L813" t="n">
        <v>0</v>
      </c>
      <c r="M813" t="n">
        <v>0</v>
      </c>
      <c r="N813" t="n">
        <v>0</v>
      </c>
      <c r="O813" t="n">
        <v>0</v>
      </c>
      <c r="P813" t="n">
        <v>0</v>
      </c>
      <c r="Q813" t="n">
        <v>0</v>
      </c>
      <c r="R813" s="2" t="inlineStr"/>
    </row>
    <row r="814" ht="15" customHeight="1">
      <c r="A814" t="inlineStr">
        <is>
          <t>A 55978-2024</t>
        </is>
      </c>
      <c r="B814" s="1" t="n">
        <v>45623</v>
      </c>
      <c r="C814" s="1" t="n">
        <v>45911</v>
      </c>
      <c r="D814" t="inlineStr">
        <is>
          <t>VÄSTERBOTTENS LÄN</t>
        </is>
      </c>
      <c r="E814" t="inlineStr">
        <is>
          <t>VILHELMINA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45972-2023</t>
        </is>
      </c>
      <c r="B815" s="1" t="n">
        <v>45195</v>
      </c>
      <c r="C815" s="1" t="n">
        <v>45911</v>
      </c>
      <c r="D815" t="inlineStr">
        <is>
          <t>VÄSTERBOTTENS LÄN</t>
        </is>
      </c>
      <c r="E815" t="inlineStr">
        <is>
          <t>VILHELMINA</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46316-2022</t>
        </is>
      </c>
      <c r="B816" s="1" t="n">
        <v>44847</v>
      </c>
      <c r="C816" s="1" t="n">
        <v>45911</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21844-2024</t>
        </is>
      </c>
      <c r="B817" s="1" t="n">
        <v>45442</v>
      </c>
      <c r="C817" s="1" t="n">
        <v>45911</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12371-2025</t>
        </is>
      </c>
      <c r="B818" s="1" t="n">
        <v>45730</v>
      </c>
      <c r="C818" s="1" t="n">
        <v>45911</v>
      </c>
      <c r="D818" t="inlineStr">
        <is>
          <t>VÄSTERBOTTENS LÄN</t>
        </is>
      </c>
      <c r="E818" t="inlineStr">
        <is>
          <t>VILHELMINA</t>
        </is>
      </c>
      <c r="F818" t="inlineStr">
        <is>
          <t>Övriga statliga verk och myndigheter</t>
        </is>
      </c>
      <c r="G818" t="n">
        <v>37.1</v>
      </c>
      <c r="H818" t="n">
        <v>0</v>
      </c>
      <c r="I818" t="n">
        <v>0</v>
      </c>
      <c r="J818" t="n">
        <v>0</v>
      </c>
      <c r="K818" t="n">
        <v>0</v>
      </c>
      <c r="L818" t="n">
        <v>0</v>
      </c>
      <c r="M818" t="n">
        <v>0</v>
      </c>
      <c r="N818" t="n">
        <v>0</v>
      </c>
      <c r="O818" t="n">
        <v>0</v>
      </c>
      <c r="P818" t="n">
        <v>0</v>
      </c>
      <c r="Q818" t="n">
        <v>0</v>
      </c>
      <c r="R818" s="2" t="inlineStr"/>
    </row>
    <row r="819" ht="15" customHeight="1">
      <c r="A819" t="inlineStr">
        <is>
          <t>A 14993-2025</t>
        </is>
      </c>
      <c r="B819" s="1" t="n">
        <v>45743</v>
      </c>
      <c r="C819" s="1" t="n">
        <v>45911</v>
      </c>
      <c r="D819" t="inlineStr">
        <is>
          <t>VÄSTERBOTTENS LÄN</t>
        </is>
      </c>
      <c r="E819" t="inlineStr">
        <is>
          <t>VILHELMINA</t>
        </is>
      </c>
      <c r="G819" t="n">
        <v>2.1</v>
      </c>
      <c r="H819" t="n">
        <v>0</v>
      </c>
      <c r="I819" t="n">
        <v>0</v>
      </c>
      <c r="J819" t="n">
        <v>0</v>
      </c>
      <c r="K819" t="n">
        <v>0</v>
      </c>
      <c r="L819" t="n">
        <v>0</v>
      </c>
      <c r="M819" t="n">
        <v>0</v>
      </c>
      <c r="N819" t="n">
        <v>0</v>
      </c>
      <c r="O819" t="n">
        <v>0</v>
      </c>
      <c r="P819" t="n">
        <v>0</v>
      </c>
      <c r="Q819" t="n">
        <v>0</v>
      </c>
      <c r="R819" s="2" t="inlineStr"/>
    </row>
    <row r="820" ht="15" customHeight="1">
      <c r="A820" t="inlineStr">
        <is>
          <t>A 58456-2023</t>
        </is>
      </c>
      <c r="B820" s="1" t="n">
        <v>45250.96092592592</v>
      </c>
      <c r="C820" s="1" t="n">
        <v>45911</v>
      </c>
      <c r="D820" t="inlineStr">
        <is>
          <t>VÄSTERBOTTENS LÄN</t>
        </is>
      </c>
      <c r="E820" t="inlineStr">
        <is>
          <t>VILHELMINA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23270-2021</t>
        </is>
      </c>
      <c r="B821" s="1" t="n">
        <v>44328</v>
      </c>
      <c r="C821" s="1" t="n">
        <v>45911</v>
      </c>
      <c r="D821" t="inlineStr">
        <is>
          <t>VÄSTERBOTTENS LÄN</t>
        </is>
      </c>
      <c r="E821" t="inlineStr">
        <is>
          <t>VILHELMINA</t>
        </is>
      </c>
      <c r="F821" t="inlineStr">
        <is>
          <t>Allmännings- och besparingsskogar</t>
        </is>
      </c>
      <c r="G821" t="n">
        <v>14.7</v>
      </c>
      <c r="H821" t="n">
        <v>0</v>
      </c>
      <c r="I821" t="n">
        <v>0</v>
      </c>
      <c r="J821" t="n">
        <v>0</v>
      </c>
      <c r="K821" t="n">
        <v>0</v>
      </c>
      <c r="L821" t="n">
        <v>0</v>
      </c>
      <c r="M821" t="n">
        <v>0</v>
      </c>
      <c r="N821" t="n">
        <v>0</v>
      </c>
      <c r="O821" t="n">
        <v>0</v>
      </c>
      <c r="P821" t="n">
        <v>0</v>
      </c>
      <c r="Q821" t="n">
        <v>0</v>
      </c>
      <c r="R821" s="2" t="inlineStr"/>
    </row>
    <row r="822" ht="15" customHeight="1">
      <c r="A822" t="inlineStr">
        <is>
          <t>A 60549-2022</t>
        </is>
      </c>
      <c r="B822" s="1" t="n">
        <v>44911.51318287037</v>
      </c>
      <c r="C822" s="1" t="n">
        <v>45911</v>
      </c>
      <c r="D822" t="inlineStr">
        <is>
          <t>VÄSTERBOTTENS LÄN</t>
        </is>
      </c>
      <c r="E822" t="inlineStr">
        <is>
          <t>VILHELMINA</t>
        </is>
      </c>
      <c r="G822" t="n">
        <v>3.8</v>
      </c>
      <c r="H822" t="n">
        <v>0</v>
      </c>
      <c r="I822" t="n">
        <v>0</v>
      </c>
      <c r="J822" t="n">
        <v>0</v>
      </c>
      <c r="K822" t="n">
        <v>0</v>
      </c>
      <c r="L822" t="n">
        <v>0</v>
      </c>
      <c r="M822" t="n">
        <v>0</v>
      </c>
      <c r="N822" t="n">
        <v>0</v>
      </c>
      <c r="O822" t="n">
        <v>0</v>
      </c>
      <c r="P822" t="n">
        <v>0</v>
      </c>
      <c r="Q822" t="n">
        <v>0</v>
      </c>
      <c r="R822" s="2" t="inlineStr"/>
    </row>
    <row r="823" ht="15" customHeight="1">
      <c r="A823" t="inlineStr">
        <is>
          <t>A 61048-2022</t>
        </is>
      </c>
      <c r="B823" s="1" t="n">
        <v>44914</v>
      </c>
      <c r="C823" s="1" t="n">
        <v>45911</v>
      </c>
      <c r="D823" t="inlineStr">
        <is>
          <t>VÄSTERBOTTENS LÄN</t>
        </is>
      </c>
      <c r="E823" t="inlineStr">
        <is>
          <t>VILHELMINA</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12229-2022</t>
        </is>
      </c>
      <c r="B824" s="1" t="n">
        <v>44637</v>
      </c>
      <c r="C824" s="1" t="n">
        <v>45911</v>
      </c>
      <c r="D824" t="inlineStr">
        <is>
          <t>VÄSTERBOTTENS LÄN</t>
        </is>
      </c>
      <c r="E824" t="inlineStr">
        <is>
          <t>VILHELMINA</t>
        </is>
      </c>
      <c r="G824" t="n">
        <v>5</v>
      </c>
      <c r="H824" t="n">
        <v>0</v>
      </c>
      <c r="I824" t="n">
        <v>0</v>
      </c>
      <c r="J824" t="n">
        <v>0</v>
      </c>
      <c r="K824" t="n">
        <v>0</v>
      </c>
      <c r="L824" t="n">
        <v>0</v>
      </c>
      <c r="M824" t="n">
        <v>0</v>
      </c>
      <c r="N824" t="n">
        <v>0</v>
      </c>
      <c r="O824" t="n">
        <v>0</v>
      </c>
      <c r="P824" t="n">
        <v>0</v>
      </c>
      <c r="Q824" t="n">
        <v>0</v>
      </c>
      <c r="R824" s="2" t="inlineStr"/>
    </row>
    <row r="825" ht="15" customHeight="1">
      <c r="A825" t="inlineStr">
        <is>
          <t>A 45007-2024</t>
        </is>
      </c>
      <c r="B825" s="1" t="n">
        <v>45575.49100694444</v>
      </c>
      <c r="C825" s="1" t="n">
        <v>45911</v>
      </c>
      <c r="D825" t="inlineStr">
        <is>
          <t>VÄSTERBOTTENS LÄN</t>
        </is>
      </c>
      <c r="E825" t="inlineStr">
        <is>
          <t>VILHELMINA</t>
        </is>
      </c>
      <c r="F825" t="inlineStr">
        <is>
          <t>SCA</t>
        </is>
      </c>
      <c r="G825" t="n">
        <v>14.8</v>
      </c>
      <c r="H825" t="n">
        <v>0</v>
      </c>
      <c r="I825" t="n">
        <v>0</v>
      </c>
      <c r="J825" t="n">
        <v>0</v>
      </c>
      <c r="K825" t="n">
        <v>0</v>
      </c>
      <c r="L825" t="n">
        <v>0</v>
      </c>
      <c r="M825" t="n">
        <v>0</v>
      </c>
      <c r="N825" t="n">
        <v>0</v>
      </c>
      <c r="O825" t="n">
        <v>0</v>
      </c>
      <c r="P825" t="n">
        <v>0</v>
      </c>
      <c r="Q825" t="n">
        <v>0</v>
      </c>
      <c r="R825" s="2" t="inlineStr"/>
    </row>
    <row r="826" ht="15" customHeight="1">
      <c r="A826" t="inlineStr">
        <is>
          <t>A 54931-2023</t>
        </is>
      </c>
      <c r="B826" s="1" t="n">
        <v>45229</v>
      </c>
      <c r="C826" s="1" t="n">
        <v>45911</v>
      </c>
      <c r="D826" t="inlineStr">
        <is>
          <t>VÄSTERBOTTENS LÄN</t>
        </is>
      </c>
      <c r="E826" t="inlineStr">
        <is>
          <t>VILHELMINA</t>
        </is>
      </c>
      <c r="G826" t="n">
        <v>14.5</v>
      </c>
      <c r="H826" t="n">
        <v>0</v>
      </c>
      <c r="I826" t="n">
        <v>0</v>
      </c>
      <c r="J826" t="n">
        <v>0</v>
      </c>
      <c r="K826" t="n">
        <v>0</v>
      </c>
      <c r="L826" t="n">
        <v>0</v>
      </c>
      <c r="M826" t="n">
        <v>0</v>
      </c>
      <c r="N826" t="n">
        <v>0</v>
      </c>
      <c r="O826" t="n">
        <v>0</v>
      </c>
      <c r="P826" t="n">
        <v>0</v>
      </c>
      <c r="Q826" t="n">
        <v>0</v>
      </c>
      <c r="R826" s="2" t="inlineStr"/>
    </row>
    <row r="827" ht="15" customHeight="1">
      <c r="A827" t="inlineStr">
        <is>
          <t>A 42976-2024</t>
        </is>
      </c>
      <c r="B827" s="1" t="n">
        <v>45567.37387731481</v>
      </c>
      <c r="C827" s="1" t="n">
        <v>45911</v>
      </c>
      <c r="D827" t="inlineStr">
        <is>
          <t>VÄSTERBOTTENS LÄN</t>
        </is>
      </c>
      <c r="E827" t="inlineStr">
        <is>
          <t>VILHELMINA</t>
        </is>
      </c>
      <c r="F827" t="inlineStr">
        <is>
          <t>SCA</t>
        </is>
      </c>
      <c r="G827" t="n">
        <v>20.6</v>
      </c>
      <c r="H827" t="n">
        <v>0</v>
      </c>
      <c r="I827" t="n">
        <v>0</v>
      </c>
      <c r="J827" t="n">
        <v>0</v>
      </c>
      <c r="K827" t="n">
        <v>0</v>
      </c>
      <c r="L827" t="n">
        <v>0</v>
      </c>
      <c r="M827" t="n">
        <v>0</v>
      </c>
      <c r="N827" t="n">
        <v>0</v>
      </c>
      <c r="O827" t="n">
        <v>0</v>
      </c>
      <c r="P827" t="n">
        <v>0</v>
      </c>
      <c r="Q827" t="n">
        <v>0</v>
      </c>
      <c r="R827" s="2" t="inlineStr"/>
    </row>
    <row r="828" ht="15" customHeight="1">
      <c r="A828" t="inlineStr">
        <is>
          <t>A 2382-2023</t>
        </is>
      </c>
      <c r="B828" s="1" t="n">
        <v>44942</v>
      </c>
      <c r="C828" s="1" t="n">
        <v>45911</v>
      </c>
      <c r="D828" t="inlineStr">
        <is>
          <t>VÄSTERBOTTENS LÄN</t>
        </is>
      </c>
      <c r="E828" t="inlineStr">
        <is>
          <t>VILHELMINA</t>
        </is>
      </c>
      <c r="G828" t="n">
        <v>29.7</v>
      </c>
      <c r="H828" t="n">
        <v>0</v>
      </c>
      <c r="I828" t="n">
        <v>0</v>
      </c>
      <c r="J828" t="n">
        <v>0</v>
      </c>
      <c r="K828" t="n">
        <v>0</v>
      </c>
      <c r="L828" t="n">
        <v>0</v>
      </c>
      <c r="M828" t="n">
        <v>0</v>
      </c>
      <c r="N828" t="n">
        <v>0</v>
      </c>
      <c r="O828" t="n">
        <v>0</v>
      </c>
      <c r="P828" t="n">
        <v>0</v>
      </c>
      <c r="Q828" t="n">
        <v>0</v>
      </c>
      <c r="R828" s="2" t="inlineStr"/>
    </row>
    <row r="829" ht="15" customHeight="1">
      <c r="A829" t="inlineStr">
        <is>
          <t>A 70849-2021</t>
        </is>
      </c>
      <c r="B829" s="1" t="n">
        <v>44532</v>
      </c>
      <c r="C829" s="1" t="n">
        <v>45911</v>
      </c>
      <c r="D829" t="inlineStr">
        <is>
          <t>VÄSTERBOTTENS LÄN</t>
        </is>
      </c>
      <c r="E829" t="inlineStr">
        <is>
          <t>VILHELMINA</t>
        </is>
      </c>
      <c r="G829" t="n">
        <v>21.4</v>
      </c>
      <c r="H829" t="n">
        <v>0</v>
      </c>
      <c r="I829" t="n">
        <v>0</v>
      </c>
      <c r="J829" t="n">
        <v>0</v>
      </c>
      <c r="K829" t="n">
        <v>0</v>
      </c>
      <c r="L829" t="n">
        <v>0</v>
      </c>
      <c r="M829" t="n">
        <v>0</v>
      </c>
      <c r="N829" t="n">
        <v>0</v>
      </c>
      <c r="O829" t="n">
        <v>0</v>
      </c>
      <c r="P829" t="n">
        <v>0</v>
      </c>
      <c r="Q829" t="n">
        <v>0</v>
      </c>
      <c r="R829" s="2" t="inlineStr"/>
    </row>
    <row r="830" ht="15" customHeight="1">
      <c r="A830" t="inlineStr">
        <is>
          <t>A 7982-2025</t>
        </is>
      </c>
      <c r="B830" s="1" t="n">
        <v>45707.46905092592</v>
      </c>
      <c r="C830" s="1" t="n">
        <v>45911</v>
      </c>
      <c r="D830" t="inlineStr">
        <is>
          <t>VÄSTERBOTTENS LÄN</t>
        </is>
      </c>
      <c r="E830" t="inlineStr">
        <is>
          <t>VILHELMINA</t>
        </is>
      </c>
      <c r="G830" t="n">
        <v>6</v>
      </c>
      <c r="H830" t="n">
        <v>0</v>
      </c>
      <c r="I830" t="n">
        <v>0</v>
      </c>
      <c r="J830" t="n">
        <v>0</v>
      </c>
      <c r="K830" t="n">
        <v>0</v>
      </c>
      <c r="L830" t="n">
        <v>0</v>
      </c>
      <c r="M830" t="n">
        <v>0</v>
      </c>
      <c r="N830" t="n">
        <v>0</v>
      </c>
      <c r="O830" t="n">
        <v>0</v>
      </c>
      <c r="P830" t="n">
        <v>0</v>
      </c>
      <c r="Q830" t="n">
        <v>0</v>
      </c>
      <c r="R830" s="2" t="inlineStr"/>
    </row>
    <row r="831" ht="15" customHeight="1">
      <c r="A831" t="inlineStr">
        <is>
          <t>A 9197-2023</t>
        </is>
      </c>
      <c r="B831" s="1" t="n">
        <v>44977</v>
      </c>
      <c r="C831" s="1" t="n">
        <v>45911</v>
      </c>
      <c r="D831" t="inlineStr">
        <is>
          <t>VÄSTERBOTTENS LÄN</t>
        </is>
      </c>
      <c r="E831" t="inlineStr">
        <is>
          <t>VILHELMINA</t>
        </is>
      </c>
      <c r="G831" t="n">
        <v>8.9</v>
      </c>
      <c r="H831" t="n">
        <v>0</v>
      </c>
      <c r="I831" t="n">
        <v>0</v>
      </c>
      <c r="J831" t="n">
        <v>0</v>
      </c>
      <c r="K831" t="n">
        <v>0</v>
      </c>
      <c r="L831" t="n">
        <v>0</v>
      </c>
      <c r="M831" t="n">
        <v>0</v>
      </c>
      <c r="N831" t="n">
        <v>0</v>
      </c>
      <c r="O831" t="n">
        <v>0</v>
      </c>
      <c r="P831" t="n">
        <v>0</v>
      </c>
      <c r="Q831" t="n">
        <v>0</v>
      </c>
      <c r="R831" s="2" t="inlineStr"/>
    </row>
    <row r="832" ht="15" customHeight="1">
      <c r="A832" t="inlineStr">
        <is>
          <t>A 15176-2022</t>
        </is>
      </c>
      <c r="B832" s="1" t="n">
        <v>44658</v>
      </c>
      <c r="C832" s="1" t="n">
        <v>45911</v>
      </c>
      <c r="D832" t="inlineStr">
        <is>
          <t>VÄSTERBOTTENS LÄN</t>
        </is>
      </c>
      <c r="E832" t="inlineStr">
        <is>
          <t>VILHELMINA</t>
        </is>
      </c>
      <c r="G832" t="n">
        <v>1.6</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45147.9540625</v>
      </c>
      <c r="C833" s="1" t="n">
        <v>45911</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38674-2023</t>
        </is>
      </c>
      <c r="B834" s="1" t="n">
        <v>45162.94335648148</v>
      </c>
      <c r="C834" s="1" t="n">
        <v>45911</v>
      </c>
      <c r="D834" t="inlineStr">
        <is>
          <t>VÄSTERBOTTENS LÄN</t>
        </is>
      </c>
      <c r="E834" t="inlineStr">
        <is>
          <t>VILHELMINA</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63218-2021</t>
        </is>
      </c>
      <c r="B835" s="1" t="n">
        <v>44505</v>
      </c>
      <c r="C835" s="1" t="n">
        <v>45911</v>
      </c>
      <c r="D835" t="inlineStr">
        <is>
          <t>VÄSTERBOTTENS LÄN</t>
        </is>
      </c>
      <c r="E835" t="inlineStr">
        <is>
          <t>VILHELMINA</t>
        </is>
      </c>
      <c r="G835" t="n">
        <v>6.8</v>
      </c>
      <c r="H835" t="n">
        <v>0</v>
      </c>
      <c r="I835" t="n">
        <v>0</v>
      </c>
      <c r="J835" t="n">
        <v>0</v>
      </c>
      <c r="K835" t="n">
        <v>0</v>
      </c>
      <c r="L835" t="n">
        <v>0</v>
      </c>
      <c r="M835" t="n">
        <v>0</v>
      </c>
      <c r="N835" t="n">
        <v>0</v>
      </c>
      <c r="O835" t="n">
        <v>0</v>
      </c>
      <c r="P835" t="n">
        <v>0</v>
      </c>
      <c r="Q835" t="n">
        <v>0</v>
      </c>
      <c r="R835" s="2" t="inlineStr"/>
    </row>
    <row r="836" ht="15" customHeight="1">
      <c r="A836" t="inlineStr">
        <is>
          <t>A 36219-2023</t>
        </is>
      </c>
      <c r="B836" s="1" t="n">
        <v>45149.95310185185</v>
      </c>
      <c r="C836" s="1" t="n">
        <v>45911</v>
      </c>
      <c r="D836" t="inlineStr">
        <is>
          <t>VÄSTERBOTTENS LÄN</t>
        </is>
      </c>
      <c r="E836" t="inlineStr">
        <is>
          <t>VILHELMINA</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11544-2023</t>
        </is>
      </c>
      <c r="B837" s="1" t="n">
        <v>44993.94818287037</v>
      </c>
      <c r="C837" s="1" t="n">
        <v>45911</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58377-2021</t>
        </is>
      </c>
      <c r="B838" s="1" t="n">
        <v>44488</v>
      </c>
      <c r="C838" s="1" t="n">
        <v>45911</v>
      </c>
      <c r="D838" t="inlineStr">
        <is>
          <t>VÄSTERBOTTENS LÄN</t>
        </is>
      </c>
      <c r="E838" t="inlineStr">
        <is>
          <t>VILHELMINA</t>
        </is>
      </c>
      <c r="G838" t="n">
        <v>1.5</v>
      </c>
      <c r="H838" t="n">
        <v>0</v>
      </c>
      <c r="I838" t="n">
        <v>0</v>
      </c>
      <c r="J838" t="n">
        <v>0</v>
      </c>
      <c r="K838" t="n">
        <v>0</v>
      </c>
      <c r="L838" t="n">
        <v>0</v>
      </c>
      <c r="M838" t="n">
        <v>0</v>
      </c>
      <c r="N838" t="n">
        <v>0</v>
      </c>
      <c r="O838" t="n">
        <v>0</v>
      </c>
      <c r="P838" t="n">
        <v>0</v>
      </c>
      <c r="Q838" t="n">
        <v>0</v>
      </c>
      <c r="R838" s="2" t="inlineStr"/>
    </row>
    <row r="839" ht="15" customHeight="1">
      <c r="A839" t="inlineStr">
        <is>
          <t>A 35758-2023</t>
        </is>
      </c>
      <c r="B839" s="1" t="n">
        <v>45147.95452546296</v>
      </c>
      <c r="C839" s="1" t="n">
        <v>45911</v>
      </c>
      <c r="D839" t="inlineStr">
        <is>
          <t>VÄSTERBOTTENS LÄN</t>
        </is>
      </c>
      <c r="E839" t="inlineStr">
        <is>
          <t>VILHELMINA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15326-2024</t>
        </is>
      </c>
      <c r="B840" s="1" t="n">
        <v>45400</v>
      </c>
      <c r="C840" s="1" t="n">
        <v>45911</v>
      </c>
      <c r="D840" t="inlineStr">
        <is>
          <t>VÄSTERBOTTENS LÄN</t>
        </is>
      </c>
      <c r="E840" t="inlineStr">
        <is>
          <t>VILHELMINA</t>
        </is>
      </c>
      <c r="G840" t="n">
        <v>4.7</v>
      </c>
      <c r="H840" t="n">
        <v>0</v>
      </c>
      <c r="I840" t="n">
        <v>0</v>
      </c>
      <c r="J840" t="n">
        <v>0</v>
      </c>
      <c r="K840" t="n">
        <v>0</v>
      </c>
      <c r="L840" t="n">
        <v>0</v>
      </c>
      <c r="M840" t="n">
        <v>0</v>
      </c>
      <c r="N840" t="n">
        <v>0</v>
      </c>
      <c r="O840" t="n">
        <v>0</v>
      </c>
      <c r="P840" t="n">
        <v>0</v>
      </c>
      <c r="Q840" t="n">
        <v>0</v>
      </c>
      <c r="R840" s="2" t="inlineStr"/>
    </row>
    <row r="841" ht="15" customHeight="1">
      <c r="A841" t="inlineStr">
        <is>
          <t>A 12368-2025</t>
        </is>
      </c>
      <c r="B841" s="1" t="n">
        <v>45730.37633101852</v>
      </c>
      <c r="C841" s="1" t="n">
        <v>45911</v>
      </c>
      <c r="D841" t="inlineStr">
        <is>
          <t>VÄSTERBOTTENS LÄN</t>
        </is>
      </c>
      <c r="E841" t="inlineStr">
        <is>
          <t>VILHELMINA</t>
        </is>
      </c>
      <c r="F841" t="inlineStr">
        <is>
          <t>Övriga statliga verk och myndigheter</t>
        </is>
      </c>
      <c r="G841" t="n">
        <v>14.8</v>
      </c>
      <c r="H841" t="n">
        <v>0</v>
      </c>
      <c r="I841" t="n">
        <v>0</v>
      </c>
      <c r="J841" t="n">
        <v>0</v>
      </c>
      <c r="K841" t="n">
        <v>0</v>
      </c>
      <c r="L841" t="n">
        <v>0</v>
      </c>
      <c r="M841" t="n">
        <v>0</v>
      </c>
      <c r="N841" t="n">
        <v>0</v>
      </c>
      <c r="O841" t="n">
        <v>0</v>
      </c>
      <c r="P841" t="n">
        <v>0</v>
      </c>
      <c r="Q841" t="n">
        <v>0</v>
      </c>
      <c r="R841" s="2" t="inlineStr"/>
    </row>
    <row r="842" ht="15" customHeight="1">
      <c r="A842" t="inlineStr">
        <is>
          <t>A 12373-2025</t>
        </is>
      </c>
      <c r="B842" s="1" t="n">
        <v>45730</v>
      </c>
      <c r="C842" s="1" t="n">
        <v>45911</v>
      </c>
      <c r="D842" t="inlineStr">
        <is>
          <t>VÄSTERBOTTENS LÄN</t>
        </is>
      </c>
      <c r="E842" t="inlineStr">
        <is>
          <t>VILHELMINA</t>
        </is>
      </c>
      <c r="F842" t="inlineStr">
        <is>
          <t>Övriga statliga verk och myndigheter</t>
        </is>
      </c>
      <c r="G842" t="n">
        <v>25.5</v>
      </c>
      <c r="H842" t="n">
        <v>0</v>
      </c>
      <c r="I842" t="n">
        <v>0</v>
      </c>
      <c r="J842" t="n">
        <v>0</v>
      </c>
      <c r="K842" t="n">
        <v>0</v>
      </c>
      <c r="L842" t="n">
        <v>0</v>
      </c>
      <c r="M842" t="n">
        <v>0</v>
      </c>
      <c r="N842" t="n">
        <v>0</v>
      </c>
      <c r="O842" t="n">
        <v>0</v>
      </c>
      <c r="P842" t="n">
        <v>0</v>
      </c>
      <c r="Q842" t="n">
        <v>0</v>
      </c>
      <c r="R842" s="2" t="inlineStr"/>
    </row>
    <row r="843" ht="15" customHeight="1">
      <c r="A843" t="inlineStr">
        <is>
          <t>A 60782-2023</t>
        </is>
      </c>
      <c r="B843" s="1" t="n">
        <v>45259</v>
      </c>
      <c r="C843" s="1" t="n">
        <v>45911</v>
      </c>
      <c r="D843" t="inlineStr">
        <is>
          <t>VÄSTERBOTTENS LÄN</t>
        </is>
      </c>
      <c r="E843" t="inlineStr">
        <is>
          <t>VILHELMINA</t>
        </is>
      </c>
      <c r="G843" t="n">
        <v>12.7</v>
      </c>
      <c r="H843" t="n">
        <v>0</v>
      </c>
      <c r="I843" t="n">
        <v>0</v>
      </c>
      <c r="J843" t="n">
        <v>0</v>
      </c>
      <c r="K843" t="n">
        <v>0</v>
      </c>
      <c r="L843" t="n">
        <v>0</v>
      </c>
      <c r="M843" t="n">
        <v>0</v>
      </c>
      <c r="N843" t="n">
        <v>0</v>
      </c>
      <c r="O843" t="n">
        <v>0</v>
      </c>
      <c r="P843" t="n">
        <v>0</v>
      </c>
      <c r="Q843" t="n">
        <v>0</v>
      </c>
      <c r="R843" s="2" t="inlineStr"/>
    </row>
    <row r="844" ht="15" customHeight="1">
      <c r="A844" t="inlineStr">
        <is>
          <t>A 9815-2024</t>
        </is>
      </c>
      <c r="B844" s="1" t="n">
        <v>45362.96927083333</v>
      </c>
      <c r="C844" s="1" t="n">
        <v>45911</v>
      </c>
      <c r="D844" t="inlineStr">
        <is>
          <t>VÄSTERBOTTENS LÄN</t>
        </is>
      </c>
      <c r="E844" t="inlineStr">
        <is>
          <t>VILHELMINA</t>
        </is>
      </c>
      <c r="G844" t="n">
        <v>1.3</v>
      </c>
      <c r="H844" t="n">
        <v>0</v>
      </c>
      <c r="I844" t="n">
        <v>0</v>
      </c>
      <c r="J844" t="n">
        <v>0</v>
      </c>
      <c r="K844" t="n">
        <v>0</v>
      </c>
      <c r="L844" t="n">
        <v>0</v>
      </c>
      <c r="M844" t="n">
        <v>0</v>
      </c>
      <c r="N844" t="n">
        <v>0</v>
      </c>
      <c r="O844" t="n">
        <v>0</v>
      </c>
      <c r="P844" t="n">
        <v>0</v>
      </c>
      <c r="Q844" t="n">
        <v>0</v>
      </c>
      <c r="R844" s="2" t="inlineStr"/>
    </row>
    <row r="845" ht="15" customHeight="1">
      <c r="A845" t="inlineStr">
        <is>
          <t>A 60151-2024</t>
        </is>
      </c>
      <c r="B845" s="1" t="n">
        <v>45642.61490740741</v>
      </c>
      <c r="C845" s="1" t="n">
        <v>45911</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8908-2023</t>
        </is>
      </c>
      <c r="B846" s="1" t="n">
        <v>44972</v>
      </c>
      <c r="C846" s="1" t="n">
        <v>45911</v>
      </c>
      <c r="D846" t="inlineStr">
        <is>
          <t>VÄSTERBOTTENS LÄN</t>
        </is>
      </c>
      <c r="E846" t="inlineStr">
        <is>
          <t>VILHELMINA</t>
        </is>
      </c>
      <c r="F846" t="inlineStr">
        <is>
          <t>Allmännings- och besparingsskogar</t>
        </is>
      </c>
      <c r="G846" t="n">
        <v>22.3</v>
      </c>
      <c r="H846" t="n">
        <v>0</v>
      </c>
      <c r="I846" t="n">
        <v>0</v>
      </c>
      <c r="J846" t="n">
        <v>0</v>
      </c>
      <c r="K846" t="n">
        <v>0</v>
      </c>
      <c r="L846" t="n">
        <v>0</v>
      </c>
      <c r="M846" t="n">
        <v>0</v>
      </c>
      <c r="N846" t="n">
        <v>0</v>
      </c>
      <c r="O846" t="n">
        <v>0</v>
      </c>
      <c r="P846" t="n">
        <v>0</v>
      </c>
      <c r="Q846" t="n">
        <v>0</v>
      </c>
      <c r="R846" s="2" t="inlineStr"/>
    </row>
    <row r="847" ht="15" customHeight="1">
      <c r="A847" t="inlineStr">
        <is>
          <t>A 6665-2021</t>
        </is>
      </c>
      <c r="B847" s="1" t="n">
        <v>44235</v>
      </c>
      <c r="C847" s="1" t="n">
        <v>45911</v>
      </c>
      <c r="D847" t="inlineStr">
        <is>
          <t>VÄSTERBOTTENS LÄN</t>
        </is>
      </c>
      <c r="E847" t="inlineStr">
        <is>
          <t>VILHELMINA</t>
        </is>
      </c>
      <c r="G847" t="n">
        <v>20</v>
      </c>
      <c r="H847" t="n">
        <v>0</v>
      </c>
      <c r="I847" t="n">
        <v>0</v>
      </c>
      <c r="J847" t="n">
        <v>0</v>
      </c>
      <c r="K847" t="n">
        <v>0</v>
      </c>
      <c r="L847" t="n">
        <v>0</v>
      </c>
      <c r="M847" t="n">
        <v>0</v>
      </c>
      <c r="N847" t="n">
        <v>0</v>
      </c>
      <c r="O847" t="n">
        <v>0</v>
      </c>
      <c r="P847" t="n">
        <v>0</v>
      </c>
      <c r="Q847" t="n">
        <v>0</v>
      </c>
      <c r="R847" s="2" t="inlineStr"/>
    </row>
    <row r="848" ht="15" customHeight="1">
      <c r="A848" t="inlineStr">
        <is>
          <t>A 48424-2023</t>
        </is>
      </c>
      <c r="B848" s="1" t="n">
        <v>45205</v>
      </c>
      <c r="C848" s="1" t="n">
        <v>45911</v>
      </c>
      <c r="D848" t="inlineStr">
        <is>
          <t>VÄSTERBOTTENS LÄN</t>
        </is>
      </c>
      <c r="E848" t="inlineStr">
        <is>
          <t>VILHELMINA</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44714-2021</t>
        </is>
      </c>
      <c r="B849" s="1" t="n">
        <v>44435</v>
      </c>
      <c r="C849" s="1" t="n">
        <v>45911</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19221-2025</t>
        </is>
      </c>
      <c r="B850" s="1" t="n">
        <v>45769</v>
      </c>
      <c r="C850" s="1" t="n">
        <v>45911</v>
      </c>
      <c r="D850" t="inlineStr">
        <is>
          <t>VÄSTERBOTTENS LÄN</t>
        </is>
      </c>
      <c r="E850" t="inlineStr">
        <is>
          <t>VILHELMINA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8556-2025</t>
        </is>
      </c>
      <c r="B851" s="1" t="n">
        <v>45709</v>
      </c>
      <c r="C851" s="1" t="n">
        <v>45911</v>
      </c>
      <c r="D851" t="inlineStr">
        <is>
          <t>VÄSTERBOTTENS LÄN</t>
        </is>
      </c>
      <c r="E851" t="inlineStr">
        <is>
          <t>VILHELMINA</t>
        </is>
      </c>
      <c r="G851" t="n">
        <v>1</v>
      </c>
      <c r="H851" t="n">
        <v>0</v>
      </c>
      <c r="I851" t="n">
        <v>0</v>
      </c>
      <c r="J851" t="n">
        <v>0</v>
      </c>
      <c r="K851" t="n">
        <v>0</v>
      </c>
      <c r="L851" t="n">
        <v>0</v>
      </c>
      <c r="M851" t="n">
        <v>0</v>
      </c>
      <c r="N851" t="n">
        <v>0</v>
      </c>
      <c r="O851" t="n">
        <v>0</v>
      </c>
      <c r="P851" t="n">
        <v>0</v>
      </c>
      <c r="Q851" t="n">
        <v>0</v>
      </c>
      <c r="R851" s="2" t="inlineStr"/>
    </row>
    <row r="852" ht="15" customHeight="1">
      <c r="A852" t="inlineStr">
        <is>
          <t>A 57324-2022</t>
        </is>
      </c>
      <c r="B852" s="1" t="n">
        <v>44889</v>
      </c>
      <c r="C852" s="1" t="n">
        <v>45911</v>
      </c>
      <c r="D852" t="inlineStr">
        <is>
          <t>VÄSTERBOTTENS LÄN</t>
        </is>
      </c>
      <c r="E852" t="inlineStr">
        <is>
          <t>VILHELMINA</t>
        </is>
      </c>
      <c r="G852" t="n">
        <v>1.7</v>
      </c>
      <c r="H852" t="n">
        <v>0</v>
      </c>
      <c r="I852" t="n">
        <v>0</v>
      </c>
      <c r="J852" t="n">
        <v>0</v>
      </c>
      <c r="K852" t="n">
        <v>0</v>
      </c>
      <c r="L852" t="n">
        <v>0</v>
      </c>
      <c r="M852" t="n">
        <v>0</v>
      </c>
      <c r="N852" t="n">
        <v>0</v>
      </c>
      <c r="O852" t="n">
        <v>0</v>
      </c>
      <c r="P852" t="n">
        <v>0</v>
      </c>
      <c r="Q852" t="n">
        <v>0</v>
      </c>
      <c r="R852" s="2" t="inlineStr"/>
    </row>
    <row r="853" ht="15" customHeight="1">
      <c r="A853" t="inlineStr">
        <is>
          <t>A 14254-2025</t>
        </is>
      </c>
      <c r="B853" s="1" t="n">
        <v>45740.61644675926</v>
      </c>
      <c r="C853" s="1" t="n">
        <v>45911</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17307-2025</t>
        </is>
      </c>
      <c r="B854" s="1" t="n">
        <v>45756</v>
      </c>
      <c r="C854" s="1" t="n">
        <v>45911</v>
      </c>
      <c r="D854" t="inlineStr">
        <is>
          <t>VÄSTERBOTTENS LÄN</t>
        </is>
      </c>
      <c r="E854" t="inlineStr">
        <is>
          <t>VILHELMINA</t>
        </is>
      </c>
      <c r="G854" t="n">
        <v>11.2</v>
      </c>
      <c r="H854" t="n">
        <v>0</v>
      </c>
      <c r="I854" t="n">
        <v>0</v>
      </c>
      <c r="J854" t="n">
        <v>0</v>
      </c>
      <c r="K854" t="n">
        <v>0</v>
      </c>
      <c r="L854" t="n">
        <v>0</v>
      </c>
      <c r="M854" t="n">
        <v>0</v>
      </c>
      <c r="N854" t="n">
        <v>0</v>
      </c>
      <c r="O854" t="n">
        <v>0</v>
      </c>
      <c r="P854" t="n">
        <v>0</v>
      </c>
      <c r="Q854" t="n">
        <v>0</v>
      </c>
      <c r="R854" s="2" t="inlineStr"/>
    </row>
    <row r="855" ht="15" customHeight="1">
      <c r="A855" t="inlineStr">
        <is>
          <t>A 35006-2023</t>
        </is>
      </c>
      <c r="B855" s="1" t="n">
        <v>45142.95103009259</v>
      </c>
      <c r="C855" s="1" t="n">
        <v>45911</v>
      </c>
      <c r="D855" t="inlineStr">
        <is>
          <t>VÄSTERBOTTENS LÄN</t>
        </is>
      </c>
      <c r="E855" t="inlineStr">
        <is>
          <t>VILHELMINA</t>
        </is>
      </c>
      <c r="F855" t="inlineStr">
        <is>
          <t>SCA</t>
        </is>
      </c>
      <c r="G855" t="n">
        <v>11.6</v>
      </c>
      <c r="H855" t="n">
        <v>0</v>
      </c>
      <c r="I855" t="n">
        <v>0</v>
      </c>
      <c r="J855" t="n">
        <v>0</v>
      </c>
      <c r="K855" t="n">
        <v>0</v>
      </c>
      <c r="L855" t="n">
        <v>0</v>
      </c>
      <c r="M855" t="n">
        <v>0</v>
      </c>
      <c r="N855" t="n">
        <v>0</v>
      </c>
      <c r="O855" t="n">
        <v>0</v>
      </c>
      <c r="P855" t="n">
        <v>0</v>
      </c>
      <c r="Q855" t="n">
        <v>0</v>
      </c>
      <c r="R855" s="2" t="inlineStr"/>
    </row>
    <row r="856" ht="15" customHeight="1">
      <c r="A856" t="inlineStr">
        <is>
          <t>A 252-2025</t>
        </is>
      </c>
      <c r="B856" s="1" t="n">
        <v>45660.42734953704</v>
      </c>
      <c r="C856" s="1" t="n">
        <v>45911</v>
      </c>
      <c r="D856" t="inlineStr">
        <is>
          <t>VÄSTERBOTTENS LÄN</t>
        </is>
      </c>
      <c r="E856" t="inlineStr">
        <is>
          <t>VILHELMINA</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2008-2025</t>
        </is>
      </c>
      <c r="B857" s="1" t="n">
        <v>45672.45302083333</v>
      </c>
      <c r="C857" s="1" t="n">
        <v>45911</v>
      </c>
      <c r="D857" t="inlineStr">
        <is>
          <t>VÄSTERBOTTENS LÄN</t>
        </is>
      </c>
      <c r="E857" t="inlineStr">
        <is>
          <t>VILHELMINA</t>
        </is>
      </c>
      <c r="G857" t="n">
        <v>0.7</v>
      </c>
      <c r="H857" t="n">
        <v>0</v>
      </c>
      <c r="I857" t="n">
        <v>0</v>
      </c>
      <c r="J857" t="n">
        <v>0</v>
      </c>
      <c r="K857" t="n">
        <v>0</v>
      </c>
      <c r="L857" t="n">
        <v>0</v>
      </c>
      <c r="M857" t="n">
        <v>0</v>
      </c>
      <c r="N857" t="n">
        <v>0</v>
      </c>
      <c r="O857" t="n">
        <v>0</v>
      </c>
      <c r="P857" t="n">
        <v>0</v>
      </c>
      <c r="Q857" t="n">
        <v>0</v>
      </c>
      <c r="R857" s="2" t="inlineStr"/>
    </row>
    <row r="858" ht="15" customHeight="1">
      <c r="A858" t="inlineStr">
        <is>
          <t>A 18398-2025</t>
        </is>
      </c>
      <c r="B858" s="1" t="n">
        <v>45762.59491898148</v>
      </c>
      <c r="C858" s="1" t="n">
        <v>45911</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16721-2025</t>
        </is>
      </c>
      <c r="B859" s="1" t="n">
        <v>45754.49045138889</v>
      </c>
      <c r="C859" s="1" t="n">
        <v>45911</v>
      </c>
      <c r="D859" t="inlineStr">
        <is>
          <t>VÄSTERBOTTENS LÄN</t>
        </is>
      </c>
      <c r="E859" t="inlineStr">
        <is>
          <t>VILHELMINA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60376-2024</t>
        </is>
      </c>
      <c r="B860" s="1" t="n">
        <v>45643</v>
      </c>
      <c r="C860" s="1" t="n">
        <v>45911</v>
      </c>
      <c r="D860" t="inlineStr">
        <is>
          <t>VÄSTERBOTTENS LÄN</t>
        </is>
      </c>
      <c r="E860" t="inlineStr">
        <is>
          <t>VILHELMINA</t>
        </is>
      </c>
      <c r="F860" t="inlineStr">
        <is>
          <t>SCA</t>
        </is>
      </c>
      <c r="G860" t="n">
        <v>11.5</v>
      </c>
      <c r="H860" t="n">
        <v>0</v>
      </c>
      <c r="I860" t="n">
        <v>0</v>
      </c>
      <c r="J860" t="n">
        <v>0</v>
      </c>
      <c r="K860" t="n">
        <v>0</v>
      </c>
      <c r="L860" t="n">
        <v>0</v>
      </c>
      <c r="M860" t="n">
        <v>0</v>
      </c>
      <c r="N860" t="n">
        <v>0</v>
      </c>
      <c r="O860" t="n">
        <v>0</v>
      </c>
      <c r="P860" t="n">
        <v>0</v>
      </c>
      <c r="Q860" t="n">
        <v>0</v>
      </c>
      <c r="R860" s="2" t="inlineStr"/>
    </row>
    <row r="861" ht="15" customHeight="1">
      <c r="A861" t="inlineStr">
        <is>
          <t>A 19465-2025</t>
        </is>
      </c>
      <c r="B861" s="1" t="n">
        <v>45770</v>
      </c>
      <c r="C861" s="1" t="n">
        <v>45911</v>
      </c>
      <c r="D861" t="inlineStr">
        <is>
          <t>VÄSTERBOTTENS LÄN</t>
        </is>
      </c>
      <c r="E861" t="inlineStr">
        <is>
          <t>VILHELMINA</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52749-2023</t>
        </is>
      </c>
      <c r="B862" s="1" t="n">
        <v>45225.9678587963</v>
      </c>
      <c r="C862" s="1" t="n">
        <v>45911</v>
      </c>
      <c r="D862" t="inlineStr">
        <is>
          <t>VÄSTERBOTTENS LÄN</t>
        </is>
      </c>
      <c r="E862" t="inlineStr">
        <is>
          <t>VILHELMINA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30583-2024</t>
        </is>
      </c>
      <c r="B863" s="1" t="n">
        <v>45492.96108796296</v>
      </c>
      <c r="C863" s="1" t="n">
        <v>45911</v>
      </c>
      <c r="D863" t="inlineStr">
        <is>
          <t>VÄSTERBOTTENS LÄN</t>
        </is>
      </c>
      <c r="E863" t="inlineStr">
        <is>
          <t>VILHELMINA</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21035-2025</t>
        </is>
      </c>
      <c r="B864" s="1" t="n">
        <v>45777.53157407408</v>
      </c>
      <c r="C864" s="1" t="n">
        <v>45911</v>
      </c>
      <c r="D864" t="inlineStr">
        <is>
          <t>VÄSTERBOTTENS LÄN</t>
        </is>
      </c>
      <c r="E864" t="inlineStr">
        <is>
          <t>VILHELMINA</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21069-2025</t>
        </is>
      </c>
      <c r="B865" s="1" t="n">
        <v>45777.59427083333</v>
      </c>
      <c r="C865" s="1" t="n">
        <v>45911</v>
      </c>
      <c r="D865" t="inlineStr">
        <is>
          <t>VÄSTERBOTTENS LÄN</t>
        </is>
      </c>
      <c r="E865" t="inlineStr">
        <is>
          <t>VILHELMINA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5435-2024</t>
        </is>
      </c>
      <c r="B866" s="1" t="n">
        <v>45331</v>
      </c>
      <c r="C866" s="1" t="n">
        <v>45911</v>
      </c>
      <c r="D866" t="inlineStr">
        <is>
          <t>VÄSTERBOTTENS LÄN</t>
        </is>
      </c>
      <c r="E866" t="inlineStr">
        <is>
          <t>VILHELMINA</t>
        </is>
      </c>
      <c r="G866" t="n">
        <v>6</v>
      </c>
      <c r="H866" t="n">
        <v>0</v>
      </c>
      <c r="I866" t="n">
        <v>0</v>
      </c>
      <c r="J866" t="n">
        <v>0</v>
      </c>
      <c r="K866" t="n">
        <v>0</v>
      </c>
      <c r="L866" t="n">
        <v>0</v>
      </c>
      <c r="M866" t="n">
        <v>0</v>
      </c>
      <c r="N866" t="n">
        <v>0</v>
      </c>
      <c r="O866" t="n">
        <v>0</v>
      </c>
      <c r="P866" t="n">
        <v>0</v>
      </c>
      <c r="Q866" t="n">
        <v>0</v>
      </c>
      <c r="R866" s="2" t="inlineStr"/>
    </row>
    <row r="867" ht="15" customHeight="1">
      <c r="A867" t="inlineStr">
        <is>
          <t>A 21410-2025</t>
        </is>
      </c>
      <c r="B867" s="1" t="n">
        <v>45782</v>
      </c>
      <c r="C867" s="1" t="n">
        <v>45911</v>
      </c>
      <c r="D867" t="inlineStr">
        <is>
          <t>VÄSTERBOTTENS LÄN</t>
        </is>
      </c>
      <c r="E867" t="inlineStr">
        <is>
          <t>VILHELMINA</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3745-2023</t>
        </is>
      </c>
      <c r="B868" s="1" t="n">
        <v>44949</v>
      </c>
      <c r="C868" s="1" t="n">
        <v>45911</v>
      </c>
      <c r="D868" t="inlineStr">
        <is>
          <t>VÄSTERBOTTENS LÄN</t>
        </is>
      </c>
      <c r="E868" t="inlineStr">
        <is>
          <t>VILHELMINA</t>
        </is>
      </c>
      <c r="G868" t="n">
        <v>36.6</v>
      </c>
      <c r="H868" t="n">
        <v>0</v>
      </c>
      <c r="I868" t="n">
        <v>0</v>
      </c>
      <c r="J868" t="n">
        <v>0</v>
      </c>
      <c r="K868" t="n">
        <v>0</v>
      </c>
      <c r="L868" t="n">
        <v>0</v>
      </c>
      <c r="M868" t="n">
        <v>0</v>
      </c>
      <c r="N868" t="n">
        <v>0</v>
      </c>
      <c r="O868" t="n">
        <v>0</v>
      </c>
      <c r="P868" t="n">
        <v>0</v>
      </c>
      <c r="Q868" t="n">
        <v>0</v>
      </c>
      <c r="R868" s="2" t="inlineStr"/>
    </row>
    <row r="869" ht="15" customHeight="1">
      <c r="A869" t="inlineStr">
        <is>
          <t>A 21205-2025</t>
        </is>
      </c>
      <c r="B869" s="1" t="n">
        <v>45779</v>
      </c>
      <c r="C869" s="1" t="n">
        <v>45911</v>
      </c>
      <c r="D869" t="inlineStr">
        <is>
          <t>VÄSTERBOTTENS LÄN</t>
        </is>
      </c>
      <c r="E869" t="inlineStr">
        <is>
          <t>VILHELMINA</t>
        </is>
      </c>
      <c r="F869" t="inlineStr">
        <is>
          <t>Allmännings- och besparingsskogar</t>
        </is>
      </c>
      <c r="G869" t="n">
        <v>6.2</v>
      </c>
      <c r="H869" t="n">
        <v>0</v>
      </c>
      <c r="I869" t="n">
        <v>0</v>
      </c>
      <c r="J869" t="n">
        <v>0</v>
      </c>
      <c r="K869" t="n">
        <v>0</v>
      </c>
      <c r="L869" t="n">
        <v>0</v>
      </c>
      <c r="M869" t="n">
        <v>0</v>
      </c>
      <c r="N869" t="n">
        <v>0</v>
      </c>
      <c r="O869" t="n">
        <v>0</v>
      </c>
      <c r="P869" t="n">
        <v>0</v>
      </c>
      <c r="Q869" t="n">
        <v>0</v>
      </c>
      <c r="R869" s="2" t="inlineStr"/>
    </row>
    <row r="870" ht="15" customHeight="1">
      <c r="A870" t="inlineStr">
        <is>
          <t>A 21448-2025</t>
        </is>
      </c>
      <c r="B870" s="1" t="n">
        <v>45782.55241898148</v>
      </c>
      <c r="C870" s="1" t="n">
        <v>45911</v>
      </c>
      <c r="D870" t="inlineStr">
        <is>
          <t>VÄSTERBOTTENS LÄN</t>
        </is>
      </c>
      <c r="E870" t="inlineStr">
        <is>
          <t>VILHELMINA</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21204-2025</t>
        </is>
      </c>
      <c r="B871" s="1" t="n">
        <v>45779</v>
      </c>
      <c r="C871" s="1" t="n">
        <v>45911</v>
      </c>
      <c r="D871" t="inlineStr">
        <is>
          <t>VÄSTERBOTTENS LÄN</t>
        </is>
      </c>
      <c r="E871" t="inlineStr">
        <is>
          <t>VILHELMINA</t>
        </is>
      </c>
      <c r="F871" t="inlineStr">
        <is>
          <t>Allmännings- och besparingsskogar</t>
        </is>
      </c>
      <c r="G871" t="n">
        <v>0.9</v>
      </c>
      <c r="H871" t="n">
        <v>0</v>
      </c>
      <c r="I871" t="n">
        <v>0</v>
      </c>
      <c r="J871" t="n">
        <v>0</v>
      </c>
      <c r="K871" t="n">
        <v>0</v>
      </c>
      <c r="L871" t="n">
        <v>0</v>
      </c>
      <c r="M871" t="n">
        <v>0</v>
      </c>
      <c r="N871" t="n">
        <v>0</v>
      </c>
      <c r="O871" t="n">
        <v>0</v>
      </c>
      <c r="P871" t="n">
        <v>0</v>
      </c>
      <c r="Q871" t="n">
        <v>0</v>
      </c>
      <c r="R871" s="2" t="inlineStr"/>
    </row>
    <row r="872" ht="15" customHeight="1">
      <c r="A872" t="inlineStr">
        <is>
          <t>A 21924-2025</t>
        </is>
      </c>
      <c r="B872" s="1" t="n">
        <v>45784</v>
      </c>
      <c r="C872" s="1" t="n">
        <v>45911</v>
      </c>
      <c r="D872" t="inlineStr">
        <is>
          <t>VÄSTERBOTTENS LÄN</t>
        </is>
      </c>
      <c r="E872" t="inlineStr">
        <is>
          <t>VILHELMINA</t>
        </is>
      </c>
      <c r="G872" t="n">
        <v>10.2</v>
      </c>
      <c r="H872" t="n">
        <v>0</v>
      </c>
      <c r="I872" t="n">
        <v>0</v>
      </c>
      <c r="J872" t="n">
        <v>0</v>
      </c>
      <c r="K872" t="n">
        <v>0</v>
      </c>
      <c r="L872" t="n">
        <v>0</v>
      </c>
      <c r="M872" t="n">
        <v>0</v>
      </c>
      <c r="N872" t="n">
        <v>0</v>
      </c>
      <c r="O872" t="n">
        <v>0</v>
      </c>
      <c r="P872" t="n">
        <v>0</v>
      </c>
      <c r="Q872" t="n">
        <v>0</v>
      </c>
      <c r="R872" s="2" t="inlineStr"/>
    </row>
    <row r="873" ht="15" customHeight="1">
      <c r="A873" t="inlineStr">
        <is>
          <t>A 50482-2023</t>
        </is>
      </c>
      <c r="B873" s="1" t="n">
        <v>45216</v>
      </c>
      <c r="C873" s="1" t="n">
        <v>45911</v>
      </c>
      <c r="D873" t="inlineStr">
        <is>
          <t>VÄSTERBOTTENS LÄN</t>
        </is>
      </c>
      <c r="E873" t="inlineStr">
        <is>
          <t>VILHELMINA</t>
        </is>
      </c>
      <c r="G873" t="n">
        <v>3.5</v>
      </c>
      <c r="H873" t="n">
        <v>0</v>
      </c>
      <c r="I873" t="n">
        <v>0</v>
      </c>
      <c r="J873" t="n">
        <v>0</v>
      </c>
      <c r="K873" t="n">
        <v>0</v>
      </c>
      <c r="L873" t="n">
        <v>0</v>
      </c>
      <c r="M873" t="n">
        <v>0</v>
      </c>
      <c r="N873" t="n">
        <v>0</v>
      </c>
      <c r="O873" t="n">
        <v>0</v>
      </c>
      <c r="P873" t="n">
        <v>0</v>
      </c>
      <c r="Q873" t="n">
        <v>0</v>
      </c>
      <c r="R873" s="2" t="inlineStr"/>
    </row>
    <row r="874" ht="15" customHeight="1">
      <c r="A874" t="inlineStr">
        <is>
          <t>A 21999-2025</t>
        </is>
      </c>
      <c r="B874" s="1" t="n">
        <v>45784</v>
      </c>
      <c r="C874" s="1" t="n">
        <v>45911</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21950-2025</t>
        </is>
      </c>
      <c r="B875" s="1" t="n">
        <v>45784.59418981482</v>
      </c>
      <c r="C875" s="1" t="n">
        <v>45911</v>
      </c>
      <c r="D875" t="inlineStr">
        <is>
          <t>VÄSTERBOTTENS LÄN</t>
        </is>
      </c>
      <c r="E875" t="inlineStr">
        <is>
          <t>VILHELMINA</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21623-2025</t>
        </is>
      </c>
      <c r="B876" s="1" t="n">
        <v>45783</v>
      </c>
      <c r="C876" s="1" t="n">
        <v>45911</v>
      </c>
      <c r="D876" t="inlineStr">
        <is>
          <t>VÄSTERBOTTENS LÄN</t>
        </is>
      </c>
      <c r="E876" t="inlineStr">
        <is>
          <t>VILHELMINA</t>
        </is>
      </c>
      <c r="F876" t="inlineStr">
        <is>
          <t>SCA</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21670-2025</t>
        </is>
      </c>
      <c r="B877" s="1" t="n">
        <v>45783.46917824074</v>
      </c>
      <c r="C877" s="1" t="n">
        <v>45911</v>
      </c>
      <c r="D877" t="inlineStr">
        <is>
          <t>VÄSTERBOTTENS LÄN</t>
        </is>
      </c>
      <c r="E877" t="inlineStr">
        <is>
          <t>VILHELMINA</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21972-2025</t>
        </is>
      </c>
      <c r="B878" s="1" t="n">
        <v>45784.63592592593</v>
      </c>
      <c r="C878" s="1" t="n">
        <v>45911</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45911</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c r="A880" t="inlineStr">
        <is>
          <t>A 22048-2025</t>
        </is>
      </c>
      <c r="B880" s="1" t="n">
        <v>45785.3443287037</v>
      </c>
      <c r="C880" s="1" t="n">
        <v>45911</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2025-09-11T08:55:28Z</dcterms:created>
  <dcterms:modified xmlns:dcterms="http://purl.org/dc/terms/" xmlns:xsi="http://www.w3.org/2001/XMLSchema-instance" xsi:type="dcterms:W3CDTF">2025-09-11T08:55:29Z</dcterms:modified>
</cp:coreProperties>
</file>