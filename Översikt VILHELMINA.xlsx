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45692</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45692</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45692</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45692</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45692</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45692</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45692</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45692</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45692</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45692</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45692</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45692</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45692</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45692</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45692</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45692</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45692</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45692</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45692</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45692</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45692</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45692</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45692</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45692</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45692</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45692</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45692</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45692</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45692</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45692</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45692</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45692</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45692</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45692</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45692</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45692</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45692</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45692</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45692</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45692</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45692</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45692</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45692</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45692</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45692</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45692</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45692</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45692</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45692</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45692</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45692</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45692</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45692</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45692</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45692</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45692</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45692</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45692</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45692</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45692</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45692</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45692</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45692</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45692</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45692</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45692</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45692</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45692</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45692</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45692</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45692</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45692</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45692</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45692</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45692</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45692</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45692</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45692</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45692</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45692</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45692</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45692</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45692</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45692</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45692</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45692</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45692</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45692</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45692</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45692</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45692</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45692</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45692</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45692</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45692</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45692</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45692</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45692</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45692</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45692</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45692</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45692</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45692</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45692</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45692</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45692</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45692</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45692</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45692</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45692</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1232-2025</t>
        </is>
      </c>
      <c r="B168" s="1" t="n">
        <v>45667</v>
      </c>
      <c r="C168" s="1" t="n">
        <v>45692</v>
      </c>
      <c r="D168" t="inlineStr">
        <is>
          <t>VÄSTERBOTTENS LÄN</t>
        </is>
      </c>
      <c r="E168" t="inlineStr">
        <is>
          <t>VILHELMINA</t>
        </is>
      </c>
      <c r="G168" t="n">
        <v>4.8</v>
      </c>
      <c r="H168" t="n">
        <v>1</v>
      </c>
      <c r="I168" t="n">
        <v>0</v>
      </c>
      <c r="J168" t="n">
        <v>3</v>
      </c>
      <c r="K168" t="n">
        <v>0</v>
      </c>
      <c r="L168" t="n">
        <v>0</v>
      </c>
      <c r="M168" t="n">
        <v>0</v>
      </c>
      <c r="N168" t="n">
        <v>0</v>
      </c>
      <c r="O168" t="n">
        <v>3</v>
      </c>
      <c r="P168" t="n">
        <v>0</v>
      </c>
      <c r="Q168" t="n">
        <v>3</v>
      </c>
      <c r="R168" s="2" t="inlineStr">
        <is>
          <t>Duvhök
Garnlav
Granticka</t>
        </is>
      </c>
      <c r="S168">
        <f>HYPERLINK("https://klasma.github.io/Logging_2462/artfynd/A 1232-2025 artfynd.xlsx", "A 1232-2025")</f>
        <v/>
      </c>
      <c r="T168">
        <f>HYPERLINK("https://klasma.github.io/Logging_2462/kartor/A 1232-2025 karta.png", "A 1232-2025")</f>
        <v/>
      </c>
      <c r="V168">
        <f>HYPERLINK("https://klasma.github.io/Logging_2462/klagomål/A 1232-2025 FSC-klagomål.docx", "A 1232-2025")</f>
        <v/>
      </c>
      <c r="W168">
        <f>HYPERLINK("https://klasma.github.io/Logging_2462/klagomålsmail/A 1232-2025 FSC-klagomål mail.docx", "A 1232-2025")</f>
        <v/>
      </c>
      <c r="X168">
        <f>HYPERLINK("https://klasma.github.io/Logging_2462/tillsyn/A 1232-2025 tillsynsbegäran.docx", "A 1232-2025")</f>
        <v/>
      </c>
      <c r="Y168">
        <f>HYPERLINK("https://klasma.github.io/Logging_2462/tillsynsmail/A 1232-2025 tillsynsbegäran mail.docx", "A 1232-2025")</f>
        <v/>
      </c>
      <c r="Z168">
        <f>HYPERLINK("https://klasma.github.io/Logging_2462/fåglar/A 1232-2025 prioriterade fågelarter.docx", "A 1232-2025")</f>
        <v/>
      </c>
    </row>
    <row r="169" ht="15" customHeight="1">
      <c r="A169" t="inlineStr">
        <is>
          <t>A 1224-2025</t>
        </is>
      </c>
      <c r="B169" s="1" t="n">
        <v>45667</v>
      </c>
      <c r="C169" s="1" t="n">
        <v>45692</v>
      </c>
      <c r="D169" t="inlineStr">
        <is>
          <t>VÄSTERBOTTENS LÄN</t>
        </is>
      </c>
      <c r="E169" t="inlineStr">
        <is>
          <t>VILHELMINA</t>
        </is>
      </c>
      <c r="G169" t="n">
        <v>4.9</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1224-2025 artfynd.xlsx", "A 1224-2025")</f>
        <v/>
      </c>
      <c r="T169">
        <f>HYPERLINK("https://klasma.github.io/Logging_2462/kartor/A 1224-2025 karta.png", "A 1224-2025")</f>
        <v/>
      </c>
      <c r="V169">
        <f>HYPERLINK("https://klasma.github.io/Logging_2462/klagomål/A 1224-2025 FSC-klagomål.docx", "A 1224-2025")</f>
        <v/>
      </c>
      <c r="W169">
        <f>HYPERLINK("https://klasma.github.io/Logging_2462/klagomålsmail/A 1224-2025 FSC-klagomål mail.docx", "A 1224-2025")</f>
        <v/>
      </c>
      <c r="X169">
        <f>HYPERLINK("https://klasma.github.io/Logging_2462/tillsyn/A 1224-2025 tillsynsbegäran.docx", "A 1224-2025")</f>
        <v/>
      </c>
      <c r="Y169">
        <f>HYPERLINK("https://klasma.github.io/Logging_2462/tillsynsmail/A 1224-2025 tillsynsbegäran mail.docx", "A 1224-2025")</f>
        <v/>
      </c>
    </row>
    <row r="170" ht="15" customHeight="1">
      <c r="A170" t="inlineStr">
        <is>
          <t>A 34784-2019</t>
        </is>
      </c>
      <c r="B170" s="1" t="n">
        <v>43658</v>
      </c>
      <c r="C170" s="1" t="n">
        <v>45692</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45692</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45692</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45692</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45692</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45692</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45692</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45692</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45692</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45692</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45692</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45692</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45692</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45692</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45692</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45692</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45692</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45692</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45692</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45692</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45692</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45692</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45692</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45692</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45692</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45692</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45692</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45692</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45692</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45692</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45692</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45692</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45692</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45692</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45692</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45692</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45692</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45692</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45692</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45692</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45692</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45692</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45692</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45692</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45692</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45692</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45692</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45692</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45692</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45692</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45692</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45692</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45692</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45692</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45692</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45692</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45692</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45692</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45692</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45692</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45692</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45692</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45692</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45692</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45692</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45692</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45692</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45692</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45692</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45692</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45692</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45692</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45692</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45692</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45692</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45692</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45692</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45692</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45692</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45692</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45692</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45692</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45692</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45692</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45692</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45692</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45692</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45692</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45692</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45692</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45692</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45692</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45692</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45692</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45692</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45692</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45692</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45692</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45692</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45692</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45692</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45692</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45692</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45692</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45692</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45692</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45692</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45692</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45692</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45692</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45692</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45692</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45692</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45692</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45692</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45692</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45692</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45692</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45692</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45692</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45692</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45692</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45692</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45692</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45692</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45692</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45692</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45692</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45692</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45692</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45692</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45692</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45692</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45692</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45692</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45692</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45692</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45692</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45692</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45692</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45692</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45692</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45692</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45692</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45692</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45692</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45692</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45692</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45692</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45692</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45692</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45692</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45692</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45692</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45692</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45692</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45692</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45692</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45692</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45692</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45692</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45692</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45692</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45692</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45692</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45692</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45692</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45692</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45692</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45692</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45692</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45692</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45692</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45692</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45692</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45692</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45692</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45692</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45692</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45692</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45692</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45692</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45692</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45692</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45692</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45692</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45692</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45692</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45692</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45692</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45692</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45692</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45692</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45692</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45692</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45692</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45692</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45692</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45692</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45692</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45692</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45692</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45692</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45692</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45692</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45692</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45692</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45692</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45692</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45692</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45692</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45692</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45692</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45692</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45692</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45692</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45692</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45692</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45692</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45692</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45692</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45692</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45692</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45692</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45692</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45692</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45692</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45692</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45692</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45692</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45692</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45692</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45692</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45692</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45692</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45692</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45692</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45692</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45692</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45692</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45692</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45692</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45692</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45692</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45692</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45692</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45692</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45692</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45692</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45692</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45692</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45692</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45692</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45692</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45692</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45692</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45692</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45692</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45692</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45692</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45692</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45692</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45692</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45692</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45692</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45692</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45692</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45692</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45692</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45692</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45692</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45692</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45692</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45692</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45692</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45692</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45692</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45692</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45692</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45692</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45692</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45692</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45692</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45692</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45692</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45692</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45692</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45692</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45692</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45692</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45692</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45692</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45692</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45692</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45692</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45692</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45692</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45692</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45692</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45692</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45692</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45692</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45692</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45692</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45692</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45692</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45692</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45692</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45692</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45692</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45692</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45692</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45692</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45692</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45692</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45692</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45692</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45692</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45692</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45692</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45692</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45692</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45692</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45692</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45692</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45692</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45692</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45692</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45692</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45692</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45692</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45692</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45692</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45692</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45692</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45692</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45692</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45692</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45692</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45692</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45692</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45692</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45692</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45692</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45692</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45692</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45692</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45692</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45692</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45692</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45692</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45692</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45692</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45692</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45692</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45692</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45692</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45692</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45692</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45692</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45692</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45692</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45692</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45692</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45692</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45692</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45692</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45692</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45692</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45692</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45692</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45692</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45692</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45692</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45692</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45692</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45692</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45692</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45692</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45692</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45692</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45692</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45692</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45692</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45692</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45692</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45692</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45692</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45692</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45692</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45692</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45692</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45692</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45692</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45692</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45692</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45692</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45692</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45692</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45692</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45692</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45692</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45692</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45692</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45692</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45692</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45692</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45692</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45692</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45692</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45692</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45692</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45692</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45692</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45692</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45692</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45692</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45692</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45692</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45692</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45692</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45692</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45692</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45692</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45692</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45692</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45692</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45692</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45692</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45692</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45692</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45692</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45692</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45692</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45692</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45692</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45692</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45692</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45692</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45692</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45692</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45692</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45692</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45692</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45692</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45692</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45692</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45692</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45692</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45692</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45692</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45692</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45692</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45692</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45692</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45692</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45692</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45692</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45692</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45692</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45692</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45692</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45692</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45692</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45692</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45692</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45692</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45692</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45692</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45692</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45692</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45692</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45692</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45692</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45692</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45692</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45692</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45692</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45692</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45692</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45692</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45692</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45692</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45692</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45692</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45692</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45692</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45692</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45692</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45692</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45692</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45692</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45692</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45692</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45692</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45692</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45692</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45692</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45692</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45692</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45692</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45692</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45692</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45692</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45692</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45692</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45692</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45692</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45692</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45692</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45692</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45692</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45692</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45692</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45692</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45692</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45692</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45692</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45692</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45692</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45692</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45692</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45692</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45692</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45692</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45692</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45692</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45692</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45692</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45692</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45692</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45692</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45692</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45692</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45692</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45692</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45692</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45692</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45692</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45692</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45692</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45692</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45692</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45692</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45692</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45692</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45692</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45692</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45692</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45692</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45692</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45692</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45692</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45692</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45692</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45692</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45692</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45692</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45692</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45692</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45692</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45692</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45692</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45692</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45692</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45692</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45692</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45692</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45692</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45692</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45692</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45692</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45692</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45692</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45692</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45692</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45692</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45692</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45692</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45692</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45692</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45692</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45692</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45692</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45692</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45692</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45692</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45692</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45692</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45692</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45692</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45692</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45692</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45692</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45692</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45692</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45692</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45692</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45692</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45692</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45692</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45692</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45692</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45692</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45692</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45692</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45692</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45692</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45692</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45692</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45692</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45692</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45692</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45692</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45692</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45692</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45692</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45692</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45692</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45692</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45692</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45692</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45692</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45692</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45692</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45692</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45692</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45692</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45692</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45692</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45692</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45692</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45692</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45692</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45692</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45692</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45692</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45692</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45692</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45692</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45692</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45692</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45692</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45692</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45692</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45692</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45692</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45692</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45692</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45692</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45692</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45692</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45692</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45692</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45692</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45692</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45692</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45692</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45692</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45692</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45692</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45692</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45692</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45692</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45692</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45692</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45692</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45692</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45692</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45692</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45692</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45692</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45692</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45692</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45692</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45692</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45692</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45692</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45692</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45692</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45692</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45692</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45692</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45692</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45692</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45692</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45692</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45692</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45692</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45692</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45692</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45692</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45692</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45692</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45692</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45692</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45692</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45692</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45692</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45692</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45692</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45692</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45692</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45692</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45692</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45692</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45692</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45692</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45692</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45692</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45692</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45692</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45692</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45692</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45692</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45692</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45692</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45692</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45692</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45692</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45692</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45692</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45692</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45692</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45692</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45692</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45692</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45692</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45692</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45692</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45692</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45692</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45692</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45692</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45692</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45692</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45692</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45692</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45692</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45692</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45692</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45692</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45692</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45692</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45692</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45692</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45692</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45692</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45692</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45692</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45692</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45692</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45692</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45692</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45692</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45692</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45692</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45692</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45692</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45692</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45692</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45692</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45692</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45692</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45692</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45692</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45692</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45692</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45692</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45692</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45692</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45692</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45692</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45692</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45692</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45692</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45692</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45692</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45692</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45692</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45692</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45692</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45692</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45692</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45692</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45692</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45692</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45692</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45692</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45692</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45692</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45692</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45692</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45692</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45692</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45692</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45692</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45692</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45692</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45692</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45692</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45692</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45692</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45692</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45692</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45692</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45692</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45692</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45692</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45692</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45692</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45692</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45692</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45692</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45692</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45692</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45692</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45692</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45692</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45692</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45692</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45692</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45692</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45692</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45692</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45692</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45692</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45692</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45692</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45692</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45692</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45692</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45692</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45692</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45692</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45692</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45692</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45692</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45692</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45692</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45692</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45692</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45692</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45692</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45692</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45692</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45692</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45692</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45692</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45692</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45692</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45692</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45692</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45692</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45692</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45692</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45692</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45692</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45692</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45692</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45692</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45692</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45692</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45692</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45692</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45692</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45692</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45692</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45692</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45692</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45692</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45692</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45692</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45692</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45692</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45692</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45692</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45692</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45692</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45692</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45692</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45692</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45692</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45692</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45692</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45692</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45692</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45692</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45692</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45692</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45692</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45692</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45692</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45692</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45692</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45692</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45692</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45692</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45692</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45692</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45692</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45692</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45692</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45692</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45692</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45692</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45692</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45692</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45692</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45692</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45692</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45692</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45692</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45692</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45692</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45692</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45692</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45692</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45692</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45692</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45692</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45692</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45692</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45692</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45692</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45692</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45692</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45692</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45692</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45692</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45692</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45692</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45692</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45692</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45692</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45692</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45692</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45692</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45692</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45692</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45692</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45692</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45692</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45692</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45692</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45692</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45692</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45692</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45692</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45692</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45692</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45692</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45692</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45692</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45692</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45692</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45692</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45692</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45692</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45692</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45692</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45692</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45692</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45692</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45692</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45692</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45692</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45692</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45692</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45692</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45692</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45692</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45692</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45692</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45692</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45692</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45692</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45692</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45692</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45692</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45692</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45692</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45692</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45692</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45692</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45692</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45692</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45692</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45692</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45692</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45692</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45692</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45692</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45692</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45692</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45692</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45692</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45692</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45692</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45692</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45692</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45692</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45692</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45692</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45692</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45692</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45692</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45692</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45692</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45692</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45692</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45692</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45692</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45692</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45692</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45692</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45692</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45692</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45692</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45692</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45692</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45692</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45692</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45692</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45692</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45692</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45692</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45692</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45692</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45692</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45692</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45692</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45692</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45692</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45692</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45692</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45692</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45692</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45692</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45692</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45692</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45692</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45692</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45692</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45692</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45692</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45692</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45692</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45692</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45692</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45692</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45692</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45692</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45692</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45692</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45692</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45692</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45692</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45692</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45692</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45692</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45692</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45692</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45692</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45692</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45692</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45692</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45692</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45692</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45692</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45692</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45692</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45692</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45692</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45692</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45692</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45692</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45692</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45692</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45692</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45692</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45692</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45692</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45692</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45692</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45692</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45692</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45692</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45692</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45692</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45692</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45692</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45692</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45692</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45692</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45692</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45692</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45692</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45692</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45692</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45692</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45692</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45692</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45692</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45692</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45692</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45692</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45692</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45692</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45692</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45692</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45692</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45692</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45692</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45692</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45692</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45692</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45692</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45692</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45692</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45692</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45692</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45692</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45692</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45692</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45692</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45692</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45692</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45692</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45692</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45692</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45692</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45692</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45692</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45692</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45692</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45692</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45692</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45692</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45692</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45692</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45692</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45692</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45692</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45692</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45692</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45692</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45692</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45692</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45692</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45692</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45692</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45692</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45692</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45692</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45692</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45692</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45692</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45692</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45692</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45692</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45692</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45692</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45692</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45692</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45692</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45692</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45692</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45692</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45692</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45692</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45692</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45692</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45692</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45692</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45692</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45692</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45692</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45692</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45692</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45692</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45692</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45692</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45692</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45692</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45692</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45692</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45692</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45692</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45692</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45692</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45692</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45692</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45692</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45692</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45692</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45692</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45692</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45692</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45692</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45692</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45692</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45692</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45692</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45692</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45692</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45692</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45692</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45692</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45692</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45692</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45692</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45692</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45692</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45692</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45692</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45692</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45692</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45692</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45692</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45692</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45692</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45692</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45692</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45692</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45692</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45692</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45692</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45692</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45692</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45692</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45692</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45692</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45692</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45692</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45692</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45692</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45692</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45692</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45692</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45692</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45692</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45692</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45692</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45692</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45692</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45692</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45692</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45692</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45692</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45692</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45692</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45692</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45692</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45692</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45692</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45692</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45692</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45692</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45692</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45692</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45692</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45692</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45692</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45692</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45692</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45692</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45692</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45692</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45692</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45692</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45692</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45692</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45692</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45692</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45692</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45692</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45692</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45692</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45692</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45692</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45692</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45692</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45692</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45692</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45692</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c r="A1456" t="inlineStr">
        <is>
          <t>A 4821-2025</t>
        </is>
      </c>
      <c r="B1456" s="1" t="n">
        <v>45688</v>
      </c>
      <c r="C1456" s="1" t="n">
        <v>45692</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2025-02-04T15:59:37Z</dcterms:created>
  <dcterms:modified xmlns:dcterms="http://purl.org/dc/terms/" xmlns:xsi="http://www.w3.org/2001/XMLSchema-instance" xsi:type="dcterms:W3CDTF">2025-02-04T15:59:38Z</dcterms:modified>
</cp:coreProperties>
</file>