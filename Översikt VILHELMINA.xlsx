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45357</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45357</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45357</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45357</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45357</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45357</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45357</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45357</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45357</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45357</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45357</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45357</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45357</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45357</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45357</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45357</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45357</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45357</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45357</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45357</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45357</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45357</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45357</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45357</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45357</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45357</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45357</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45357</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45357</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45357</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45357</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45357</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45357</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45357</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45357</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48248-2023</t>
        </is>
      </c>
      <c r="B38" s="1" t="n">
        <v>45201</v>
      </c>
      <c r="C38" s="1" t="n">
        <v>45357</v>
      </c>
      <c r="D38" t="inlineStr">
        <is>
          <t>VÄSTERBOTTENS LÄN</t>
        </is>
      </c>
      <c r="E38" t="inlineStr">
        <is>
          <t>VILHELMINA</t>
        </is>
      </c>
      <c r="F38" t="inlineStr">
        <is>
          <t>Allmännings- och besparingsskogar</t>
        </is>
      </c>
      <c r="G38" t="n">
        <v>34.2</v>
      </c>
      <c r="H38" t="n">
        <v>4</v>
      </c>
      <c r="I38" t="n">
        <v>3</v>
      </c>
      <c r="J38" t="n">
        <v>11</v>
      </c>
      <c r="K38" t="n">
        <v>0</v>
      </c>
      <c r="L38" t="n">
        <v>0</v>
      </c>
      <c r="M38" t="n">
        <v>0</v>
      </c>
      <c r="N38" t="n">
        <v>0</v>
      </c>
      <c r="O38" t="n">
        <v>11</v>
      </c>
      <c r="P38" t="n">
        <v>0</v>
      </c>
      <c r="Q38" t="n">
        <v>15</v>
      </c>
      <c r="R38" s="2" t="inlineStr">
        <is>
          <t>Garnlav
Granticka
Järpe
Liten svartspik
Lunglav
Rödbrun blekspik
Skrovellav
Talltita
Tretåig hackspett
Vitgrynig nållav
Vitskaftad svartspik
Bårdlav
Gulnål
Stuplav
Tjäder</t>
        </is>
      </c>
      <c r="S38">
        <f>HYPERLINK("https://klasma.github.io/Logging_2462/artfynd/A 48248-2023 artfynd.xlsx", "A 48248-2023")</f>
        <v/>
      </c>
      <c r="T38">
        <f>HYPERLINK("https://klasma.github.io/Logging_2462/kartor/A 48248-2023 karta.png", "A 48248-2023")</f>
        <v/>
      </c>
      <c r="V38">
        <f>HYPERLINK("https://klasma.github.io/Logging_2462/klagomål/A 48248-2023 FSC-klagomål.docx", "A 48248-2023")</f>
        <v/>
      </c>
      <c r="W38">
        <f>HYPERLINK("https://klasma.github.io/Logging_2462/klagomålsmail/A 48248-2023 FSC-klagomål mail.docx", "A 48248-2023")</f>
        <v/>
      </c>
      <c r="X38">
        <f>HYPERLINK("https://klasma.github.io/Logging_2462/tillsyn/A 48248-2023 tillsynsbegäran.docx", "A 48248-2023")</f>
        <v/>
      </c>
      <c r="Y38">
        <f>HYPERLINK("https://klasma.github.io/Logging_2462/tillsynsmail/A 48248-2023 tillsynsbegäran mail.docx", "A 48248-2023")</f>
        <v/>
      </c>
      <c r="Z38">
        <f>HYPERLINK("https://klasma.github.io/Logging_2462/fåglar/A 48248-2023 prioriterade fågelarter.docx", "A 48248-2023")</f>
        <v/>
      </c>
    </row>
    <row r="39" ht="15" customHeight="1">
      <c r="A39" t="inlineStr">
        <is>
          <t>A 45775-2022</t>
        </is>
      </c>
      <c r="B39" s="1" t="n">
        <v>44838</v>
      </c>
      <c r="C39" s="1" t="n">
        <v>45357</v>
      </c>
      <c r="D39" t="inlineStr">
        <is>
          <t>VÄSTERBOTTENS LÄN</t>
        </is>
      </c>
      <c r="E39" t="inlineStr">
        <is>
          <t>VILHELMINA</t>
        </is>
      </c>
      <c r="F39" t="inlineStr">
        <is>
          <t>Allmännings- och besparingsskogar</t>
        </is>
      </c>
      <c r="G39" t="n">
        <v>22.9</v>
      </c>
      <c r="H39" t="n">
        <v>2</v>
      </c>
      <c r="I39" t="n">
        <v>6</v>
      </c>
      <c r="J39" t="n">
        <v>8</v>
      </c>
      <c r="K39" t="n">
        <v>0</v>
      </c>
      <c r="L39" t="n">
        <v>0</v>
      </c>
      <c r="M39" t="n">
        <v>0</v>
      </c>
      <c r="N39" t="n">
        <v>0</v>
      </c>
      <c r="O39" t="n">
        <v>8</v>
      </c>
      <c r="P39" t="n">
        <v>0</v>
      </c>
      <c r="Q39" t="n">
        <v>14</v>
      </c>
      <c r="R39" s="2" t="inlineStr">
        <is>
          <t>Brunpudrad nållav
Garnlav
Järpe
Knottrig blåslav
Skrovellav
Talltita
Ullticka
Vitgrynig nållav
Bårdlav
Korallblylav
Luddlav
Skinnlav
Stuplav
Vedticka</t>
        </is>
      </c>
      <c r="S39">
        <f>HYPERLINK("https://klasma.github.io/Logging_2462/artfynd/A 45775-2022 artfynd.xlsx", "A 45775-2022")</f>
        <v/>
      </c>
      <c r="T39">
        <f>HYPERLINK("https://klasma.github.io/Logging_2462/kartor/A 45775-2022 karta.png", "A 45775-2022")</f>
        <v/>
      </c>
      <c r="V39">
        <f>HYPERLINK("https://klasma.github.io/Logging_2462/klagomål/A 45775-2022 FSC-klagomål.docx", "A 45775-2022")</f>
        <v/>
      </c>
      <c r="W39">
        <f>HYPERLINK("https://klasma.github.io/Logging_2462/klagomålsmail/A 45775-2022 FSC-klagomål mail.docx", "A 45775-2022")</f>
        <v/>
      </c>
      <c r="X39">
        <f>HYPERLINK("https://klasma.github.io/Logging_2462/tillsyn/A 45775-2022 tillsynsbegäran.docx", "A 45775-2022")</f>
        <v/>
      </c>
      <c r="Y39">
        <f>HYPERLINK("https://klasma.github.io/Logging_2462/tillsynsmail/A 45775-2022 tillsynsbegäran mail.docx", "A 45775-2022")</f>
        <v/>
      </c>
      <c r="Z39">
        <f>HYPERLINK("https://klasma.github.io/Logging_2462/fåglar/A 45775-2022 prioriterade fågelarter.docx", "A 45775-2022")</f>
        <v/>
      </c>
    </row>
    <row r="40" ht="15" customHeight="1">
      <c r="A40" t="inlineStr">
        <is>
          <t>A 3140-2023</t>
        </is>
      </c>
      <c r="B40" s="1" t="n">
        <v>44945</v>
      </c>
      <c r="C40" s="1" t="n">
        <v>45357</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37775-2023</t>
        </is>
      </c>
      <c r="B41" s="1" t="n">
        <v>45156</v>
      </c>
      <c r="C41" s="1" t="n">
        <v>45357</v>
      </c>
      <c r="D41" t="inlineStr">
        <is>
          <t>VÄSTERBOTTENS LÄN</t>
        </is>
      </c>
      <c r="E41" t="inlineStr">
        <is>
          <t>VILHELMINA</t>
        </is>
      </c>
      <c r="G41" t="n">
        <v>39.4</v>
      </c>
      <c r="H41" t="n">
        <v>3</v>
      </c>
      <c r="I41" t="n">
        <v>3</v>
      </c>
      <c r="J41" t="n">
        <v>11</v>
      </c>
      <c r="K41" t="n">
        <v>0</v>
      </c>
      <c r="L41" t="n">
        <v>0</v>
      </c>
      <c r="M41" t="n">
        <v>0</v>
      </c>
      <c r="N41" t="n">
        <v>0</v>
      </c>
      <c r="O41" t="n">
        <v>11</v>
      </c>
      <c r="P41" t="n">
        <v>0</v>
      </c>
      <c r="Q41" t="n">
        <v>14</v>
      </c>
      <c r="R41" s="2" t="inlineStr">
        <is>
          <t>Brunpudrad nållav
Gammelgransskål
Garnlav
Granticka
Harticka
Rosenticka
Rödbrun blekspik
Talltita
Tretåig hackspett
Ullticka
Vitgrynig nållav
Gulnål
Plattlummer
Vedticka</t>
        </is>
      </c>
      <c r="S41">
        <f>HYPERLINK("https://klasma.github.io/Logging_2462/artfynd/A 37775-2023 artfynd.xlsx", "A 37775-2023")</f>
        <v/>
      </c>
      <c r="T41">
        <f>HYPERLINK("https://klasma.github.io/Logging_2462/kartor/A 37775-2023 karta.png", "A 37775-2023")</f>
        <v/>
      </c>
      <c r="V41">
        <f>HYPERLINK("https://klasma.github.io/Logging_2462/klagomål/A 37775-2023 FSC-klagomål.docx", "A 37775-2023")</f>
        <v/>
      </c>
      <c r="W41">
        <f>HYPERLINK("https://klasma.github.io/Logging_2462/klagomålsmail/A 37775-2023 FSC-klagomål mail.docx", "A 37775-2023")</f>
        <v/>
      </c>
      <c r="X41">
        <f>HYPERLINK("https://klasma.github.io/Logging_2462/tillsyn/A 37775-2023 tillsynsbegäran.docx", "A 37775-2023")</f>
        <v/>
      </c>
      <c r="Y41">
        <f>HYPERLINK("https://klasma.github.io/Logging_2462/tillsynsmail/A 37775-2023 tillsynsbegäran mail.docx", "A 37775-2023")</f>
        <v/>
      </c>
      <c r="Z41">
        <f>HYPERLINK("https://klasma.github.io/Logging_2462/fåglar/A 37775-2023 prioriterade fågelarter.docx", "A 37775-2023")</f>
        <v/>
      </c>
    </row>
    <row r="42" ht="15" customHeight="1">
      <c r="A42" t="inlineStr">
        <is>
          <t>A 48227-2023</t>
        </is>
      </c>
      <c r="B42" s="1" t="n">
        <v>45201</v>
      </c>
      <c r="C42" s="1" t="n">
        <v>45357</v>
      </c>
      <c r="D42" t="inlineStr">
        <is>
          <t>VÄSTERBOTTENS LÄN</t>
        </is>
      </c>
      <c r="E42" t="inlineStr">
        <is>
          <t>VILHELMINA</t>
        </is>
      </c>
      <c r="F42" t="inlineStr">
        <is>
          <t>Allmännings- och besparingsskogar</t>
        </is>
      </c>
      <c r="G42" t="n">
        <v>7.9</v>
      </c>
      <c r="H42" t="n">
        <v>4</v>
      </c>
      <c r="I42" t="n">
        <v>1</v>
      </c>
      <c r="J42" t="n">
        <v>11</v>
      </c>
      <c r="K42" t="n">
        <v>1</v>
      </c>
      <c r="L42" t="n">
        <v>0</v>
      </c>
      <c r="M42" t="n">
        <v>0</v>
      </c>
      <c r="N42" t="n">
        <v>0</v>
      </c>
      <c r="O42" t="n">
        <v>12</v>
      </c>
      <c r="P42" t="n">
        <v>1</v>
      </c>
      <c r="Q42" t="n">
        <v>14</v>
      </c>
      <c r="R42" s="2" t="inlineStr">
        <is>
          <t>Liten sotlav
Gammelgransskål
Garnlav
Gränsticka
Knottrig blåslav
Liten svartspik
Rosenticka
Rödbrun blekspik
Spillkråka
Talltita
Tretåig hackspett
Vitgrynig nållav
Trådticka
Lavskrika</t>
        </is>
      </c>
      <c r="S42">
        <f>HYPERLINK("https://klasma.github.io/Logging_2462/artfynd/A 48227-2023 artfynd.xlsx", "A 48227-2023")</f>
        <v/>
      </c>
      <c r="T42">
        <f>HYPERLINK("https://klasma.github.io/Logging_2462/kartor/A 48227-2023 karta.png", "A 48227-2023")</f>
        <v/>
      </c>
      <c r="V42">
        <f>HYPERLINK("https://klasma.github.io/Logging_2462/klagomål/A 48227-2023 FSC-klagomål.docx", "A 48227-2023")</f>
        <v/>
      </c>
      <c r="W42">
        <f>HYPERLINK("https://klasma.github.io/Logging_2462/klagomålsmail/A 48227-2023 FSC-klagomål mail.docx", "A 48227-2023")</f>
        <v/>
      </c>
      <c r="X42">
        <f>HYPERLINK("https://klasma.github.io/Logging_2462/tillsyn/A 48227-2023 tillsynsbegäran.docx", "A 48227-2023")</f>
        <v/>
      </c>
      <c r="Y42">
        <f>HYPERLINK("https://klasma.github.io/Logging_2462/tillsynsmail/A 48227-2023 tillsynsbegäran mail.docx", "A 48227-2023")</f>
        <v/>
      </c>
      <c r="Z42">
        <f>HYPERLINK("https://klasma.github.io/Logging_2462/fåglar/A 48227-2023 prioriterade fågelarter.docx", "A 48227-2023")</f>
        <v/>
      </c>
    </row>
    <row r="43" ht="15" customHeight="1">
      <c r="A43" t="inlineStr">
        <is>
          <t>A 45782-2022</t>
        </is>
      </c>
      <c r="B43" s="1" t="n">
        <v>44838</v>
      </c>
      <c r="C43" s="1" t="n">
        <v>45357</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c r="Z43">
        <f>HYPERLINK("https://klasma.github.io/Logging_2462/fåglar/A 45782-2022 prioriterade fågelarter.docx", "A 45782-2022")</f>
        <v/>
      </c>
    </row>
    <row r="44" ht="15" customHeight="1">
      <c r="A44" t="inlineStr">
        <is>
          <t>A 38412-2018</t>
        </is>
      </c>
      <c r="B44" s="1" t="n">
        <v>43336</v>
      </c>
      <c r="C44" s="1" t="n">
        <v>45357</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c r="Z44">
        <f>HYPERLINK("https://klasma.github.io/Logging_2462/fåglar/A 38412-2018 prioriterade fågelarter.docx", "A 38412-2018")</f>
        <v/>
      </c>
    </row>
    <row r="45" ht="15" customHeight="1">
      <c r="A45" t="inlineStr">
        <is>
          <t>A 48034-2020</t>
        </is>
      </c>
      <c r="B45" s="1" t="n">
        <v>44095</v>
      </c>
      <c r="C45" s="1" t="n">
        <v>45357</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c r="Z45">
        <f>HYPERLINK("https://klasma.github.io/Logging_2462/fåglar/A 48034-2020 prioriterade fågelarter.docx", "A 48034-2020")</f>
        <v/>
      </c>
    </row>
    <row r="46" ht="15" customHeight="1">
      <c r="A46" t="inlineStr">
        <is>
          <t>A 12014-2021</t>
        </is>
      </c>
      <c r="B46" s="1" t="n">
        <v>44266</v>
      </c>
      <c r="C46" s="1" t="n">
        <v>45357</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c r="Z46">
        <f>HYPERLINK("https://klasma.github.io/Logging_2462/fåglar/A 12014-2021 prioriterade fågelarter.docx", "A 12014-2021")</f>
        <v/>
      </c>
    </row>
    <row r="47" ht="15" customHeight="1">
      <c r="A47" t="inlineStr">
        <is>
          <t>A 45743-2022</t>
        </is>
      </c>
      <c r="B47" s="1" t="n">
        <v>44838</v>
      </c>
      <c r="C47" s="1" t="n">
        <v>45357</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c r="Z47">
        <f>HYPERLINK("https://klasma.github.io/Logging_2462/fåglar/A 45743-2022 prioriterade fågelarter.docx", "A 45743-2022")</f>
        <v/>
      </c>
    </row>
    <row r="48" ht="15" customHeight="1">
      <c r="A48" t="inlineStr">
        <is>
          <t>A 33664-2023</t>
        </is>
      </c>
      <c r="B48" s="1" t="n">
        <v>45119</v>
      </c>
      <c r="C48" s="1" t="n">
        <v>45357</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45357</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c r="Z49">
        <f>HYPERLINK("https://klasma.github.io/Logging_2462/fåglar/A 48216-2023 prioriterade fågelarter.docx", "A 48216-2023")</f>
        <v/>
      </c>
    </row>
    <row r="50" ht="15" customHeight="1">
      <c r="A50" t="inlineStr">
        <is>
          <t>A 60592-2019</t>
        </is>
      </c>
      <c r="B50" s="1" t="n">
        <v>43781</v>
      </c>
      <c r="C50" s="1" t="n">
        <v>45357</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45357</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45357</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45357</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45357</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45357</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45357</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45357</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45357</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45357</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45357</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45357</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45357</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45357</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45357</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45357</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45357</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45357</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45357</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45357</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45357</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45357</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45357</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45357</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45357</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45357</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45357</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45357</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45357</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45357</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45357</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45357</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45357</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45357</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45357</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45357</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45357</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45357</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45357</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45357</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45357</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45357</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45357</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45357</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45357</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45357</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45357</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45357</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45357</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45357</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45357</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45357</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45357</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45357</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45357</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45357</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45357</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45357</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45357</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45357</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45357</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45357</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45357</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45357</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45357</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45357</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45357</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45357</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45357</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45357</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45357</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45357</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45357</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45357</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45357</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45357</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45357</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45357</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45357</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45357</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45357</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45357</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45357</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45357</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45357</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45357</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45357</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45357</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45357</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45357</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45357</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45357</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45357</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45357</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45357</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45357</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45357</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45357</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45357</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45357</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45357</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45357</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45357</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45357</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45357</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45357</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45357</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45357</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45357</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45357</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45357</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45357</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45357</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45357</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45357</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45357</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45357</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45357</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45357</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45357</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45357</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45357</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45357</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45357</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45357</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45357</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45357</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45357</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45357</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45357</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45357</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45357</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45357</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45357</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45357</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45357</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45357</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45357</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45357</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45357</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45357</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45357</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45357</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45357</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45357</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45357</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45357</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45357</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45357</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45357</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45357</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45357</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45357</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45357</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45357</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45357</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45357</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45357</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45357</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45357</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45357</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45357</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45357</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45357</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45357</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45357</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45357</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45357</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45357</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45357</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45357</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45357</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45357</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45357</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45357</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45357</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45357</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45357</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45357</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45357</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45357</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45357</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45357</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45357</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45357</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45357</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45357</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45357</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45357</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45357</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45357</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45357</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45357</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45357</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45357</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45357</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45357</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45357</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45357</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45357</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45357</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45357</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45357</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45357</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45357</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45357</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45357</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45357</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45357</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45357</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45357</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45357</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45357</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45357</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45357</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45357</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45357</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45357</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45357</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45357</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45357</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45357</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45357</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45357</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45357</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45357</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45357</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45357</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45357</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45357</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45357</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45357</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45357</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45357</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45357</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45357</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45357</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45357</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45357</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45357</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45357</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45357</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45357</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45357</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45357</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45357</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45357</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45357</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45357</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45357</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45357</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45357</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45357</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45357</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45357</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45357</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45357</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45357</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45357</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45357</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45357</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45357</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45357</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45357</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45357</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45357</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45357</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45357</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45357</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45357</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45357</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45357</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45357</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45357</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45357</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45357</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45357</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45357</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45357</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45357</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45357</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45357</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45357</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45357</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45357</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45357</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45357</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45357</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45357</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45357</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45357</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45357</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45357</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45357</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45357</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45357</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45357</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45357</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45357</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45357</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45357</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45357</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45357</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45357</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45357</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45357</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45357</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45357</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45357</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45357</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45357</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45357</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45357</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45357</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45357</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45357</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45357</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45357</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45357</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45357</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45357</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45357</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45357</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45357</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45357</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45357</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45357</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45357</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45357</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45357</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45357</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45357</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45357</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45357</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45357</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45357</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45357</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45357</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45357</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45357</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45357</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45357</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45357</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45357</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45357</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45357</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45357</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45357</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45357</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45357</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45357</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45357</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45357</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45357</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45357</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45357</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45357</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45357</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45357</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45357</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45357</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45357</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45357</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45357</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45357</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45357</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45357</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45357</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45357</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45357</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45357</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45357</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45357</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45357</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45357</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45357</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45357</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45357</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45357</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45357</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45357</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45357</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45357</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45357</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45357</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45357</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45357</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45357</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45357</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45357</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45357</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45357</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45357</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45357</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45357</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45357</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45357</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45357</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45357</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45357</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45357</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45357</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45357</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45357</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45357</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45357</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45357</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45357</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45357</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45357</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45357</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45357</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45357</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45357</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45357</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45357</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45357</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45357</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45357</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45357</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45357</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45357</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45357</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45357</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45357</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45357</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45357</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45357</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45357</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45357</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45357</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45357</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45357</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45357</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45357</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45357</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45357</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45357</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45357</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45357</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45357</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45357</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45357</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45357</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45357</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45357</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45357</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45357</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45357</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45357</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45357</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45357</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45357</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45357</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45357</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45357</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45357</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45357</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45357</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45357</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45357</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45357</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45357</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45357</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45357</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45357</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45357</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45357</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45357</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45357</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45357</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45357</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45357</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45357</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45357</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45357</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45357</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45357</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45357</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45357</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45357</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45357</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45357</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45357</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45357</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45357</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45357</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45357</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45357</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45357</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45357</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45357</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45357</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45357</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45357</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45357</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45357</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45357</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45357</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45357</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45357</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45357</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45357</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45357</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45357</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45357</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45357</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45357</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45357</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45357</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45357</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45357</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45357</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45357</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45357</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45357</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45357</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45357</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45357</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45357</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45357</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45357</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45357</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45357</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45357</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45357</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45357</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45357</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45357</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45357</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45357</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45357</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45357</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45357</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45357</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45357</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45357</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45357</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45357</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45357</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45357</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45357</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45357</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45357</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45357</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45357</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45357</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45357</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45357</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45357</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45357</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45357</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45357</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45357</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45357</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45357</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45357</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45357</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45357</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45357</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45357</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45357</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45357</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45357</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45357</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45357</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45357</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45357</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45357</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45357</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45357</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45357</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45357</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45357</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45357</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45357</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45357</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45357</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45357</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45357</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45357</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45357</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45357</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45357</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45357</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45357</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45357</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45357</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45357</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45357</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45357</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45357</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45357</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45357</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45357</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45357</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45357</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45357</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45357</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45357</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45357</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45357</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45357</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45357</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45357</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45357</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45357</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45357</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45357</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45357</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45357</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45357</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45357</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45357</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45357</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45357</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45357</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45357</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45357</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45357</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45357</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45357</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45357</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45357</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45357</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45357</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45357</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45357</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45357</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45357</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45357</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45357</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45357</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45357</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45357</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45357</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45357</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45357</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45357</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45357</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45357</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45357</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45357</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45357</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45357</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45357</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45357</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45357</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45357</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45357</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45357</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45357</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45357</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45357</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45357</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45357</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45357</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45357</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45357</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45357</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45357</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45357</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45357</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45357</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45357</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45357</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45357</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45357</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45357</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45357</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45357</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45357</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45357</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45357</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45357</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45357</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45357</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45357</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45357</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45357</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45357</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45357</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45357</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45357</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45357</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45357</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45357</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45357</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45357</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45357</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45357</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45357</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45357</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45357</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45357</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45357</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45357</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45357</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45357</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45357</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45357</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45357</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45357</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45357</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45357</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45357</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45357</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45357</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45357</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45357</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45357</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45357</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45357</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45357</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45357</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45357</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45357</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45357</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45357</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45357</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45357</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45357</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45357</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45357</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45357</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45357</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45357</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45357</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45357</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45357</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45357</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45357</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45357</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45357</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45357</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45357</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45357</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45357</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45357</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45357</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45357</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45357</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45357</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45357</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45357</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45357</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45357</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45357</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45357</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45357</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45357</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45357</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45357</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45357</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45357</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45357</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45357</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45357</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45357</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45357</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45357</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45357</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45357</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45357</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45357</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45357</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45357</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45357</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45357</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45357</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45357</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45357</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45357</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45357</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45357</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45357</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45357</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45357</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45357</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45357</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45357</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45357</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45357</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45357</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45357</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45357</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45357</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45357</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45357</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45357</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45357</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45357</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45357</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45357</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45357</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45357</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45357</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45357</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45357</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45357</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45357</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45357</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45357</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45357</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45357</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45357</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45357</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45357</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45357</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45357</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45357</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45357</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45357</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45357</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45357</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45357</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45357</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45357</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45357</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45357</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45357</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45357</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45357</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45357</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45357</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45357</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45357</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45357</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45357</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45357</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45357</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45357</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45357</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45357</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45357</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45357</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45357</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45357</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45357</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45357</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45357</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45357</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45357</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45357</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45357</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45357</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45357</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45357</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45357</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45357</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45357</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45357</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45357</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45357</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45357</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45357</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45357</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45357</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45357</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45357</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45357</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45357</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45357</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45357</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45357</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45357</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45357</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45357</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45357</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45357</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45357</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45357</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45357</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45357</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45357</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45357</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45357</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45357</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45357</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45357</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45357</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45357</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45357</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45357</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45357</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45357</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45357</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45357</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45357</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45357</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45357</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45357</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45357</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45357</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45357</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45357</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45357</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45357</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45357</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45357</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45357</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45357</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45357</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45357</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45357</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45357</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45357</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45357</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45357</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45357</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45357</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45357</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45357</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45357</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45357</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45357</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45357</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45357</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45357</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45357</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45357</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45357</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45357</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45357</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45357</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45357</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45357</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45357</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45357</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45357</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45357</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45357</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45357</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45357</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45357</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45357</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45357</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45357</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45357</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45357</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45357</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45357</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45357</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45357</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45357</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45357</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45357</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45357</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45357</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45357</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45357</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45357</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45357</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45357</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45357</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45357</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45357</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45357</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45357</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45357</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45357</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45357</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45357</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45357</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45357</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45357</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45357</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45357</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45357</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45357</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45357</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45357</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45357</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45357</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45357</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45357</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45357</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45357</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45357</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45357</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45357</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45357</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45357</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45357</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45357</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45357</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45357</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45357</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45357</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45357</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45357</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45357</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45357</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45357</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45357</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45357</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45357</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45357</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45357</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45357</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45357</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45357</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45357</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45357</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45357</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45357</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45357</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45357</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45357</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45357</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45357</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45357</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45357</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45357</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45357</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45357</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45357</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45357</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45357</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45357</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45357</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45357</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45357</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5434-2024</t>
        </is>
      </c>
      <c r="B1073" s="1" t="n">
        <v>45331</v>
      </c>
      <c r="C1073" s="1" t="n">
        <v>45357</v>
      </c>
      <c r="D1073" t="inlineStr">
        <is>
          <t>VÄSTERBOTTENS LÄN</t>
        </is>
      </c>
      <c r="E1073" t="inlineStr">
        <is>
          <t>VILHELMINA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5432-2024</t>
        </is>
      </c>
      <c r="B1074" s="1" t="n">
        <v>45331</v>
      </c>
      <c r="C1074" s="1" t="n">
        <v>45357</v>
      </c>
      <c r="D1074" t="inlineStr">
        <is>
          <t>VÄSTERBOTTENS LÄN</t>
        </is>
      </c>
      <c r="E1074" t="inlineStr">
        <is>
          <t>VILHELMINA</t>
        </is>
      </c>
      <c r="G1074" t="n">
        <v>19.6</v>
      </c>
      <c r="H1074" t="n">
        <v>0</v>
      </c>
      <c r="I1074" t="n">
        <v>0</v>
      </c>
      <c r="J1074" t="n">
        <v>0</v>
      </c>
      <c r="K1074" t="n">
        <v>0</v>
      </c>
      <c r="L1074" t="n">
        <v>0</v>
      </c>
      <c r="M1074" t="n">
        <v>0</v>
      </c>
      <c r="N1074" t="n">
        <v>0</v>
      </c>
      <c r="O1074" t="n">
        <v>0</v>
      </c>
      <c r="P1074" t="n">
        <v>0</v>
      </c>
      <c r="Q1074" t="n">
        <v>0</v>
      </c>
      <c r="R1074" s="2" t="inlineStr"/>
    </row>
    <row r="1075" ht="15" customHeight="1">
      <c r="A1075" t="inlineStr">
        <is>
          <t>A 5435-2024</t>
        </is>
      </c>
      <c r="B1075" s="1" t="n">
        <v>45331</v>
      </c>
      <c r="C1075" s="1" t="n">
        <v>45357</v>
      </c>
      <c r="D1075" t="inlineStr">
        <is>
          <t>VÄSTERBOTTENS LÄN</t>
        </is>
      </c>
      <c r="E1075" t="inlineStr">
        <is>
          <t>VILHELMINA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5552-2024</t>
        </is>
      </c>
      <c r="B1076" s="1" t="n">
        <v>45332</v>
      </c>
      <c r="C1076" s="1" t="n">
        <v>45357</v>
      </c>
      <c r="D1076" t="inlineStr">
        <is>
          <t>VÄSTERBOTTENS LÄN</t>
        </is>
      </c>
      <c r="E1076" t="inlineStr">
        <is>
          <t>VILHELMINA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45357</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45357</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45357</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6280-2024</t>
        </is>
      </c>
      <c r="B1080" s="1" t="n">
        <v>45337</v>
      </c>
      <c r="C1080" s="1" t="n">
        <v>45357</v>
      </c>
      <c r="D1080" t="inlineStr">
        <is>
          <t>VÄSTERBOTTENS LÄN</t>
        </is>
      </c>
      <c r="E1080" t="inlineStr">
        <is>
          <t>VILHELMINA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6281-2024</t>
        </is>
      </c>
      <c r="B1081" s="1" t="n">
        <v>45337</v>
      </c>
      <c r="C1081" s="1" t="n">
        <v>45357</v>
      </c>
      <c r="D1081" t="inlineStr">
        <is>
          <t>VÄSTERBOTTENS LÄN</t>
        </is>
      </c>
      <c r="E1081" t="inlineStr">
        <is>
          <t>VILHELMINA</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45357</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6369-2024</t>
        </is>
      </c>
      <c r="B1083" s="1" t="n">
        <v>45338</v>
      </c>
      <c r="C1083" s="1" t="n">
        <v>45357</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45357</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45357</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7777-2024</t>
        </is>
      </c>
      <c r="B1086" s="1" t="n">
        <v>45349</v>
      </c>
      <c r="C1086" s="1" t="n">
        <v>45357</v>
      </c>
      <c r="D1086" t="inlineStr">
        <is>
          <t>VÄSTERBOTTENS LÄN</t>
        </is>
      </c>
      <c r="E1086" t="inlineStr">
        <is>
          <t>VILHELMINA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7762-2024</t>
        </is>
      </c>
      <c r="B1087" s="1" t="n">
        <v>45349</v>
      </c>
      <c r="C1087" s="1" t="n">
        <v>45357</v>
      </c>
      <c r="D1087" t="inlineStr">
        <is>
          <t>VÄSTERBOTTENS LÄN</t>
        </is>
      </c>
      <c r="E1087" t="inlineStr">
        <is>
          <t>VILHELMINA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8544-2024</t>
        </is>
      </c>
      <c r="B1088" s="1" t="n">
        <v>45351</v>
      </c>
      <c r="C1088" s="1" t="n">
        <v>45357</v>
      </c>
      <c r="D1088" t="inlineStr">
        <is>
          <t>VÄSTERBOTTENS LÄN</t>
        </is>
      </c>
      <c r="E1088" t="inlineStr">
        <is>
          <t>VILHELMINA</t>
        </is>
      </c>
      <c r="G1088" t="n">
        <v>13.4</v>
      </c>
      <c r="H1088" t="n">
        <v>0</v>
      </c>
      <c r="I1088" t="n">
        <v>0</v>
      </c>
      <c r="J1088" t="n">
        <v>0</v>
      </c>
      <c r="K1088" t="n">
        <v>0</v>
      </c>
      <c r="L1088" t="n">
        <v>0</v>
      </c>
      <c r="M1088" t="n">
        <v>0</v>
      </c>
      <c r="N1088" t="n">
        <v>0</v>
      </c>
      <c r="O1088" t="n">
        <v>0</v>
      </c>
      <c r="P1088" t="n">
        <v>0</v>
      </c>
      <c r="Q1088" t="n">
        <v>0</v>
      </c>
      <c r="R1088" s="2" t="inlineStr"/>
    </row>
    <row r="1089">
      <c r="A1089" t="inlineStr">
        <is>
          <t>A 8664-2024</t>
        </is>
      </c>
      <c r="B1089" s="1" t="n">
        <v>45356</v>
      </c>
      <c r="C1089" s="1" t="n">
        <v>45357</v>
      </c>
      <c r="D1089" t="inlineStr">
        <is>
          <t>VÄSTERBOTTENS LÄN</t>
        </is>
      </c>
      <c r="E1089" t="inlineStr">
        <is>
          <t>VILHELMINA</t>
        </is>
      </c>
      <c r="F1089" t="inlineStr">
        <is>
          <t>SCA</t>
        </is>
      </c>
      <c r="G1089" t="n">
        <v>15.8</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2024-03-06T12:53:34Z</dcterms:created>
  <dcterms:modified xmlns:dcterms="http://purl.org/dc/terms/" xmlns:xsi="http://www.w3.org/2001/XMLSchema-instance" xsi:type="dcterms:W3CDTF">2024-03-06T12:53:35Z</dcterms:modified>
</cp:coreProperties>
</file>